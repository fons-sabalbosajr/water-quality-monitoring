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embco-my.sharepoint.com/personal/alfonso_sabalbosa_emb_gov_ph/Documents/#DASHBOARD_WATERBODY_MONITORING/2025/"/>
    </mc:Choice>
  </mc:AlternateContent>
  <xr:revisionPtr revIDLastSave="18083" documentId="11_4BE539ED65524AA94837C7382E57BD1D229E3A39" xr6:coauthVersionLast="47" xr6:coauthVersionMax="47" xr10:uidLastSave="{B3C51ADA-786F-4721-AE9F-F631AD6D72B5}"/>
  <bookViews>
    <workbookView xWindow="28920" yWindow="375" windowWidth="28755" windowHeight="10830" tabRatio="923" firstSheet="6" activeTab="1" xr2:uid="{00000000-000D-0000-FFFF-FFFF00000000}"/>
  </bookViews>
  <sheets>
    <sheet name="SUMMARY" sheetId="36" r:id="rId1"/>
    <sheet name="MARILAO RIVER" sheetId="1" r:id="rId2"/>
    <sheet name="MEYCAUAYAN RIVER" sheetId="2" r:id="rId3"/>
    <sheet name="OBANDO RIVER" sheetId="3" r:id="rId4"/>
    <sheet name="BOCAUE RIVER" sheetId="4" r:id="rId5"/>
    <sheet name="STA. MARIA RIVER" sheetId="12" r:id="rId6"/>
    <sheet name="ATLAG RIVER" sheetId="23" r:id="rId7"/>
    <sheet name="HAGONOY RIVER" sheetId="22" r:id="rId8"/>
    <sheet name="LABANGAN RIVER" sheetId="10" r:id="rId9"/>
    <sheet name="A-SF-M-S RS WQMA" sheetId="14" r:id="rId10"/>
    <sheet name="PAMPANGA RIVER" sheetId="9" r:id="rId11"/>
    <sheet name="GUAGUA RIVER  " sheetId="21" r:id="rId12"/>
    <sheet name="DICALOYUNGAN RIVER" sheetId="6" r:id="rId13"/>
    <sheet name="BAGSIT RIVER" sheetId="5" r:id="rId14"/>
    <sheet name="LUCONG RIVER" sheetId="26" r:id="rId15"/>
    <sheet name="ANGAT RIVERS 4L" sheetId="11" r:id="rId16"/>
    <sheet name="PALAKOL RIVER (R4L)" sheetId="25" r:id="rId17"/>
    <sheet name="PUDOC RIVER (R4L)" sheetId="24" r:id="rId18"/>
    <sheet name="TALISAY RIVER" sheetId="8" r:id="rId19"/>
    <sheet name="PAMPANGA RIVER UPSTREAM" sheetId="27" r:id="rId20"/>
    <sheet name="TALAVERA RIVER" sheetId="7" r:id="rId21"/>
    <sheet name="BALER BAY" sheetId="18" r:id="rId22"/>
    <sheet name="MONTEMAR BEACH CLUB" sheetId="15" r:id="rId23"/>
    <sheet name="JUNESS BEACH RESORT" sheetId="17" r:id="rId24"/>
    <sheet name="COAST OF PAMPANGA" sheetId="30" r:id="rId25"/>
    <sheet name="COAST OF BATAAN" sheetId="32" r:id="rId26"/>
    <sheet name="COAST OF BULACAN" sheetId="31" r:id="rId27"/>
    <sheet name="MOUTH OF OBANDO RIVER" sheetId="28" r:id="rId28"/>
    <sheet name="MOUTH OF TALISAY RIVER" sheetId="20" r:id="rId29"/>
    <sheet name="MOUTH OF PAMPANGA RIVER" sheetId="29" r:id="rId30"/>
    <sheet name="BATHING BEACHES" sheetId="33" r:id="rId31"/>
    <sheet name="SUBIC BAY" sheetId="16" r:id="rId32"/>
    <sheet name="ZAMBALES BAY" sheetId="19" r:id="rId33"/>
    <sheet name="OFFSHORE SEDIMENT" sheetId="34" r:id="rId34"/>
  </sheets>
  <definedNames>
    <definedName name="_xlnm._FilterDatabase" localSheetId="7" hidden="1">'HAGONOY RIVER'!$A$1:$K$46</definedName>
    <definedName name="_xlnm._FilterDatabase" localSheetId="16" hidden="1">'PALAKOL RIVER (R4L)'!$A$1:$K$39</definedName>
    <definedName name="_xlnm._FilterDatabase" localSheetId="17" hidden="1">'PUDOC RIVER (R4L)'!$A$1:$S$50</definedName>
    <definedName name="_xlnm.Print_Area" localSheetId="15">'ANGAT RIVERS 4L'!$A$1:$S$67</definedName>
    <definedName name="_xlnm.Print_Area" localSheetId="1">'MARILAO RIVER'!$A$1:$T$72</definedName>
    <definedName name="_xlnm.Print_Area" localSheetId="5">'STA. MARIA RIVER'!$C$1:$S$67</definedName>
    <definedName name="_xlnm.Print_Area" localSheetId="18">'TALISAY RIVER'!$B$1:$S$93</definedName>
    <definedName name="_xlnm.Print_Area" localSheetId="7">'HAGONOY RIVER'!$A$1:$K$71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6" roundtripDataChecksum="sVeVDmpAfFvLEiNi6oQGGW8yFN9LSyplgfxV42hLbEc="/>
    </ext>
  </extLst>
</workbook>
</file>

<file path=xl/calcChain.xml><?xml version="1.0" encoding="utf-8"?>
<calcChain xmlns="http://schemas.openxmlformats.org/spreadsheetml/2006/main">
  <c r="AK33" i="1" l="1"/>
  <c r="AA14" i="23"/>
  <c r="F26" i="29"/>
  <c r="J25" i="25"/>
  <c r="J7" i="25"/>
  <c r="R23" i="30"/>
  <c r="R7" i="30"/>
  <c r="R11" i="8"/>
  <c r="J10" i="23"/>
  <c r="J7" i="23"/>
  <c r="R7" i="1"/>
  <c r="R8" i="1"/>
  <c r="N26" i="28"/>
  <c r="O26" i="28"/>
  <c r="P26" i="28"/>
  <c r="Q26" i="28"/>
  <c r="D25" i="36"/>
  <c r="E25" i="36"/>
  <c r="F25" i="36"/>
  <c r="G25" i="36"/>
  <c r="J25" i="36"/>
  <c r="L25" i="36"/>
  <c r="D26" i="36"/>
  <c r="E26" i="36"/>
  <c r="F26" i="36"/>
  <c r="G26" i="36"/>
  <c r="H26" i="36"/>
  <c r="I26" i="36"/>
  <c r="J26" i="36"/>
  <c r="C26" i="36"/>
  <c r="AJ28" i="1"/>
  <c r="AJ29" i="1"/>
  <c r="AJ30" i="1"/>
  <c r="AJ31" i="1"/>
  <c r="AJ27" i="1"/>
  <c r="AI27" i="1"/>
  <c r="AH28" i="1"/>
  <c r="AH29" i="1"/>
  <c r="AH30" i="1"/>
  <c r="AH31" i="1"/>
  <c r="AH27" i="1"/>
  <c r="AG28" i="1"/>
  <c r="AG29" i="1"/>
  <c r="AG30" i="1"/>
  <c r="AG31" i="1"/>
  <c r="AG27" i="1"/>
  <c r="AF28" i="1"/>
  <c r="AF29" i="1"/>
  <c r="AF30" i="1"/>
  <c r="AF31" i="1"/>
  <c r="AF27" i="1"/>
  <c r="AE28" i="1"/>
  <c r="AE29" i="1"/>
  <c r="AE30" i="1"/>
  <c r="AE31" i="1"/>
  <c r="AE27" i="1"/>
  <c r="I24" i="36"/>
  <c r="L24" i="36"/>
  <c r="T26" i="25"/>
  <c r="T27" i="25"/>
  <c r="T25" i="25"/>
  <c r="C8" i="36"/>
  <c r="D21" i="36"/>
  <c r="E21" i="36"/>
  <c r="F21" i="36"/>
  <c r="G21" i="36"/>
  <c r="H21" i="36"/>
  <c r="J21" i="36"/>
  <c r="K21" i="36"/>
  <c r="L21" i="36"/>
  <c r="C21" i="36"/>
  <c r="D19" i="36"/>
  <c r="F19" i="36"/>
  <c r="G19" i="36"/>
  <c r="J19" i="36"/>
  <c r="K19" i="36"/>
  <c r="L19" i="36"/>
  <c r="C19" i="36"/>
  <c r="D18" i="36"/>
  <c r="E18" i="36"/>
  <c r="F18" i="36"/>
  <c r="G18" i="36"/>
  <c r="H18" i="36"/>
  <c r="I18" i="36"/>
  <c r="J18" i="36"/>
  <c r="K18" i="36"/>
  <c r="L18" i="36"/>
  <c r="C18" i="36"/>
  <c r="D17" i="36"/>
  <c r="F17" i="36"/>
  <c r="G17" i="36"/>
  <c r="L17" i="36"/>
  <c r="C17" i="36"/>
  <c r="D16" i="36"/>
  <c r="E16" i="36"/>
  <c r="F16" i="36"/>
  <c r="G16" i="36"/>
  <c r="H16" i="36"/>
  <c r="I16" i="36"/>
  <c r="J16" i="36"/>
  <c r="K16" i="36"/>
  <c r="L16" i="36"/>
  <c r="C16" i="36"/>
  <c r="E14" i="36"/>
  <c r="F14" i="36"/>
  <c r="G14" i="36"/>
  <c r="H14" i="36"/>
  <c r="J14" i="36"/>
  <c r="K14" i="36"/>
  <c r="L14" i="36"/>
  <c r="D13" i="36"/>
  <c r="E13" i="36"/>
  <c r="F13" i="36"/>
  <c r="G13" i="36"/>
  <c r="H13" i="36"/>
  <c r="I13" i="36"/>
  <c r="J13" i="36"/>
  <c r="K13" i="36"/>
  <c r="L13" i="36"/>
  <c r="D12" i="36"/>
  <c r="E12" i="36"/>
  <c r="F12" i="36"/>
  <c r="G12" i="36"/>
  <c r="H12" i="36"/>
  <c r="I12" i="36"/>
  <c r="J12" i="36"/>
  <c r="K12" i="36"/>
  <c r="L12" i="36"/>
  <c r="C12" i="36"/>
  <c r="D11" i="36"/>
  <c r="E11" i="36"/>
  <c r="F11" i="36"/>
  <c r="G11" i="36"/>
  <c r="H11" i="36"/>
  <c r="I11" i="36"/>
  <c r="J11" i="36"/>
  <c r="K11" i="36"/>
  <c r="L11" i="36"/>
  <c r="C11" i="36"/>
  <c r="D10" i="36"/>
  <c r="E10" i="36"/>
  <c r="F10" i="36"/>
  <c r="G10" i="36"/>
  <c r="K10" i="36"/>
  <c r="L10" i="36"/>
  <c r="C10" i="36"/>
  <c r="D9" i="36"/>
  <c r="E9" i="36"/>
  <c r="F9" i="36"/>
  <c r="G9" i="36"/>
  <c r="H9" i="36"/>
  <c r="I9" i="36"/>
  <c r="J9" i="36"/>
  <c r="K9" i="36"/>
  <c r="L9" i="36"/>
  <c r="C9" i="36"/>
  <c r="D8" i="36"/>
  <c r="E8" i="36"/>
  <c r="F8" i="36"/>
  <c r="G8" i="36"/>
  <c r="H8" i="36"/>
  <c r="I8" i="36"/>
  <c r="J8" i="36"/>
  <c r="K8" i="36"/>
  <c r="L8" i="36"/>
  <c r="F5" i="36"/>
  <c r="G5" i="36"/>
  <c r="C5" i="36"/>
  <c r="O65" i="19"/>
  <c r="O66" i="19"/>
  <c r="O67" i="19"/>
  <c r="O64" i="19"/>
  <c r="R50" i="19"/>
  <c r="R51" i="19"/>
  <c r="R52" i="19"/>
  <c r="R49" i="19"/>
  <c r="AG26" i="29"/>
  <c r="AG27" i="29"/>
  <c r="AG25" i="29"/>
  <c r="AF26" i="29"/>
  <c r="AF27" i="29"/>
  <c r="AF25" i="29"/>
  <c r="AC26" i="29"/>
  <c r="AC27" i="29"/>
  <c r="AC25" i="29"/>
  <c r="AJ12" i="28"/>
  <c r="AJ13" i="28"/>
  <c r="AJ11" i="28"/>
  <c r="AI12" i="28"/>
  <c r="AI13" i="28"/>
  <c r="AI11" i="28"/>
  <c r="AG12" i="28"/>
  <c r="AG13" i="28"/>
  <c r="AG11" i="28"/>
  <c r="AF12" i="28"/>
  <c r="AF13" i="28"/>
  <c r="AF11" i="28"/>
  <c r="AE12" i="28"/>
  <c r="AE13" i="28"/>
  <c r="AE11" i="28"/>
  <c r="AJ17" i="30"/>
  <c r="AK17" i="30"/>
  <c r="AJ16" i="30"/>
  <c r="AK16" i="30"/>
  <c r="AJ15" i="30"/>
  <c r="AK15" i="30"/>
  <c r="AK12" i="30"/>
  <c r="AK13" i="30"/>
  <c r="AK11" i="30"/>
  <c r="AJ12" i="30"/>
  <c r="AJ13" i="30"/>
  <c r="AJ11" i="30"/>
  <c r="AG12" i="30"/>
  <c r="AG13" i="30"/>
  <c r="AG11" i="30"/>
  <c r="AE27" i="27"/>
  <c r="AE28" i="27"/>
  <c r="AE26" i="27"/>
  <c r="AD27" i="27"/>
  <c r="AD28" i="27"/>
  <c r="AD26" i="27"/>
  <c r="AC27" i="27"/>
  <c r="AC28" i="27"/>
  <c r="AC26" i="27"/>
  <c r="AB27" i="27"/>
  <c r="AB28" i="27"/>
  <c r="AB26" i="27"/>
  <c r="AA27" i="27"/>
  <c r="AA28" i="27"/>
  <c r="AA26" i="27"/>
  <c r="Z27" i="27"/>
  <c r="Z28" i="27"/>
  <c r="Z26" i="27"/>
  <c r="Y27" i="27"/>
  <c r="Y28" i="27"/>
  <c r="Y26" i="27"/>
  <c r="X27" i="27"/>
  <c r="X28" i="27"/>
  <c r="X26" i="27"/>
  <c r="W27" i="27"/>
  <c r="W28" i="27"/>
  <c r="W26" i="27"/>
  <c r="V27" i="27"/>
  <c r="V28" i="27"/>
  <c r="V26" i="27"/>
  <c r="N38" i="31"/>
  <c r="O38" i="31"/>
  <c r="P38" i="31"/>
  <c r="Q38" i="31"/>
  <c r="R41" i="31"/>
  <c r="R42" i="31"/>
  <c r="R43" i="31"/>
  <c r="R44" i="31"/>
  <c r="R45" i="31"/>
  <c r="R46" i="31"/>
  <c r="R47" i="31"/>
  <c r="R48" i="31"/>
  <c r="R49" i="31"/>
  <c r="R40" i="31"/>
  <c r="R34" i="31"/>
  <c r="R35" i="31"/>
  <c r="R36" i="31"/>
  <c r="R37" i="31"/>
  <c r="R33" i="31"/>
  <c r="R22" i="31"/>
  <c r="R17" i="31"/>
  <c r="R8" i="31"/>
  <c r="R9" i="31"/>
  <c r="R10" i="31"/>
  <c r="R11" i="31"/>
  <c r="R12" i="31"/>
  <c r="R13" i="31"/>
  <c r="R14" i="31"/>
  <c r="R15" i="31"/>
  <c r="R16" i="31"/>
  <c r="R18" i="31"/>
  <c r="R19" i="31"/>
  <c r="R20" i="31"/>
  <c r="R21" i="31"/>
  <c r="R23" i="31"/>
  <c r="R24" i="31"/>
  <c r="R25" i="31"/>
  <c r="R26" i="31"/>
  <c r="R27" i="31"/>
  <c r="R28" i="31"/>
  <c r="R29" i="31"/>
  <c r="R30" i="31"/>
  <c r="R31" i="31"/>
  <c r="R7" i="31"/>
  <c r="R29" i="28"/>
  <c r="R30" i="28"/>
  <c r="R31" i="28"/>
  <c r="R32" i="28"/>
  <c r="R33" i="28"/>
  <c r="R28" i="28"/>
  <c r="R24" i="28"/>
  <c r="AH12" i="28" s="1"/>
  <c r="R25" i="28"/>
  <c r="AH13" i="28" s="1"/>
  <c r="R23" i="28"/>
  <c r="AH11" i="28" s="1"/>
  <c r="R10" i="28"/>
  <c r="R11" i="28"/>
  <c r="R12" i="28"/>
  <c r="R13" i="28"/>
  <c r="R14" i="28"/>
  <c r="R15" i="28"/>
  <c r="R16" i="28"/>
  <c r="R17" i="28"/>
  <c r="R18" i="28"/>
  <c r="R19" i="28"/>
  <c r="R20" i="28"/>
  <c r="R21" i="28"/>
  <c r="R9" i="28"/>
  <c r="R8" i="28"/>
  <c r="R7" i="28"/>
  <c r="R29" i="30"/>
  <c r="AN12" i="30" s="1"/>
  <c r="R30" i="30"/>
  <c r="AN13" i="30" s="1"/>
  <c r="R31" i="30"/>
  <c r="AO11" i="30" s="1"/>
  <c r="R32" i="30"/>
  <c r="AO12" i="30" s="1"/>
  <c r="R33" i="30"/>
  <c r="AO13" i="30" s="1"/>
  <c r="R28" i="30"/>
  <c r="AN11" i="30" s="1"/>
  <c r="R24" i="30"/>
  <c r="AM12" i="30" s="1"/>
  <c r="R25" i="30"/>
  <c r="AM13" i="30" s="1"/>
  <c r="AM11" i="30"/>
  <c r="R10" i="30"/>
  <c r="AI11" i="30" s="1"/>
  <c r="R11" i="30"/>
  <c r="AI12" i="30" s="1"/>
  <c r="R12" i="30"/>
  <c r="AI13" i="30" s="1"/>
  <c r="R13" i="30"/>
  <c r="R14" i="30"/>
  <c r="R15" i="30"/>
  <c r="R16" i="30"/>
  <c r="R17" i="30"/>
  <c r="R18" i="30"/>
  <c r="R19" i="30"/>
  <c r="AL11" i="30" s="1"/>
  <c r="R20" i="30"/>
  <c r="AL12" i="30" s="1"/>
  <c r="R21" i="30"/>
  <c r="AL13" i="30" s="1"/>
  <c r="R9" i="30"/>
  <c r="R8" i="30"/>
  <c r="J31" i="27"/>
  <c r="J32" i="27"/>
  <c r="J33" i="27"/>
  <c r="J34" i="27"/>
  <c r="J35" i="27"/>
  <c r="J36" i="27"/>
  <c r="J37" i="27"/>
  <c r="J38" i="27"/>
  <c r="J30" i="27"/>
  <c r="J27" i="27"/>
  <c r="J28" i="27"/>
  <c r="J26" i="27"/>
  <c r="J10" i="27"/>
  <c r="J11" i="27"/>
  <c r="J12" i="27"/>
  <c r="J13" i="27"/>
  <c r="J14" i="27"/>
  <c r="J15" i="27"/>
  <c r="J16" i="27"/>
  <c r="J17" i="27"/>
  <c r="J18" i="27"/>
  <c r="J19" i="27"/>
  <c r="J20" i="27"/>
  <c r="J21" i="27"/>
  <c r="J22" i="27"/>
  <c r="J23" i="27"/>
  <c r="J24" i="27"/>
  <c r="J9" i="27"/>
  <c r="J8" i="27"/>
  <c r="J7" i="27"/>
  <c r="R33" i="33"/>
  <c r="R34" i="33"/>
  <c r="R35" i="33"/>
  <c r="R36" i="33"/>
  <c r="R37" i="33"/>
  <c r="R38" i="33"/>
  <c r="R39" i="33"/>
  <c r="R32" i="33"/>
  <c r="R29" i="33"/>
  <c r="R30" i="33"/>
  <c r="R31" i="33"/>
  <c r="R28" i="33"/>
  <c r="R11" i="33"/>
  <c r="R12" i="33"/>
  <c r="R13" i="33"/>
  <c r="R14" i="33"/>
  <c r="R15" i="33"/>
  <c r="R16" i="33"/>
  <c r="R17" i="33"/>
  <c r="R18" i="33"/>
  <c r="R19" i="33"/>
  <c r="R20" i="33"/>
  <c r="R21" i="33"/>
  <c r="R22" i="33"/>
  <c r="R23" i="33"/>
  <c r="R24" i="33"/>
  <c r="R25" i="33"/>
  <c r="R26" i="33"/>
  <c r="R10" i="33"/>
  <c r="R9" i="33"/>
  <c r="R8" i="33"/>
  <c r="R29" i="29"/>
  <c r="AJ26" i="29" s="1"/>
  <c r="R30" i="29"/>
  <c r="AJ27" i="29" s="1"/>
  <c r="R31" i="29"/>
  <c r="AK25" i="29" s="1"/>
  <c r="R32" i="29"/>
  <c r="AK26" i="29" s="1"/>
  <c r="R33" i="29"/>
  <c r="AK27" i="29" s="1"/>
  <c r="R28" i="29"/>
  <c r="AJ25" i="29" s="1"/>
  <c r="O26" i="29"/>
  <c r="P26" i="29"/>
  <c r="Q26" i="29"/>
  <c r="R26" i="29"/>
  <c r="R24" i="29"/>
  <c r="AI26" i="29" s="1"/>
  <c r="R25" i="29"/>
  <c r="AI27" i="29" s="1"/>
  <c r="R23" i="29"/>
  <c r="AI25" i="29" s="1"/>
  <c r="R10" i="29"/>
  <c r="AE25" i="29" s="1"/>
  <c r="R11" i="29"/>
  <c r="AE26" i="29" s="1"/>
  <c r="R12" i="29"/>
  <c r="AE27" i="29" s="1"/>
  <c r="R13" i="29"/>
  <c r="R14" i="29"/>
  <c r="R15" i="29"/>
  <c r="R16" i="29"/>
  <c r="R17" i="29"/>
  <c r="R18" i="29"/>
  <c r="R19" i="29"/>
  <c r="AH25" i="29" s="1"/>
  <c r="R20" i="29"/>
  <c r="AH26" i="29" s="1"/>
  <c r="R21" i="29"/>
  <c r="AH27" i="29" s="1"/>
  <c r="R9" i="29"/>
  <c r="R8" i="29"/>
  <c r="R7" i="29"/>
  <c r="J27" i="26"/>
  <c r="J28" i="26"/>
  <c r="J26" i="26"/>
  <c r="J31" i="26"/>
  <c r="J32" i="26"/>
  <c r="J33" i="26"/>
  <c r="J34" i="26"/>
  <c r="J35" i="26"/>
  <c r="J36" i="26"/>
  <c r="J37" i="26"/>
  <c r="J38" i="26"/>
  <c r="J30" i="26"/>
  <c r="J10" i="26"/>
  <c r="J11" i="26"/>
  <c r="J12" i="26"/>
  <c r="J13" i="26"/>
  <c r="J14" i="26"/>
  <c r="J15" i="26"/>
  <c r="J16" i="26"/>
  <c r="J17" i="26"/>
  <c r="J18" i="26"/>
  <c r="J19" i="26"/>
  <c r="J20" i="26"/>
  <c r="J21" i="26"/>
  <c r="J22" i="26"/>
  <c r="J23" i="26"/>
  <c r="J24" i="26"/>
  <c r="J9" i="26"/>
  <c r="J8" i="26"/>
  <c r="J7" i="26"/>
  <c r="R7" i="17"/>
  <c r="R8" i="17"/>
  <c r="R9" i="17"/>
  <c r="R10" i="17"/>
  <c r="R11" i="17"/>
  <c r="R12" i="17"/>
  <c r="R13" i="17"/>
  <c r="R14" i="17"/>
  <c r="R15" i="17"/>
  <c r="R16" i="17"/>
  <c r="R17" i="17"/>
  <c r="R18" i="17"/>
  <c r="R19" i="17"/>
  <c r="R20" i="17"/>
  <c r="R21" i="17"/>
  <c r="R22" i="17"/>
  <c r="R23" i="17"/>
  <c r="R24" i="17"/>
  <c r="R25" i="17"/>
  <c r="R26" i="17"/>
  <c r="R27" i="17"/>
  <c r="R28" i="17"/>
  <c r="R29" i="17"/>
  <c r="R30" i="17"/>
  <c r="P69" i="27"/>
  <c r="P70" i="27"/>
  <c r="P68" i="27"/>
  <c r="O69" i="27"/>
  <c r="O70" i="27"/>
  <c r="O68" i="27"/>
  <c r="N69" i="27"/>
  <c r="N70" i="27"/>
  <c r="N68" i="27"/>
  <c r="M69" i="27"/>
  <c r="M70" i="27"/>
  <c r="M68" i="27"/>
  <c r="L69" i="27"/>
  <c r="L70" i="27"/>
  <c r="L68" i="27"/>
  <c r="K69" i="27"/>
  <c r="K70" i="27"/>
  <c r="K68" i="27"/>
  <c r="J69" i="27"/>
  <c r="J70" i="27"/>
  <c r="J68" i="27"/>
  <c r="J72" i="27" s="1"/>
  <c r="H69" i="27"/>
  <c r="H70" i="27"/>
  <c r="H68" i="27"/>
  <c r="J49" i="19"/>
  <c r="L49" i="19"/>
  <c r="M49" i="19"/>
  <c r="N49" i="19"/>
  <c r="O49" i="19"/>
  <c r="P49" i="19"/>
  <c r="Q49" i="19"/>
  <c r="J50" i="19"/>
  <c r="L50" i="19"/>
  <c r="M50" i="19"/>
  <c r="N50" i="19"/>
  <c r="O50" i="19"/>
  <c r="P50" i="19"/>
  <c r="Q50" i="19"/>
  <c r="J51" i="19"/>
  <c r="L51" i="19"/>
  <c r="M51" i="19"/>
  <c r="N51" i="19"/>
  <c r="O51" i="19"/>
  <c r="P51" i="19"/>
  <c r="Q51" i="19"/>
  <c r="J52" i="19"/>
  <c r="L52" i="19"/>
  <c r="M52" i="19"/>
  <c r="N52" i="19"/>
  <c r="O52" i="19"/>
  <c r="P52" i="19"/>
  <c r="Q52" i="19"/>
  <c r="O67" i="33"/>
  <c r="O68" i="33"/>
  <c r="O69" i="33"/>
  <c r="O66" i="33"/>
  <c r="N67" i="33"/>
  <c r="N68" i="33"/>
  <c r="N69" i="33"/>
  <c r="N66" i="33"/>
  <c r="M67" i="33"/>
  <c r="M68" i="33"/>
  <c r="M69" i="33"/>
  <c r="M66" i="33"/>
  <c r="L67" i="33"/>
  <c r="L68" i="33"/>
  <c r="L69" i="33"/>
  <c r="L66" i="33"/>
  <c r="K67" i="33"/>
  <c r="K68" i="33"/>
  <c r="K69" i="33"/>
  <c r="K66" i="33"/>
  <c r="J67" i="33"/>
  <c r="J68" i="33"/>
  <c r="J69" i="33"/>
  <c r="J66" i="33"/>
  <c r="I67" i="33"/>
  <c r="I68" i="33"/>
  <c r="I69" i="33"/>
  <c r="I66" i="33"/>
  <c r="G67" i="33"/>
  <c r="G68" i="33"/>
  <c r="G69" i="33"/>
  <c r="G66" i="33"/>
  <c r="AK12" i="29"/>
  <c r="AK13" i="29"/>
  <c r="AK11" i="29"/>
  <c r="AJ12" i="29"/>
  <c r="AJ13" i="29"/>
  <c r="AJ11" i="29"/>
  <c r="AI12" i="29"/>
  <c r="AI13" i="29"/>
  <c r="AI11" i="29"/>
  <c r="AH12" i="29"/>
  <c r="AH13" i="29"/>
  <c r="AH11" i="29"/>
  <c r="AG13" i="29"/>
  <c r="AG12" i="29"/>
  <c r="AG11" i="29"/>
  <c r="AF13" i="29"/>
  <c r="AF12" i="29"/>
  <c r="AF11" i="29"/>
  <c r="AE12" i="29"/>
  <c r="AE13" i="29"/>
  <c r="AE11" i="29"/>
  <c r="AC12" i="29"/>
  <c r="AC11" i="29"/>
  <c r="N54" i="20"/>
  <c r="N55" i="20"/>
  <c r="M55" i="20"/>
  <c r="M56" i="20"/>
  <c r="N40" i="20"/>
  <c r="M42" i="20"/>
  <c r="R15" i="20"/>
  <c r="R16" i="20"/>
  <c r="T16" i="22"/>
  <c r="T17" i="22"/>
  <c r="T18" i="22"/>
  <c r="U16" i="22"/>
  <c r="V16" i="22"/>
  <c r="W16" i="22"/>
  <c r="X16" i="22"/>
  <c r="Y16" i="22"/>
  <c r="Z16" i="22"/>
  <c r="AA16" i="22"/>
  <c r="AB16" i="22"/>
  <c r="AC16" i="22"/>
  <c r="U17" i="22"/>
  <c r="V17" i="22"/>
  <c r="W17" i="22"/>
  <c r="X17" i="22"/>
  <c r="Y17" i="22"/>
  <c r="Z17" i="22"/>
  <c r="AA17" i="22"/>
  <c r="AB17" i="22"/>
  <c r="AC17" i="22"/>
  <c r="U18" i="22"/>
  <c r="V18" i="22"/>
  <c r="W18" i="22"/>
  <c r="X18" i="22"/>
  <c r="Y18" i="22"/>
  <c r="Z18" i="22"/>
  <c r="AA18" i="22"/>
  <c r="AB18" i="22"/>
  <c r="AC18" i="22"/>
  <c r="AC12" i="22"/>
  <c r="AC13" i="22"/>
  <c r="AC14" i="22"/>
  <c r="AB12" i="22"/>
  <c r="AB13" i="22"/>
  <c r="AB14" i="22"/>
  <c r="AA12" i="22"/>
  <c r="AA13" i="22"/>
  <c r="AA14" i="22"/>
  <c r="Z12" i="22"/>
  <c r="Z13" i="22"/>
  <c r="Z14" i="22"/>
  <c r="Y12" i="22"/>
  <c r="Y13" i="22"/>
  <c r="Y14" i="22"/>
  <c r="X12" i="22"/>
  <c r="X13" i="22"/>
  <c r="X14" i="22"/>
  <c r="W12" i="22"/>
  <c r="W13" i="22"/>
  <c r="W14" i="22"/>
  <c r="V12" i="22"/>
  <c r="V13" i="22"/>
  <c r="V14" i="22"/>
  <c r="U12" i="22"/>
  <c r="U13" i="22"/>
  <c r="U14" i="22"/>
  <c r="T12" i="22"/>
  <c r="T13" i="22"/>
  <c r="T14" i="22"/>
  <c r="AR66" i="31"/>
  <c r="AR67" i="31"/>
  <c r="AR68" i="31"/>
  <c r="AR69" i="31"/>
  <c r="AR65" i="31"/>
  <c r="AQ66" i="31"/>
  <c r="AQ67" i="31"/>
  <c r="AQ68" i="31"/>
  <c r="AQ69" i="31"/>
  <c r="AQ65" i="31"/>
  <c r="AP66" i="31"/>
  <c r="AP67" i="31"/>
  <c r="AP68" i="31"/>
  <c r="AP69" i="31"/>
  <c r="AP65" i="31"/>
  <c r="AO66" i="31"/>
  <c r="AO67" i="31"/>
  <c r="AO68" i="31"/>
  <c r="AO69" i="31"/>
  <c r="AO65" i="31"/>
  <c r="AN66" i="31"/>
  <c r="AN67" i="31"/>
  <c r="AN68" i="31"/>
  <c r="AN69" i="31"/>
  <c r="AN65" i="31"/>
  <c r="AL66" i="31"/>
  <c r="AL67" i="31"/>
  <c r="AL68" i="31"/>
  <c r="AL69" i="31"/>
  <c r="AL65" i="31"/>
  <c r="AJ66" i="31"/>
  <c r="AJ67" i="31"/>
  <c r="AJ68" i="31"/>
  <c r="AJ69" i="31"/>
  <c r="AM66" i="31"/>
  <c r="AM67" i="31"/>
  <c r="AM68" i="31"/>
  <c r="AM69" i="31"/>
  <c r="AM65" i="31"/>
  <c r="AE17" i="28"/>
  <c r="AF17" i="28"/>
  <c r="AG17" i="28"/>
  <c r="AH17" i="28"/>
  <c r="AI17" i="28"/>
  <c r="AJ17" i="28"/>
  <c r="AE16" i="28"/>
  <c r="AF16" i="28"/>
  <c r="AG16" i="28"/>
  <c r="AH16" i="28"/>
  <c r="AI16" i="28"/>
  <c r="AJ16" i="28"/>
  <c r="AE15" i="28"/>
  <c r="AF15" i="28"/>
  <c r="AG15" i="28"/>
  <c r="AH15" i="28"/>
  <c r="AI15" i="28"/>
  <c r="AJ15" i="28"/>
  <c r="AD12" i="28"/>
  <c r="AD13" i="28"/>
  <c r="AD11" i="28"/>
  <c r="AB13" i="28"/>
  <c r="AB11" i="28"/>
  <c r="AC16" i="32"/>
  <c r="R49" i="32"/>
  <c r="AJ11" i="32" s="1"/>
  <c r="O26" i="30"/>
  <c r="P26" i="30"/>
  <c r="Q26" i="30"/>
  <c r="R26" i="30" s="1"/>
  <c r="R10" i="14"/>
  <c r="AL12" i="24"/>
  <c r="AL13" i="24"/>
  <c r="AL14" i="24"/>
  <c r="AL11" i="24"/>
  <c r="AK12" i="24"/>
  <c r="AK13" i="24"/>
  <c r="AK14" i="24"/>
  <c r="AK11" i="24"/>
  <c r="AJ12" i="24"/>
  <c r="AJ13" i="24"/>
  <c r="AJ14" i="24"/>
  <c r="AJ11" i="24"/>
  <c r="AI12" i="24"/>
  <c r="AI13" i="24"/>
  <c r="AI14" i="24"/>
  <c r="AI11" i="24"/>
  <c r="AH12" i="24"/>
  <c r="AH13" i="24"/>
  <c r="AH14" i="24"/>
  <c r="AH11" i="24"/>
  <c r="AG12" i="24"/>
  <c r="AG13" i="24"/>
  <c r="AG14" i="24"/>
  <c r="AG11" i="24"/>
  <c r="AF12" i="24"/>
  <c r="AF13" i="24"/>
  <c r="AF14" i="24"/>
  <c r="AF11" i="24"/>
  <c r="AE12" i="24"/>
  <c r="AE13" i="24"/>
  <c r="AE14" i="24"/>
  <c r="AE11" i="24"/>
  <c r="AD12" i="24"/>
  <c r="AD13" i="24"/>
  <c r="AD14" i="24"/>
  <c r="AD11" i="24"/>
  <c r="AC13" i="24"/>
  <c r="AC14" i="24"/>
  <c r="AC11" i="24"/>
  <c r="R7" i="24"/>
  <c r="R8" i="24"/>
  <c r="AC12" i="24" s="1"/>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R37" i="24"/>
  <c r="R38" i="24"/>
  <c r="R39" i="24"/>
  <c r="R40" i="24"/>
  <c r="R41" i="24"/>
  <c r="R42" i="24"/>
  <c r="R43" i="24"/>
  <c r="R44" i="24"/>
  <c r="R45" i="24"/>
  <c r="R46" i="24"/>
  <c r="AH12" i="26"/>
  <c r="AH13" i="26"/>
  <c r="AH11" i="26"/>
  <c r="AG12" i="26"/>
  <c r="AG13" i="26"/>
  <c r="AG11" i="26"/>
  <c r="AF12" i="26"/>
  <c r="AF13" i="26"/>
  <c r="AF11" i="26"/>
  <c r="AE12" i="26"/>
  <c r="AE13" i="26"/>
  <c r="AE11" i="26"/>
  <c r="AD12" i="26"/>
  <c r="AD13" i="26"/>
  <c r="AD11" i="26"/>
  <c r="AC12" i="26"/>
  <c r="AC13" i="26"/>
  <c r="AC11" i="26"/>
  <c r="AB12" i="26"/>
  <c r="AB13" i="26"/>
  <c r="AB11" i="26"/>
  <c r="AA12" i="26"/>
  <c r="AA13" i="26"/>
  <c r="AA11" i="26"/>
  <c r="Z12" i="26"/>
  <c r="Z13" i="26"/>
  <c r="Z11" i="26"/>
  <c r="Y12" i="26"/>
  <c r="Y13" i="26"/>
  <c r="Y11" i="26"/>
  <c r="R8" i="32"/>
  <c r="AC12" i="32" s="1"/>
  <c r="R9" i="32"/>
  <c r="AC13" i="32" s="1"/>
  <c r="R10" i="32"/>
  <c r="AC14" i="32" s="1"/>
  <c r="R11" i="32"/>
  <c r="AC15" i="32" s="1"/>
  <c r="R12" i="32"/>
  <c r="R13" i="32"/>
  <c r="AC17" i="32" s="1"/>
  <c r="R14" i="32"/>
  <c r="AE11" i="32" s="1"/>
  <c r="R15" i="32"/>
  <c r="AE12" i="32" s="1"/>
  <c r="R16" i="32"/>
  <c r="AE13" i="32" s="1"/>
  <c r="R17" i="32"/>
  <c r="AE14" i="32" s="1"/>
  <c r="R18" i="32"/>
  <c r="AE15" i="32" s="1"/>
  <c r="R19" i="32"/>
  <c r="AE16" i="32" s="1"/>
  <c r="R20" i="32"/>
  <c r="AE17" i="32" s="1"/>
  <c r="R21" i="32"/>
  <c r="AF11" i="32" s="1"/>
  <c r="R22" i="32"/>
  <c r="AF12" i="32" s="1"/>
  <c r="R23" i="32"/>
  <c r="AF13" i="32" s="1"/>
  <c r="R24" i="32"/>
  <c r="AF14" i="32" s="1"/>
  <c r="R25" i="32"/>
  <c r="AF15" i="32" s="1"/>
  <c r="R26" i="32"/>
  <c r="AF16" i="32" s="1"/>
  <c r="R27" i="32"/>
  <c r="AF17" i="32" s="1"/>
  <c r="R28" i="32"/>
  <c r="AG11" i="32" s="1"/>
  <c r="R29" i="32"/>
  <c r="AG12" i="32" s="1"/>
  <c r="R30" i="32"/>
  <c r="AG13" i="32" s="1"/>
  <c r="R31" i="32"/>
  <c r="AG14" i="32" s="1"/>
  <c r="R32" i="32"/>
  <c r="AG15" i="32" s="1"/>
  <c r="R33" i="32"/>
  <c r="AG16" i="32" s="1"/>
  <c r="R34" i="32"/>
  <c r="AG17" i="32" s="1"/>
  <c r="R35" i="32"/>
  <c r="AH11" i="32" s="1"/>
  <c r="R36" i="32"/>
  <c r="AH12" i="32" s="1"/>
  <c r="R37" i="32"/>
  <c r="AH13" i="32" s="1"/>
  <c r="R38" i="32"/>
  <c r="AH14" i="32" s="1"/>
  <c r="R39" i="32"/>
  <c r="AH15" i="32" s="1"/>
  <c r="R40" i="32"/>
  <c r="AH16" i="32" s="1"/>
  <c r="R41" i="32"/>
  <c r="AH17" i="32" s="1"/>
  <c r="R42" i="32"/>
  <c r="AI11" i="32" s="1"/>
  <c r="R43" i="32"/>
  <c r="AI12" i="32" s="1"/>
  <c r="R44" i="32"/>
  <c r="AI13" i="32" s="1"/>
  <c r="R45" i="32"/>
  <c r="AI14" i="32" s="1"/>
  <c r="R46" i="32"/>
  <c r="AI15" i="32" s="1"/>
  <c r="R47" i="32"/>
  <c r="AI16" i="32" s="1"/>
  <c r="R48" i="32"/>
  <c r="AI17" i="32" s="1"/>
  <c r="R50" i="32"/>
  <c r="AJ12" i="32" s="1"/>
  <c r="R51" i="32"/>
  <c r="AJ13" i="32" s="1"/>
  <c r="R52" i="32"/>
  <c r="AJ14" i="32" s="1"/>
  <c r="R53" i="32"/>
  <c r="AJ15" i="32" s="1"/>
  <c r="R54" i="32"/>
  <c r="AJ16" i="32" s="1"/>
  <c r="R55" i="32"/>
  <c r="AJ17" i="32" s="1"/>
  <c r="R56" i="32"/>
  <c r="AK11" i="32" s="1"/>
  <c r="R57" i="32"/>
  <c r="AK12" i="32" s="1"/>
  <c r="R58" i="32"/>
  <c r="AK13" i="32" s="1"/>
  <c r="R59" i="32"/>
  <c r="AK14" i="32" s="1"/>
  <c r="R60" i="32"/>
  <c r="AK15" i="32" s="1"/>
  <c r="R61" i="32"/>
  <c r="AK16" i="32" s="1"/>
  <c r="R62" i="32"/>
  <c r="AK17" i="32" s="1"/>
  <c r="R7" i="32"/>
  <c r="AC11" i="32" s="1"/>
  <c r="AB12" i="21"/>
  <c r="AB13" i="21"/>
  <c r="AB11" i="21"/>
  <c r="AA12" i="21"/>
  <c r="AA13" i="21"/>
  <c r="AA11" i="21"/>
  <c r="Y12" i="21"/>
  <c r="Y13" i="21"/>
  <c r="Y11" i="21"/>
  <c r="Z12" i="21"/>
  <c r="Z13" i="21"/>
  <c r="Z11" i="21"/>
  <c r="X12" i="21"/>
  <c r="X13" i="21"/>
  <c r="X11" i="21"/>
  <c r="W12" i="21"/>
  <c r="W13" i="21"/>
  <c r="W11" i="21"/>
  <c r="V12" i="21"/>
  <c r="V13" i="21"/>
  <c r="V11" i="21"/>
  <c r="U12" i="21"/>
  <c r="U13" i="21"/>
  <c r="U11" i="21"/>
  <c r="T12" i="21"/>
  <c r="T13" i="21"/>
  <c r="T11" i="21"/>
  <c r="S12" i="21"/>
  <c r="S13" i="21"/>
  <c r="S11" i="21"/>
  <c r="U10" i="23"/>
  <c r="AD11" i="23"/>
  <c r="AD12" i="23"/>
  <c r="AD10" i="23"/>
  <c r="AC11" i="23"/>
  <c r="AC12" i="23"/>
  <c r="AC10" i="23"/>
  <c r="AA11" i="23"/>
  <c r="AA12" i="23"/>
  <c r="AA10" i="23"/>
  <c r="AB11" i="23"/>
  <c r="AB12" i="23"/>
  <c r="AB10" i="23"/>
  <c r="Z11" i="23"/>
  <c r="Z12" i="23"/>
  <c r="Z10" i="23"/>
  <c r="Y11" i="23"/>
  <c r="Y12" i="23"/>
  <c r="Y10" i="23"/>
  <c r="W11" i="23"/>
  <c r="W12" i="23"/>
  <c r="W10" i="23"/>
  <c r="V11" i="23"/>
  <c r="V12" i="23"/>
  <c r="V10" i="23"/>
  <c r="U11" i="23"/>
  <c r="U12" i="23"/>
  <c r="G26" i="30"/>
  <c r="H26" i="30"/>
  <c r="I26" i="30"/>
  <c r="J26" i="30"/>
  <c r="K26" i="30"/>
  <c r="L26" i="30"/>
  <c r="M26" i="30"/>
  <c r="N26" i="30"/>
  <c r="F26" i="30"/>
  <c r="N26" i="29"/>
  <c r="M26" i="29"/>
  <c r="L26" i="29"/>
  <c r="K26" i="29"/>
  <c r="J26" i="29"/>
  <c r="I26" i="29"/>
  <c r="H26" i="29"/>
  <c r="G26" i="29"/>
  <c r="R7" i="33"/>
  <c r="F26" i="28"/>
  <c r="G26" i="28"/>
  <c r="H26" i="28"/>
  <c r="I26" i="28"/>
  <c r="J26" i="28"/>
  <c r="K26" i="28"/>
  <c r="L26" i="28"/>
  <c r="M26" i="28"/>
  <c r="F38" i="31"/>
  <c r="G38" i="31"/>
  <c r="H38" i="31"/>
  <c r="I38" i="31"/>
  <c r="J38" i="31"/>
  <c r="K38" i="31"/>
  <c r="L38" i="31"/>
  <c r="M38" i="31"/>
  <c r="J34" i="7"/>
  <c r="R7" i="2"/>
  <c r="AA108" i="2" s="1"/>
  <c r="R23" i="14"/>
  <c r="R24" i="14"/>
  <c r="R25" i="14"/>
  <c r="R26" i="14"/>
  <c r="R27" i="14"/>
  <c r="R28" i="14"/>
  <c r="R29" i="14"/>
  <c r="R30" i="14"/>
  <c r="R31" i="14"/>
  <c r="R32" i="14"/>
  <c r="J47" i="7"/>
  <c r="L41" i="15"/>
  <c r="R25" i="8"/>
  <c r="J36" i="25"/>
  <c r="J35" i="25"/>
  <c r="J34" i="25"/>
  <c r="J33" i="25"/>
  <c r="J32" i="25"/>
  <c r="J31" i="25"/>
  <c r="J30" i="25"/>
  <c r="J29" i="25"/>
  <c r="J28" i="25"/>
  <c r="J27" i="25"/>
  <c r="J26" i="25"/>
  <c r="J24" i="25"/>
  <c r="X13" i="25" s="1"/>
  <c r="J23" i="25"/>
  <c r="X12" i="25" s="1"/>
  <c r="J22" i="25"/>
  <c r="X11" i="25" s="1"/>
  <c r="J21" i="25"/>
  <c r="J20" i="25"/>
  <c r="J19" i="25"/>
  <c r="J18" i="25"/>
  <c r="J17" i="25"/>
  <c r="J16" i="25"/>
  <c r="J15" i="25"/>
  <c r="J14" i="25"/>
  <c r="J13" i="25"/>
  <c r="J12" i="25"/>
  <c r="T13" i="25" s="1"/>
  <c r="J11" i="25"/>
  <c r="T12" i="25" s="1"/>
  <c r="J10" i="25"/>
  <c r="T11" i="25" s="1"/>
  <c r="J9" i="25"/>
  <c r="J8" i="25"/>
  <c r="J27" i="23"/>
  <c r="J26" i="23"/>
  <c r="J25" i="23"/>
  <c r="J35" i="23"/>
  <c r="J36" i="23"/>
  <c r="J34" i="23"/>
  <c r="J33" i="23"/>
  <c r="J32" i="23"/>
  <c r="J31" i="23"/>
  <c r="J29" i="23"/>
  <c r="J30" i="23"/>
  <c r="J28" i="23"/>
  <c r="J24" i="23"/>
  <c r="J23" i="23"/>
  <c r="J22" i="23"/>
  <c r="J21" i="23"/>
  <c r="J20" i="23"/>
  <c r="J19" i="23"/>
  <c r="J18" i="23"/>
  <c r="X12" i="23" s="1"/>
  <c r="J17" i="23"/>
  <c r="X11" i="23" s="1"/>
  <c r="J16" i="23"/>
  <c r="X10" i="23" s="1"/>
  <c r="J15" i="23"/>
  <c r="J14" i="23"/>
  <c r="J13" i="23"/>
  <c r="J12" i="23"/>
  <c r="J11" i="23"/>
  <c r="J8" i="23"/>
  <c r="J9" i="23"/>
  <c r="J34" i="22"/>
  <c r="J32" i="22"/>
  <c r="J33" i="22"/>
  <c r="J31" i="22"/>
  <c r="Z11" i="22" s="1"/>
  <c r="J46" i="22"/>
  <c r="J45" i="22"/>
  <c r="J43" i="22"/>
  <c r="AC11" i="22" s="1"/>
  <c r="J44" i="22"/>
  <c r="J42" i="22"/>
  <c r="J40" i="22"/>
  <c r="J41" i="22"/>
  <c r="J39" i="22"/>
  <c r="AB11" i="22" s="1"/>
  <c r="J38" i="22"/>
  <c r="J37" i="22"/>
  <c r="J36" i="22"/>
  <c r="J35" i="22"/>
  <c r="AA11" i="22" s="1"/>
  <c r="J30" i="22"/>
  <c r="J29" i="22"/>
  <c r="J28" i="22"/>
  <c r="J27" i="22"/>
  <c r="Y11" i="22" s="1"/>
  <c r="J26" i="22"/>
  <c r="J25" i="22"/>
  <c r="J24" i="22"/>
  <c r="J23" i="22"/>
  <c r="X11" i="22" s="1"/>
  <c r="J22" i="22"/>
  <c r="J21" i="22"/>
  <c r="J20" i="22"/>
  <c r="J19" i="22"/>
  <c r="W11" i="22" s="1"/>
  <c r="J18" i="22"/>
  <c r="J17" i="22"/>
  <c r="J16" i="22"/>
  <c r="J15" i="22"/>
  <c r="V11" i="22" s="1"/>
  <c r="J14" i="22"/>
  <c r="J12" i="22"/>
  <c r="J13" i="22"/>
  <c r="J11" i="22"/>
  <c r="U11" i="22" s="1"/>
  <c r="J10" i="22"/>
  <c r="J9" i="22"/>
  <c r="J8" i="22"/>
  <c r="J7" i="22"/>
  <c r="T11" i="22" s="1"/>
  <c r="J27" i="21"/>
  <c r="J26" i="21"/>
  <c r="J25" i="21"/>
  <c r="J36" i="21"/>
  <c r="J35" i="21"/>
  <c r="J34" i="21"/>
  <c r="J33" i="21"/>
  <c r="J32" i="21"/>
  <c r="J31" i="21"/>
  <c r="J30" i="21"/>
  <c r="J29" i="21"/>
  <c r="J28" i="21"/>
  <c r="J24" i="21"/>
  <c r="J23" i="21"/>
  <c r="J22" i="21"/>
  <c r="J21" i="21"/>
  <c r="J20" i="21"/>
  <c r="J19" i="21"/>
  <c r="J18" i="21"/>
  <c r="J17" i="21"/>
  <c r="J16" i="21"/>
  <c r="J15" i="21"/>
  <c r="J14" i="21"/>
  <c r="J13" i="21"/>
  <c r="J12" i="21"/>
  <c r="J11" i="21"/>
  <c r="J10" i="21"/>
  <c r="J9" i="21"/>
  <c r="J8" i="21"/>
  <c r="J7" i="21"/>
  <c r="R24" i="20"/>
  <c r="R22" i="20"/>
  <c r="R23" i="20"/>
  <c r="R30" i="20"/>
  <c r="R29" i="20"/>
  <c r="R28" i="20"/>
  <c r="R27" i="20"/>
  <c r="R26" i="20"/>
  <c r="R25" i="20"/>
  <c r="R21" i="20"/>
  <c r="R20" i="20"/>
  <c r="R19" i="20"/>
  <c r="R18" i="20"/>
  <c r="R17" i="20"/>
  <c r="R14" i="20"/>
  <c r="R13" i="20"/>
  <c r="R12" i="20"/>
  <c r="R11" i="20"/>
  <c r="R10" i="20"/>
  <c r="R9" i="20"/>
  <c r="R8" i="20"/>
  <c r="R7" i="20"/>
  <c r="R30" i="19"/>
  <c r="R29" i="19"/>
  <c r="R28" i="19"/>
  <c r="R27" i="19"/>
  <c r="R38" i="19"/>
  <c r="R37" i="19"/>
  <c r="R36" i="19"/>
  <c r="R35" i="19"/>
  <c r="R34" i="19"/>
  <c r="R33" i="19"/>
  <c r="R32" i="19"/>
  <c r="R31" i="19"/>
  <c r="R26" i="19"/>
  <c r="R25" i="19"/>
  <c r="R23" i="19"/>
  <c r="R24" i="19"/>
  <c r="R21" i="19"/>
  <c r="R22" i="19"/>
  <c r="R20" i="19"/>
  <c r="R18" i="19"/>
  <c r="R16" i="19"/>
  <c r="R19" i="19"/>
  <c r="R17" i="19"/>
  <c r="R15" i="19"/>
  <c r="R14" i="19"/>
  <c r="R13" i="19"/>
  <c r="R12" i="19"/>
  <c r="R11" i="19"/>
  <c r="R10" i="19"/>
  <c r="R9" i="19"/>
  <c r="R8" i="19"/>
  <c r="R7" i="19"/>
  <c r="R42" i="18"/>
  <c r="R41" i="18"/>
  <c r="R40" i="18"/>
  <c r="R39" i="18"/>
  <c r="R38" i="18"/>
  <c r="R37" i="18"/>
  <c r="R54" i="18"/>
  <c r="R53" i="18"/>
  <c r="R52" i="18"/>
  <c r="R51" i="18"/>
  <c r="R50" i="18"/>
  <c r="R49" i="18"/>
  <c r="R48" i="18"/>
  <c r="R47" i="18"/>
  <c r="R46" i="18"/>
  <c r="R45" i="18"/>
  <c r="R44" i="18"/>
  <c r="R43" i="18"/>
  <c r="R36" i="18"/>
  <c r="R35" i="18"/>
  <c r="R34" i="18"/>
  <c r="R33" i="18"/>
  <c r="R32" i="18"/>
  <c r="R31" i="18"/>
  <c r="R30" i="18"/>
  <c r="R29" i="18"/>
  <c r="R28" i="18"/>
  <c r="R27" i="18"/>
  <c r="R26" i="18"/>
  <c r="R25" i="18"/>
  <c r="R24" i="18"/>
  <c r="R23" i="18"/>
  <c r="R20" i="18"/>
  <c r="R21" i="18"/>
  <c r="R22" i="18"/>
  <c r="R19" i="18"/>
  <c r="R18" i="18"/>
  <c r="R17" i="18"/>
  <c r="R16" i="18"/>
  <c r="R15" i="18"/>
  <c r="R14" i="18"/>
  <c r="R13" i="18"/>
  <c r="R12" i="18"/>
  <c r="R11" i="18"/>
  <c r="R10" i="18"/>
  <c r="R9" i="18"/>
  <c r="R8" i="18"/>
  <c r="R7" i="18"/>
  <c r="R30" i="16"/>
  <c r="R29" i="16"/>
  <c r="R28" i="16"/>
  <c r="R27" i="16"/>
  <c r="R36" i="16"/>
  <c r="R38" i="16"/>
  <c r="R37" i="16"/>
  <c r="R35" i="16"/>
  <c r="R34" i="16"/>
  <c r="R33" i="16"/>
  <c r="R32" i="16"/>
  <c r="R31" i="16"/>
  <c r="R26" i="16"/>
  <c r="R24" i="16"/>
  <c r="R25" i="16"/>
  <c r="R23" i="16"/>
  <c r="R22" i="16"/>
  <c r="R21" i="16"/>
  <c r="R20" i="16"/>
  <c r="R19" i="16"/>
  <c r="R18" i="16"/>
  <c r="R17" i="16"/>
  <c r="R16" i="16"/>
  <c r="R15" i="16"/>
  <c r="R14" i="16"/>
  <c r="R13" i="16"/>
  <c r="R12" i="16"/>
  <c r="R11" i="16"/>
  <c r="R10" i="16"/>
  <c r="R9" i="16"/>
  <c r="R8" i="16"/>
  <c r="R7" i="16"/>
  <c r="R24" i="15"/>
  <c r="R23" i="15"/>
  <c r="R22" i="15"/>
  <c r="R30" i="15"/>
  <c r="R29" i="15"/>
  <c r="R28" i="15"/>
  <c r="R27" i="15"/>
  <c r="R26" i="15"/>
  <c r="R25" i="15"/>
  <c r="R21" i="15"/>
  <c r="R20" i="15"/>
  <c r="R19" i="15"/>
  <c r="R18" i="15"/>
  <c r="R17" i="15"/>
  <c r="R16" i="15"/>
  <c r="R15" i="15"/>
  <c r="R14" i="15"/>
  <c r="R13" i="15"/>
  <c r="R12" i="15"/>
  <c r="R11" i="15"/>
  <c r="R10" i="15"/>
  <c r="R9" i="15"/>
  <c r="R8" i="15"/>
  <c r="R7" i="15"/>
  <c r="R82" i="14"/>
  <c r="R86" i="14"/>
  <c r="R85" i="14"/>
  <c r="R84" i="14"/>
  <c r="R83" i="14"/>
  <c r="R81" i="14"/>
  <c r="R80" i="14"/>
  <c r="R79" i="14"/>
  <c r="R74" i="14"/>
  <c r="R72" i="14"/>
  <c r="R78" i="14"/>
  <c r="R77" i="14"/>
  <c r="R76" i="14"/>
  <c r="R75" i="14"/>
  <c r="R73" i="14"/>
  <c r="R71" i="14"/>
  <c r="R69" i="14"/>
  <c r="R70" i="14"/>
  <c r="R68" i="14"/>
  <c r="R67" i="14"/>
  <c r="R66" i="14"/>
  <c r="R65" i="14"/>
  <c r="R64" i="14"/>
  <c r="R63" i="14"/>
  <c r="R62" i="14"/>
  <c r="R61" i="14"/>
  <c r="R60" i="14"/>
  <c r="R59" i="14"/>
  <c r="R58" i="14"/>
  <c r="R57" i="14"/>
  <c r="R56" i="14"/>
  <c r="R55" i="14"/>
  <c r="R54" i="14"/>
  <c r="R53" i="14"/>
  <c r="R52" i="14"/>
  <c r="R51" i="14"/>
  <c r="R49" i="14"/>
  <c r="R50" i="14"/>
  <c r="R48" i="14"/>
  <c r="R47" i="14"/>
  <c r="R46" i="14"/>
  <c r="R45" i="14"/>
  <c r="R44" i="14"/>
  <c r="R43" i="14"/>
  <c r="R42" i="14"/>
  <c r="R41" i="14"/>
  <c r="R40" i="14"/>
  <c r="R39" i="14"/>
  <c r="R38" i="14"/>
  <c r="R37" i="14"/>
  <c r="R36" i="14"/>
  <c r="R35" i="14"/>
  <c r="R34" i="14"/>
  <c r="R33" i="14"/>
  <c r="R20" i="14"/>
  <c r="R22" i="14"/>
  <c r="R21" i="14"/>
  <c r="R19" i="14"/>
  <c r="R18" i="14"/>
  <c r="R17" i="14"/>
  <c r="R16" i="14"/>
  <c r="R15" i="14"/>
  <c r="R14" i="14"/>
  <c r="R13" i="14"/>
  <c r="R12" i="14"/>
  <c r="R11" i="14"/>
  <c r="R9" i="14"/>
  <c r="R8" i="14"/>
  <c r="R7" i="14"/>
  <c r="R27" i="12"/>
  <c r="R26" i="12"/>
  <c r="R25" i="12"/>
  <c r="R36" i="12"/>
  <c r="R35" i="12"/>
  <c r="R34" i="12"/>
  <c r="R33" i="12"/>
  <c r="R32" i="12"/>
  <c r="R31" i="12"/>
  <c r="R30" i="12"/>
  <c r="R29" i="12"/>
  <c r="R28" i="12"/>
  <c r="R24" i="12"/>
  <c r="R23" i="12"/>
  <c r="R22" i="12"/>
  <c r="R21" i="12"/>
  <c r="R20" i="12"/>
  <c r="R19" i="12"/>
  <c r="R18" i="12"/>
  <c r="R17" i="12"/>
  <c r="R16" i="12"/>
  <c r="R15" i="12"/>
  <c r="R14" i="12"/>
  <c r="R13" i="12"/>
  <c r="R12" i="12"/>
  <c r="R11" i="12"/>
  <c r="R10" i="12"/>
  <c r="R9" i="12"/>
  <c r="R8" i="12"/>
  <c r="R7" i="12"/>
  <c r="R27" i="11"/>
  <c r="R26" i="11"/>
  <c r="R25" i="11"/>
  <c r="R36" i="11"/>
  <c r="R35" i="11"/>
  <c r="R34" i="11"/>
  <c r="R33" i="11"/>
  <c r="R32" i="11"/>
  <c r="R31" i="11"/>
  <c r="R30" i="11"/>
  <c r="R29" i="11"/>
  <c r="R28" i="11"/>
  <c r="R24" i="11"/>
  <c r="R23" i="11"/>
  <c r="R22" i="11"/>
  <c r="R21" i="11"/>
  <c r="R20" i="11"/>
  <c r="R19" i="11"/>
  <c r="R18" i="11"/>
  <c r="R17" i="11"/>
  <c r="R16" i="11"/>
  <c r="R15" i="11"/>
  <c r="AF27" i="11" s="1"/>
  <c r="R14" i="11"/>
  <c r="AF26" i="11" s="1"/>
  <c r="R13" i="11"/>
  <c r="AF25" i="11" s="1"/>
  <c r="R12" i="11"/>
  <c r="AE27" i="11" s="1"/>
  <c r="R11" i="11"/>
  <c r="AE26" i="11" s="1"/>
  <c r="R10" i="11"/>
  <c r="AE25" i="11" s="1"/>
  <c r="R9" i="11"/>
  <c r="AD13" i="11" s="1"/>
  <c r="R8" i="11"/>
  <c r="AD12" i="11" s="1"/>
  <c r="R7" i="11"/>
  <c r="AD11" i="11" s="1"/>
  <c r="J27" i="10"/>
  <c r="J26" i="10"/>
  <c r="J25" i="10"/>
  <c r="J36" i="10"/>
  <c r="J35" i="10"/>
  <c r="J34" i="10"/>
  <c r="J33" i="10"/>
  <c r="J32" i="10"/>
  <c r="J31" i="10"/>
  <c r="J30" i="10"/>
  <c r="J29" i="10"/>
  <c r="J28" i="10"/>
  <c r="J24" i="10"/>
  <c r="J23" i="10"/>
  <c r="J22" i="10"/>
  <c r="J21" i="10"/>
  <c r="J20" i="10"/>
  <c r="J19" i="10"/>
  <c r="J18" i="10"/>
  <c r="J17" i="10"/>
  <c r="J16" i="10"/>
  <c r="J15" i="10"/>
  <c r="J14" i="10"/>
  <c r="J13" i="10"/>
  <c r="J12" i="10"/>
  <c r="J11" i="10"/>
  <c r="J10" i="10"/>
  <c r="J9" i="10"/>
  <c r="J8" i="10"/>
  <c r="J7" i="10"/>
  <c r="J41" i="9"/>
  <c r="J40" i="9"/>
  <c r="J39" i="9"/>
  <c r="J38" i="9"/>
  <c r="J37" i="9"/>
  <c r="J56" i="9"/>
  <c r="J55" i="9"/>
  <c r="J54" i="9"/>
  <c r="J53" i="9"/>
  <c r="J52" i="9"/>
  <c r="J51" i="9"/>
  <c r="J50" i="9"/>
  <c r="J49" i="9"/>
  <c r="J48" i="9"/>
  <c r="J47" i="9"/>
  <c r="J46" i="9"/>
  <c r="J45" i="9"/>
  <c r="J44" i="9"/>
  <c r="J43" i="9"/>
  <c r="J42" i="9"/>
  <c r="J36" i="9"/>
  <c r="J35" i="9"/>
  <c r="J34" i="9"/>
  <c r="J33" i="9"/>
  <c r="J32" i="9"/>
  <c r="J31" i="9"/>
  <c r="J29" i="9"/>
  <c r="J30" i="9"/>
  <c r="J28" i="9"/>
  <c r="J27" i="9"/>
  <c r="J26" i="9"/>
  <c r="J25" i="9"/>
  <c r="J24" i="9"/>
  <c r="J23" i="9"/>
  <c r="J22" i="9"/>
  <c r="J21" i="9"/>
  <c r="J20" i="9"/>
  <c r="J19" i="9"/>
  <c r="J18" i="9"/>
  <c r="J17" i="9"/>
  <c r="J16" i="9"/>
  <c r="J15" i="9"/>
  <c r="J14" i="9"/>
  <c r="J13" i="9"/>
  <c r="J12" i="9"/>
  <c r="J11" i="9"/>
  <c r="J10" i="9"/>
  <c r="J9" i="9"/>
  <c r="J8" i="9"/>
  <c r="J7" i="9"/>
  <c r="AG17" i="30" l="1"/>
  <c r="AG16" i="30"/>
  <c r="AG15" i="30"/>
  <c r="AO17" i="30"/>
  <c r="AO16" i="30"/>
  <c r="AO15" i="30"/>
  <c r="AN17" i="30"/>
  <c r="AN16" i="30"/>
  <c r="AN15" i="30"/>
  <c r="AL17" i="30"/>
  <c r="AL16" i="30"/>
  <c r="AL15" i="30"/>
  <c r="AI17" i="30"/>
  <c r="AI16" i="30"/>
  <c r="AI15" i="30"/>
  <c r="AM17" i="30"/>
  <c r="AM16" i="30"/>
  <c r="AM15" i="30"/>
  <c r="V32" i="27"/>
  <c r="V31" i="27"/>
  <c r="V30" i="27"/>
  <c r="W32" i="27"/>
  <c r="W31" i="27"/>
  <c r="W30" i="27"/>
  <c r="X32" i="27"/>
  <c r="X31" i="27"/>
  <c r="X30" i="27"/>
  <c r="Y32" i="27"/>
  <c r="Y31" i="27"/>
  <c r="Y30" i="27"/>
  <c r="Z32" i="27"/>
  <c r="Z31" i="27"/>
  <c r="Z30" i="27"/>
  <c r="AA32" i="27"/>
  <c r="AA31" i="27"/>
  <c r="AA30" i="27"/>
  <c r="AB32" i="27"/>
  <c r="AB31" i="27"/>
  <c r="AB30" i="27"/>
  <c r="AC32" i="27"/>
  <c r="AC31" i="27"/>
  <c r="AC30" i="27"/>
  <c r="AD32" i="27"/>
  <c r="AD31" i="27"/>
  <c r="AD30" i="27"/>
  <c r="AE32" i="27"/>
  <c r="AE31" i="27"/>
  <c r="AE30" i="27"/>
  <c r="AD17" i="28"/>
  <c r="AD16" i="28"/>
  <c r="AD15" i="28"/>
  <c r="AQ73" i="31"/>
  <c r="AQ72" i="31"/>
  <c r="AQ71" i="31"/>
  <c r="AR73" i="31"/>
  <c r="AR72" i="31"/>
  <c r="AR71" i="31"/>
  <c r="AM73" i="31"/>
  <c r="AM72" i="31"/>
  <c r="AM71" i="31"/>
  <c r="AL73" i="31"/>
  <c r="AL72" i="31"/>
  <c r="AL71" i="31"/>
  <c r="AN71" i="31"/>
  <c r="AN73" i="31"/>
  <c r="AN72" i="31"/>
  <c r="AP73" i="31"/>
  <c r="AP72" i="31"/>
  <c r="AP71" i="31"/>
  <c r="O73" i="33"/>
  <c r="O72" i="33"/>
  <c r="O71" i="33"/>
  <c r="N73" i="33"/>
  <c r="N72" i="33"/>
  <c r="N71" i="33"/>
  <c r="M73" i="33"/>
  <c r="M72" i="33"/>
  <c r="M71" i="33"/>
  <c r="I73" i="33"/>
  <c r="I72" i="33"/>
  <c r="I71" i="33"/>
  <c r="J73" i="33"/>
  <c r="J72" i="33"/>
  <c r="J71" i="33"/>
  <c r="K73" i="33"/>
  <c r="K72" i="33"/>
  <c r="K71" i="33"/>
  <c r="G73" i="33"/>
  <c r="G72" i="33"/>
  <c r="G71" i="33"/>
  <c r="P72" i="27"/>
  <c r="P73" i="27"/>
  <c r="P74" i="27"/>
  <c r="O72" i="27"/>
  <c r="O73" i="27"/>
  <c r="O74" i="27"/>
  <c r="N72" i="27"/>
  <c r="N73" i="27"/>
  <c r="N74" i="27"/>
  <c r="M72" i="27"/>
  <c r="M73" i="27"/>
  <c r="M74" i="27"/>
  <c r="L72" i="27"/>
  <c r="L73" i="27"/>
  <c r="L74" i="27"/>
  <c r="K72" i="27"/>
  <c r="K73" i="27"/>
  <c r="K74" i="27"/>
  <c r="J73" i="27"/>
  <c r="J74" i="27"/>
  <c r="H72" i="27"/>
  <c r="H73" i="27"/>
  <c r="H74" i="27"/>
  <c r="R54" i="19"/>
  <c r="R55" i="19"/>
  <c r="R56" i="19"/>
  <c r="Q54" i="19"/>
  <c r="Q55" i="19"/>
  <c r="Q56" i="19"/>
  <c r="P54" i="19"/>
  <c r="P55" i="19"/>
  <c r="P56" i="19"/>
  <c r="O54" i="19"/>
  <c r="O55" i="19"/>
  <c r="O56" i="19"/>
  <c r="N54" i="19"/>
  <c r="N55" i="19"/>
  <c r="N56" i="19"/>
  <c r="M54" i="19"/>
  <c r="M55" i="19"/>
  <c r="M56" i="19"/>
  <c r="L54" i="19"/>
  <c r="L55" i="19"/>
  <c r="L56" i="19"/>
  <c r="J54" i="19"/>
  <c r="J55" i="19"/>
  <c r="J56" i="19"/>
  <c r="L71" i="33"/>
  <c r="L72" i="33"/>
  <c r="L73" i="33"/>
  <c r="AK15" i="29"/>
  <c r="AK16" i="29"/>
  <c r="AK17" i="29"/>
  <c r="AJ15" i="29"/>
  <c r="AJ16" i="29"/>
  <c r="AJ17" i="29"/>
  <c r="AI15" i="29"/>
  <c r="AI16" i="29"/>
  <c r="AI17" i="29"/>
  <c r="AH15" i="29"/>
  <c r="AH16" i="29"/>
  <c r="AH17" i="29"/>
  <c r="AG15" i="29"/>
  <c r="AG16" i="29"/>
  <c r="AG17" i="29"/>
  <c r="AF15" i="29"/>
  <c r="AF16" i="29"/>
  <c r="AF17" i="29"/>
  <c r="AE15" i="29"/>
  <c r="AE16" i="29"/>
  <c r="AE17" i="29"/>
  <c r="AK29" i="29"/>
  <c r="AK30" i="29"/>
  <c r="AK31" i="29"/>
  <c r="AJ29" i="29"/>
  <c r="AJ30" i="29"/>
  <c r="AJ31" i="29"/>
  <c r="AI29" i="29"/>
  <c r="AI30" i="29"/>
  <c r="AI31" i="29"/>
  <c r="AH29" i="29"/>
  <c r="AH30" i="29"/>
  <c r="AH31" i="29"/>
  <c r="AG29" i="29"/>
  <c r="AG30" i="29"/>
  <c r="AG31" i="29"/>
  <c r="AF29" i="29"/>
  <c r="AF30" i="29"/>
  <c r="AF31" i="29"/>
  <c r="AE29" i="29"/>
  <c r="AE30" i="29"/>
  <c r="AE31" i="29"/>
  <c r="AC29" i="29"/>
  <c r="AC30" i="29"/>
  <c r="AC31" i="29"/>
  <c r="AO71" i="31"/>
  <c r="AO72" i="31"/>
  <c r="AO73" i="31"/>
  <c r="AC21" i="32"/>
  <c r="AC20" i="32"/>
  <c r="AC19" i="32"/>
  <c r="AE21" i="32"/>
  <c r="AE20" i="32"/>
  <c r="AE19" i="32"/>
  <c r="AF21" i="32"/>
  <c r="AF20" i="32"/>
  <c r="AF19" i="32"/>
  <c r="AG21" i="32"/>
  <c r="AG20" i="32"/>
  <c r="AG19" i="32"/>
  <c r="AH21" i="32"/>
  <c r="AH20" i="32"/>
  <c r="AH19" i="32"/>
  <c r="AI21" i="32"/>
  <c r="AI20" i="32"/>
  <c r="AI19" i="32"/>
  <c r="AJ21" i="32"/>
  <c r="AJ20" i="32"/>
  <c r="AJ19" i="32"/>
  <c r="AK21" i="32"/>
  <c r="AK20" i="32"/>
  <c r="AK19" i="32"/>
  <c r="AC18" i="24"/>
  <c r="AC17" i="24"/>
  <c r="AC16" i="24"/>
  <c r="C13" i="36" s="1"/>
  <c r="AD18" i="24"/>
  <c r="AD17" i="24"/>
  <c r="AD16" i="24"/>
  <c r="AE18" i="24"/>
  <c r="AE17" i="24"/>
  <c r="AE16" i="24"/>
  <c r="AF18" i="24"/>
  <c r="AF17" i="24"/>
  <c r="AF16" i="24"/>
  <c r="AG18" i="24"/>
  <c r="AG17" i="24"/>
  <c r="AG16" i="24"/>
  <c r="AH18" i="24"/>
  <c r="AH17" i="24"/>
  <c r="AH16" i="24"/>
  <c r="AI18" i="24"/>
  <c r="AI17" i="24"/>
  <c r="AI16" i="24"/>
  <c r="AJ18" i="24"/>
  <c r="AJ17" i="24"/>
  <c r="AJ16" i="24"/>
  <c r="AK18" i="24"/>
  <c r="AK17" i="24"/>
  <c r="AK16" i="24"/>
  <c r="AL18" i="24"/>
  <c r="AL17" i="24"/>
  <c r="AL16" i="24"/>
  <c r="Y17" i="26"/>
  <c r="Y16" i="26"/>
  <c r="Y15" i="26"/>
  <c r="Z17" i="26"/>
  <c r="Z16" i="26"/>
  <c r="Z15" i="26"/>
  <c r="AA17" i="26"/>
  <c r="AA16" i="26"/>
  <c r="AA15" i="26"/>
  <c r="AB17" i="26"/>
  <c r="AB16" i="26"/>
  <c r="AB15" i="26"/>
  <c r="AC17" i="26"/>
  <c r="AC16" i="26"/>
  <c r="AC15" i="26"/>
  <c r="AD17" i="26"/>
  <c r="AD16" i="26"/>
  <c r="AD15" i="26"/>
  <c r="AE17" i="26"/>
  <c r="AE16" i="26"/>
  <c r="AE15" i="26"/>
  <c r="AF17" i="26"/>
  <c r="AF16" i="26"/>
  <c r="AF15" i="26"/>
  <c r="AG17" i="26"/>
  <c r="AG16" i="26"/>
  <c r="AG15" i="26"/>
  <c r="AH17" i="26"/>
  <c r="AH16" i="26"/>
  <c r="AH15" i="26"/>
  <c r="S17" i="21"/>
  <c r="S16" i="21"/>
  <c r="S15" i="21"/>
  <c r="T17" i="21"/>
  <c r="T16" i="21"/>
  <c r="T15" i="21"/>
  <c r="U17" i="21"/>
  <c r="U16" i="21"/>
  <c r="U15" i="21"/>
  <c r="V17" i="21"/>
  <c r="V16" i="21"/>
  <c r="V15" i="21"/>
  <c r="W17" i="21"/>
  <c r="W16" i="21"/>
  <c r="W15" i="21"/>
  <c r="X17" i="21"/>
  <c r="X16" i="21"/>
  <c r="X15" i="21"/>
  <c r="Y17" i="21"/>
  <c r="Y16" i="21"/>
  <c r="Y15" i="21"/>
  <c r="Z17" i="21"/>
  <c r="Z16" i="21"/>
  <c r="Z15" i="21"/>
  <c r="AA17" i="21"/>
  <c r="AA16" i="21"/>
  <c r="AA15" i="21"/>
  <c r="AB17" i="21"/>
  <c r="AB16" i="21"/>
  <c r="AB15" i="21"/>
  <c r="U16" i="23"/>
  <c r="U15" i="23"/>
  <c r="U14" i="23"/>
  <c r="V16" i="23"/>
  <c r="V15" i="23"/>
  <c r="V14" i="23"/>
  <c r="W16" i="23"/>
  <c r="W15" i="23"/>
  <c r="W14" i="23"/>
  <c r="X16" i="23"/>
  <c r="X15" i="23"/>
  <c r="X14" i="23"/>
  <c r="Y16" i="23"/>
  <c r="Y15" i="23"/>
  <c r="Y14" i="23"/>
  <c r="Z16" i="23"/>
  <c r="Z15" i="23"/>
  <c r="Z14" i="23"/>
  <c r="AA16" i="23"/>
  <c r="AA15" i="23"/>
  <c r="AB16" i="23"/>
  <c r="AB15" i="23"/>
  <c r="AB14" i="23"/>
  <c r="AC16" i="23"/>
  <c r="AC15" i="23"/>
  <c r="AC14" i="23"/>
  <c r="AD16" i="23"/>
  <c r="AD15" i="23"/>
  <c r="AD14" i="23"/>
  <c r="S25" i="25"/>
  <c r="S11" i="25"/>
  <c r="S26" i="25"/>
  <c r="S12" i="25"/>
  <c r="S27" i="25"/>
  <c r="S13" i="25"/>
  <c r="V25" i="25"/>
  <c r="V11" i="25"/>
  <c r="V26" i="25"/>
  <c r="V12" i="25"/>
  <c r="V27" i="25"/>
  <c r="V13" i="25"/>
  <c r="W25" i="25"/>
  <c r="W11" i="25"/>
  <c r="W26" i="25"/>
  <c r="W12" i="25"/>
  <c r="W27" i="25"/>
  <c r="W13" i="25"/>
  <c r="Y25" i="25"/>
  <c r="Y11" i="25"/>
  <c r="Y26" i="25"/>
  <c r="Y12" i="25"/>
  <c r="Y27" i="25"/>
  <c r="Y13" i="25"/>
  <c r="AB27" i="25"/>
  <c r="X27" i="25"/>
  <c r="AB13" i="25"/>
  <c r="AB26" i="25"/>
  <c r="X26" i="25"/>
  <c r="AB12" i="25"/>
  <c r="AB25" i="25"/>
  <c r="X25" i="25"/>
  <c r="AB11" i="25"/>
  <c r="AA27" i="25"/>
  <c r="AA13" i="25"/>
  <c r="AA26" i="25"/>
  <c r="AA12" i="25"/>
  <c r="AA25" i="25"/>
  <c r="AA11" i="25"/>
  <c r="Z27" i="25"/>
  <c r="Z13" i="25"/>
  <c r="Z26" i="25"/>
  <c r="Z12" i="25"/>
  <c r="Z25" i="25"/>
  <c r="Z11" i="25"/>
  <c r="U27" i="25"/>
  <c r="U13" i="25"/>
  <c r="U26" i="25"/>
  <c r="U12" i="25"/>
  <c r="U25" i="25"/>
  <c r="U11" i="25"/>
  <c r="S17" i="25"/>
  <c r="S16" i="25"/>
  <c r="S15" i="25"/>
  <c r="T17" i="25"/>
  <c r="T16" i="25"/>
  <c r="T15" i="25"/>
  <c r="U17" i="25"/>
  <c r="U16" i="25"/>
  <c r="U15" i="25"/>
  <c r="V17" i="25"/>
  <c r="V16" i="25"/>
  <c r="V15" i="25"/>
  <c r="W17" i="25"/>
  <c r="W16" i="25"/>
  <c r="W15" i="25"/>
  <c r="X17" i="25"/>
  <c r="X16" i="25"/>
  <c r="X15" i="25"/>
  <c r="Y17" i="25"/>
  <c r="Y16" i="25"/>
  <c r="Y15" i="25"/>
  <c r="Z17" i="25"/>
  <c r="Z16" i="25"/>
  <c r="Z15" i="25"/>
  <c r="AA17" i="25"/>
  <c r="AA16" i="25"/>
  <c r="AA15" i="25"/>
  <c r="AB17" i="25"/>
  <c r="AB16" i="25"/>
  <c r="AB15" i="25"/>
  <c r="S31" i="25"/>
  <c r="S30" i="25"/>
  <c r="S29" i="25"/>
  <c r="C14" i="36" s="1"/>
  <c r="T31" i="25"/>
  <c r="T30" i="25"/>
  <c r="T29" i="25"/>
  <c r="D14" i="36" s="1"/>
  <c r="U31" i="25"/>
  <c r="U30" i="25"/>
  <c r="U29" i="25"/>
  <c r="V31" i="25"/>
  <c r="V30" i="25"/>
  <c r="V29" i="25"/>
  <c r="W31" i="25"/>
  <c r="W30" i="25"/>
  <c r="W29" i="25"/>
  <c r="X31" i="25"/>
  <c r="X30" i="25"/>
  <c r="X29" i="25"/>
  <c r="Y31" i="25"/>
  <c r="Y30" i="25"/>
  <c r="Y29" i="25"/>
  <c r="I14" i="36" s="1"/>
  <c r="Z31" i="25"/>
  <c r="Z30" i="25"/>
  <c r="Z29" i="25"/>
  <c r="AA31" i="25"/>
  <c r="AA30" i="25"/>
  <c r="AA29" i="25"/>
  <c r="AB31" i="25"/>
  <c r="AB30" i="25"/>
  <c r="AB29" i="25"/>
  <c r="AJ36" i="14"/>
  <c r="R56" i="8"/>
  <c r="R55" i="8"/>
  <c r="AL30" i="8" s="1"/>
  <c r="R54" i="8"/>
  <c r="R53" i="8"/>
  <c r="R52" i="8"/>
  <c r="R51" i="8"/>
  <c r="R50" i="8"/>
  <c r="R49" i="8"/>
  <c r="AK29" i="8" s="1"/>
  <c r="R48" i="8"/>
  <c r="R47" i="8"/>
  <c r="R46" i="8"/>
  <c r="R45" i="8"/>
  <c r="AJ30" i="8" s="1"/>
  <c r="R44" i="8"/>
  <c r="R43" i="8"/>
  <c r="AJ28" i="8" s="1"/>
  <c r="R42" i="8"/>
  <c r="R41" i="8"/>
  <c r="R40" i="8"/>
  <c r="R39" i="8"/>
  <c r="R38" i="8"/>
  <c r="R37" i="8"/>
  <c r="R36" i="8"/>
  <c r="R35" i="8"/>
  <c r="AH30" i="8" s="1"/>
  <c r="R34" i="8"/>
  <c r="R33" i="8"/>
  <c r="R32" i="8"/>
  <c r="R31" i="8"/>
  <c r="R30" i="8"/>
  <c r="R29" i="8"/>
  <c r="R28" i="8"/>
  <c r="AG28" i="8" s="1"/>
  <c r="R27" i="8"/>
  <c r="R26" i="8"/>
  <c r="AF30" i="8"/>
  <c r="R24" i="8"/>
  <c r="R23" i="8"/>
  <c r="AF28" i="8" s="1"/>
  <c r="R22" i="8"/>
  <c r="R21" i="8"/>
  <c r="R20" i="8"/>
  <c r="R19" i="8"/>
  <c r="R18" i="8"/>
  <c r="R17" i="8"/>
  <c r="R16" i="8"/>
  <c r="AD31" i="8" s="1"/>
  <c r="R15" i="8"/>
  <c r="R14" i="8"/>
  <c r="R13" i="8"/>
  <c r="AD28" i="8" s="1"/>
  <c r="R12" i="8"/>
  <c r="AC31" i="8"/>
  <c r="R10" i="8"/>
  <c r="R9" i="8"/>
  <c r="R8" i="8"/>
  <c r="R7" i="8"/>
  <c r="J27" i="7"/>
  <c r="J26" i="7"/>
  <c r="J25" i="7"/>
  <c r="J36" i="7"/>
  <c r="J35" i="7"/>
  <c r="J33" i="7"/>
  <c r="J32" i="7"/>
  <c r="J31" i="7"/>
  <c r="J30" i="7"/>
  <c r="J29" i="7"/>
  <c r="Q61" i="7" s="1"/>
  <c r="J28" i="7"/>
  <c r="Q60" i="7" s="1"/>
  <c r="J24" i="7"/>
  <c r="J23" i="7"/>
  <c r="J22" i="7"/>
  <c r="J21" i="7"/>
  <c r="J20" i="7"/>
  <c r="J19" i="7"/>
  <c r="J18" i="7"/>
  <c r="J17" i="7"/>
  <c r="J16" i="7"/>
  <c r="J15" i="7"/>
  <c r="L62" i="7" s="1"/>
  <c r="J14" i="7"/>
  <c r="L61" i="7" s="1"/>
  <c r="J13" i="7"/>
  <c r="L60" i="7" s="1"/>
  <c r="J12" i="7"/>
  <c r="J11" i="7"/>
  <c r="J10" i="7"/>
  <c r="J9" i="7"/>
  <c r="J8" i="7"/>
  <c r="J7" i="7"/>
  <c r="R27" i="6"/>
  <c r="P62" i="6" s="1"/>
  <c r="R26" i="6"/>
  <c r="P61" i="6" s="1"/>
  <c r="R25" i="6"/>
  <c r="P60" i="6" s="1"/>
  <c r="R36" i="6"/>
  <c r="R35" i="6"/>
  <c r="S61" i="6" s="1"/>
  <c r="R34" i="6"/>
  <c r="S60" i="6" s="1"/>
  <c r="R33" i="6"/>
  <c r="R32" i="6"/>
  <c r="R31" i="6"/>
  <c r="R30" i="6"/>
  <c r="R29" i="6"/>
  <c r="R28" i="6"/>
  <c r="Q60" i="6" s="1"/>
  <c r="R24" i="6"/>
  <c r="R23" i="6"/>
  <c r="O61" i="6" s="1"/>
  <c r="R22" i="6"/>
  <c r="R21" i="6"/>
  <c r="R20" i="6"/>
  <c r="R19" i="6"/>
  <c r="R18" i="6"/>
  <c r="R17" i="6"/>
  <c r="M61" i="6" s="1"/>
  <c r="R16" i="6"/>
  <c r="R15" i="6"/>
  <c r="R14" i="6"/>
  <c r="R13" i="6"/>
  <c r="R12" i="6"/>
  <c r="R11" i="6"/>
  <c r="R9" i="6"/>
  <c r="R10" i="6"/>
  <c r="R8" i="6"/>
  <c r="R7" i="6"/>
  <c r="J27" i="5"/>
  <c r="J26" i="5"/>
  <c r="J25" i="5"/>
  <c r="J36" i="5"/>
  <c r="J35" i="5"/>
  <c r="J34" i="5"/>
  <c r="AG26" i="5" s="1"/>
  <c r="J33" i="5"/>
  <c r="AF28" i="5" s="1"/>
  <c r="J32" i="5"/>
  <c r="J31" i="5"/>
  <c r="J30" i="5"/>
  <c r="J29" i="5"/>
  <c r="J28" i="5"/>
  <c r="AE26" i="5" s="1"/>
  <c r="J24" i="5"/>
  <c r="J23" i="5"/>
  <c r="J22" i="5"/>
  <c r="J21" i="5"/>
  <c r="J20" i="5"/>
  <c r="J19" i="5"/>
  <c r="J18" i="5"/>
  <c r="J17" i="5"/>
  <c r="AA27" i="5" s="1"/>
  <c r="J16" i="5"/>
  <c r="J15" i="5"/>
  <c r="Z28" i="5" s="1"/>
  <c r="J14" i="5"/>
  <c r="J13" i="5"/>
  <c r="J12" i="5"/>
  <c r="J11" i="5"/>
  <c r="J10" i="5"/>
  <c r="J9" i="5"/>
  <c r="J8" i="5"/>
  <c r="J7" i="5"/>
  <c r="X26" i="5" s="1"/>
  <c r="R27" i="4"/>
  <c r="R26" i="4"/>
  <c r="R25" i="4"/>
  <c r="R36" i="4"/>
  <c r="R35" i="4"/>
  <c r="R34" i="4"/>
  <c r="AL25" i="4" s="1"/>
  <c r="R33" i="4"/>
  <c r="R32" i="4"/>
  <c r="R31" i="4"/>
  <c r="R30" i="4"/>
  <c r="R29" i="4"/>
  <c r="AJ26" i="4" s="1"/>
  <c r="R28" i="4"/>
  <c r="AJ25" i="4" s="1"/>
  <c r="R24" i="4"/>
  <c r="R23" i="4"/>
  <c r="AH26" i="4" s="1"/>
  <c r="R22" i="4"/>
  <c r="R21" i="4"/>
  <c r="R20" i="4"/>
  <c r="R19" i="4"/>
  <c r="R18" i="4"/>
  <c r="R17" i="4"/>
  <c r="AF26" i="4" s="1"/>
  <c r="R16" i="4"/>
  <c r="R15" i="4"/>
  <c r="R14" i="4"/>
  <c r="AE26" i="4" s="1"/>
  <c r="R13" i="4"/>
  <c r="AE25" i="4" s="1"/>
  <c r="R12" i="4"/>
  <c r="R11" i="4"/>
  <c r="AD26" i="4" s="1"/>
  <c r="R10" i="4"/>
  <c r="R9" i="4"/>
  <c r="R8" i="4"/>
  <c r="R7" i="4"/>
  <c r="R8" i="3"/>
  <c r="R19" i="3"/>
  <c r="R27" i="3"/>
  <c r="R26" i="3"/>
  <c r="R25" i="3"/>
  <c r="R39" i="3"/>
  <c r="R38" i="3"/>
  <c r="R37" i="3"/>
  <c r="R36" i="3"/>
  <c r="R35" i="3"/>
  <c r="R34" i="3"/>
  <c r="R33" i="3"/>
  <c r="AK27" i="3" s="1"/>
  <c r="R32" i="3"/>
  <c r="R31" i="3"/>
  <c r="R30" i="3"/>
  <c r="R29" i="3"/>
  <c r="R28" i="3"/>
  <c r="AJ25" i="3" s="1"/>
  <c r="R24" i="3"/>
  <c r="R23" i="3"/>
  <c r="R22" i="3"/>
  <c r="AH25" i="3" s="1"/>
  <c r="R21" i="3"/>
  <c r="AG27" i="3" s="1"/>
  <c r="R20" i="3"/>
  <c r="R18" i="3"/>
  <c r="R17" i="3"/>
  <c r="R16" i="3"/>
  <c r="AF25" i="3" s="1"/>
  <c r="R15" i="3"/>
  <c r="R14" i="3"/>
  <c r="R13" i="3"/>
  <c r="R12" i="3"/>
  <c r="R11" i="3"/>
  <c r="R10" i="3"/>
  <c r="AD25" i="3" s="1"/>
  <c r="R9" i="3"/>
  <c r="AC27" i="3" s="1"/>
  <c r="R7" i="3"/>
  <c r="AC25" i="3" s="1"/>
  <c r="R41" i="2"/>
  <c r="AG112" i="2" s="1"/>
  <c r="R39" i="2"/>
  <c r="AG110" i="2" s="1"/>
  <c r="R40" i="2"/>
  <c r="AG111" i="2" s="1"/>
  <c r="R38" i="2"/>
  <c r="AG109" i="2" s="1"/>
  <c r="R37" i="2"/>
  <c r="AG108" i="2" s="1"/>
  <c r="R61" i="2"/>
  <c r="R60" i="2"/>
  <c r="R59" i="2"/>
  <c r="R58" i="2"/>
  <c r="R57" i="2"/>
  <c r="R56" i="2"/>
  <c r="AJ112" i="2" s="1"/>
  <c r="R55" i="2"/>
  <c r="AJ111" i="2" s="1"/>
  <c r="R54" i="2"/>
  <c r="AJ110" i="2" s="1"/>
  <c r="R53" i="2"/>
  <c r="AJ109" i="2" s="1"/>
  <c r="R52" i="2"/>
  <c r="AJ108" i="2" s="1"/>
  <c r="R51" i="2"/>
  <c r="AI112" i="2" s="1"/>
  <c r="R50" i="2"/>
  <c r="AI111" i="2" s="1"/>
  <c r="R49" i="2"/>
  <c r="AI110" i="2" s="1"/>
  <c r="R48" i="2"/>
  <c r="AI109" i="2" s="1"/>
  <c r="R47" i="2"/>
  <c r="AI108" i="2" s="1"/>
  <c r="R46" i="2"/>
  <c r="AH112" i="2" s="1"/>
  <c r="R45" i="2"/>
  <c r="AH111" i="2" s="1"/>
  <c r="R44" i="2"/>
  <c r="AH110" i="2" s="1"/>
  <c r="R43" i="2"/>
  <c r="AH109" i="2" s="1"/>
  <c r="R42" i="2"/>
  <c r="AH108" i="2" s="1"/>
  <c r="R36" i="2"/>
  <c r="AF112" i="2" s="1"/>
  <c r="R35" i="2"/>
  <c r="AF111" i="2" s="1"/>
  <c r="R34" i="2"/>
  <c r="AF110" i="2" s="1"/>
  <c r="R33" i="2"/>
  <c r="AF109" i="2" s="1"/>
  <c r="R32" i="2"/>
  <c r="AF108" i="2" s="1"/>
  <c r="R30" i="2"/>
  <c r="AE111" i="2" s="1"/>
  <c r="R31" i="2"/>
  <c r="AE112" i="2" s="1"/>
  <c r="R29" i="2"/>
  <c r="AE110" i="2" s="1"/>
  <c r="R28" i="2"/>
  <c r="AE109" i="2" s="1"/>
  <c r="R27" i="2"/>
  <c r="AE108" i="2" s="1"/>
  <c r="R26" i="2"/>
  <c r="AD112" i="2" s="1"/>
  <c r="R25" i="2"/>
  <c r="AD111" i="2" s="1"/>
  <c r="R24" i="2"/>
  <c r="AD110" i="2" s="1"/>
  <c r="R23" i="2"/>
  <c r="AD109" i="2" s="1"/>
  <c r="R20" i="2"/>
  <c r="AC111" i="2" s="1"/>
  <c r="R22" i="2"/>
  <c r="AD108" i="2" s="1"/>
  <c r="R21" i="2"/>
  <c r="AC112" i="2" s="1"/>
  <c r="R19" i="2"/>
  <c r="AC110" i="2" s="1"/>
  <c r="R18" i="2"/>
  <c r="AC109" i="2" s="1"/>
  <c r="R17" i="2"/>
  <c r="AC108" i="2" s="1"/>
  <c r="R16" i="2"/>
  <c r="AB112" i="2" s="1"/>
  <c r="R15" i="2"/>
  <c r="AB111" i="2" s="1"/>
  <c r="R14" i="2"/>
  <c r="AB110" i="2" s="1"/>
  <c r="R13" i="2"/>
  <c r="AB109" i="2" s="1"/>
  <c r="R12" i="2"/>
  <c r="AB108" i="2" s="1"/>
  <c r="R11" i="2"/>
  <c r="AA112" i="2" s="1"/>
  <c r="R10" i="2"/>
  <c r="AA111" i="2" s="1"/>
  <c r="R9" i="2"/>
  <c r="AA110" i="2" s="1"/>
  <c r="R8" i="2"/>
  <c r="AA109" i="2" s="1"/>
  <c r="R52" i="1"/>
  <c r="R53" i="1"/>
  <c r="R54" i="1"/>
  <c r="R55" i="1"/>
  <c r="AN30" i="1" s="1"/>
  <c r="R56" i="1"/>
  <c r="R47" i="1"/>
  <c r="R48" i="1"/>
  <c r="R49" i="1"/>
  <c r="R50" i="1"/>
  <c r="R51" i="1"/>
  <c r="R43" i="1"/>
  <c r="R44" i="1"/>
  <c r="R45" i="1"/>
  <c r="R46" i="1"/>
  <c r="R42" i="1"/>
  <c r="R36" i="1"/>
  <c r="R38" i="1"/>
  <c r="R39" i="1"/>
  <c r="R40" i="1"/>
  <c r="R41" i="1"/>
  <c r="R37" i="1"/>
  <c r="R32" i="1"/>
  <c r="R33" i="1"/>
  <c r="R34" i="1"/>
  <c r="R35" i="1"/>
  <c r="R27" i="1"/>
  <c r="R28" i="1"/>
  <c r="R29" i="1"/>
  <c r="R30" i="1"/>
  <c r="R31" i="1"/>
  <c r="R22" i="1"/>
  <c r="R23" i="1"/>
  <c r="R24" i="1"/>
  <c r="R25" i="1"/>
  <c r="R26" i="1"/>
  <c r="R17" i="1"/>
  <c r="R18" i="1"/>
  <c r="R19" i="1"/>
  <c r="R20" i="1"/>
  <c r="R21" i="1"/>
  <c r="R13" i="1"/>
  <c r="R14" i="1"/>
  <c r="R15" i="1"/>
  <c r="R16" i="1"/>
  <c r="R12" i="1"/>
  <c r="R9" i="1"/>
  <c r="R10" i="1"/>
  <c r="R11" i="1"/>
  <c r="R58" i="1"/>
  <c r="R59" i="1"/>
  <c r="R60" i="1"/>
  <c r="R61" i="1"/>
  <c r="R57" i="1"/>
  <c r="R42" i="20"/>
  <c r="Q42" i="20"/>
  <c r="P42" i="20"/>
  <c r="O42" i="20"/>
  <c r="N42" i="20"/>
  <c r="L42" i="20"/>
  <c r="J42" i="20"/>
  <c r="R41" i="20"/>
  <c r="Q41" i="20"/>
  <c r="P41" i="20"/>
  <c r="O41" i="20"/>
  <c r="N41" i="20"/>
  <c r="M41" i="20"/>
  <c r="L41" i="20"/>
  <c r="J41" i="20"/>
  <c r="R40" i="20"/>
  <c r="Q40" i="20"/>
  <c r="P40" i="20"/>
  <c r="O40" i="20"/>
  <c r="M40" i="20"/>
  <c r="L40" i="20"/>
  <c r="J40" i="20"/>
  <c r="R56" i="20"/>
  <c r="R55" i="20"/>
  <c r="R54" i="20"/>
  <c r="Q56" i="20"/>
  <c r="Q55" i="20"/>
  <c r="Q54" i="20"/>
  <c r="P56" i="20"/>
  <c r="P55" i="20"/>
  <c r="P54" i="20"/>
  <c r="O56" i="20"/>
  <c r="O55" i="20"/>
  <c r="O54" i="20"/>
  <c r="N56" i="20"/>
  <c r="M54" i="20"/>
  <c r="L56" i="20"/>
  <c r="L55" i="20"/>
  <c r="L54" i="20"/>
  <c r="J56" i="20"/>
  <c r="J55" i="20"/>
  <c r="J54" i="20"/>
  <c r="R67" i="19"/>
  <c r="R66" i="19"/>
  <c r="R65" i="19"/>
  <c r="R64" i="19"/>
  <c r="Q67" i="19"/>
  <c r="Q66" i="19"/>
  <c r="Q65" i="19"/>
  <c r="Q64" i="19"/>
  <c r="P67" i="19"/>
  <c r="P66" i="19"/>
  <c r="P64" i="19"/>
  <c r="N67" i="19"/>
  <c r="N66" i="19"/>
  <c r="N65" i="19"/>
  <c r="N64" i="19"/>
  <c r="M67" i="19"/>
  <c r="M66" i="19"/>
  <c r="M65" i="19"/>
  <c r="M64" i="19"/>
  <c r="L67" i="19"/>
  <c r="L66" i="19"/>
  <c r="L65" i="19"/>
  <c r="L64" i="19"/>
  <c r="J67" i="19"/>
  <c r="J66" i="19"/>
  <c r="J65" i="19"/>
  <c r="J64" i="19"/>
  <c r="R76" i="18"/>
  <c r="Q76" i="18"/>
  <c r="P76" i="18"/>
  <c r="O76" i="18"/>
  <c r="N76" i="18"/>
  <c r="M76" i="18"/>
  <c r="L76" i="18"/>
  <c r="J76" i="18"/>
  <c r="R75" i="18"/>
  <c r="Q75" i="18"/>
  <c r="P75" i="18"/>
  <c r="O75" i="18"/>
  <c r="N75" i="18"/>
  <c r="M75" i="18"/>
  <c r="L75" i="18"/>
  <c r="J75" i="18"/>
  <c r="R74" i="18"/>
  <c r="Q74" i="18"/>
  <c r="P74" i="18"/>
  <c r="O74" i="18"/>
  <c r="N74" i="18"/>
  <c r="M74" i="18"/>
  <c r="L74" i="18"/>
  <c r="J74" i="18"/>
  <c r="R73" i="18"/>
  <c r="Q73" i="18"/>
  <c r="P73" i="18"/>
  <c r="O73" i="18"/>
  <c r="N73" i="18"/>
  <c r="M73" i="18"/>
  <c r="L73" i="18"/>
  <c r="J73" i="18"/>
  <c r="R72" i="18"/>
  <c r="Q72" i="18"/>
  <c r="P72" i="18"/>
  <c r="O72" i="18"/>
  <c r="N72" i="18"/>
  <c r="M72" i="18"/>
  <c r="L72" i="18"/>
  <c r="J72" i="18"/>
  <c r="R71" i="18"/>
  <c r="Q71" i="18"/>
  <c r="P71" i="18"/>
  <c r="O71" i="18"/>
  <c r="N71" i="18"/>
  <c r="M71" i="18"/>
  <c r="L71" i="18"/>
  <c r="J71" i="18"/>
  <c r="R93" i="18"/>
  <c r="R92" i="18"/>
  <c r="R91" i="18"/>
  <c r="R90" i="18"/>
  <c r="R89" i="18"/>
  <c r="R88" i="18"/>
  <c r="Q93" i="18"/>
  <c r="Q92" i="18"/>
  <c r="Q91" i="18"/>
  <c r="Q90" i="18"/>
  <c r="Q89" i="18"/>
  <c r="Q88" i="18"/>
  <c r="P93" i="18"/>
  <c r="P92" i="18"/>
  <c r="P91" i="18"/>
  <c r="P90" i="18"/>
  <c r="P89" i="18"/>
  <c r="P88" i="18"/>
  <c r="O93" i="18"/>
  <c r="O92" i="18"/>
  <c r="O91" i="18"/>
  <c r="O90" i="18"/>
  <c r="O89" i="18"/>
  <c r="O88" i="18"/>
  <c r="N93" i="18"/>
  <c r="N92" i="18"/>
  <c r="N91" i="18"/>
  <c r="N90" i="18"/>
  <c r="N89" i="18"/>
  <c r="N88" i="18"/>
  <c r="M93" i="18"/>
  <c r="M92" i="18"/>
  <c r="M91" i="18"/>
  <c r="M90" i="18"/>
  <c r="M89" i="18"/>
  <c r="M88" i="18"/>
  <c r="L93" i="18"/>
  <c r="L92" i="18"/>
  <c r="L91" i="18"/>
  <c r="L90" i="18"/>
  <c r="L89" i="18"/>
  <c r="L88" i="18"/>
  <c r="J93" i="18"/>
  <c r="J92" i="18"/>
  <c r="J91" i="18"/>
  <c r="J90" i="18"/>
  <c r="J89" i="18"/>
  <c r="J88" i="18"/>
  <c r="AO13" i="17"/>
  <c r="AN13" i="17"/>
  <c r="AM13" i="17"/>
  <c r="AL13" i="17"/>
  <c r="AK13" i="17"/>
  <c r="AJ13" i="17"/>
  <c r="AI13" i="17"/>
  <c r="AG13" i="17"/>
  <c r="AO12" i="17"/>
  <c r="AN12" i="17"/>
  <c r="AM12" i="17"/>
  <c r="AL12" i="17"/>
  <c r="AK12" i="17"/>
  <c r="AJ12" i="17"/>
  <c r="AI12" i="17"/>
  <c r="AG12" i="17"/>
  <c r="AO11" i="17"/>
  <c r="AN11" i="17"/>
  <c r="AM11" i="17"/>
  <c r="AL11" i="17"/>
  <c r="AK11" i="17"/>
  <c r="AJ11" i="17"/>
  <c r="AI11" i="17"/>
  <c r="AG11" i="17"/>
  <c r="AO28" i="17"/>
  <c r="AO27" i="17"/>
  <c r="AO26" i="17"/>
  <c r="AN28" i="17"/>
  <c r="AN27" i="17"/>
  <c r="AN26" i="17"/>
  <c r="AM28" i="17"/>
  <c r="AM27" i="17"/>
  <c r="AM26" i="17"/>
  <c r="AL28" i="17"/>
  <c r="AL27" i="17"/>
  <c r="AL26" i="17"/>
  <c r="AK28" i="17"/>
  <c r="AK27" i="17"/>
  <c r="AK26" i="17"/>
  <c r="AJ28" i="17"/>
  <c r="AJ27" i="17"/>
  <c r="AJ26" i="17"/>
  <c r="AI28" i="17"/>
  <c r="AI27" i="17"/>
  <c r="AI26" i="17"/>
  <c r="AG28" i="17"/>
  <c r="AG27" i="17"/>
  <c r="AG26" i="17"/>
  <c r="R52" i="16"/>
  <c r="Q52" i="16"/>
  <c r="P52" i="16"/>
  <c r="O52" i="16"/>
  <c r="N52" i="16"/>
  <c r="M52" i="16"/>
  <c r="L52" i="16"/>
  <c r="J52" i="16"/>
  <c r="R51" i="16"/>
  <c r="Q51" i="16"/>
  <c r="P51" i="16"/>
  <c r="O51" i="16"/>
  <c r="N51" i="16"/>
  <c r="M51" i="16"/>
  <c r="L51" i="16"/>
  <c r="J51" i="16"/>
  <c r="R50" i="16"/>
  <c r="Q50" i="16"/>
  <c r="P50" i="16"/>
  <c r="O50" i="16"/>
  <c r="N50" i="16"/>
  <c r="M50" i="16"/>
  <c r="L50" i="16"/>
  <c r="J50" i="16"/>
  <c r="R49" i="16"/>
  <c r="Q49" i="16"/>
  <c r="P49" i="16"/>
  <c r="O49" i="16"/>
  <c r="N49" i="16"/>
  <c r="M49" i="16"/>
  <c r="L49" i="16"/>
  <c r="J49" i="16"/>
  <c r="R67" i="16"/>
  <c r="R66" i="16"/>
  <c r="R65" i="16"/>
  <c r="R64" i="16"/>
  <c r="Q67" i="16"/>
  <c r="Q66" i="16"/>
  <c r="Q65" i="16"/>
  <c r="Q64" i="16"/>
  <c r="P67" i="16"/>
  <c r="P66" i="16"/>
  <c r="P65" i="16"/>
  <c r="P64" i="16"/>
  <c r="O67" i="16"/>
  <c r="O66" i="16"/>
  <c r="O65" i="16"/>
  <c r="O64" i="16"/>
  <c r="N67" i="16"/>
  <c r="N66" i="16"/>
  <c r="N65" i="16"/>
  <c r="N64" i="16"/>
  <c r="M67" i="16"/>
  <c r="M66" i="16"/>
  <c r="M65" i="16"/>
  <c r="M64" i="16"/>
  <c r="L67" i="16"/>
  <c r="L66" i="16"/>
  <c r="L65" i="16"/>
  <c r="L64" i="16"/>
  <c r="J67" i="16"/>
  <c r="J66" i="16"/>
  <c r="J65" i="16"/>
  <c r="J64" i="16"/>
  <c r="T43" i="15"/>
  <c r="S43" i="15"/>
  <c r="R43" i="15"/>
  <c r="Q43" i="15"/>
  <c r="P43" i="15"/>
  <c r="O43" i="15"/>
  <c r="N43" i="15"/>
  <c r="L43" i="15"/>
  <c r="T42" i="15"/>
  <c r="S42" i="15"/>
  <c r="R42" i="15"/>
  <c r="Q42" i="15"/>
  <c r="P42" i="15"/>
  <c r="O42" i="15"/>
  <c r="N42" i="15"/>
  <c r="L42" i="15"/>
  <c r="T41" i="15"/>
  <c r="S41" i="15"/>
  <c r="R41" i="15"/>
  <c r="Q41" i="15"/>
  <c r="P41" i="15"/>
  <c r="O41" i="15"/>
  <c r="N41" i="15"/>
  <c r="T57" i="15"/>
  <c r="T56" i="15"/>
  <c r="T55" i="15"/>
  <c r="S57" i="15"/>
  <c r="S56" i="15"/>
  <c r="S55" i="15"/>
  <c r="R57" i="15"/>
  <c r="R56" i="15"/>
  <c r="R55" i="15"/>
  <c r="Q57" i="15"/>
  <c r="Q56" i="15"/>
  <c r="Q55" i="15"/>
  <c r="P57" i="15"/>
  <c r="P56" i="15"/>
  <c r="P55" i="15"/>
  <c r="O57" i="15"/>
  <c r="O56" i="15"/>
  <c r="O55" i="15"/>
  <c r="N57" i="15"/>
  <c r="N56" i="15"/>
  <c r="N55" i="15"/>
  <c r="L57" i="15"/>
  <c r="L56" i="15"/>
  <c r="L55" i="15"/>
  <c r="AM18" i="14"/>
  <c r="AL18" i="14"/>
  <c r="AK18" i="14"/>
  <c r="AJ18" i="14"/>
  <c r="AI18" i="14"/>
  <c r="AH18" i="14"/>
  <c r="AG18" i="14"/>
  <c r="AF18" i="14"/>
  <c r="AE18" i="14"/>
  <c r="AD18" i="14"/>
  <c r="AM17" i="14"/>
  <c r="AL17" i="14"/>
  <c r="AK17" i="14"/>
  <c r="AJ17" i="14"/>
  <c r="AI17" i="14"/>
  <c r="AH17" i="14"/>
  <c r="AG17" i="14"/>
  <c r="AF17" i="14"/>
  <c r="AE17" i="14"/>
  <c r="AD17" i="14"/>
  <c r="AM16" i="14"/>
  <c r="AL16" i="14"/>
  <c r="AK16" i="14"/>
  <c r="AJ16" i="14"/>
  <c r="AI16" i="14"/>
  <c r="AH16" i="14"/>
  <c r="AG16" i="14"/>
  <c r="AF16" i="14"/>
  <c r="AE16" i="14"/>
  <c r="AD16" i="14"/>
  <c r="AM15" i="14"/>
  <c r="AL15" i="14"/>
  <c r="AK15" i="14"/>
  <c r="AJ15" i="14"/>
  <c r="AI15" i="14"/>
  <c r="AH15" i="14"/>
  <c r="AG15" i="14"/>
  <c r="AF15" i="14"/>
  <c r="AE15" i="14"/>
  <c r="AD15" i="14"/>
  <c r="AM14" i="14"/>
  <c r="AL14" i="14"/>
  <c r="AK14" i="14"/>
  <c r="AJ14" i="14"/>
  <c r="AI14" i="14"/>
  <c r="AH14" i="14"/>
  <c r="AG14" i="14"/>
  <c r="AF14" i="14"/>
  <c r="AE14" i="14"/>
  <c r="AD14" i="14"/>
  <c r="AM13" i="14"/>
  <c r="AL13" i="14"/>
  <c r="AK13" i="14"/>
  <c r="AJ13" i="14"/>
  <c r="AI13" i="14"/>
  <c r="AH13" i="14"/>
  <c r="AG13" i="14"/>
  <c r="AF13" i="14"/>
  <c r="AE13" i="14"/>
  <c r="AD13" i="14"/>
  <c r="AM12" i="14"/>
  <c r="AL12" i="14"/>
  <c r="AK12" i="14"/>
  <c r="AJ12" i="14"/>
  <c r="AI12" i="14"/>
  <c r="AH12" i="14"/>
  <c r="AG12" i="14"/>
  <c r="AF12" i="14"/>
  <c r="AE12" i="14"/>
  <c r="AD12" i="14"/>
  <c r="AM11" i="14"/>
  <c r="AL11" i="14"/>
  <c r="AK11" i="14"/>
  <c r="AJ11" i="14"/>
  <c r="AI11" i="14"/>
  <c r="AH11" i="14"/>
  <c r="AG11" i="14"/>
  <c r="AF11" i="14"/>
  <c r="AE11" i="14"/>
  <c r="AD11" i="14"/>
  <c r="AM40" i="14"/>
  <c r="AM39" i="14"/>
  <c r="AM38" i="14"/>
  <c r="AM37" i="14"/>
  <c r="AM36" i="14"/>
  <c r="AM35" i="14"/>
  <c r="AM34" i="14"/>
  <c r="AM33" i="14"/>
  <c r="AL40" i="14"/>
  <c r="AL39" i="14"/>
  <c r="AL38" i="14"/>
  <c r="AL37" i="14"/>
  <c r="AL36" i="14"/>
  <c r="AL35" i="14"/>
  <c r="AL34" i="14"/>
  <c r="AL33" i="14"/>
  <c r="AK40" i="14"/>
  <c r="AK39" i="14"/>
  <c r="AK38" i="14"/>
  <c r="AK37" i="14"/>
  <c r="AK36" i="14"/>
  <c r="AK35" i="14"/>
  <c r="AK34" i="14"/>
  <c r="AK33" i="14"/>
  <c r="AJ34" i="14"/>
  <c r="AJ33" i="14"/>
  <c r="AI40" i="14"/>
  <c r="AI39" i="14"/>
  <c r="AI38" i="14"/>
  <c r="AI37" i="14"/>
  <c r="AI36" i="14"/>
  <c r="AI35" i="14"/>
  <c r="AI34" i="14"/>
  <c r="AI33" i="14"/>
  <c r="AH40" i="14"/>
  <c r="AH39" i="14"/>
  <c r="AH38" i="14"/>
  <c r="AH37" i="14"/>
  <c r="AH36" i="14"/>
  <c r="AH35" i="14"/>
  <c r="AH34" i="14"/>
  <c r="AH33" i="14"/>
  <c r="AG40" i="14"/>
  <c r="AG39" i="14"/>
  <c r="AG38" i="14"/>
  <c r="AG37" i="14"/>
  <c r="AG36" i="14"/>
  <c r="AG35" i="14"/>
  <c r="AG34" i="14"/>
  <c r="AG33" i="14"/>
  <c r="AF40" i="14"/>
  <c r="AF39" i="14"/>
  <c r="AF38" i="14"/>
  <c r="AF37" i="14"/>
  <c r="AF36" i="14"/>
  <c r="AF35" i="14"/>
  <c r="AF34" i="14"/>
  <c r="AF33" i="14"/>
  <c r="AE40" i="14"/>
  <c r="AE39" i="14"/>
  <c r="AE38" i="14"/>
  <c r="AE37" i="14"/>
  <c r="AE36" i="14"/>
  <c r="AE35" i="14"/>
  <c r="AE34" i="14"/>
  <c r="AE33" i="14"/>
  <c r="AD40" i="14"/>
  <c r="AD39" i="14"/>
  <c r="AD38" i="14"/>
  <c r="AD37" i="14"/>
  <c r="AD36" i="14"/>
  <c r="AD35" i="14"/>
  <c r="AD34" i="14"/>
  <c r="AD33" i="14"/>
  <c r="AL13" i="12"/>
  <c r="AK13" i="12"/>
  <c r="AJ13" i="12"/>
  <c r="AI13" i="12"/>
  <c r="AH13" i="12"/>
  <c r="AG13" i="12"/>
  <c r="AF13" i="12"/>
  <c r="AE13" i="12"/>
  <c r="AD13" i="12"/>
  <c r="AC13" i="12"/>
  <c r="AL12" i="12"/>
  <c r="AK12" i="12"/>
  <c r="AJ12" i="12"/>
  <c r="AI12" i="12"/>
  <c r="AH12" i="12"/>
  <c r="AG12" i="12"/>
  <c r="AF12" i="12"/>
  <c r="AE12" i="12"/>
  <c r="AD12" i="12"/>
  <c r="AC12" i="12"/>
  <c r="AL11" i="12"/>
  <c r="AK11" i="12"/>
  <c r="AJ11" i="12"/>
  <c r="AI11" i="12"/>
  <c r="AH11" i="12"/>
  <c r="AG11" i="12"/>
  <c r="AF11" i="12"/>
  <c r="AE11" i="12"/>
  <c r="AD11" i="12"/>
  <c r="AC11" i="12"/>
  <c r="AL27" i="12"/>
  <c r="AL26" i="12"/>
  <c r="AL25" i="12"/>
  <c r="AK27" i="12"/>
  <c r="AK26" i="12"/>
  <c r="AK25" i="12"/>
  <c r="AJ27" i="12"/>
  <c r="AJ26" i="12"/>
  <c r="AJ25" i="12"/>
  <c r="AI27" i="12"/>
  <c r="AI26" i="12"/>
  <c r="AI25" i="12"/>
  <c r="AH27" i="12"/>
  <c r="AH26" i="12"/>
  <c r="AH25" i="12"/>
  <c r="AG27" i="12"/>
  <c r="AG26" i="12"/>
  <c r="AG25" i="12"/>
  <c r="AF27" i="12"/>
  <c r="AF26" i="12"/>
  <c r="AF25" i="12"/>
  <c r="AE27" i="12"/>
  <c r="AE26" i="12"/>
  <c r="AE25" i="12"/>
  <c r="AD27" i="12"/>
  <c r="AD26" i="12"/>
  <c r="AD25" i="12"/>
  <c r="AC27" i="12"/>
  <c r="AC26" i="12"/>
  <c r="AC25" i="12"/>
  <c r="AM13" i="11"/>
  <c r="AL13" i="11"/>
  <c r="AK13" i="11"/>
  <c r="AJ13" i="11"/>
  <c r="AI13" i="11"/>
  <c r="AH13" i="11"/>
  <c r="AG13" i="11"/>
  <c r="AF13" i="11"/>
  <c r="AE13" i="11"/>
  <c r="AM12" i="11"/>
  <c r="AL12" i="11"/>
  <c r="AK12" i="11"/>
  <c r="AJ12" i="11"/>
  <c r="AI12" i="11"/>
  <c r="AH12" i="11"/>
  <c r="AG12" i="11"/>
  <c r="AF12" i="11"/>
  <c r="AE12" i="11"/>
  <c r="AM11" i="11"/>
  <c r="AL11" i="11"/>
  <c r="AK11" i="11"/>
  <c r="AJ11" i="11"/>
  <c r="AI11" i="11"/>
  <c r="AH11" i="11"/>
  <c r="AG11" i="11"/>
  <c r="AF11" i="11"/>
  <c r="AE11" i="11"/>
  <c r="AM27" i="11"/>
  <c r="AM26" i="11"/>
  <c r="AM25" i="11"/>
  <c r="AL27" i="11"/>
  <c r="AL26" i="11"/>
  <c r="AL25" i="11"/>
  <c r="AK27" i="11"/>
  <c r="AK26" i="11"/>
  <c r="AK25" i="11"/>
  <c r="AJ27" i="11"/>
  <c r="AJ26" i="11"/>
  <c r="AJ25" i="11"/>
  <c r="AI27" i="11"/>
  <c r="AI26" i="11"/>
  <c r="AI25" i="11"/>
  <c r="AH27" i="11"/>
  <c r="AH26" i="11"/>
  <c r="AH25" i="11"/>
  <c r="AG27" i="11"/>
  <c r="AG26" i="11"/>
  <c r="AG25" i="11"/>
  <c r="AD27" i="11"/>
  <c r="AD26" i="11"/>
  <c r="AD25" i="11"/>
  <c r="AG13" i="10"/>
  <c r="AF13" i="10"/>
  <c r="AE13" i="10"/>
  <c r="AD13" i="10"/>
  <c r="AC13" i="10"/>
  <c r="AB13" i="10"/>
  <c r="AA13" i="10"/>
  <c r="Z13" i="10"/>
  <c r="Y13" i="10"/>
  <c r="X13" i="10"/>
  <c r="AG12" i="10"/>
  <c r="AF12" i="10"/>
  <c r="AE12" i="10"/>
  <c r="AD12" i="10"/>
  <c r="AC12" i="10"/>
  <c r="AB12" i="10"/>
  <c r="AA12" i="10"/>
  <c r="Z12" i="10"/>
  <c r="Y12" i="10"/>
  <c r="X12" i="10"/>
  <c r="AG11" i="10"/>
  <c r="AF11" i="10"/>
  <c r="AE11" i="10"/>
  <c r="AD11" i="10"/>
  <c r="AC11" i="10"/>
  <c r="AB11" i="10"/>
  <c r="AA11" i="10"/>
  <c r="Z11" i="10"/>
  <c r="Y11" i="10"/>
  <c r="X11" i="10"/>
  <c r="AG31" i="10"/>
  <c r="AG30" i="10"/>
  <c r="AG29" i="10"/>
  <c r="AF31" i="10"/>
  <c r="AF30" i="10"/>
  <c r="AF29" i="10"/>
  <c r="AE31" i="10"/>
  <c r="AE30" i="10"/>
  <c r="AE29" i="10"/>
  <c r="AD31" i="10"/>
  <c r="AD30" i="10"/>
  <c r="AD29" i="10"/>
  <c r="AC31" i="10"/>
  <c r="AC30" i="10"/>
  <c r="AC29" i="10"/>
  <c r="AB31" i="10"/>
  <c r="AB30" i="10"/>
  <c r="AB29" i="10"/>
  <c r="AA31" i="10"/>
  <c r="AA30" i="10"/>
  <c r="AA29" i="10"/>
  <c r="Z31" i="10"/>
  <c r="Z30" i="10"/>
  <c r="Z29" i="10"/>
  <c r="Y31" i="10"/>
  <c r="Y30" i="10"/>
  <c r="Y29" i="10"/>
  <c r="X31" i="10"/>
  <c r="X30" i="10"/>
  <c r="X29" i="10"/>
  <c r="AD15" i="9"/>
  <c r="AC15" i="9"/>
  <c r="AB15" i="9"/>
  <c r="AA15" i="9"/>
  <c r="Z15" i="9"/>
  <c r="Y15" i="9"/>
  <c r="X15" i="9"/>
  <c r="W15" i="9"/>
  <c r="V15" i="9"/>
  <c r="U15" i="9"/>
  <c r="AD14" i="9"/>
  <c r="AC14" i="9"/>
  <c r="AB14" i="9"/>
  <c r="AA14" i="9"/>
  <c r="Z14" i="9"/>
  <c r="Y14" i="9"/>
  <c r="X14" i="9"/>
  <c r="W14" i="9"/>
  <c r="V14" i="9"/>
  <c r="U14" i="9"/>
  <c r="AD13" i="9"/>
  <c r="AC13" i="9"/>
  <c r="AB13" i="9"/>
  <c r="AA13" i="9"/>
  <c r="Z13" i="9"/>
  <c r="Y13" i="9"/>
  <c r="X13" i="9"/>
  <c r="W13" i="9"/>
  <c r="V13" i="9"/>
  <c r="U13" i="9"/>
  <c r="AD12" i="9"/>
  <c r="AC12" i="9"/>
  <c r="AB12" i="9"/>
  <c r="AA12" i="9"/>
  <c r="Z12" i="9"/>
  <c r="Y12" i="9"/>
  <c r="X12" i="9"/>
  <c r="W12" i="9"/>
  <c r="V12" i="9"/>
  <c r="U12" i="9"/>
  <c r="AD11" i="9"/>
  <c r="AC11" i="9"/>
  <c r="AB11" i="9"/>
  <c r="AA11" i="9"/>
  <c r="Z11" i="9"/>
  <c r="Y11" i="9"/>
  <c r="X11" i="9"/>
  <c r="W11" i="9"/>
  <c r="V11" i="9"/>
  <c r="U11" i="9"/>
  <c r="AD33" i="9"/>
  <c r="AD32" i="9"/>
  <c r="AD31" i="9"/>
  <c r="AD30" i="9"/>
  <c r="AD29" i="9"/>
  <c r="AC33" i="9"/>
  <c r="AC32" i="9"/>
  <c r="AC31" i="9"/>
  <c r="AC30" i="9"/>
  <c r="AC29" i="9"/>
  <c r="AB33" i="9"/>
  <c r="AB32" i="9"/>
  <c r="AB31" i="9"/>
  <c r="AB30" i="9"/>
  <c r="AB29" i="9"/>
  <c r="AA33" i="9"/>
  <c r="AA32" i="9"/>
  <c r="AA31" i="9"/>
  <c r="AA30" i="9"/>
  <c r="AA29" i="9"/>
  <c r="Z33" i="9"/>
  <c r="Z32" i="9"/>
  <c r="Z31" i="9"/>
  <c r="Z30" i="9"/>
  <c r="Z29" i="9"/>
  <c r="Y33" i="9"/>
  <c r="Y32" i="9"/>
  <c r="Y31" i="9"/>
  <c r="Y30" i="9"/>
  <c r="Y29" i="9"/>
  <c r="X33" i="9"/>
  <c r="X32" i="9"/>
  <c r="X31" i="9"/>
  <c r="X30" i="9"/>
  <c r="X29" i="9"/>
  <c r="W33" i="9"/>
  <c r="W32" i="9"/>
  <c r="W31" i="9"/>
  <c r="W30" i="9"/>
  <c r="W29" i="9"/>
  <c r="V33" i="9"/>
  <c r="V32" i="9"/>
  <c r="V31" i="9"/>
  <c r="V30" i="9"/>
  <c r="V29" i="9"/>
  <c r="U33" i="9"/>
  <c r="U32" i="9"/>
  <c r="U31" i="9"/>
  <c r="U30" i="9"/>
  <c r="U29" i="9"/>
  <c r="AL15" i="8"/>
  <c r="AK15" i="8"/>
  <c r="AJ15" i="8"/>
  <c r="AI15" i="8"/>
  <c r="AH15" i="8"/>
  <c r="AG15" i="8"/>
  <c r="AF15" i="8"/>
  <c r="AE15" i="8"/>
  <c r="AD15" i="8"/>
  <c r="AC15" i="8"/>
  <c r="AL14" i="8"/>
  <c r="AK14" i="8"/>
  <c r="AJ14" i="8"/>
  <c r="AI14" i="8"/>
  <c r="AH14" i="8"/>
  <c r="AG14" i="8"/>
  <c r="AF14" i="8"/>
  <c r="AE14" i="8"/>
  <c r="AD14" i="8"/>
  <c r="AC14" i="8"/>
  <c r="AL13" i="8"/>
  <c r="AK13" i="8"/>
  <c r="AJ13" i="8"/>
  <c r="AI13" i="8"/>
  <c r="AH13" i="8"/>
  <c r="AG13" i="8"/>
  <c r="AF13" i="8"/>
  <c r="AE13" i="8"/>
  <c r="AD13" i="8"/>
  <c r="AC13" i="8"/>
  <c r="AL12" i="8"/>
  <c r="AK12" i="8"/>
  <c r="AJ12" i="8"/>
  <c r="AI12" i="8"/>
  <c r="AH12" i="8"/>
  <c r="AG12" i="8"/>
  <c r="AF12" i="8"/>
  <c r="AE12" i="8"/>
  <c r="AD12" i="8"/>
  <c r="AC12" i="8"/>
  <c r="AL11" i="8"/>
  <c r="AK11" i="8"/>
  <c r="AJ11" i="8"/>
  <c r="AI11" i="8"/>
  <c r="AH11" i="8"/>
  <c r="AG11" i="8"/>
  <c r="AF11" i="8"/>
  <c r="AE11" i="8"/>
  <c r="AD11" i="8"/>
  <c r="AC11" i="8"/>
  <c r="AL31" i="8"/>
  <c r="AL29" i="8"/>
  <c r="AL28" i="8"/>
  <c r="AL27" i="8"/>
  <c r="AK31" i="8"/>
  <c r="AK30" i="8"/>
  <c r="AK28" i="8"/>
  <c r="AK27" i="8"/>
  <c r="AJ31" i="8"/>
  <c r="AJ29" i="8"/>
  <c r="AJ27" i="8"/>
  <c r="AI31" i="8"/>
  <c r="AI30" i="8"/>
  <c r="AI29" i="8"/>
  <c r="AI28" i="8"/>
  <c r="AI27" i="8"/>
  <c r="AH31" i="8"/>
  <c r="AH29" i="8"/>
  <c r="AH28" i="8"/>
  <c r="AH27" i="8"/>
  <c r="AG31" i="8"/>
  <c r="AG30" i="8"/>
  <c r="AG29" i="8"/>
  <c r="AG27" i="8"/>
  <c r="AF31" i="8"/>
  <c r="AF29" i="8"/>
  <c r="AF27" i="8"/>
  <c r="AE31" i="8"/>
  <c r="AE30" i="8"/>
  <c r="AE29" i="8"/>
  <c r="AE28" i="8"/>
  <c r="AE27" i="8"/>
  <c r="AD30" i="8"/>
  <c r="AD29" i="8"/>
  <c r="AD27" i="8"/>
  <c r="AC30" i="8"/>
  <c r="AC29" i="8"/>
  <c r="AC28" i="8"/>
  <c r="AC27" i="8"/>
  <c r="S48" i="7"/>
  <c r="R48" i="7"/>
  <c r="Q48" i="7"/>
  <c r="P48" i="7"/>
  <c r="O48" i="7"/>
  <c r="N48" i="7"/>
  <c r="M48" i="7"/>
  <c r="L48" i="7"/>
  <c r="S47" i="7"/>
  <c r="R47" i="7"/>
  <c r="Q47" i="7"/>
  <c r="P47" i="7"/>
  <c r="O47" i="7"/>
  <c r="N47" i="7"/>
  <c r="M47" i="7"/>
  <c r="L47" i="7"/>
  <c r="S46" i="7"/>
  <c r="R46" i="7"/>
  <c r="Q46" i="7"/>
  <c r="P46" i="7"/>
  <c r="O46" i="7"/>
  <c r="N46" i="7"/>
  <c r="M46" i="7"/>
  <c r="L46" i="7"/>
  <c r="S62" i="7"/>
  <c r="S61" i="7"/>
  <c r="S60" i="7"/>
  <c r="R62" i="7"/>
  <c r="R61" i="7"/>
  <c r="R60" i="7"/>
  <c r="Q62" i="7"/>
  <c r="P62" i="7"/>
  <c r="P61" i="7"/>
  <c r="P60" i="7"/>
  <c r="O62" i="7"/>
  <c r="O61" i="7"/>
  <c r="O60" i="7"/>
  <c r="N62" i="7"/>
  <c r="N61" i="7"/>
  <c r="N60" i="7"/>
  <c r="M62" i="7"/>
  <c r="M61" i="7"/>
  <c r="M60" i="7"/>
  <c r="K62" i="7"/>
  <c r="K61" i="7"/>
  <c r="K60" i="7"/>
  <c r="J62" i="7"/>
  <c r="J61" i="7"/>
  <c r="J60" i="7"/>
  <c r="S48" i="6"/>
  <c r="R48" i="6"/>
  <c r="Q48" i="6"/>
  <c r="P48" i="6"/>
  <c r="O48" i="6"/>
  <c r="N48" i="6"/>
  <c r="M48" i="6"/>
  <c r="L48" i="6"/>
  <c r="K48" i="6"/>
  <c r="J48" i="6"/>
  <c r="S47" i="6"/>
  <c r="R47" i="6"/>
  <c r="Q47" i="6"/>
  <c r="P47" i="6"/>
  <c r="O47" i="6"/>
  <c r="N47" i="6"/>
  <c r="M47" i="6"/>
  <c r="L47" i="6"/>
  <c r="K47" i="6"/>
  <c r="J47" i="6"/>
  <c r="S46" i="6"/>
  <c r="R46" i="6"/>
  <c r="Q46" i="6"/>
  <c r="P46" i="6"/>
  <c r="O46" i="6"/>
  <c r="N46" i="6"/>
  <c r="M46" i="6"/>
  <c r="L46" i="6"/>
  <c r="K46" i="6"/>
  <c r="J46" i="6"/>
  <c r="S62" i="6"/>
  <c r="R62" i="6"/>
  <c r="R61" i="6"/>
  <c r="R60" i="6"/>
  <c r="Q62" i="6"/>
  <c r="Q61" i="6"/>
  <c r="O62" i="6"/>
  <c r="O60" i="6"/>
  <c r="N62" i="6"/>
  <c r="N61" i="6"/>
  <c r="N60" i="6"/>
  <c r="M62" i="6"/>
  <c r="M60" i="6"/>
  <c r="L62" i="6"/>
  <c r="L61" i="6"/>
  <c r="L60" i="6"/>
  <c r="K62" i="6"/>
  <c r="J62" i="6"/>
  <c r="J61" i="6"/>
  <c r="J60" i="6"/>
  <c r="AG13" i="5"/>
  <c r="AF13" i="5"/>
  <c r="AE13" i="5"/>
  <c r="AD13" i="5"/>
  <c r="AC13" i="5"/>
  <c r="AB13" i="5"/>
  <c r="AA13" i="5"/>
  <c r="Z13" i="5"/>
  <c r="Y13" i="5"/>
  <c r="X13" i="5"/>
  <c r="AG12" i="5"/>
  <c r="AF12" i="5"/>
  <c r="AE12" i="5"/>
  <c r="AD12" i="5"/>
  <c r="AC12" i="5"/>
  <c r="AB12" i="5"/>
  <c r="AA12" i="5"/>
  <c r="Z12" i="5"/>
  <c r="Y12" i="5"/>
  <c r="X12" i="5"/>
  <c r="AG11" i="5"/>
  <c r="AF11" i="5"/>
  <c r="AE11" i="5"/>
  <c r="AD11" i="5"/>
  <c r="AC11" i="5"/>
  <c r="AB11" i="5"/>
  <c r="AA11" i="5"/>
  <c r="Z11" i="5"/>
  <c r="Y11" i="5"/>
  <c r="X11" i="5"/>
  <c r="AG28" i="5"/>
  <c r="AG27" i="5"/>
  <c r="AF27" i="5"/>
  <c r="AF26" i="5"/>
  <c r="AE28" i="5"/>
  <c r="AE27" i="5"/>
  <c r="AD28" i="5"/>
  <c r="AD27" i="5"/>
  <c r="AD26" i="5"/>
  <c r="AC28" i="5"/>
  <c r="AC27" i="5"/>
  <c r="AC26" i="5"/>
  <c r="AB28" i="5"/>
  <c r="AB27" i="5"/>
  <c r="AB26" i="5"/>
  <c r="AA28" i="5"/>
  <c r="AA26" i="5"/>
  <c r="Z27" i="5"/>
  <c r="Z26" i="5"/>
  <c r="Y28" i="5"/>
  <c r="Y27" i="5"/>
  <c r="Y26" i="5"/>
  <c r="X28" i="5"/>
  <c r="X27" i="5"/>
  <c r="AL13" i="4"/>
  <c r="AK13" i="4"/>
  <c r="AJ13" i="4"/>
  <c r="AI13" i="4"/>
  <c r="AH13" i="4"/>
  <c r="AG13" i="4"/>
  <c r="AF13" i="4"/>
  <c r="AE13" i="4"/>
  <c r="AD13" i="4"/>
  <c r="AC13" i="4"/>
  <c r="AL12" i="4"/>
  <c r="AK12" i="4"/>
  <c r="AJ12" i="4"/>
  <c r="AI12" i="4"/>
  <c r="AH12" i="4"/>
  <c r="AG12" i="4"/>
  <c r="AF12" i="4"/>
  <c r="AE12" i="4"/>
  <c r="AD12" i="4"/>
  <c r="AC12" i="4"/>
  <c r="AL11" i="4"/>
  <c r="AK11" i="4"/>
  <c r="AJ11" i="4"/>
  <c r="AI11" i="4"/>
  <c r="AH11" i="4"/>
  <c r="AG11" i="4"/>
  <c r="AF11" i="4"/>
  <c r="AE11" i="4"/>
  <c r="AD11" i="4"/>
  <c r="AC11" i="4"/>
  <c r="AL27" i="4"/>
  <c r="AL26" i="4"/>
  <c r="AK27" i="4"/>
  <c r="AK26" i="4"/>
  <c r="AK25" i="4"/>
  <c r="AJ27" i="4"/>
  <c r="AI27" i="4"/>
  <c r="AI26" i="4"/>
  <c r="AI25" i="4"/>
  <c r="AI29" i="4" s="1"/>
  <c r="I5" i="36" s="1"/>
  <c r="AH27" i="4"/>
  <c r="AH25" i="4"/>
  <c r="AG27" i="4"/>
  <c r="AG26" i="4"/>
  <c r="AG25" i="4"/>
  <c r="AF27" i="4"/>
  <c r="AF25" i="4"/>
  <c r="AE27" i="4"/>
  <c r="AD27" i="4"/>
  <c r="AD25" i="4"/>
  <c r="AC27" i="4"/>
  <c r="AC26" i="4"/>
  <c r="AC25" i="4"/>
  <c r="AL13" i="3"/>
  <c r="AK13" i="3"/>
  <c r="AJ13" i="3"/>
  <c r="AI13" i="3"/>
  <c r="AH13" i="3"/>
  <c r="AG13" i="3"/>
  <c r="AF13" i="3"/>
  <c r="AE13" i="3"/>
  <c r="AD13" i="3"/>
  <c r="AC13" i="3"/>
  <c r="AL12" i="3"/>
  <c r="AK12" i="3"/>
  <c r="AJ12" i="3"/>
  <c r="AI12" i="3"/>
  <c r="AH12" i="3"/>
  <c r="AG12" i="3"/>
  <c r="AF12" i="3"/>
  <c r="AE12" i="3"/>
  <c r="AD12" i="3"/>
  <c r="AC12" i="3"/>
  <c r="AL11" i="3"/>
  <c r="AK11" i="3"/>
  <c r="AJ11" i="3"/>
  <c r="AI11" i="3"/>
  <c r="AH11" i="3"/>
  <c r="AG11" i="3"/>
  <c r="AF11" i="3"/>
  <c r="AE11" i="3"/>
  <c r="AD11" i="3"/>
  <c r="AC11" i="3"/>
  <c r="AL27" i="3"/>
  <c r="AL26" i="3"/>
  <c r="AL25" i="3"/>
  <c r="AK26" i="3"/>
  <c r="AK25" i="3"/>
  <c r="AJ27" i="3"/>
  <c r="AJ26" i="3"/>
  <c r="AI27" i="3"/>
  <c r="AI26" i="3"/>
  <c r="AI25" i="3"/>
  <c r="AI31" i="3" s="1"/>
  <c r="AH27" i="3"/>
  <c r="AH26" i="3"/>
  <c r="AG26" i="3"/>
  <c r="AG25" i="3"/>
  <c r="AF27" i="3"/>
  <c r="AF26" i="3"/>
  <c r="AE27" i="3"/>
  <c r="AE26" i="3"/>
  <c r="AE25" i="3"/>
  <c r="AD27" i="3"/>
  <c r="AD26" i="3"/>
  <c r="AC26" i="3"/>
  <c r="AJ96" i="2"/>
  <c r="AI96" i="2"/>
  <c r="AH96" i="2"/>
  <c r="AG96" i="2"/>
  <c r="AF96" i="2"/>
  <c r="AE96" i="2"/>
  <c r="AD96" i="2"/>
  <c r="AC96" i="2"/>
  <c r="AB96" i="2"/>
  <c r="AA96" i="2"/>
  <c r="AJ95" i="2"/>
  <c r="AI95" i="2"/>
  <c r="AH95" i="2"/>
  <c r="AG95" i="2"/>
  <c r="AF95" i="2"/>
  <c r="AE95" i="2"/>
  <c r="AD95" i="2"/>
  <c r="AC95" i="2"/>
  <c r="AB95" i="2"/>
  <c r="AA95" i="2"/>
  <c r="AJ94" i="2"/>
  <c r="AI94" i="2"/>
  <c r="AH94" i="2"/>
  <c r="AG94" i="2"/>
  <c r="AF94" i="2"/>
  <c r="AE94" i="2"/>
  <c r="AD94" i="2"/>
  <c r="AC94" i="2"/>
  <c r="AB94" i="2"/>
  <c r="AA94" i="2"/>
  <c r="AJ93" i="2"/>
  <c r="AI93" i="2"/>
  <c r="AH93" i="2"/>
  <c r="AG93" i="2"/>
  <c r="AF93" i="2"/>
  <c r="AE93" i="2"/>
  <c r="AD93" i="2"/>
  <c r="AC93" i="2"/>
  <c r="AB93" i="2"/>
  <c r="AA93" i="2"/>
  <c r="AJ92" i="2"/>
  <c r="AI92" i="2"/>
  <c r="AH92" i="2"/>
  <c r="AG92" i="2"/>
  <c r="AF92" i="2"/>
  <c r="AE92" i="2"/>
  <c r="AD92" i="2"/>
  <c r="AC92" i="2"/>
  <c r="AB92" i="2"/>
  <c r="AA92" i="2"/>
  <c r="U56" i="2"/>
  <c r="U51" i="2"/>
  <c r="U41" i="2"/>
  <c r="AN15" i="1"/>
  <c r="AM15" i="1"/>
  <c r="AL15" i="1"/>
  <c r="AK15" i="1"/>
  <c r="AJ15" i="1"/>
  <c r="AI15" i="1"/>
  <c r="AH15" i="1"/>
  <c r="AG15" i="1"/>
  <c r="AF15" i="1"/>
  <c r="AE15" i="1"/>
  <c r="AN14" i="1"/>
  <c r="AM14" i="1"/>
  <c r="AL14" i="1"/>
  <c r="AK14" i="1"/>
  <c r="AJ14" i="1"/>
  <c r="AI14" i="1"/>
  <c r="AH14" i="1"/>
  <c r="AG14" i="1"/>
  <c r="AF14" i="1"/>
  <c r="AE14" i="1"/>
  <c r="AN13" i="1"/>
  <c r="AM13" i="1"/>
  <c r="AL13" i="1"/>
  <c r="AK13" i="1"/>
  <c r="AJ13" i="1"/>
  <c r="AI13" i="1"/>
  <c r="AH13" i="1"/>
  <c r="AG13" i="1"/>
  <c r="AF13" i="1"/>
  <c r="AE13" i="1"/>
  <c r="AN12" i="1"/>
  <c r="AM12" i="1"/>
  <c r="AL12" i="1"/>
  <c r="AK12" i="1"/>
  <c r="AJ12" i="1"/>
  <c r="AI12" i="1"/>
  <c r="AH12" i="1"/>
  <c r="AG12" i="1"/>
  <c r="AF12" i="1"/>
  <c r="AE12" i="1"/>
  <c r="AN11" i="1"/>
  <c r="AM11" i="1"/>
  <c r="AL11" i="1"/>
  <c r="AK11" i="1"/>
  <c r="AJ11" i="1"/>
  <c r="AI11" i="1"/>
  <c r="AH11" i="1"/>
  <c r="AG11" i="1"/>
  <c r="AF11" i="1"/>
  <c r="AE11" i="1"/>
  <c r="AN31" i="1"/>
  <c r="AN29" i="1"/>
  <c r="AN28" i="1"/>
  <c r="AN27" i="1"/>
  <c r="AM31" i="1"/>
  <c r="AM30" i="1"/>
  <c r="AM29" i="1"/>
  <c r="AM28" i="1"/>
  <c r="AM27" i="1"/>
  <c r="AL31" i="1"/>
  <c r="AL30" i="1"/>
  <c r="AL29" i="1"/>
  <c r="AL28" i="1"/>
  <c r="K61" i="6" l="1"/>
  <c r="K60" i="6"/>
  <c r="AJ37" i="14"/>
  <c r="AJ35" i="14"/>
  <c r="AI28" i="1"/>
  <c r="AI29" i="1"/>
  <c r="AI30" i="1"/>
  <c r="AI31" i="1"/>
  <c r="AK27" i="1"/>
  <c r="AK28" i="1"/>
  <c r="AK29" i="1"/>
  <c r="AK30" i="1"/>
  <c r="AK31" i="1"/>
  <c r="AL27" i="1"/>
  <c r="AM35" i="1"/>
  <c r="AM34" i="1"/>
  <c r="AM33" i="1"/>
  <c r="K24" i="36" s="1"/>
  <c r="AN35" i="1"/>
  <c r="AN34" i="1"/>
  <c r="AN33" i="1"/>
  <c r="AE19" i="1"/>
  <c r="AE18" i="1"/>
  <c r="AE17" i="1"/>
  <c r="AF19" i="1"/>
  <c r="AF18" i="1"/>
  <c r="AF17" i="1"/>
  <c r="AG19" i="1"/>
  <c r="AG18" i="1"/>
  <c r="AG17" i="1"/>
  <c r="AH19" i="1"/>
  <c r="AH18" i="1"/>
  <c r="AH17" i="1"/>
  <c r="AI19" i="1"/>
  <c r="AI18" i="1"/>
  <c r="AI17" i="1"/>
  <c r="AJ19" i="1"/>
  <c r="AJ18" i="1"/>
  <c r="AJ17" i="1"/>
  <c r="AK19" i="1"/>
  <c r="AK18" i="1"/>
  <c r="AK17" i="1"/>
  <c r="AL19" i="1"/>
  <c r="AL18" i="1"/>
  <c r="AL17" i="1"/>
  <c r="AM19" i="1"/>
  <c r="AM18" i="1"/>
  <c r="AM17" i="1"/>
  <c r="AN19" i="1"/>
  <c r="AN18" i="1"/>
  <c r="AN17" i="1"/>
  <c r="AI116" i="2"/>
  <c r="AI115" i="2"/>
  <c r="AI114" i="2"/>
  <c r="K25" i="36" s="1"/>
  <c r="AJ116" i="2"/>
  <c r="AJ115" i="2"/>
  <c r="AJ114" i="2"/>
  <c r="AA100" i="2"/>
  <c r="AA99" i="2"/>
  <c r="AA98" i="2"/>
  <c r="AB100" i="2"/>
  <c r="AB99" i="2"/>
  <c r="AB98" i="2"/>
  <c r="AC100" i="2"/>
  <c r="AC99" i="2"/>
  <c r="AC98" i="2"/>
  <c r="AD100" i="2"/>
  <c r="AD99" i="2"/>
  <c r="AD98" i="2"/>
  <c r="AE100" i="2"/>
  <c r="AE99" i="2"/>
  <c r="AE98" i="2"/>
  <c r="AF100" i="2"/>
  <c r="AF99" i="2"/>
  <c r="AF98" i="2"/>
  <c r="AG100" i="2"/>
  <c r="AG99" i="2"/>
  <c r="AG98" i="2"/>
  <c r="AH100" i="2"/>
  <c r="AH99" i="2"/>
  <c r="AH98" i="2"/>
  <c r="AI100" i="2"/>
  <c r="AI99" i="2"/>
  <c r="AI98" i="2"/>
  <c r="AJ100" i="2"/>
  <c r="AJ99" i="2"/>
  <c r="AJ98" i="2"/>
  <c r="AC31" i="3"/>
  <c r="AC30" i="3"/>
  <c r="AC29" i="3"/>
  <c r="AD31" i="3"/>
  <c r="AD30" i="3"/>
  <c r="AD29" i="3"/>
  <c r="AE31" i="3"/>
  <c r="AE30" i="3"/>
  <c r="AE29" i="3"/>
  <c r="AF31" i="3"/>
  <c r="AF30" i="3"/>
  <c r="AF29" i="3"/>
  <c r="AG31" i="3"/>
  <c r="AG30" i="3"/>
  <c r="AG29" i="3"/>
  <c r="AH31" i="3"/>
  <c r="AH30" i="3"/>
  <c r="AH29" i="3"/>
  <c r="AI30" i="3"/>
  <c r="AI29" i="3"/>
  <c r="AJ31" i="3"/>
  <c r="AJ30" i="3"/>
  <c r="AJ29" i="3"/>
  <c r="AK31" i="3"/>
  <c r="AK30" i="3"/>
  <c r="AK29" i="3"/>
  <c r="K26" i="36" s="1"/>
  <c r="AL31" i="3"/>
  <c r="AL30" i="3"/>
  <c r="AL29" i="3"/>
  <c r="L26" i="36" s="1"/>
  <c r="AC17" i="3"/>
  <c r="AC16" i="3"/>
  <c r="AC15" i="3"/>
  <c r="AD17" i="3"/>
  <c r="AD16" i="3"/>
  <c r="AD15" i="3"/>
  <c r="AE17" i="3"/>
  <c r="AE16" i="3"/>
  <c r="AE15" i="3"/>
  <c r="AF17" i="3"/>
  <c r="AF16" i="3"/>
  <c r="AF15" i="3"/>
  <c r="AG17" i="3"/>
  <c r="AG16" i="3"/>
  <c r="AG15" i="3"/>
  <c r="AH17" i="3"/>
  <c r="AH16" i="3"/>
  <c r="AH15" i="3"/>
  <c r="AI17" i="3"/>
  <c r="AI16" i="3"/>
  <c r="AI15" i="3"/>
  <c r="AJ17" i="3"/>
  <c r="AJ16" i="3"/>
  <c r="AJ15" i="3"/>
  <c r="AK17" i="3"/>
  <c r="AK16" i="3"/>
  <c r="AK15" i="3"/>
  <c r="AL17" i="3"/>
  <c r="AL16" i="3"/>
  <c r="AL15" i="3"/>
  <c r="AC31" i="4"/>
  <c r="AC30" i="4"/>
  <c r="AC29" i="4"/>
  <c r="AD31" i="4"/>
  <c r="AD30" i="4"/>
  <c r="AD29" i="4"/>
  <c r="D5" i="36" s="1"/>
  <c r="AE31" i="4"/>
  <c r="AE30" i="4"/>
  <c r="AE29" i="4"/>
  <c r="E5" i="36" s="1"/>
  <c r="AF31" i="4"/>
  <c r="AF30" i="4"/>
  <c r="AF29" i="4"/>
  <c r="AG31" i="4"/>
  <c r="AG30" i="4"/>
  <c r="AG29" i="4"/>
  <c r="AH31" i="4"/>
  <c r="AH30" i="4"/>
  <c r="AH29" i="4"/>
  <c r="H5" i="36" s="1"/>
  <c r="AI31" i="4"/>
  <c r="AI30" i="4"/>
  <c r="AJ31" i="4"/>
  <c r="AJ30" i="4"/>
  <c r="AJ29" i="4"/>
  <c r="J5" i="36" s="1"/>
  <c r="AK31" i="4"/>
  <c r="AK30" i="4"/>
  <c r="AK29" i="4"/>
  <c r="K5" i="36" s="1"/>
  <c r="AL31" i="4"/>
  <c r="AL30" i="4"/>
  <c r="AL29" i="4"/>
  <c r="L5" i="36" s="1"/>
  <c r="AC17" i="4"/>
  <c r="AC16" i="4"/>
  <c r="AC15" i="4"/>
  <c r="AD17" i="4"/>
  <c r="AD16" i="4"/>
  <c r="AD15" i="4"/>
  <c r="AE17" i="4"/>
  <c r="AE16" i="4"/>
  <c r="AE15" i="4"/>
  <c r="AF17" i="4"/>
  <c r="AF16" i="4"/>
  <c r="AF15" i="4"/>
  <c r="AG17" i="4"/>
  <c r="AG16" i="4"/>
  <c r="AG15" i="4"/>
  <c r="AH17" i="4"/>
  <c r="AH16" i="4"/>
  <c r="AH15" i="4"/>
  <c r="AI17" i="4"/>
  <c r="AI16" i="4"/>
  <c r="AI15" i="4"/>
  <c r="AJ17" i="4"/>
  <c r="AJ16" i="4"/>
  <c r="AJ15" i="4"/>
  <c r="AK17" i="4"/>
  <c r="AK16" i="4"/>
  <c r="AK15" i="4"/>
  <c r="AL17" i="4"/>
  <c r="AL16" i="4"/>
  <c r="AL15" i="4"/>
  <c r="X32" i="5"/>
  <c r="X31" i="5"/>
  <c r="X30" i="5"/>
  <c r="Y32" i="5"/>
  <c r="Y31" i="5"/>
  <c r="Y30" i="5"/>
  <c r="Z32" i="5"/>
  <c r="Z31" i="5"/>
  <c r="Z30" i="5"/>
  <c r="AA32" i="5"/>
  <c r="AA31" i="5"/>
  <c r="AA30" i="5"/>
  <c r="AB32" i="5"/>
  <c r="AB31" i="5"/>
  <c r="AB30" i="5"/>
  <c r="AC32" i="5"/>
  <c r="AC31" i="5"/>
  <c r="AC30" i="5"/>
  <c r="AD32" i="5"/>
  <c r="AD31" i="5"/>
  <c r="AD30" i="5"/>
  <c r="AE32" i="5"/>
  <c r="AE31" i="5"/>
  <c r="AE30" i="5"/>
  <c r="AF32" i="5"/>
  <c r="AF31" i="5"/>
  <c r="AF30" i="5"/>
  <c r="AG32" i="5"/>
  <c r="AG31" i="5"/>
  <c r="AG30" i="5"/>
  <c r="X17" i="5"/>
  <c r="X16" i="5"/>
  <c r="X15" i="5"/>
  <c r="Y17" i="5"/>
  <c r="Y16" i="5"/>
  <c r="Y15" i="5"/>
  <c r="Z17" i="5"/>
  <c r="Z16" i="5"/>
  <c r="Z15" i="5"/>
  <c r="AA17" i="5"/>
  <c r="AA16" i="5"/>
  <c r="AA15" i="5"/>
  <c r="AB17" i="5"/>
  <c r="AB16" i="5"/>
  <c r="AB15" i="5"/>
  <c r="AC17" i="5"/>
  <c r="AC16" i="5"/>
  <c r="AC15" i="5"/>
  <c r="AD17" i="5"/>
  <c r="AD16" i="5"/>
  <c r="AD15" i="5"/>
  <c r="AE17" i="5"/>
  <c r="AE16" i="5"/>
  <c r="AE15" i="5"/>
  <c r="AF17" i="5"/>
  <c r="AF16" i="5"/>
  <c r="AF15" i="5"/>
  <c r="AG17" i="5"/>
  <c r="AG16" i="5"/>
  <c r="AG15" i="5"/>
  <c r="J66" i="6"/>
  <c r="J65" i="6"/>
  <c r="J64" i="6"/>
  <c r="K66" i="6"/>
  <c r="K65" i="6"/>
  <c r="K64" i="6"/>
  <c r="L66" i="6"/>
  <c r="L65" i="6"/>
  <c r="L64" i="6"/>
  <c r="M66" i="6"/>
  <c r="M65" i="6"/>
  <c r="M64" i="6"/>
  <c r="N66" i="6"/>
  <c r="N65" i="6"/>
  <c r="N64" i="6"/>
  <c r="O66" i="6"/>
  <c r="O65" i="6"/>
  <c r="O64" i="6"/>
  <c r="P66" i="6"/>
  <c r="P65" i="6"/>
  <c r="P64" i="6"/>
  <c r="Q66" i="6"/>
  <c r="Q65" i="6"/>
  <c r="Q64" i="6"/>
  <c r="R66" i="6"/>
  <c r="R65" i="6"/>
  <c r="R64" i="6"/>
  <c r="S66" i="6"/>
  <c r="S65" i="6"/>
  <c r="S64" i="6"/>
  <c r="J52" i="6"/>
  <c r="J51" i="6"/>
  <c r="J50" i="6"/>
  <c r="K52" i="6"/>
  <c r="K51" i="6"/>
  <c r="K50" i="6"/>
  <c r="L52" i="6"/>
  <c r="L51" i="6"/>
  <c r="L50" i="6"/>
  <c r="M52" i="6"/>
  <c r="M51" i="6"/>
  <c r="M50" i="6"/>
  <c r="N52" i="6"/>
  <c r="N51" i="6"/>
  <c r="N50" i="6"/>
  <c r="O52" i="6"/>
  <c r="O51" i="6"/>
  <c r="O50" i="6"/>
  <c r="P52" i="6"/>
  <c r="P51" i="6"/>
  <c r="P50" i="6"/>
  <c r="Q52" i="6"/>
  <c r="Q51" i="6"/>
  <c r="Q50" i="6"/>
  <c r="R52" i="6"/>
  <c r="R51" i="6"/>
  <c r="R50" i="6"/>
  <c r="S52" i="6"/>
  <c r="S51" i="6"/>
  <c r="S50" i="6"/>
  <c r="J66" i="7"/>
  <c r="J65" i="7"/>
  <c r="J64" i="7"/>
  <c r="K66" i="7"/>
  <c r="K65" i="7"/>
  <c r="K64" i="7"/>
  <c r="L66" i="7"/>
  <c r="L65" i="7"/>
  <c r="L64" i="7"/>
  <c r="M66" i="7"/>
  <c r="M65" i="7"/>
  <c r="M64" i="7"/>
  <c r="N66" i="7"/>
  <c r="N65" i="7"/>
  <c r="N64" i="7"/>
  <c r="O66" i="7"/>
  <c r="O65" i="7"/>
  <c r="O64" i="7"/>
  <c r="P66" i="7"/>
  <c r="P65" i="7"/>
  <c r="P64" i="7"/>
  <c r="Q66" i="7"/>
  <c r="Q65" i="7"/>
  <c r="Q64" i="7"/>
  <c r="R66" i="7"/>
  <c r="R65" i="7"/>
  <c r="R64" i="7"/>
  <c r="S66" i="7"/>
  <c r="S65" i="7"/>
  <c r="S64" i="7"/>
  <c r="J52" i="7"/>
  <c r="J51" i="7"/>
  <c r="J50" i="7"/>
  <c r="K52" i="7"/>
  <c r="K51" i="7"/>
  <c r="K50" i="7"/>
  <c r="L52" i="7"/>
  <c r="L51" i="7"/>
  <c r="L50" i="7"/>
  <c r="M52" i="7"/>
  <c r="M51" i="7"/>
  <c r="M50" i="7"/>
  <c r="N52" i="7"/>
  <c r="N51" i="7"/>
  <c r="N50" i="7"/>
  <c r="O52" i="7"/>
  <c r="O51" i="7"/>
  <c r="O50" i="7"/>
  <c r="P52" i="7"/>
  <c r="P51" i="7"/>
  <c r="P50" i="7"/>
  <c r="Q52" i="7"/>
  <c r="Q51" i="7"/>
  <c r="Q50" i="7"/>
  <c r="R52" i="7"/>
  <c r="R51" i="7"/>
  <c r="R50" i="7"/>
  <c r="S52" i="7"/>
  <c r="S51" i="7"/>
  <c r="S50" i="7"/>
  <c r="AC35" i="8"/>
  <c r="AC34" i="8"/>
  <c r="AC33" i="8"/>
  <c r="AD35" i="8"/>
  <c r="AD34" i="8"/>
  <c r="AD33" i="8"/>
  <c r="AE35" i="8"/>
  <c r="AE34" i="8"/>
  <c r="AE33" i="8"/>
  <c r="AF35" i="8"/>
  <c r="AF34" i="8"/>
  <c r="AF33" i="8"/>
  <c r="AG35" i="8"/>
  <c r="AG34" i="8"/>
  <c r="AG33" i="8"/>
  <c r="AH35" i="8"/>
  <c r="AH34" i="8"/>
  <c r="AH33" i="8"/>
  <c r="AI35" i="8"/>
  <c r="AI34" i="8"/>
  <c r="AI33" i="8"/>
  <c r="AJ35" i="8"/>
  <c r="AJ34" i="8"/>
  <c r="AJ33" i="8"/>
  <c r="AK35" i="8"/>
  <c r="AK34" i="8"/>
  <c r="AK33" i="8"/>
  <c r="AL35" i="8"/>
  <c r="AL34" i="8"/>
  <c r="AL33" i="8"/>
  <c r="AC19" i="8"/>
  <c r="AC18" i="8"/>
  <c r="AC17" i="8"/>
  <c r="AD19" i="8"/>
  <c r="AD18" i="8"/>
  <c r="AD17" i="8"/>
  <c r="AE19" i="8"/>
  <c r="AE18" i="8"/>
  <c r="AE17" i="8"/>
  <c r="AF19" i="8"/>
  <c r="AF18" i="8"/>
  <c r="AF17" i="8"/>
  <c r="AG19" i="8"/>
  <c r="AG18" i="8"/>
  <c r="AG17" i="8"/>
  <c r="AH19" i="8"/>
  <c r="AH18" i="8"/>
  <c r="AH17" i="8"/>
  <c r="AI19" i="8"/>
  <c r="AI18" i="8"/>
  <c r="AI17" i="8"/>
  <c r="AJ19" i="8"/>
  <c r="AJ18" i="8"/>
  <c r="AJ17" i="8"/>
  <c r="AK19" i="8"/>
  <c r="AK18" i="8"/>
  <c r="AK17" i="8"/>
  <c r="AL19" i="8"/>
  <c r="AL18" i="8"/>
  <c r="AL17" i="8"/>
  <c r="U37" i="9"/>
  <c r="U36" i="9"/>
  <c r="U35" i="9"/>
  <c r="V37" i="9"/>
  <c r="V36" i="9"/>
  <c r="V35" i="9"/>
  <c r="W37" i="9"/>
  <c r="W36" i="9"/>
  <c r="W35" i="9"/>
  <c r="X37" i="9"/>
  <c r="X36" i="9"/>
  <c r="X35" i="9"/>
  <c r="Y37" i="9"/>
  <c r="Y36" i="9"/>
  <c r="Y35" i="9"/>
  <c r="Z37" i="9"/>
  <c r="Z36" i="9"/>
  <c r="Z35" i="9"/>
  <c r="AA37" i="9"/>
  <c r="AA36" i="9"/>
  <c r="AA35" i="9"/>
  <c r="AB37" i="9"/>
  <c r="AB36" i="9"/>
  <c r="AB35" i="9"/>
  <c r="AC37" i="9"/>
  <c r="AC36" i="9"/>
  <c r="AC35" i="9"/>
  <c r="AD37" i="9"/>
  <c r="AD36" i="9"/>
  <c r="AD35" i="9"/>
  <c r="U19" i="9"/>
  <c r="U18" i="9"/>
  <c r="U17" i="9"/>
  <c r="V19" i="9"/>
  <c r="V18" i="9"/>
  <c r="V17" i="9"/>
  <c r="W19" i="9"/>
  <c r="W18" i="9"/>
  <c r="W17" i="9"/>
  <c r="X19" i="9"/>
  <c r="X18" i="9"/>
  <c r="X17" i="9"/>
  <c r="Y19" i="9"/>
  <c r="Y18" i="9"/>
  <c r="Y17" i="9"/>
  <c r="Z19" i="9"/>
  <c r="Z18" i="9"/>
  <c r="Z17" i="9"/>
  <c r="AA19" i="9"/>
  <c r="AA18" i="9"/>
  <c r="AA17" i="9"/>
  <c r="AB19" i="9"/>
  <c r="AB18" i="9"/>
  <c r="AB17" i="9"/>
  <c r="AC19" i="9"/>
  <c r="AC18" i="9"/>
  <c r="AC17" i="9"/>
  <c r="AD19" i="9"/>
  <c r="AD18" i="9"/>
  <c r="AD17" i="9"/>
  <c r="X35" i="10"/>
  <c r="X34" i="10"/>
  <c r="X33" i="10"/>
  <c r="Y35" i="10"/>
  <c r="Y34" i="10"/>
  <c r="Y33" i="10"/>
  <c r="Z35" i="10"/>
  <c r="Z34" i="10"/>
  <c r="Z33" i="10"/>
  <c r="AA35" i="10"/>
  <c r="AA34" i="10"/>
  <c r="AA33" i="10"/>
  <c r="AB35" i="10"/>
  <c r="AB34" i="10"/>
  <c r="AB33" i="10"/>
  <c r="AC35" i="10"/>
  <c r="AC34" i="10"/>
  <c r="AC33" i="10"/>
  <c r="AD35" i="10"/>
  <c r="AD34" i="10"/>
  <c r="AD33" i="10"/>
  <c r="AE35" i="10"/>
  <c r="AE34" i="10"/>
  <c r="AE33" i="10"/>
  <c r="AF35" i="10"/>
  <c r="AF34" i="10"/>
  <c r="AF33" i="10"/>
  <c r="AG35" i="10"/>
  <c r="AG34" i="10"/>
  <c r="AG33" i="10"/>
  <c r="X17" i="10"/>
  <c r="X16" i="10"/>
  <c r="X15" i="10"/>
  <c r="Y17" i="10"/>
  <c r="Y16" i="10"/>
  <c r="Y15" i="10"/>
  <c r="Z17" i="10"/>
  <c r="Z16" i="10"/>
  <c r="Z15" i="10"/>
  <c r="AA17" i="10"/>
  <c r="AA16" i="10"/>
  <c r="AA15" i="10"/>
  <c r="AB17" i="10"/>
  <c r="AB16" i="10"/>
  <c r="AB15" i="10"/>
  <c r="AC17" i="10"/>
  <c r="AC16" i="10"/>
  <c r="AC15" i="10"/>
  <c r="AD17" i="10"/>
  <c r="AD16" i="10"/>
  <c r="AD15" i="10"/>
  <c r="AE17" i="10"/>
  <c r="AE16" i="10"/>
  <c r="AE15" i="10"/>
  <c r="AF17" i="10"/>
  <c r="AF16" i="10"/>
  <c r="AF15" i="10"/>
  <c r="AG17" i="10"/>
  <c r="AG16" i="10"/>
  <c r="AG15" i="10"/>
  <c r="AD31" i="11"/>
  <c r="AD30" i="11"/>
  <c r="AD29" i="11"/>
  <c r="AE31" i="11"/>
  <c r="AE30" i="11"/>
  <c r="AE29" i="11"/>
  <c r="AF31" i="11"/>
  <c r="AF30" i="11"/>
  <c r="AF29" i="11"/>
  <c r="AG31" i="11"/>
  <c r="AG30" i="11"/>
  <c r="AG29" i="11"/>
  <c r="AH31" i="11"/>
  <c r="AH30" i="11"/>
  <c r="AH29" i="11"/>
  <c r="AI31" i="11"/>
  <c r="AI30" i="11"/>
  <c r="AI29" i="11"/>
  <c r="H10" i="36" s="1"/>
  <c r="AJ31" i="11"/>
  <c r="AJ30" i="11"/>
  <c r="AJ29" i="11"/>
  <c r="I10" i="36" s="1"/>
  <c r="AK31" i="11"/>
  <c r="AK30" i="11"/>
  <c r="AK29" i="11"/>
  <c r="J10" i="36" s="1"/>
  <c r="AL31" i="11"/>
  <c r="AL30" i="11"/>
  <c r="AL29" i="11"/>
  <c r="AM31" i="11"/>
  <c r="AM30" i="11"/>
  <c r="AM29" i="11"/>
  <c r="AD17" i="11"/>
  <c r="AD16" i="11"/>
  <c r="AD15" i="11"/>
  <c r="AE17" i="11"/>
  <c r="AE16" i="11"/>
  <c r="AE15" i="11"/>
  <c r="AF17" i="11"/>
  <c r="AF16" i="11"/>
  <c r="AF15" i="11"/>
  <c r="AG17" i="11"/>
  <c r="AG16" i="11"/>
  <c r="AG15" i="11"/>
  <c r="AH17" i="11"/>
  <c r="AH16" i="11"/>
  <c r="AH15" i="11"/>
  <c r="AI17" i="11"/>
  <c r="AI16" i="11"/>
  <c r="AI15" i="11"/>
  <c r="AJ17" i="11"/>
  <c r="AJ16" i="11"/>
  <c r="AJ15" i="11"/>
  <c r="AK17" i="11"/>
  <c r="AK16" i="11"/>
  <c r="AK15" i="11"/>
  <c r="AL17" i="11"/>
  <c r="AL16" i="11"/>
  <c r="AL15" i="11"/>
  <c r="AM17" i="11"/>
  <c r="AM16" i="11"/>
  <c r="AM15" i="11"/>
  <c r="AC31" i="12"/>
  <c r="AC30" i="12"/>
  <c r="AC29" i="12"/>
  <c r="C6" i="36" s="1"/>
  <c r="AD31" i="12"/>
  <c r="AD30" i="12"/>
  <c r="AD29" i="12"/>
  <c r="D6" i="36" s="1"/>
  <c r="AE31" i="12"/>
  <c r="AE30" i="12"/>
  <c r="AE29" i="12"/>
  <c r="E6" i="36" s="1"/>
  <c r="AF31" i="12"/>
  <c r="AF30" i="12"/>
  <c r="AF29" i="12"/>
  <c r="F6" i="36" s="1"/>
  <c r="AG31" i="12"/>
  <c r="AG30" i="12"/>
  <c r="AG29" i="12"/>
  <c r="G6" i="36" s="1"/>
  <c r="AH31" i="12"/>
  <c r="AH30" i="12"/>
  <c r="AH29" i="12"/>
  <c r="H6" i="36" s="1"/>
  <c r="AI31" i="12"/>
  <c r="AI30" i="12"/>
  <c r="AI29" i="12"/>
  <c r="I6" i="36" s="1"/>
  <c r="AJ31" i="12"/>
  <c r="AJ30" i="12"/>
  <c r="AJ29" i="12"/>
  <c r="J6" i="36" s="1"/>
  <c r="AK31" i="12"/>
  <c r="AK30" i="12"/>
  <c r="AK29" i="12"/>
  <c r="K6" i="36" s="1"/>
  <c r="AL31" i="12"/>
  <c r="AL30" i="12"/>
  <c r="AL29" i="12"/>
  <c r="L6" i="36" s="1"/>
  <c r="AC17" i="12"/>
  <c r="AC16" i="12"/>
  <c r="AC15" i="12"/>
  <c r="AD17" i="12"/>
  <c r="AD16" i="12"/>
  <c r="AD15" i="12"/>
  <c r="AE17" i="12"/>
  <c r="AE16" i="12"/>
  <c r="AE15" i="12"/>
  <c r="AF17" i="12"/>
  <c r="AF16" i="12"/>
  <c r="AF15" i="12"/>
  <c r="AG17" i="12"/>
  <c r="AG16" i="12"/>
  <c r="AG15" i="12"/>
  <c r="AH17" i="12"/>
  <c r="AH16" i="12"/>
  <c r="AH15" i="12"/>
  <c r="AI17" i="12"/>
  <c r="AI16" i="12"/>
  <c r="AI15" i="12"/>
  <c r="AJ17" i="12"/>
  <c r="AJ16" i="12"/>
  <c r="AJ15" i="12"/>
  <c r="AK17" i="12"/>
  <c r="AK16" i="12"/>
  <c r="AK15" i="12"/>
  <c r="AL17" i="12"/>
  <c r="AL16" i="12"/>
  <c r="AL15" i="12"/>
  <c r="AD44" i="14"/>
  <c r="AD43" i="14"/>
  <c r="AD42" i="14"/>
  <c r="AE44" i="14"/>
  <c r="AE43" i="14"/>
  <c r="AE42" i="14"/>
  <c r="AF44" i="14"/>
  <c r="AF43" i="14"/>
  <c r="AF42" i="14"/>
  <c r="AG44" i="14"/>
  <c r="AG43" i="14"/>
  <c r="AG42" i="14"/>
  <c r="AH44" i="14"/>
  <c r="AH43" i="14"/>
  <c r="AH42" i="14"/>
  <c r="AI44" i="14"/>
  <c r="AI43" i="14"/>
  <c r="AI42" i="14"/>
  <c r="AK44" i="14"/>
  <c r="AK43" i="14"/>
  <c r="AK42" i="14"/>
  <c r="AL44" i="14"/>
  <c r="AL43" i="14"/>
  <c r="AL42" i="14"/>
  <c r="AM44" i="14"/>
  <c r="AM43" i="14"/>
  <c r="AM42" i="14"/>
  <c r="AD22" i="14"/>
  <c r="AD21" i="14"/>
  <c r="AD20" i="14"/>
  <c r="AE22" i="14"/>
  <c r="AE21" i="14"/>
  <c r="AE20" i="14"/>
  <c r="AF22" i="14"/>
  <c r="AF21" i="14"/>
  <c r="AF20" i="14"/>
  <c r="AG22" i="14"/>
  <c r="AG21" i="14"/>
  <c r="AG20" i="14"/>
  <c r="AH22" i="14"/>
  <c r="AH21" i="14"/>
  <c r="AH20" i="14"/>
  <c r="AI22" i="14"/>
  <c r="AI21" i="14"/>
  <c r="AI20" i="14"/>
  <c r="AJ22" i="14"/>
  <c r="AJ21" i="14"/>
  <c r="AJ20" i="14"/>
  <c r="AK22" i="14"/>
  <c r="AK21" i="14"/>
  <c r="AK20" i="14"/>
  <c r="AL22" i="14"/>
  <c r="AL21" i="14"/>
  <c r="AL20" i="14"/>
  <c r="AM22" i="14"/>
  <c r="AM21" i="14"/>
  <c r="AM20" i="14"/>
  <c r="L61" i="15"/>
  <c r="L60" i="15"/>
  <c r="L59" i="15"/>
  <c r="N61" i="15"/>
  <c r="N60" i="15"/>
  <c r="N59" i="15"/>
  <c r="O61" i="15"/>
  <c r="O60" i="15"/>
  <c r="O59" i="15"/>
  <c r="P61" i="15"/>
  <c r="P60" i="15"/>
  <c r="P59" i="15"/>
  <c r="Q61" i="15"/>
  <c r="Q60" i="15"/>
  <c r="Q59" i="15"/>
  <c r="R61" i="15"/>
  <c r="R60" i="15"/>
  <c r="R59" i="15"/>
  <c r="S61" i="15"/>
  <c r="S60" i="15"/>
  <c r="S59" i="15"/>
  <c r="T61" i="15"/>
  <c r="T60" i="15"/>
  <c r="T59" i="15"/>
  <c r="L47" i="15"/>
  <c r="L46" i="15"/>
  <c r="L45" i="15"/>
  <c r="N47" i="15"/>
  <c r="N46" i="15"/>
  <c r="N45" i="15"/>
  <c r="O47" i="15"/>
  <c r="O46" i="15"/>
  <c r="O45" i="15"/>
  <c r="P47" i="15"/>
  <c r="P46" i="15"/>
  <c r="P45" i="15"/>
  <c r="Q47" i="15"/>
  <c r="Q46" i="15"/>
  <c r="Q45" i="15"/>
  <c r="R47" i="15"/>
  <c r="R46" i="15"/>
  <c r="R45" i="15"/>
  <c r="S47" i="15"/>
  <c r="S46" i="15"/>
  <c r="S45" i="15"/>
  <c r="T47" i="15"/>
  <c r="T46" i="15"/>
  <c r="T45" i="15"/>
  <c r="J71" i="16"/>
  <c r="J70" i="16"/>
  <c r="J69" i="16"/>
  <c r="L71" i="16"/>
  <c r="L70" i="16"/>
  <c r="L69" i="16"/>
  <c r="E19" i="36" s="1"/>
  <c r="M71" i="16"/>
  <c r="M70" i="16"/>
  <c r="M69" i="16"/>
  <c r="N71" i="16"/>
  <c r="N70" i="16"/>
  <c r="N69" i="16"/>
  <c r="O71" i="16"/>
  <c r="O70" i="16"/>
  <c r="O69" i="16"/>
  <c r="H19" i="36" s="1"/>
  <c r="P71" i="16"/>
  <c r="P70" i="16"/>
  <c r="P69" i="16"/>
  <c r="I19" i="36" s="1"/>
  <c r="Q71" i="16"/>
  <c r="Q70" i="16"/>
  <c r="Q69" i="16"/>
  <c r="R71" i="16"/>
  <c r="R70" i="16"/>
  <c r="R69" i="16"/>
  <c r="J56" i="16"/>
  <c r="J55" i="16"/>
  <c r="J54" i="16"/>
  <c r="L56" i="16"/>
  <c r="L55" i="16"/>
  <c r="L54" i="16"/>
  <c r="M56" i="16"/>
  <c r="M55" i="16"/>
  <c r="M54" i="16"/>
  <c r="N56" i="16"/>
  <c r="N55" i="16"/>
  <c r="N54" i="16"/>
  <c r="O56" i="16"/>
  <c r="O55" i="16"/>
  <c r="O54" i="16"/>
  <c r="P56" i="16"/>
  <c r="P55" i="16"/>
  <c r="P54" i="16"/>
  <c r="Q56" i="16"/>
  <c r="Q55" i="16"/>
  <c r="Q54" i="16"/>
  <c r="R56" i="16"/>
  <c r="R55" i="16"/>
  <c r="R54" i="16"/>
  <c r="AG32" i="17"/>
  <c r="AG31" i="17"/>
  <c r="AG30" i="17"/>
  <c r="AI32" i="17"/>
  <c r="AI31" i="17"/>
  <c r="AI30" i="17"/>
  <c r="AJ32" i="17"/>
  <c r="AJ31" i="17"/>
  <c r="AJ30" i="17"/>
  <c r="AK32" i="17"/>
  <c r="AK31" i="17"/>
  <c r="AK30" i="17"/>
  <c r="AL32" i="17"/>
  <c r="AL31" i="17"/>
  <c r="AL30" i="17"/>
  <c r="AM32" i="17"/>
  <c r="AM31" i="17"/>
  <c r="AM30" i="17"/>
  <c r="AN32" i="17"/>
  <c r="AN31" i="17"/>
  <c r="AN30" i="17"/>
  <c r="AO32" i="17"/>
  <c r="AO31" i="17"/>
  <c r="AO30" i="17"/>
  <c r="AG17" i="17"/>
  <c r="AG16" i="17"/>
  <c r="AG15" i="17"/>
  <c r="AI17" i="17"/>
  <c r="AI16" i="17"/>
  <c r="AI15" i="17"/>
  <c r="AJ17" i="17"/>
  <c r="AJ16" i="17"/>
  <c r="AJ15" i="17"/>
  <c r="AK17" i="17"/>
  <c r="AK16" i="17"/>
  <c r="AK15" i="17"/>
  <c r="AL17" i="17"/>
  <c r="AL16" i="17"/>
  <c r="AL15" i="17"/>
  <c r="AM17" i="17"/>
  <c r="AM16" i="17"/>
  <c r="AM15" i="17"/>
  <c r="AN17" i="17"/>
  <c r="AN16" i="17"/>
  <c r="AN15" i="17"/>
  <c r="AO17" i="17"/>
  <c r="AO16" i="17"/>
  <c r="AO15" i="17"/>
  <c r="J97" i="18"/>
  <c r="J96" i="18"/>
  <c r="J95" i="18"/>
  <c r="L97" i="18"/>
  <c r="L96" i="18"/>
  <c r="L95" i="18"/>
  <c r="E17" i="36" s="1"/>
  <c r="M97" i="18"/>
  <c r="M96" i="18"/>
  <c r="M95" i="18"/>
  <c r="N97" i="18"/>
  <c r="N96" i="18"/>
  <c r="N95" i="18"/>
  <c r="O97" i="18"/>
  <c r="O96" i="18"/>
  <c r="O95" i="18"/>
  <c r="H17" i="36" s="1"/>
  <c r="P97" i="18"/>
  <c r="P96" i="18"/>
  <c r="P95" i="18"/>
  <c r="I17" i="36" s="1"/>
  <c r="Q97" i="18"/>
  <c r="Q96" i="18"/>
  <c r="Q95" i="18"/>
  <c r="J17" i="36" s="1"/>
  <c r="R97" i="18"/>
  <c r="R96" i="18"/>
  <c r="R95" i="18"/>
  <c r="K17" i="36" s="1"/>
  <c r="J80" i="18"/>
  <c r="J79" i="18"/>
  <c r="J78" i="18"/>
  <c r="L80" i="18"/>
  <c r="L79" i="18"/>
  <c r="L78" i="18"/>
  <c r="M80" i="18"/>
  <c r="M79" i="18"/>
  <c r="M78" i="18"/>
  <c r="N80" i="18"/>
  <c r="N79" i="18"/>
  <c r="N78" i="18"/>
  <c r="O80" i="18"/>
  <c r="O79" i="18"/>
  <c r="O78" i="18"/>
  <c r="P80" i="18"/>
  <c r="P79" i="18"/>
  <c r="P78" i="18"/>
  <c r="Q80" i="18"/>
  <c r="Q79" i="18"/>
  <c r="Q78" i="18"/>
  <c r="R80" i="18"/>
  <c r="R79" i="18"/>
  <c r="R78" i="18"/>
  <c r="J71" i="19"/>
  <c r="J70" i="19"/>
  <c r="J69" i="19"/>
  <c r="L71" i="19"/>
  <c r="L70" i="19"/>
  <c r="L69" i="19"/>
  <c r="M71" i="19"/>
  <c r="M70" i="19"/>
  <c r="M69" i="19"/>
  <c r="N71" i="19"/>
  <c r="N70" i="19"/>
  <c r="N69" i="19"/>
  <c r="O71" i="19"/>
  <c r="O70" i="19"/>
  <c r="O69" i="19"/>
  <c r="P65" i="19"/>
  <c r="Q71" i="19"/>
  <c r="Q70" i="19"/>
  <c r="Q69" i="19"/>
  <c r="R71" i="19"/>
  <c r="R70" i="19"/>
  <c r="R69" i="19"/>
  <c r="J60" i="20"/>
  <c r="J59" i="20"/>
  <c r="J58" i="20"/>
  <c r="L60" i="20"/>
  <c r="L59" i="20"/>
  <c r="L58" i="20"/>
  <c r="M60" i="20"/>
  <c r="M59" i="20"/>
  <c r="M58" i="20"/>
  <c r="N60" i="20"/>
  <c r="N59" i="20"/>
  <c r="N58" i="20"/>
  <c r="O60" i="20"/>
  <c r="O59" i="20"/>
  <c r="O58" i="20"/>
  <c r="P60" i="20"/>
  <c r="P59" i="20"/>
  <c r="P58" i="20"/>
  <c r="Q60" i="20"/>
  <c r="Q59" i="20"/>
  <c r="Q58" i="20"/>
  <c r="R60" i="20"/>
  <c r="R59" i="20"/>
  <c r="R58" i="20"/>
  <c r="J46" i="20"/>
  <c r="J45" i="20"/>
  <c r="J44" i="20"/>
  <c r="L46" i="20"/>
  <c r="L45" i="20"/>
  <c r="L44" i="20"/>
  <c r="M46" i="20"/>
  <c r="M45" i="20"/>
  <c r="M44" i="20"/>
  <c r="N46" i="20"/>
  <c r="N45" i="20"/>
  <c r="N44" i="20"/>
  <c r="O46" i="20"/>
  <c r="O45" i="20"/>
  <c r="O44" i="20"/>
  <c r="P46" i="20"/>
  <c r="P45" i="20"/>
  <c r="P44" i="20"/>
  <c r="Q46" i="20"/>
  <c r="Q45" i="20"/>
  <c r="Q44" i="20"/>
  <c r="R46" i="20"/>
  <c r="R45" i="20"/>
  <c r="R44" i="20"/>
  <c r="AJ38" i="14" l="1"/>
  <c r="P71" i="19"/>
  <c r="P70" i="19"/>
  <c r="P69" i="19"/>
  <c r="I21" i="36" s="1"/>
  <c r="AH116" i="2"/>
  <c r="AH115" i="2"/>
  <c r="AH114" i="2"/>
  <c r="AD116" i="2"/>
  <c r="AD115" i="2"/>
  <c r="AD114" i="2"/>
  <c r="AG116" i="2"/>
  <c r="AG115" i="2"/>
  <c r="AG114" i="2"/>
  <c r="I25" i="36" s="1"/>
  <c r="AC116" i="2"/>
  <c r="AC115" i="2"/>
  <c r="AC114" i="2"/>
  <c r="AF116" i="2"/>
  <c r="AF115" i="2"/>
  <c r="AF114" i="2"/>
  <c r="H25" i="36" s="1"/>
  <c r="AB116" i="2"/>
  <c r="AB115" i="2"/>
  <c r="AB114" i="2"/>
  <c r="AE116" i="2"/>
  <c r="AE115" i="2"/>
  <c r="AE114" i="2"/>
  <c r="AA116" i="2"/>
  <c r="AA115" i="2"/>
  <c r="AA114" i="2"/>
  <c r="C25" i="36" s="1"/>
  <c r="AL35" i="1"/>
  <c r="AL34" i="1"/>
  <c r="AL33" i="1"/>
  <c r="J24" i="36" s="1"/>
  <c r="AH35" i="1"/>
  <c r="AH34" i="1"/>
  <c r="AH33" i="1"/>
  <c r="F24" i="36" s="1"/>
  <c r="AK35" i="1"/>
  <c r="AK34" i="1"/>
  <c r="AG35" i="1"/>
  <c r="AG34" i="1"/>
  <c r="AG33" i="1"/>
  <c r="E24" i="36" s="1"/>
  <c r="AJ35" i="1"/>
  <c r="AJ34" i="1"/>
  <c r="AJ33" i="1"/>
  <c r="H24" i="36" s="1"/>
  <c r="AF35" i="1"/>
  <c r="AF34" i="1"/>
  <c r="AF33" i="1"/>
  <c r="D24" i="36" s="1"/>
  <c r="AI35" i="1"/>
  <c r="AI34" i="1"/>
  <c r="AI33" i="1"/>
  <c r="G24" i="36" s="1"/>
  <c r="AE35" i="1"/>
  <c r="AE34" i="1"/>
  <c r="AE33" i="1"/>
  <c r="C24" i="36" s="1"/>
  <c r="AJ39" i="14" l="1"/>
  <c r="AJ40" i="14" l="1"/>
  <c r="AJ44" i="14" s="1"/>
  <c r="AJ43" i="14" l="1"/>
  <c r="AJ42" i="14"/>
  <c r="AC13" i="29"/>
  <c r="AC15" i="29"/>
  <c r="AC17" i="29" l="1"/>
  <c r="AC16" i="29"/>
  <c r="AB12" i="28"/>
  <c r="AB17" i="28"/>
  <c r="AB15" i="28" l="1"/>
  <c r="AB16" i="28"/>
  <c r="AJ65" i="31"/>
  <c r="AJ73" i="31"/>
  <c r="AJ72" i="31" l="1"/>
  <c r="AJ71" i="31"/>
</calcChain>
</file>

<file path=xl/sharedStrings.xml><?xml version="1.0" encoding="utf-8"?>
<sst xmlns="http://schemas.openxmlformats.org/spreadsheetml/2006/main" count="10093" uniqueCount="1524">
  <si>
    <t>SUMMARY OF 2025 WATER QUALITY ANALYSIS</t>
  </si>
  <si>
    <t>Regular Monitoring</t>
  </si>
  <si>
    <t>Water Classification for WQG</t>
  </si>
  <si>
    <t>Annual Average</t>
  </si>
  <si>
    <t>DO</t>
  </si>
  <si>
    <t>BOD</t>
  </si>
  <si>
    <t>TSS</t>
  </si>
  <si>
    <t>pH</t>
  </si>
  <si>
    <t>TEMP</t>
  </si>
  <si>
    <t>COLOR</t>
  </si>
  <si>
    <t>FECAL COLIFORM</t>
  </si>
  <si>
    <t>NITRATES</t>
  </si>
  <si>
    <t>PHOSPHATES</t>
  </si>
  <si>
    <t>CHLORIDES</t>
  </si>
  <si>
    <t>Priority Water Bodies</t>
  </si>
  <si>
    <t>Bocaue River</t>
  </si>
  <si>
    <t>C</t>
  </si>
  <si>
    <t>Santa Maria River</t>
  </si>
  <si>
    <t>Other Water Bodies</t>
  </si>
  <si>
    <t>Pampanga River</t>
  </si>
  <si>
    <t>Labangan River</t>
  </si>
  <si>
    <t>Angat River</t>
  </si>
  <si>
    <t>B</t>
  </si>
  <si>
    <t>Talavera River</t>
  </si>
  <si>
    <t>Bagsit River</t>
  </si>
  <si>
    <t>Pudoc River</t>
  </si>
  <si>
    <t>Palakol River</t>
  </si>
  <si>
    <t>Priority Recreational Waterbodies</t>
  </si>
  <si>
    <t>Bagac Bay</t>
  </si>
  <si>
    <t>SB</t>
  </si>
  <si>
    <t>Baler Bay</t>
  </si>
  <si>
    <t>Morong Bay</t>
  </si>
  <si>
    <t>Subic Bay</t>
  </si>
  <si>
    <t>Other Recreational Waterbodies</t>
  </si>
  <si>
    <t>Iba Beach</t>
  </si>
  <si>
    <t>MMORS</t>
  </si>
  <si>
    <t>Marilao River</t>
  </si>
  <si>
    <t>A/C</t>
  </si>
  <si>
    <t>Meycauayan River</t>
  </si>
  <si>
    <t>Obando River</t>
  </si>
  <si>
    <t>SUMMARY REPORT OF WATER QUALITY MONITORING DATA</t>
  </si>
  <si>
    <t>SUBMITTED BY THE REGIONAL OFFICES</t>
  </si>
  <si>
    <t>CY 2025</t>
  </si>
  <si>
    <t>MARILAO RIVER</t>
  </si>
  <si>
    <t>CLASS C ( 5 STATIONS )</t>
  </si>
  <si>
    <t>Region</t>
  </si>
  <si>
    <t>Parameter</t>
  </si>
  <si>
    <t>Stn. No.</t>
  </si>
  <si>
    <t>Stn. ID</t>
  </si>
  <si>
    <t>Address</t>
  </si>
  <si>
    <t>January</t>
  </si>
  <si>
    <t>February</t>
  </si>
  <si>
    <t>March</t>
  </si>
  <si>
    <t>April</t>
  </si>
  <si>
    <t>May</t>
  </si>
  <si>
    <t>June</t>
  </si>
  <si>
    <t>July</t>
  </si>
  <si>
    <t>August</t>
  </si>
  <si>
    <t>September</t>
  </si>
  <si>
    <t>October</t>
  </si>
  <si>
    <t>November</t>
  </si>
  <si>
    <t>December</t>
  </si>
  <si>
    <t>Average/Geomean</t>
  </si>
  <si>
    <t>WQG</t>
  </si>
  <si>
    <t>Code</t>
  </si>
  <si>
    <t>III</t>
  </si>
  <si>
    <t>DO (mg/L)</t>
  </si>
  <si>
    <t>Marilao-Caloocan Bridge</t>
  </si>
  <si>
    <t>Loma De Gato, Marilao, Bulacan</t>
  </si>
  <si>
    <t>MAR_1</t>
  </si>
  <si>
    <t>Water Quality Statistical Report</t>
  </si>
  <si>
    <t>Prenza Dam</t>
  </si>
  <si>
    <t>Prenza II, Marilao, Bulacan</t>
  </si>
  <si>
    <t>MAR_2</t>
  </si>
  <si>
    <t>1st Semi-Annual 2025</t>
  </si>
  <si>
    <t>Expressway Bridge</t>
  </si>
  <si>
    <t>Patubig, Marilao, Bulacan</t>
  </si>
  <si>
    <t>MAR_3</t>
  </si>
  <si>
    <t>PARAMETERS</t>
  </si>
  <si>
    <t>Mc Arthur Bridge</t>
  </si>
  <si>
    <t>Tabing Ilog, Marilao, Bulacan</t>
  </si>
  <si>
    <t>MAR_4</t>
  </si>
  <si>
    <t>Province / Municipality</t>
  </si>
  <si>
    <t>Waterbody</t>
  </si>
  <si>
    <t>Class</t>
  </si>
  <si>
    <t>No. of Station</t>
  </si>
  <si>
    <t>Name of Station</t>
  </si>
  <si>
    <t>Ibayo Bridge</t>
  </si>
  <si>
    <t>Ibayo, Marilao, Bulacan</t>
  </si>
  <si>
    <t>MAR_5</t>
  </si>
  <si>
    <t>MARILAO, BULACAN</t>
  </si>
  <si>
    <t>BOD (mg/L)</t>
  </si>
  <si>
    <t>TSS (mg/L)</t>
  </si>
  <si>
    <t>AVERAGE</t>
  </si>
  <si>
    <t>MINIMUM</t>
  </si>
  <si>
    <t>MAXIMUM</t>
  </si>
  <si>
    <t>STANDARD</t>
  </si>
  <si>
    <t>5 mg/L</t>
  </si>
  <si>
    <t>7 mg/L</t>
  </si>
  <si>
    <t>80 mg/L</t>
  </si>
  <si>
    <t xml:space="preserve">6.5-9.0 </t>
  </si>
  <si>
    <t>25-31 °C</t>
  </si>
  <si>
    <t>75 TCU</t>
  </si>
  <si>
    <t>200 MPN/100 L</t>
  </si>
  <si>
    <t>0.025 mg/L</t>
  </si>
  <si>
    <t>350 mg/L</t>
  </si>
  <si>
    <t>6.5-9.0</t>
  </si>
  <si>
    <t>Annual 2025</t>
  </si>
  <si>
    <t>Temp. (°C)</t>
  </si>
  <si>
    <t>25-31</t>
  </si>
  <si>
    <t>Color (TCU)</t>
  </si>
  <si>
    <t>Fecal Coliform (MPN/100mL)</t>
  </si>
  <si>
    <t>16.000,000</t>
  </si>
  <si>
    <r>
      <rPr>
        <b/>
        <sz val="11"/>
        <color theme="1"/>
        <rFont val="Times New Roman"/>
      </rPr>
      <t>NO</t>
    </r>
    <r>
      <rPr>
        <b/>
        <vertAlign val="subscript"/>
        <sz val="11"/>
        <color theme="1"/>
        <rFont val="Times New Roman"/>
      </rPr>
      <t>3</t>
    </r>
    <r>
      <rPr>
        <b/>
        <sz val="11"/>
        <color theme="1"/>
        <rFont val="Times New Roman"/>
      </rPr>
      <t>-N (mg/L)</t>
    </r>
  </si>
  <si>
    <r>
      <rPr>
        <b/>
        <sz val="11"/>
        <color rgb="FFFFFFFF"/>
        <rFont val="Times New Roman"/>
      </rPr>
      <t>NO</t>
    </r>
    <r>
      <rPr>
        <b/>
        <vertAlign val="subscript"/>
        <sz val="11"/>
        <color rgb="FFFFFFFF"/>
        <rFont val="Times New Roman"/>
      </rPr>
      <t>3</t>
    </r>
    <r>
      <rPr>
        <b/>
        <sz val="11"/>
        <color rgb="FFFFFFFF"/>
        <rFont val="Times New Roman"/>
      </rPr>
      <t>-N (mg/L)</t>
    </r>
  </si>
  <si>
    <r>
      <rPr>
        <b/>
        <sz val="11"/>
        <color theme="1"/>
        <rFont val="Times New Roman"/>
      </rPr>
      <t>PO</t>
    </r>
    <r>
      <rPr>
        <b/>
        <vertAlign val="subscript"/>
        <sz val="11"/>
        <color theme="1"/>
        <rFont val="Times New Roman"/>
      </rPr>
      <t>4</t>
    </r>
    <r>
      <rPr>
        <b/>
        <sz val="11"/>
        <color theme="1"/>
        <rFont val="Times New Roman"/>
      </rPr>
      <t>-P (mg/L)</t>
    </r>
  </si>
  <si>
    <r>
      <rPr>
        <b/>
        <sz val="11"/>
        <color rgb="FFFFFFFF"/>
        <rFont val="Times New Roman"/>
      </rPr>
      <t>PO</t>
    </r>
    <r>
      <rPr>
        <b/>
        <vertAlign val="subscript"/>
        <sz val="11"/>
        <color rgb="FFFFFFFF"/>
        <rFont val="Times New Roman"/>
      </rPr>
      <t>4</t>
    </r>
    <r>
      <rPr>
        <b/>
        <sz val="11"/>
        <color rgb="FFFFFFFF"/>
        <rFont val="Times New Roman"/>
      </rPr>
      <t>-P (mg/L)</t>
    </r>
  </si>
  <si>
    <t>Cl- (mg/L)</t>
  </si>
  <si>
    <t>Oil &amp; Grease</t>
  </si>
  <si>
    <t>-</t>
  </si>
  <si>
    <t>Observation</t>
  </si>
  <si>
    <t>Near subdivision/ residential area, presence of few solid waste floating</t>
  </si>
  <si>
    <t>Presence of floating debris and near residential area</t>
  </si>
  <si>
    <t>Subdivision area, presence of floating solid waste</t>
  </si>
  <si>
    <t>Subdivision area, volume of solid waste on river bank</t>
  </si>
  <si>
    <t>Presence of few solid waste, near residential and market area</t>
  </si>
  <si>
    <t>Presence of few solid waste</t>
  </si>
  <si>
    <t>residential area, adjacent to market, presence of solid waste materials such as food wrapper, plastics, woods and leaves</t>
  </si>
  <si>
    <t>presence of solid wastes on river bank</t>
  </si>
  <si>
    <t>presence of few floating solid waste, visible solid waste on riverbank</t>
  </si>
  <si>
    <t>turbid water, presence of few solid waste, residential area</t>
  </si>
  <si>
    <t>visible of solid waste on river bank, residential area</t>
  </si>
  <si>
    <t>water  discharge from drainage canal/ presence of solid waste</t>
  </si>
  <si>
    <t>Mixed land, presence of few floating solid waste</t>
  </si>
  <si>
    <t>Presence of floating debris, Near Dam</t>
  </si>
  <si>
    <t>Residential area, presence of few floating of solid waste.</t>
  </si>
  <si>
    <t>Mixed land, few solid waste afloat</t>
  </si>
  <si>
    <t>Mixed land, presence of few floating of solid waste, on-going rehabilitation of dam</t>
  </si>
  <si>
    <t>presence of solid few solid waste</t>
  </si>
  <si>
    <t>few floating of solid waste</t>
  </si>
  <si>
    <t>presence of few floating solid waste, visible of heavy equipment</t>
  </si>
  <si>
    <t>turbid water, visible of fishing boat, presence of few solid waste,</t>
  </si>
  <si>
    <t>visible of heavy equipment, presence of few solid waste</t>
  </si>
  <si>
    <t>Visible solid wastes/ residential area</t>
  </si>
  <si>
    <t>Mixed land, presence of few floating solid waste, on-going construction of bridge nesar the station</t>
  </si>
  <si>
    <t>Near national highway, presence of floating debris</t>
  </si>
  <si>
    <t>Mixed land, presence of few floating of solid waste, near dressing plant</t>
  </si>
  <si>
    <t>adjacent to residential area, minimal solid waste observed</t>
  </si>
  <si>
    <t>floating of solid waste, boat visible near the station</t>
  </si>
  <si>
    <t>presence of few floating solid waste, no usual activity</t>
  </si>
  <si>
    <t>turbid water, presence of few solid waste</t>
  </si>
  <si>
    <t>near dressing plant, presence of few solid waste</t>
  </si>
  <si>
    <t>Visible oil sheen/presence of solid wastes</t>
  </si>
  <si>
    <t>Near public market, residential area, presence of few solid waste</t>
  </si>
  <si>
    <t>Presence of floating debris, trash trap and near national road</t>
  </si>
  <si>
    <t>Residential area, presence of vol. of solid waste trapped by trash trap</t>
  </si>
  <si>
    <t>Residential area, near Public market, presence of few floating solid waste</t>
  </si>
  <si>
    <t>near public market, few solid waste afloat</t>
  </si>
  <si>
    <t>Near Public market, residential area, presence of few floating of solid wastes</t>
  </si>
  <si>
    <t>adjacent to public market, solid waste scattered along the river</t>
  </si>
  <si>
    <t>few floating of solid waste, residential area, sighting of fishing boat near the station</t>
  </si>
  <si>
    <t>presence of few floating solid waste, visible of fishing boat and heavy equipment</t>
  </si>
  <si>
    <t>visiblr of fishing boat, near public market, residential area, presence of few solid waste and hyacint</t>
  </si>
  <si>
    <t>presence of few solid wastes/ near residential and commercial areas.</t>
  </si>
  <si>
    <t>Densely populated area, presence of few floating solid waste</t>
  </si>
  <si>
    <t>Floating debris present, near residential area</t>
  </si>
  <si>
    <t>Residential area, few floating of solid waste</t>
  </si>
  <si>
    <t>Residential area, presence of few floating of solid wastes</t>
  </si>
  <si>
    <t>along NLEX, minimal solid waste</t>
  </si>
  <si>
    <t>few floating of solid waste, residential area</t>
  </si>
  <si>
    <t>presence of volume of solid waste/residual waste</t>
  </si>
  <si>
    <t>presence of few solid waste, on going pumping of water, residential area</t>
  </si>
  <si>
    <t>Ongoing retrieval of solid wastes/ near residential areas/ visible oil sheen</t>
  </si>
  <si>
    <t>Date</t>
  </si>
  <si>
    <t>* May 2025 sampling resulted in similar fecal coliform levels in 4 stations, which may have stemmed from the low flow rate induced by the dry season. This caused the low dilution of the waterbody and may have increased the concentration of pollutants in those stations. Due to the similar conditions of the abovementioned stations as per the field observations, the probability of the similarity in fecal coliform levels in these stations have increased.</t>
  </si>
  <si>
    <t>ANALYSIS:</t>
  </si>
  <si>
    <t>The 2025 water quality monitoring of Marilao River, Class C, covering five stations, indicates that the river is heavily polluted and not fully compliant with water quality standards. Dissolved oxygen (DO) levels were consistently below the 5 mg/L standard, with the lowest recorded at 0.10 mg/L and averages ranging from 2.11 to 3.84 mg/L, suggesting poor aeration and potential stress to aquatic organisms. Biological oxygen demand (BOD) was elevated across all stations, averaging 17.9 to 26.1 mg/L, indicating significant organic pollution from domestic and commercial sources. Total suspended solids (TSS) remained below the 80 mg/L limit but fluctuated between 27.17 to 31.17 mg/L, reflecting sedimentation, runoff, and construction influences. pH values ranged from 6.98 to 7.80, within the Class C acceptable range of 6.5–9.0, while water temperatures varied from 26.7°C to 33.9°C, generally within standard limits. Nutrient levels showed phosphate (PO4-P) consistently exceeding the allowable 0.025 mg/L, while nitrate (NO3-N) remained variable but within Class C limits, indicating potential eutrophication risks. Chloride and oil &amp; grease concentrations were generally within WQG limits, though occasional spikes were observed. Fecal coliform counts were extremely high, with the highest recorded at 160,000,000 MPN/100 mL, far exceeding the 200 MPN/100 mL guideline, indicating severe bacterial contamination likely from untreated sewage and market wastes. Field observations consistently reported floating solid waste, debris, and proximity to residential and commercial areas, highlighting significant anthropogenic pressures. Overall, the Marilao River exhibits high organic and microbial pollution, poor oxygenation, and nutrient enrichment, posing serious environmental and public health concerns.</t>
  </si>
  <si>
    <t>MEYCAUAYAN RIVER</t>
  </si>
  <si>
    <t>Perez Bridge</t>
  </si>
  <si>
    <t>Pantoc, Meycauayan, Bulacan</t>
  </si>
  <si>
    <t>MEY_1</t>
  </si>
  <si>
    <t>Lawa, Meycauayan, Bulacan</t>
  </si>
  <si>
    <t>MEY_2</t>
  </si>
  <si>
    <t>Viente Reales Bridge</t>
  </si>
  <si>
    <t>Viente Reales, Valenzuela, Metro Manila</t>
  </si>
  <si>
    <t>MEY_3</t>
  </si>
  <si>
    <t>McArthur Highway</t>
  </si>
  <si>
    <t>Calvario, Meycauayan, Bulacan</t>
  </si>
  <si>
    <t>MEY_4</t>
  </si>
  <si>
    <t>Meymart Bridge</t>
  </si>
  <si>
    <t>Poblacion, Meycauayan, Bulacan</t>
  </si>
  <si>
    <t>MEY_5</t>
  </si>
  <si>
    <t>Industrial/ residential area, presence of vol. of solid waste</t>
  </si>
  <si>
    <t>Industrial/ Residential area, presence of vol. of solid waste</t>
  </si>
  <si>
    <t>industrial / residential area, few floating of solid waste</t>
  </si>
  <si>
    <t>industrial/ residential area, volume of solid waste trapped near the station</t>
  </si>
  <si>
    <t>Industrial/ residential area, presence of few floating of solid waste</t>
  </si>
  <si>
    <t>Industrial/ residential area, presence of few solid waste and vegetation on riverbank</t>
  </si>
  <si>
    <t>large volume of water, strong current, presence of solid wastes on riverbank</t>
  </si>
  <si>
    <t>formation of bubbles, few solid waste, water dishcarge from canal</t>
  </si>
  <si>
    <t>-presence of few solid waste, industrial or residential aea</t>
  </si>
  <si>
    <t xml:space="preserve">presence of few solid waste and rotten hyacinth, near hospital and public market </t>
  </si>
  <si>
    <t>few solid waste, water discharge from canal</t>
  </si>
  <si>
    <t>Presence of solid wastes/ presence of water hyacinth/ near public market/ hospital</t>
  </si>
  <si>
    <t>idle land/ area, presence of vol. of floating solid waste and styrofoam</t>
  </si>
  <si>
    <t>mixed , presence vol. of solid waste</t>
  </si>
  <si>
    <t>mixed land , few floating of solid waste</t>
  </si>
  <si>
    <t>Idle land/ area, floating of few rotten water lily and solid wastes</t>
  </si>
  <si>
    <t>mixed land, presence of vol. of solid waste, mainly plastic</t>
  </si>
  <si>
    <t>Mixed land/ area, presence of few floating of solid waste and water lily</t>
  </si>
  <si>
    <t>few floating of solid waste, on-going pumping of flood water</t>
  </si>
  <si>
    <t>floating of algae and few solid waste, discoloration of water</t>
  </si>
  <si>
    <t>-visible of oil sheen and algae, discoloration of water, presence of few solid waste and hyacinth</t>
  </si>
  <si>
    <t>presence of volume of hyacinth and solid waste, residential area</t>
  </si>
  <si>
    <t>visible oil sheen, algae, heavy silted, presence of solid waste</t>
  </si>
  <si>
    <t>Presence of solid waste and water hyacinth/ formation of foam in the water observed/ presence of algae/ heavily silted</t>
  </si>
  <si>
    <t>Near gasoline station, industrial/ residential area, presence of few floating solid waste</t>
  </si>
  <si>
    <t>Residential/ industrial area, near gasoline station and presence of few floating solid waste observed</t>
  </si>
  <si>
    <t>industrial / commercial area, near gasoline station, few floating of solid waste</t>
  </si>
  <si>
    <t>commercial/ industrial area, near gas station, few floating of solid waste</t>
  </si>
  <si>
    <t>Near gasoline station, industrial/residential area, presence of few floating solid waste</t>
  </si>
  <si>
    <t xml:space="preserve">Industrial/ residential area, near gasoline station, (kangkong) vegetation along riverbank </t>
  </si>
  <si>
    <t>presence of oil filom observed during sampling, few floating of algae</t>
  </si>
  <si>
    <t>sighting of oil-film, floating of algae, near gasoline station</t>
  </si>
  <si>
    <t>visible of algae and oil sheen, presence of few solid waste, near gas station</t>
  </si>
  <si>
    <t>visible of few floating algae and oil sheen, discharge water from municipal drainage canal</t>
  </si>
  <si>
    <t>visible oil sheen, algae, heavy silted, presence of solid waste, presence of few solid waste</t>
  </si>
  <si>
    <t>Formation of foam in the water/ heavily silted/ observed discharge from drainage canal</t>
  </si>
  <si>
    <t>Mixed land, presence of few floating solid waste and water lily</t>
  </si>
  <si>
    <t>mixed land, presence of few floating solid waste</t>
  </si>
  <si>
    <t>Mixed land/ area, few floating of rotten water lily, on-going pumping of wate near the station</t>
  </si>
  <si>
    <t>Mixed land, presence of few floating of solid wastes and rotten water lily</t>
  </si>
  <si>
    <t>mixed land/ area, presence of few floating solid waste</t>
  </si>
  <si>
    <t>vol. of water hyacinth, on-going pumping of flood water</t>
  </si>
  <si>
    <t>vol. of water hyacinth and few solid waste, floating of algae</t>
  </si>
  <si>
    <t>presence of volume of hyacinth and few solid waste</t>
  </si>
  <si>
    <t>visible of oil sheen, presence of solid waste especially plastic, heavy silted</t>
  </si>
  <si>
    <t>vol. of water lily and solid waste, heavy silted, water discharge at pumping station, visible oil sheen</t>
  </si>
  <si>
    <t xml:space="preserve">Discoloration in the water/presence of algae/ formation of foam in the water observed/ oil sheen observed/ </t>
  </si>
  <si>
    <t>Near public market and hospital, presence of few floating solid waste and water lily</t>
  </si>
  <si>
    <t>Near Hospital, public market &amp; presence of few floating solid waste and water lily observed</t>
  </si>
  <si>
    <t>Near hospital &amp; public market, residential area, few floating of solid waste and water lily</t>
  </si>
  <si>
    <t>Near Public market &amp; hospital, residential area, few floating of solid waste</t>
  </si>
  <si>
    <t>Near Public markiet/ Hospital, presence of few floating solid wastes</t>
  </si>
  <si>
    <t>Near Hospital, near public market, presence of few floating solid waste</t>
  </si>
  <si>
    <t>Near Hospital &amp; Public Market, residential area, few floating of water hyacinth</t>
  </si>
  <si>
    <t>sighting of oil-film, vol. of water hyacinth and few solid waste, near hospital and public market</t>
  </si>
  <si>
    <t>near hospital and public market, presence of few solid waste</t>
  </si>
  <si>
    <t>visible of bubbles, residential area, presence of few solid waste</t>
  </si>
  <si>
    <t>few solid waste and water hyacinth, near public market and hospital, visible oil sheen</t>
  </si>
  <si>
    <t>formation of foam in the water/ presence of solid waste/ observed discharge from drainage canal</t>
  </si>
  <si>
    <t xml:space="preserve">Date of  sampling </t>
  </si>
  <si>
    <t>MEYCAUAYAN, BULACAN</t>
  </si>
  <si>
    <t>The 2025 water quality monitoring of Meycauayan River, Class C, across five stations, reveals severe pollution and widespread noncompliance with water quality standards. Dissolved oxygen (DO) levels were consistently below the 5 mg/L standard, ranging from a lowest of 0.10 mg/L to 4.95 mg/L, indicating poor aeration and high stress on aquatic organisms. Biological oxygen demand (BOD) was significantly elevated, with station averages from 27 to 68 mg/L and peaks up to 184 mg/L, reflecting heavy organic pollution from residential, commercial, and industrial sources. Total suspended solids (TSS) remained below the 80 mg/L limit but fluctuated widely (27 to 236 mg/L), showing sediment and runoff influence. pH values were within the acceptable 6.5–9.0 range (6.85–7.93), while water temperature ranged from 25.9°C to 31°C, mostly within Class C limits. Nutrients were concerning: phosphate (PO4-P) averaged 0.462–0.908 mg/L, far exceeding the 0.025 mg/L limit, and nitrate (NO3-N) was variable (0.096–0.621 mg/L), indicating eutrophication risks. Chloride concentrations were generally within guidelines (24–131 mg/L), and oil &amp; grease were mostly low, though occasional spikes were noted. Fecal coliform counts were extremely high, with the highest at 920,000,000 MPN/100 mL versus the 200 MPN/100 mL guideline, demonstrating severe bacterial contamination from untreated sewage and market waste. Field observations consistently noted floating solid waste, water hyacinth, oil sheen, and proximity to residential, market, and industrial areas, highlighting intense anthropogenic impact. Overall, the river exhibits high organic and microbial pollution, poor oxygenation, nutrient enrichment, and strong human disturbance, posing serious environmental and public health risks.</t>
  </si>
  <si>
    <t>OBANDO RIVER</t>
  </si>
  <si>
    <t>CLASS C ( 3 STATIONS )</t>
  </si>
  <si>
    <t>Polo Bridge</t>
  </si>
  <si>
    <t>Polo, Valenzuela City, Metro Manila</t>
  </si>
  <si>
    <t>OBN_1</t>
  </si>
  <si>
    <t>Fishport Near Public Market</t>
  </si>
  <si>
    <t>Paliwas, Obando, Bulacan</t>
  </si>
  <si>
    <t>OBN_2</t>
  </si>
  <si>
    <t>Tawiran Bridge</t>
  </si>
  <si>
    <t>Tawiran, Obando, Bulacan</t>
  </si>
  <si>
    <t>OBN_3</t>
  </si>
  <si>
    <t>OBANDO, BULACAN</t>
  </si>
  <si>
    <t>920,.000</t>
  </si>
  <si>
    <t>near residential area/ commercial area, presence of few floating solid waste</t>
  </si>
  <si>
    <t>Residential/ commercial area and presence of few floating of solid waste</t>
  </si>
  <si>
    <t>Residential/ commercial area, few floating of soliid waste</t>
  </si>
  <si>
    <t>Residential/ commercial area, public market, few solid waste afloat</t>
  </si>
  <si>
    <t>Commercial/ residential area, presence of few floating of solid wastes</t>
  </si>
  <si>
    <t>On-going construction of bridge, dredging vessel anchored near sampling station, near fishpond &amp; few residential houses</t>
  </si>
  <si>
    <t>residential/ commercial area, presence of few solid waste afloat</t>
  </si>
  <si>
    <t>on-going construction of bridge, dredging ship docked near the station, presence of few floating of solid waste and hyacinth</t>
  </si>
  <si>
    <t>visible of fishing boat/heavy equipment,on going construction of bridge,presence of hyacinth/solid waste</t>
  </si>
  <si>
    <t>on-gong construction of bridge, visible of dredging equipment and heavy equipment, presence of few rotten hyacinth and solid waste</t>
  </si>
  <si>
    <t>visible of  solid waste, hyacinth and bubbles, stagnant water</t>
  </si>
  <si>
    <t>Presence of rotting organic matter/ near residential and commercial area</t>
  </si>
  <si>
    <t>Docking area of fishing boats, presence of few solid waste, near public market</t>
  </si>
  <si>
    <t>Near boat docking area of motorboats, Public market and  presence of few floating of solid waste</t>
  </si>
  <si>
    <t>Docking area of motorboats, near fish port/ public market, residential area</t>
  </si>
  <si>
    <t>Near fish port, docking area, public market and few solid waste afloat</t>
  </si>
  <si>
    <t>Near fishport/ public market/ boat terminal, presence of few floating of solid wastes</t>
  </si>
  <si>
    <t>Presence of Solid waste, neasr fish port, near residential/ commercial area</t>
  </si>
  <si>
    <t>boat docking area, near fish port&amp;public market and presence of few solid waste afloat</t>
  </si>
  <si>
    <t>presence of solid waste especially plastic, docking of boats, near fish port and public market</t>
  </si>
  <si>
    <t>visible of boat/bangka, presence of solid few waste</t>
  </si>
  <si>
    <t>visible of boat/ bangka, presence of few solid waste</t>
  </si>
  <si>
    <t>visible of passenger boats, presence of solid waste</t>
  </si>
  <si>
    <t>Presence of small fishing boats/ Presence of solidwastes/ near fishport and public market</t>
  </si>
  <si>
    <t>Dredging equipment docked near the station, on-going construction of bridge, presence of few solid waste</t>
  </si>
  <si>
    <t>Presence of docked boats near the station, few floating of solid waste and water lily, and on-going construction of bridge</t>
  </si>
  <si>
    <t>On-going construction of bridge, docking area, few floating of solid waste</t>
  </si>
  <si>
    <t>Ongoing construction of bridge, docking area, fishpond area, few solid waste and rotten water lily</t>
  </si>
  <si>
    <t>Presence of Solid waste, neasr fish port, near residential</t>
  </si>
  <si>
    <t>on-going construction of bridge, dredging machine docked near the station, and presence of few solid waste afloat</t>
  </si>
  <si>
    <t>few floating of solid wastes, commercial/residential area</t>
  </si>
  <si>
    <t>presence of volume of hyacinth/solid waste, continuous discharge of water from the pumping station</t>
  </si>
  <si>
    <t xml:space="preserve"> residential/ commercial area, presence of few solid waste</t>
  </si>
  <si>
    <t>on going construction of bridge, visible of heavy equipment and boats, presence of few solid waste and hyacinth</t>
  </si>
  <si>
    <t>Ongoing construction of bridge/ presence of dredging machineries/ presence of small fishing boats/ presence of solid wastes</t>
  </si>
  <si>
    <t>The 2025 water quality monitoring of Obando River, Class C, covering three stations, indicates that the river is generally stressed with pollution, though somewhat better than Marilao River in terms of dissolved oxygen. DO levels averaged 2.77–5.01 mg/L, with Fishport Near Public Market showing critically low values in some months (as low as 0.20 mg/L), suggesting localized oxygen depletion that can stress aquatic life. BOD levels ranged from 9–28 mg/L, with the highest at Fishport, indicating moderate organic pollution, while TSS values were mostly below the 80 mg/L limit but spiked at Fishport (up to 127 mg/L), reflecting sediment and runoff inputs. Water temperature (25–31°C) and pH (6.9–7.8) were within acceptable ranges. Nutrient levels were concerning, particularly phosphate (PO4-P), which consistently exceeded the 0.025 mg/L standard, averaging 0.444–0.666 mg/L, highlighting a risk of eutrophication. Nitrate (NO3-N) levels were within limits but varied among stations. Fecal coliform counts were extremely high at all stations, averaging 75,907–180,540 MPN/100 mL, far exceeding the 200 MPN/100 mL guideline, indicating severe bacterial contamination likely from residential, commercial, and fishport activities. Observations noted floating solid waste, water hyacinth, and proximity to residential, commercial, and docking areas, showing strong anthropogenic impacts. Overall, Obando River exhibits high microbial contamination, elevated nutrients, and localized oxygen depletion, posing environmental and public health concerns.</t>
  </si>
  <si>
    <t>BOCAUE RIVER</t>
  </si>
  <si>
    <t xml:space="preserve">CLASS C ( 3 STATIONS )               
</t>
  </si>
  <si>
    <t xml:space="preserve"> Region</t>
  </si>
  <si>
    <t>Brgy. Turo, Bocaue, Bulacan</t>
  </si>
  <si>
    <t>BOC_1</t>
  </si>
  <si>
    <t>McArthur Bridge</t>
  </si>
  <si>
    <t>Brgy. Biñang 2nd, Bocaue, Bul.</t>
  </si>
  <si>
    <t>BOC_2</t>
  </si>
  <si>
    <t>Bridge near public Market (UBVAS)</t>
  </si>
  <si>
    <t>BOC_3</t>
  </si>
  <si>
    <t>BOCAUE, BULACAN</t>
  </si>
  <si>
    <t>Observations</t>
  </si>
  <si>
    <t>Mixed land, presence of few floating of solid waste</t>
  </si>
  <si>
    <t>Residential area, presence of few floating of solid waste and water lily.</t>
  </si>
  <si>
    <t>mixed land, few floating of solid wastes</t>
  </si>
  <si>
    <t>residential area, presence of few floating solid wastes, near fish port</t>
  </si>
  <si>
    <t>Turbid water, mixed land/ area, on-going rehabilitation of river bank</t>
  </si>
  <si>
    <t>mixed land, on-going construction of riverbank slope-protection and  presence of few solid waste afloat.</t>
  </si>
  <si>
    <t>residential area, few floating of solid waste</t>
  </si>
  <si>
    <t>turbid water, presence of few solid waste and hyacinth, visible of construction of river wall</t>
  </si>
  <si>
    <t>presence of few solid waste, residential area</t>
  </si>
  <si>
    <t>visible of barge and on going rehabilitation of river bank, presence of few solid waste</t>
  </si>
  <si>
    <t>Presence of solid waste/ near residential and agricultural area</t>
  </si>
  <si>
    <t>Near Public market &amp; school, residential area, presemce of ferw floating of solid waste and styrofoam</t>
  </si>
  <si>
    <t>Residential area, near public market/school and presence of few floating of solid waste and water lily was observed</t>
  </si>
  <si>
    <t>Near Public Market &amp; school, residential area, presence of few floating of solid waste</t>
  </si>
  <si>
    <t>Near Public market &amp; school, residential area, few floating of solid wastes</t>
  </si>
  <si>
    <t>near residential area/ school/ public market, vol. of water lily and solid wastes caught by trash trap</t>
  </si>
  <si>
    <t>Turbid water, near public market, residential area, near school, presence of vol. of solid waste gathered by the trash trap</t>
  </si>
  <si>
    <t>residential area, near public market &amp; school, presence of few solid waste afloat</t>
  </si>
  <si>
    <t>near public market &amp; school, residential area, few floating of solid waste, water discharge at municipal drainage</t>
  </si>
  <si>
    <t>turbid water, presence of few solid waste, near public market, school and residential area</t>
  </si>
  <si>
    <t>presence of volume of water lily and few solid wasste, near public market, school and residential area</t>
  </si>
  <si>
    <t>near school and public market, residential area, presence of volume of hyacinth at river bank</t>
  </si>
  <si>
    <t>Presence of solid waste/ near residential area and  public market</t>
  </si>
  <si>
    <t>Residential area, near fish port &amp; public market, presence of few floating of solid waste</t>
  </si>
  <si>
    <t>Residential area, near fish port and presence of few floating of solid waste &amp; water lily was observed</t>
  </si>
  <si>
    <t>Near Fishport, near residential area and presence of few floating of solid waste observed</t>
  </si>
  <si>
    <t>Near Fish port, near residential area, few floating of solid waste</t>
  </si>
  <si>
    <t>mixed land, presence of few floating of solid wastes and water lilies</t>
  </si>
  <si>
    <t>Turbid water, near fishport, residential area, presence of few floating solid waste</t>
  </si>
  <si>
    <t>residential area, turbid water, presence of few solid waste afloat</t>
  </si>
  <si>
    <t>turbid water, near public market/ residential area, presence of few solid waste</t>
  </si>
  <si>
    <t>presence of few solid waste, agricultural and residential area</t>
  </si>
  <si>
    <t>prsence of few solid waste, visible of garbage sacks on river bank, residential area</t>
  </si>
  <si>
    <t>Presence of solid waste/ presence of small fishing boats/ near fishport and public market and residential area</t>
  </si>
  <si>
    <t>Date of sampling</t>
  </si>
  <si>
    <t>The 2025 water quality monitoring of Bocaue River, Class C, shows that the river is moderately to heavily polluted. Dissolved oxygen (DO) levels were low, averaging 3.5–3.7 mg/L, below the 5 mg/L guideline, which can stress aquatic life. BOD values ranged from 7.7–8.1 mg/L, showing moderate organic pollution from nearby residential and commercial areas. Suspended solids (TSS) were generally below the standard of 80 mg/L, averaging 26–28 mg/L, but increased during construction and runoff periods. The river’s pH and temperature were within normal ranges. Nutrient pollution is a problem, with phosphate (PO4-P) well above the 0.025 mg/L limit, suggesting a risk of excessive algae growth, while nitrates remained below limits. Fecal coliform levels were extremely high, averaging 182,000–245,000 MPN/100 mL, far above the 200 MPN/100 mL guideline, indicating contamination from domestic wastewater and nearby markets and fish ports. Observations noted floating solid waste, turbid water, and water lilies at all stations. Overall, Bocaue River is affected by bacteria, nutrients, moderate organic pollution, and sediment, mainly due to human activities along the river.</t>
  </si>
  <si>
    <t>STA. MARIA RIVER</t>
  </si>
  <si>
    <t xml:space="preserve">January </t>
  </si>
  <si>
    <t xml:space="preserve">Catmon Bridge </t>
  </si>
  <si>
    <t>Catmon, Sta. Maria, Bulacan</t>
  </si>
  <si>
    <t>STM_1</t>
  </si>
  <si>
    <t xml:space="preserve">Poblacion Bridge </t>
  </si>
  <si>
    <t>Poblacion, Sta. Maria, Bulacan</t>
  </si>
  <si>
    <t>STM_2</t>
  </si>
  <si>
    <t xml:space="preserve">Sta. Clara Bridge </t>
  </si>
  <si>
    <t>Sta. Clara, Sta. Maria, Bulacan</t>
  </si>
  <si>
    <t>STM_3</t>
  </si>
  <si>
    <t>STA. MARIA, BULACAN</t>
  </si>
  <si>
    <t>Residential area, presence of few floating of solid waste</t>
  </si>
  <si>
    <t>Residential area, presemnce of few floating of solid waste</t>
  </si>
  <si>
    <t>Residential area, floating of few solid wastes</t>
  </si>
  <si>
    <t>Turbid water, thick vegetation on river banks</t>
  </si>
  <si>
    <t>Turbid water, residential area and presence of few floating solid waste</t>
  </si>
  <si>
    <t>residential area, presence of few floating of solid waste</t>
  </si>
  <si>
    <t>presence of few solid waste, water discharge from drainage canal</t>
  </si>
  <si>
    <t>water drainage from barangay canal, presence of few solid waste</t>
  </si>
  <si>
    <t>presence of few rotten leaves and solid waste, residential area</t>
  </si>
  <si>
    <t>Presence of solid waste/near residential area</t>
  </si>
  <si>
    <t>Residential area, observed informal settlers residing near the station, near jeepney terminal, presence of few floating of solid waste</t>
  </si>
  <si>
    <t>Residential area, jeepney Terminal, presence of few informal settlers near the station</t>
  </si>
  <si>
    <t xml:space="preserve">Near residential area, near jeepney ternminal, presence of few solid waste </t>
  </si>
  <si>
    <t>Residential  / commercial area, presence of informal settlers along the river bank, near jeepney terminal</t>
  </si>
  <si>
    <t>Turbid water, presence of informal settlers under the bridge and near jeepney terminal.</t>
  </si>
  <si>
    <t>presence of few solid waste, presence of people fishing</t>
  </si>
  <si>
    <t>turbid water, presence of solid waste, visible of informal setlers (IP"s)</t>
  </si>
  <si>
    <t>presence of few solid waste, visible of informal shelter, residential area and jeepney terminal</t>
  </si>
  <si>
    <t>visible of people catching fish and informal shelter, discharge water from drainage canal</t>
  </si>
  <si>
    <t>Presence of solid waste/ discharge from drainage canal observed/ ISFs observed near station</t>
  </si>
  <si>
    <t>Mixed land/ Area, presence of few floating of solid waste and water lily</t>
  </si>
  <si>
    <t>Mixed land, presence of few solid waste and rotten water lily afloat</t>
  </si>
  <si>
    <t>Residential area, floating of few solid waste and water lily</t>
  </si>
  <si>
    <t>Turbid water, residential area, presence of few floating  of solid waste</t>
  </si>
  <si>
    <t>residential area, presence of few solid waste</t>
  </si>
  <si>
    <t>turbid water, presence of solid waste</t>
  </si>
  <si>
    <t>Presence of solid waste/Near residential area</t>
  </si>
  <si>
    <t>Sta. Maria River shows signs of moderate to severe pollution. Dissolved oxygen (DO) levels were consistently low, averaging 2.8–3.5 mg/L, below the 5 mg/L guideline, which can stress or harm aquatic life. Organic pollution is evident, with BOD values at 6.8–19.5 mg/L, particularly high at Catmon and Sta. Clara Bridges, suggesting contamination from residential, commercial, and informal settlements along the river. Suspended solids (TSS) were generally below the 80 mg/L limit but spiked in some months, reaching up to 148 mg/L, likely due to runoff, construction, and human activities. The pH and temperature were within normal ranges, but nutrient levels, especially phosphates (PO4-P), were far above the 0.025 mg/L limit, indicating high potential for algae blooms. Fecal coliform counts were extremely high, averaging 184,000–281,000 MPN/100 mL, greatly exceeding the 200 MPN/100 mL standard, pointing to contamination from domestic wastewater and drainage. Observations at all stations noted turbid water, floating solid waste, water lilies, and human activity near the riverbank.
Overall: The river suffers from bacterial contamination, high nutrients, moderate organic pollution, and sediment, largely driven by human activities along its banks.</t>
  </si>
  <si>
    <t>ATLAG RIVER</t>
  </si>
  <si>
    <t>1st Quarter</t>
  </si>
  <si>
    <t>2nd Quarter</t>
  </si>
  <si>
    <t>3rd Quarter</t>
  </si>
  <si>
    <t>4th Quarter</t>
  </si>
  <si>
    <t>Bridge near Villa Santiago Compound</t>
  </si>
  <si>
    <t>Brgy. Balayon, Malolos, Bulacan</t>
  </si>
  <si>
    <t>ATL_1</t>
  </si>
  <si>
    <t>Libo Bridge</t>
  </si>
  <si>
    <t>ATL_2</t>
  </si>
  <si>
    <t>Atlag Bridge</t>
  </si>
  <si>
    <t>Brgy. Panasahan, Malolos, Bulacan</t>
  </si>
  <si>
    <t>ATL_3</t>
  </si>
  <si>
    <t>BOD mg/L</t>
  </si>
  <si>
    <t>MALOLOS, BULACAN</t>
  </si>
  <si>
    <t>Low volume of water
Stagnant river
Vegetation growing on the riverside
Residential area on the riverside</t>
  </si>
  <si>
    <t>Stagnant
Near residential area
Overgrown with vegetation
Floating solid wastes
Possible discharges from households
Oil sheen can be seen on the surface of water</t>
  </si>
  <si>
    <t>Near residential
Vegetation growing near the station
Floating solid and organic waste
Stagnant river</t>
  </si>
  <si>
    <t>visible of heavy equipment, on-going construction of pumping station</t>
  </si>
  <si>
    <t>Low volume of water
Presence of solid waste
Stagnant river
Vegetation growing on the river
Residential area on the riverside</t>
  </si>
  <si>
    <t>Stagnant
Overgrown with vegetation
Floating solid wastes
Near residential area
Possible discharges from households</t>
  </si>
  <si>
    <t>Near residential
Floating solid waste
Stagnant river
Vegetation growing nearby</t>
  </si>
  <si>
    <t>agricultural/ residential area, presence of few solid waste</t>
  </si>
  <si>
    <t>Low volume of water
Presence of solid waste
Residential area on the riverside
Ongoing construction of pumping station near the bridge
Stagnant river</t>
  </si>
  <si>
    <t>Stagnant
Near commercial and residential area
Ongoing collection of solid wastes using backhoe
Floating solid wastes</t>
  </si>
  <si>
    <t>Near residential
Floating soldi waste
Slow flow of water
Backhoe seen using to collect solid waste</t>
  </si>
  <si>
    <t xml:space="preserve">agricultural/ residential area, presence of few solid waste                                              </t>
  </si>
  <si>
    <t>Analysis:</t>
  </si>
  <si>
    <t>Atlag River shows severe water quality problems. Dissolved oxygen (DO) levels are extremely low, averaging 1.15–1.78 mg/L at all stations, well below the 5 mg/L standard, indicating hypoxic conditions harmful to aquatic life. Biochemical oxygen demand (BOD) is high, ranging 11.75–20.75 mg/L, signaling significant organic pollution from domestic and residential sources. Suspended solids (TSS) are mostly under the 80 mg/L limit except for spikes at Atlag Bridge, reaching 96 mg/L, likely due to sediment runoff and solid waste accumulation. pH and temperature remain normal, but nutrient levels, especially phosphates (PO4-P), are far above the 0.025 mg/L guideline, increasing the risk of algal blooms. Fecal coliform counts are extremely high (average 84,000–117,000 MPN/100 mL), greatly exceeding the 200 MPN/100 mL limit, showing contamination from domestic wastewater and stagnant water areas. Observations noted low water volume, stagnant flow, overgrown vegetation, floating solid waste, and ongoing construction near the river, all contributing to pollution and poor water circulation.
Overall: Atlag River is heavily impacted by human activity, stagnant water, and nutrient and bacterial contamination, making it unsafe for recreational or fishing purposes.</t>
  </si>
  <si>
    <t>HAGONOY RIVER</t>
  </si>
  <si>
    <t>CLASS C ( 4 STATIONS )</t>
  </si>
  <si>
    <t>Kalsadang Putol Bridge</t>
  </si>
  <si>
    <t>Brgy. San Jose, Calumpit, Bul.</t>
  </si>
  <si>
    <t>HAG_1</t>
  </si>
  <si>
    <t>San Juan Bridge</t>
  </si>
  <si>
    <t>Brgy. San Juan, Hagonoy, Bul.</t>
  </si>
  <si>
    <t>HAG_2</t>
  </si>
  <si>
    <t>San Miguel Bridge</t>
  </si>
  <si>
    <t>Brgy. San Miguel, Hagonoy, Bul.</t>
  </si>
  <si>
    <t>HAG_3</t>
  </si>
  <si>
    <t>Bridge near San Agustin Public Market</t>
  </si>
  <si>
    <t>Brgy. San Agustin, Hagonoy, Bul.</t>
  </si>
  <si>
    <t>HAG_4</t>
  </si>
  <si>
    <t>MALOLOS - HAGONOY, BULACAN</t>
  </si>
  <si>
    <t>Near Residential Area
Vegetation near the Station
Some residents are seen throwing something into the river</t>
  </si>
  <si>
    <t>Slow flow of water
Floating solid wastes
Near residential area
Vegetation growing near the station</t>
  </si>
  <si>
    <t>near residential area, presence of few floating of solid waste</t>
  </si>
  <si>
    <t>Near residential area, presence of floating of solid waste</t>
  </si>
  <si>
    <t>Near Residential Area
Vegetation near the Station
Floating solid wastes on the river</t>
  </si>
  <si>
    <t>Slow flow of water
Floating solid wastes
Near residential area
Vegetation growing near the station
Dump truck was parked along the station</t>
  </si>
  <si>
    <t>Near Residential Area
Small boats are seen coming and going in the area</t>
  </si>
  <si>
    <t>Slow flow of water
Near residential area and commercial area
Small boats coming and going</t>
  </si>
  <si>
    <t>Near public market
Busy road
Near residential area
Floating solid wastes on the river</t>
  </si>
  <si>
    <t>Slow flow of water
Small boats coming and going
Near residential and commercial area
Floating solid wastes
Near public market</t>
  </si>
  <si>
    <t xml:space="preserve">Date of Sampling </t>
  </si>
  <si>
    <t>Hagonoy River shows moderate to severe water quality problems. Dissolved oxygen (DO) levels are below the 5 mg/L standard at most stations, averaging 3.87–4.41 mg/L, indicating suboptimal conditions for aquatic life. Biochemical oxygen demand (BOD) is within the 7 mg/L limit (4.75–5.75 mg/L), suggesting moderate organic pollution. Suspended solids (TSS) remain below the 80 mg/L guideline except at Kalsadang Putol Bridge (33.5 mg/L) and Bridge near San Agustin Public Market (29.5 mg/L), reflecting sediment and solid waste accumulation. pH (7.46–7.58) and temperature (28–28.5 °C) are within normal ranges, showing stable water chemistry.
Nutrient levels, particularly phosphates (PO4-P), exceed the 0.025 mg/L guideline at all stations (0.27–0.30 mg/L), raising the risk of algal growth. Fecal coliform counts are extremely high (average 28,000–112,000 MPN/100 mL), far above the 200 MPN/100 mL standard, indicating contamination from domestic wastewater and stagnant areas. Observations recorded low water volume, slow flow, floating solid wastes, proximity to residential areas and public market activity, all contributing to water pollution.
Overall: Hagonoy River is affected by human activity, nutrient enrichment, and bacterial contamination, making it unsafe for recreational use or direct fishing activities.</t>
  </si>
  <si>
    <t>LABANGAN RIVER</t>
  </si>
  <si>
    <t xml:space="preserve">4th Quarter </t>
  </si>
  <si>
    <t>Labangan Bridge</t>
  </si>
  <si>
    <t>Iba O'Este, Calumpit, Bulacan</t>
  </si>
  <si>
    <t>LAB_1</t>
  </si>
  <si>
    <t>Iba Hanging Bridge</t>
  </si>
  <si>
    <t>Iba Este, Calumpit, Bulacan</t>
  </si>
  <si>
    <t>LAB_2</t>
  </si>
  <si>
    <t>Iba Bridge</t>
  </si>
  <si>
    <t>Iba, Hagonoy, Bulacan</t>
  </si>
  <si>
    <t>LAB_3</t>
  </si>
  <si>
    <t>CALUMPIT - HGAGONOY BULACAN</t>
  </si>
  <si>
    <t>On-going construction of PNR railways nea the station, presence of few floating solid waste and water lily</t>
  </si>
  <si>
    <t>Residential area, on-going installation of equipment platform</t>
  </si>
  <si>
    <t>construction of railaways near the station, near residential area</t>
  </si>
  <si>
    <t>vol. of water hyacinth trapped by the installed trash trap</t>
  </si>
  <si>
    <t>Residential and Agricultural area, presence of few floating of solid waste and water lily</t>
  </si>
  <si>
    <t>Agricultural / residential area, few floating of solid wastes and water lily</t>
  </si>
  <si>
    <t>near residential area, near railway construction site, rapid flow of water</t>
  </si>
  <si>
    <t>presence of people swimming/ bathing, presence of few solid waste and water hyacinth</t>
  </si>
  <si>
    <t>Residential area, presence of vol. of water lily and few solid waste trapped by the trash trap</t>
  </si>
  <si>
    <t>on-going construction of PNR railways, presence of few solid waste and water hyacinth</t>
  </si>
  <si>
    <t>Labangan River shows moderate water quality issues. Dissolved oxygen (DO) levels range from 3.82 to 4.14 mg/L, below the 5 mg/L standard, indicating slightly stressed aquatic conditions. Biochemical oxygen demand (BOD) is within the 7 mg/L limit (3.70–5.03 mg/L), suggesting only moderate organic pollution. Suspended solids (TSS) are mostly under the 80 mg/L guideline, though occasional spikes at Iba Bridge (39.75 mg/L) and Iba Hanging Bridge (33 mg/L) indicate sediment accumulation and floating debris. pH (7.48–7.65) and temperature (28–28.8 °C) remain within normal ranges.
Nutrient levels, particularly phosphates (PO4-P), are extremely high (0.388–0.500 mg/L) compared to the 0.025 mg/L standard, increasing the risk of algal blooms. Fecal coliform counts exceed the 200 MPN/100 mL limit at all stations (average 10,171–34,889 MPN/100 mL), reflecting contamination from domestic wastewater and stagnant areas. Observations noted ongoing construction near the railway, low to moderate water flow, floating solid wastes, water lilies, and proximity to residential and agricultural areas, contributing to water quality deterioration.
Overall: Labangan River is moderately affected by human activity, nutrient enrichment, and bacterial contamination. While water chemistry is generally stable, the river is unsafe for direct recreational use or consumption and shows signs of environmental stress due to human impact and poor water circulation.</t>
  </si>
  <si>
    <t>WQMA-ASFMSRS</t>
  </si>
  <si>
    <t>CLASS C ( 8 STATIONS )</t>
  </si>
  <si>
    <t>Jan</t>
  </si>
  <si>
    <t>Feb</t>
  </si>
  <si>
    <t>Mar</t>
  </si>
  <si>
    <t>Apr</t>
  </si>
  <si>
    <t>Jun</t>
  </si>
  <si>
    <t>Jul</t>
  </si>
  <si>
    <t>Aug</t>
  </si>
  <si>
    <t>Sept</t>
  </si>
  <si>
    <t>Oct</t>
  </si>
  <si>
    <t>Nov</t>
  </si>
  <si>
    <t>Dec</t>
  </si>
  <si>
    <t>AVE/ Geomean</t>
  </si>
  <si>
    <t>Angeles River 1</t>
  </si>
  <si>
    <t>Angeles, Pampanga</t>
  </si>
  <si>
    <t>ASF_1</t>
  </si>
  <si>
    <t>Angeles River 2</t>
  </si>
  <si>
    <t>ASF_2</t>
  </si>
  <si>
    <t xml:space="preserve">Mexico River </t>
  </si>
  <si>
    <t>Mexico, Pampanga</t>
  </si>
  <si>
    <t>ASF_3</t>
  </si>
  <si>
    <t>San fernando River</t>
  </si>
  <si>
    <t>San Fernando, Pampanga</t>
  </si>
  <si>
    <t>ASF_4</t>
  </si>
  <si>
    <t>Sto. Tomas River</t>
  </si>
  <si>
    <t>Sto. Tomas, Pampanga</t>
  </si>
  <si>
    <t>ASF_5</t>
  </si>
  <si>
    <t>PAMPANGA</t>
  </si>
  <si>
    <t>ANGELES-MEXICO-SAN FERNANDO-STO. TOMAS-MINALIN-SASMUAN, PAMPANGA</t>
  </si>
  <si>
    <t>ASFMSRS WQMA</t>
  </si>
  <si>
    <t>Sasmuan River 2</t>
  </si>
  <si>
    <t>Minalin River</t>
  </si>
  <si>
    <t>Minalin, Pampanga</t>
  </si>
  <si>
    <t>ASF_6</t>
  </si>
  <si>
    <t>Sasmuan River 1</t>
  </si>
  <si>
    <t>Sasmuan, Pampanga</t>
  </si>
  <si>
    <t>ASF_7</t>
  </si>
  <si>
    <t>ASF_8</t>
  </si>
  <si>
    <t>490, 000</t>
  </si>
  <si>
    <t>350, 000</t>
  </si>
  <si>
    <t>13, 000</t>
  </si>
  <si>
    <r>
      <rPr>
        <b/>
        <sz val="11"/>
        <color rgb="FF000000"/>
        <rFont val="&quot;Times New Roman&quot;"/>
      </rPr>
      <t>NO</t>
    </r>
    <r>
      <rPr>
        <b/>
        <vertAlign val="subscript"/>
        <sz val="10"/>
        <color theme="1"/>
        <rFont val="Times New Roman"/>
      </rPr>
      <t>3</t>
    </r>
    <r>
      <rPr>
        <b/>
        <sz val="10"/>
        <color theme="1"/>
        <rFont val="Times New Roman"/>
      </rPr>
      <t>-N (mg/L)</t>
    </r>
  </si>
  <si>
    <r>
      <rPr>
        <b/>
        <sz val="11"/>
        <color rgb="FF000000"/>
        <rFont val="&quot;Times New Roman&quot;"/>
      </rPr>
      <t>PO</t>
    </r>
    <r>
      <rPr>
        <b/>
        <vertAlign val="subscript"/>
        <sz val="10"/>
        <color theme="1"/>
        <rFont val="Times New Roman"/>
      </rPr>
      <t>4</t>
    </r>
    <r>
      <rPr>
        <b/>
        <sz val="10"/>
        <color theme="1"/>
        <rFont val="Times New Roman"/>
      </rPr>
      <t>-P (mg/L)</t>
    </r>
  </si>
  <si>
    <t>- Residential area, presence of few floating solid waste on river banks</t>
  </si>
  <si>
    <t>Tall vegetation along each side of the river</t>
  </si>
  <si>
    <t>Residential area, presence of few floating solid waste</t>
  </si>
  <si>
    <t>near commercial/ residential area</t>
  </si>
  <si>
    <t>Residential area, lush vegetation on riverbanks</t>
  </si>
  <si>
    <t>residential area, few floating of solid waste and thick vegetation along the river</t>
  </si>
  <si>
    <t>presence of solid waste, residential area</t>
  </si>
  <si>
    <t>residential area, few solid waste, large volume of water</t>
  </si>
  <si>
    <t>turbid water, visible of heavy equipment and fishing boat, presence of few solid waste</t>
  </si>
  <si>
    <t>presence of heavy, equipment, presence of solid waste</t>
  </si>
  <si>
    <t>Presence of solid waste</t>
  </si>
  <si>
    <t>near linear park, few solid waste, large volume of water, near fish ponds</t>
  </si>
  <si>
    <t>presence of few hyacinth and solid waste, near fishpond area</t>
  </si>
  <si>
    <t>- Residential area, presence of few floating solid waste</t>
  </si>
  <si>
    <t>Mixed land, few floating of solid waste</t>
  </si>
  <si>
    <t>near residential area</t>
  </si>
  <si>
    <t>Residential area, lush vegetion on river banks</t>
  </si>
  <si>
    <t>residential area, vegetation along the river</t>
  </si>
  <si>
    <t>turbid water, presence of vol. of solid waste on river bank</t>
  </si>
  <si>
    <t>minimal solid waste, formation of bubbles and oil film, near poultry farm</t>
  </si>
  <si>
    <t>presence of few hyacinth and solid waste, near poultry farm, near fishpond area</t>
  </si>
  <si>
    <t>Presence of solid waste/ near residential area</t>
  </si>
  <si>
    <t>Presence of few floating solid waste and vol. of water lily</t>
  </si>
  <si>
    <t>commercial/ residential area, presence of floating debris</t>
  </si>
  <si>
    <t>Residential area, presence of vol. of water lily</t>
  </si>
  <si>
    <t>residential area, few floating of solid wastea and vol. of water hyacinth</t>
  </si>
  <si>
    <t>presence of few solid waste, algae, and water hyacinth</t>
  </si>
  <si>
    <t>floating of water hyacinth, near residential area</t>
  </si>
  <si>
    <t>presence of volume of hyacinth, visible of dredging machine</t>
  </si>
  <si>
    <t>presence of solid waste and water hyacinth, visible floating algae, residential area</t>
  </si>
  <si>
    <t>Presence of solidwastes/water hyacinths and near residential areas</t>
  </si>
  <si>
    <t>- near Fish pond, presence of vol. of water lily</t>
  </si>
  <si>
    <t>Presence of vol. of water hyacinth</t>
  </si>
  <si>
    <t>Near Fish pond, Presence of few floating of water lily</t>
  </si>
  <si>
    <t>near fish pond, on-going preparation/ construction of retaining wall/ riprap, presence of vol. of water lily</t>
  </si>
  <si>
    <t>mixed land, presence of vol. of water lily, on-going rehabilitation of bridge</t>
  </si>
  <si>
    <t>presence of vol. of water hyacinth and dredging machine docked near the sampling station</t>
  </si>
  <si>
    <t>vol. of water hyacinth, dredging equipment sighted near the station</t>
  </si>
  <si>
    <t>presence of solid waste, dried leaves and floating of algae</t>
  </si>
  <si>
    <t>visible of floating algae and solid waste, residential area</t>
  </si>
  <si>
    <t>presence of vol. of water hyacinth, dredging machin observed, foul odor during sampling</t>
  </si>
  <si>
    <t>Presence of dredging activities and presence of volume of water hyacinths</t>
  </si>
  <si>
    <t>- Near Fish pond, presence of few floating water lily</t>
  </si>
  <si>
    <t>Near fish pond, presence of few solid waste afloat</t>
  </si>
  <si>
    <t>NEar fish pond, presence of vol. of rotten water lily</t>
  </si>
  <si>
    <t>Fish pond area, few floating of rotten water lily, bach hoe docked near the station</t>
  </si>
  <si>
    <t>fish pond area, few floating of solid waste and 300 meters away from poultry farm.</t>
  </si>
  <si>
    <t>minimal sighting of solid waste and water hyacinth, fish pond area</t>
  </si>
  <si>
    <t>vol. of  solid waste, thich vegetation on river bank</t>
  </si>
  <si>
    <t xml:space="preserve">presence of volume of solid waste, residential area </t>
  </si>
  <si>
    <t>presence of livestocks and heavy equipment observed, floating of water hyacinth</t>
  </si>
  <si>
    <t>Presence of water hyacinths and few solid wastes</t>
  </si>
  <si>
    <t>near fish pond</t>
  </si>
  <si>
    <t>Near fish pond, presence of few floating water lily</t>
  </si>
  <si>
    <t>near fish pond area, few floating of rotten water lily</t>
  </si>
  <si>
    <t>Near linear park, fish pond area, few floating of solid waste</t>
  </si>
  <si>
    <t>fish pond area, few floating of solid waste</t>
  </si>
  <si>
    <t>turbid water, large vol. of water, rapid flow, thick vegetation on river banks</t>
  </si>
  <si>
    <t>visible of heavy equipment, presence of volume of solid waste on river bank</t>
  </si>
  <si>
    <t>presence of individuals swimming, floating of water hyacinth, near fish pond</t>
  </si>
  <si>
    <t>Presence of small floating solid wastes</t>
  </si>
  <si>
    <t>- Mixed land, near fish port, presence of few floating solid waste</t>
  </si>
  <si>
    <t>Near Fish port &amp; school, presence of vol. of soild waste on river bank</t>
  </si>
  <si>
    <t>near fish pond &amp; school, residential area, floating of few solid wastes</t>
  </si>
  <si>
    <t>Residential area, near school, near fish port, floating of few rotten water lily</t>
  </si>
  <si>
    <t>near school &amp; brgy. hall, residential area and few floating of solid waste</t>
  </si>
  <si>
    <t>near brgy. hall &amp; school, few floating of solid waste and water  hyacinth</t>
  </si>
  <si>
    <t>visible of heavy equipment, presence of volume of solid waste on riverbank</t>
  </si>
  <si>
    <t>presence of heavy equipment and people catching fish observed, presence of solid waste</t>
  </si>
  <si>
    <t>Presence of motorized small boats</t>
  </si>
  <si>
    <t>The 2025 water quality assessment of the WQMA–ASFMSRS river system shows that many parameters fall short of the Class C standards, indicating significant pollution pressures across all eight monitoring stations. Dissolved oxygen (DO) levels are mostly below the required 5 mg/L, suggesting poor conditions for aquatic life, especially in San Fernando, Sto. Tomas, and Minalin Rivers. BOD values are extremely high, particularly in Angeles River and San Fernando River, indicating heavy organic pollution likely from domestic wastewater and commercial activities. TSS levels also frequently exceed the guideline, with exceptionally high readings in September, implying strong siltation, erosion, or disturbance from human activities. pH and temperature remain within acceptable ranges, showing no major acidity or thermal imbalance. Color values exceed standards in multiple stations, especially in Sasmuan and Minalin, reflecting high turbidity and the presence of organic matter. The most critical concern is the extremely high fecal coliform levels, which surpass safe limits by thousands to millions of MPN/100 mL, indicating severe contamination from sewage, residential discharges, fishpond effluents, and poor sanitation along riverbanks. Nutrient levels—particularly phosphates—are far beyond acceptable limits, signaling strong inputs from detergents, agricultural runoff, and household waste. Chloride levels remain within standards but show elevated values in some areas influenced by fishponds and coastal mixing. Observations support the numerical data, noting widespread solid waste, water hyacinths, dredging activities, fishpond influence, and dense residential surroundings. Overall, the river system is experiencing heavy organic, bacterial, and nutrient pollution, requiring urgent wastewater management, solid waste control, and river rehabilitation.</t>
  </si>
  <si>
    <t>PAMPANGA RIVER</t>
  </si>
  <si>
    <t>San Juan - Tabuyuc, Apalit, Pampanga</t>
  </si>
  <si>
    <t>PAM_1</t>
  </si>
  <si>
    <t>Sulipan Bridge</t>
  </si>
  <si>
    <t>Sulipan, Apalit, Pampanga</t>
  </si>
  <si>
    <t>PAM_2</t>
  </si>
  <si>
    <t>Calumpit Bridge</t>
  </si>
  <si>
    <t>Gatbuca-Pobalcion, Calumpit, Bulacan</t>
  </si>
  <si>
    <t>PAM_3</t>
  </si>
  <si>
    <t>Near P. Mercado Res/Fish Pond</t>
  </si>
  <si>
    <t>San Vicente, Macabebe, Pampanga</t>
  </si>
  <si>
    <t>PAM_4</t>
  </si>
  <si>
    <t>Near Villa Lourdes Resort</t>
  </si>
  <si>
    <t>Batasan, Macabebe, Pampanga</t>
  </si>
  <si>
    <t>PAM_5</t>
  </si>
  <si>
    <t>CALUMPIT, BULACAN - APALIT - MACABEBE, PAMPANGA</t>
  </si>
  <si>
    <t xml:space="preserve">       </t>
  </si>
  <si>
    <t>Residential area, presence of few floating of solid waste &amp; water lily</t>
  </si>
  <si>
    <t>Residential area, presence of few floating of solid waste and water lily</t>
  </si>
  <si>
    <t>trubid water, few floating of water hyacinth, large vol. of water</t>
  </si>
  <si>
    <t>Presence of solid waste and water hyacinths, turbid water, and nearby residential area</t>
  </si>
  <si>
    <t>Residential area, on-going construction of  PNR bridge, presence of few floating of solid waste and water lily</t>
  </si>
  <si>
    <t>Residential area, presence of few floating of solid waste and water lily, on-going construction of of railway bridge</t>
  </si>
  <si>
    <t xml:space="preserve">Presence of few solid waste and hyacinth, Turbid water, Agricultural/ residential area </t>
  </si>
  <si>
    <t>Residential area, presence of few floating of solid waste &amp; water lily and water spinach</t>
  </si>
  <si>
    <t>turbid water, few floating of water hyacinth and residential area</t>
  </si>
  <si>
    <t>Turbid water, with a few floating water hyacinths, and a visible dredging machine.</t>
  </si>
  <si>
    <t>Mixed land, presence of few floating of solid waste and water lily</t>
  </si>
  <si>
    <t>Residential area/ agricultural area, presence of few floating water lily</t>
  </si>
  <si>
    <t>Turbid water, larger volume of water</t>
  </si>
  <si>
    <t>Turbid water, ongoing river protection works, and visible heavy equipment</t>
  </si>
  <si>
    <t>Residential area, presence of few floating water lily</t>
  </si>
  <si>
    <t>Turbid water, floating of water hyacinth, large volume of water</t>
  </si>
  <si>
    <t>Turbid water, with scattered solid waste and hyacinths, adjacent to a residential area</t>
  </si>
  <si>
    <t>Date of samplig</t>
  </si>
  <si>
    <t>Pampanga River shows moderate water quality problems. Dissolved oxygen (DO) is mostly below the 5 mg/L standard (2.95–6.54 mg/L), indicating slightly stressed aquatic conditions. BOD (3–4.75 mg/L) is within the 7 mg/L limit, showing moderate organic pollution. TSS occasionally exceeds 80 mg/L, especially near fish ponds and Calumpit, suggesting sediment and floating debris. pH (7.21–7.27) and temperature (28.55–29.10 °C) are normal.
Nutrients, particularly phosphates (0.142–0.242 mg/L), are well above the 0.025 mg/L guideline, which may cause algal growth. Fecal coliform levels are extremely high (5,514–11,755 MPN/100 mL), indicating contamination from domestic wastewater. Observations noted residential and agricultural areas, construction near bridges, floating solid wastes, water hyacinths, and turbid water, all contributing to declining water quality.</t>
  </si>
  <si>
    <t>GUAGUA RIVER</t>
  </si>
  <si>
    <t>Plaza Burgos Bridge</t>
  </si>
  <si>
    <t>Plaza Burgos, Guagua, Pampanga</t>
  </si>
  <si>
    <t>GUA_1</t>
  </si>
  <si>
    <t>Foot Bridge</t>
  </si>
  <si>
    <t>Brgy. San Pedro, Guagua, Pampanga</t>
  </si>
  <si>
    <t>GUA_2</t>
  </si>
  <si>
    <t>San Pablo Bridge</t>
  </si>
  <si>
    <t>Brgy. San Juan(Gandara), Guagua, Pampanga</t>
  </si>
  <si>
    <t>GUA_3</t>
  </si>
  <si>
    <t>Brgy. San Pablo, Guagua, Pampanga</t>
  </si>
  <si>
    <t>GUAGUA, PAMPANGA</t>
  </si>
  <si>
    <t>GUAGUA, RIVER</t>
  </si>
  <si>
    <t>170, 000</t>
  </si>
  <si>
    <t>Near commercial area
Outfall of establishments and residential area
Near busy road</t>
  </si>
  <si>
    <t>Low volume of water
Stagnant river
Near commercial and residential area
Water has a petrichor like smell</t>
  </si>
  <si>
    <t>presence of few floating solid waste, near school, commercial area</t>
  </si>
  <si>
    <t>residential and commercial area and near school, presence of few hyacinth and solid waste</t>
  </si>
  <si>
    <t>Low volume of water
Floating solid wastes on the station
Near residential area
Nearby construction of building</t>
  </si>
  <si>
    <t>Low volume of water
Stagnant river
Near residential area
Nearby construction of house
Vegetation growing by the river</t>
  </si>
  <si>
    <t>presence of solid waste and water hyacinth, residential area</t>
  </si>
  <si>
    <t>Low volume of water
Near residential area
Vegetation growing on the river</t>
  </si>
  <si>
    <t>Low volume of water
Stagnant river
Surrounded by residential area
Vegetation growing by the river
Floating solid wastes</t>
  </si>
  <si>
    <t>presence of solid waste and water spinach, residential area</t>
  </si>
  <si>
    <t>presence of few  hyacinth and solid waste, residential area</t>
  </si>
  <si>
    <t>The water quality of Guagua River across the three stations—Plaza Burgos Bridge, Foot Bridge, and San Pablo Bridge—shows severe impairment relative to Class C standards. Dissolved oxygen (DO) is critically low, ranging from 1.88 to 2.29 mg/L, indicating highly stressed aquatic conditions. Biological oxygen demand (BOD) is elevated at 9.00–10.75 mg/L, exceeding the 7 mg/L limit and reflecting significant organic pollution.
Total suspended solids (TSS), pH, temperature, and color are within acceptable limits, showing stable physical and chemical conditions. However, microbial contamination is extremely high: fecal coliform counts range from 100,180 to 210,000 MPN/100 mL, far above the 200 MPN/100 mL guideline, indicating severe contamination from human and animal waste. Nutrients, especially phosphate (PO₄-P at 0.734–0.935 mg/L), are well above the 0.025 mg/L standard, increasing the risk of eutrophication, while nitrate (NO₃-N) remains within safe limits. Chloride levels are below the 350 mg/L threshold.
Field observations highlight low water volume, stagnant flow, floating solid waste, water hyacinth, and proximity to residential and commercial areas, which worsen pollution.</t>
  </si>
  <si>
    <t>DICALOYUNGAN RIVER</t>
  </si>
  <si>
    <t>Up-stream</t>
  </si>
  <si>
    <t>Dicaloyungan, Baler, Aurora</t>
  </si>
  <si>
    <t>DCY_1</t>
  </si>
  <si>
    <t>Mid-stream</t>
  </si>
  <si>
    <t>DCY_2</t>
  </si>
  <si>
    <t>Down-stream</t>
  </si>
  <si>
    <t>DCY_3</t>
  </si>
  <si>
    <t>14,00</t>
  </si>
  <si>
    <t>Forrest land, continuous flow/ current of water</t>
  </si>
  <si>
    <t>Timberland</t>
  </si>
  <si>
    <t>Timberland/ mountainous area</t>
  </si>
  <si>
    <t>Timberland / mountainous area, Large volume of water.</t>
  </si>
  <si>
    <t>timber land, presence of few rotten leaves afloat</t>
  </si>
  <si>
    <t>Mountainous area/ Timberland</t>
  </si>
  <si>
    <t>few floating of rotten leaves, large vol. of water</t>
  </si>
  <si>
    <t xml:space="preserve">presence of few floating solid wastes, rapid flow </t>
  </si>
  <si>
    <t>no unusual activities on-site</t>
  </si>
  <si>
    <t>presence of solid waste and rotten leave, near school</t>
  </si>
  <si>
    <t>presence of few floating rotten leaves, rocky river, strong current of water</t>
  </si>
  <si>
    <t>Presence of rotting organic matter (leaves) near school and residential area</t>
  </si>
  <si>
    <t xml:space="preserve">Near few residential houses, continuous flow/ current of water </t>
  </si>
  <si>
    <t>Few residences near the station</t>
  </si>
  <si>
    <t>Timber land, Nipa palms by the river, Large volume of water</t>
  </si>
  <si>
    <t>timber land, few individuals bathing/ swimming</t>
  </si>
  <si>
    <t>Few residential houses, Timberland</t>
  </si>
  <si>
    <t>individual washing laundry, large volume of water</t>
  </si>
  <si>
    <t>nearby residence, conducts laundry nearby sampling point</t>
  </si>
  <si>
    <t>strong current of water and rocky river, presence of rotten leaves</t>
  </si>
  <si>
    <t>presence of few floating rotten leaves, rocky river,visible of people washing clothes, strong current of water</t>
  </si>
  <si>
    <t>Presence of people cleaning vehicles/rocky river bed/ strong currents during time of sampling</t>
  </si>
  <si>
    <t>Residential area, continuous flow/ current of water</t>
  </si>
  <si>
    <t>Residential area, presence of few floating rotten leaves, plantation pf sasa/ nipa palm</t>
  </si>
  <si>
    <t>residential area, near school, Nipa palms by the river</t>
  </si>
  <si>
    <t>Near school. residential area, few floating of solid waste</t>
  </si>
  <si>
    <t>Near school and few residential houses, Nipa trees on riverbanks</t>
  </si>
  <si>
    <t>vol. of rotten leaves, near school, residential area</t>
  </si>
  <si>
    <t>presence of few floating solid wastes, near school, residential area</t>
  </si>
  <si>
    <t>presennce of eatery nearby the sampling station, no unusual further activities on-site</t>
  </si>
  <si>
    <t>presence of few solid waste and rotten leaves, near school and residential area</t>
  </si>
  <si>
    <t>Presence of rotting organic matter (leaves) / strong currents during time of sampling/rocky river bed</t>
  </si>
  <si>
    <t>BALER, AURORA</t>
  </si>
  <si>
    <t>The water quality of Dicaloyungan River across three stations—upstream, midstream, and downstream—generally meets Class C standards, with some localized concerns. Dissolved oxygen (DO) levels are consistently above the 5 mg/L guideline (5.53–6.43 mg/L), indicating healthy oxygen conditions suitable for aquatic life. Biological oxygen demand (BOD) is well below the 7 mg/L limit (2–3 mg/L), suggesting low organic pollution. Total suspended solids (TSS) are low, averaging 9.25–9.92 mg/L, and pH, temperature, and color remain within acceptable limits, reflecting stable physical and chemical water quality. Microbial contamination, measured as fecal coliform, is occasionally above the 200 MPN/100 mL guideline, particularly downstream, with averages ranging from 3,455 to 13,476 MPN/100 mL. This indicates moderate contamination, likely from nearby residential areas, though the overall risk is much lower than Guagua River.
Nutrient levels (NO₃-N and PO₄-P) are mostly within safe limits, though phosphate occasionally exceeds the 0.025 mg/L guideline at certain months and stations (0.070–0.085 mg/L), suggesting localized nutrient enrichment. Chloride concentrations are well below the 350 mg/L limit.
Observations indicate that the river benefits from continuous flow, forested/timberland areas upstream, and strong currents, which help dilute pollutants. Downstream areas are influenced by residential settlements and small-scale human activities, including washing and floating solid waste, which may contribute to slightly elevated fecal coliform levels.</t>
  </si>
  <si>
    <t>BAGSIT RIVER</t>
  </si>
  <si>
    <t>Brgy. Salaza, Palauig, Zambales</t>
  </si>
  <si>
    <t>BGT_1</t>
  </si>
  <si>
    <t>Brgy. San Agustin, Iba, Zambales</t>
  </si>
  <si>
    <t>BGT_2</t>
  </si>
  <si>
    <t>BGT_3</t>
  </si>
  <si>
    <t>PAKAUIG - IBA, ZAMBALES</t>
  </si>
  <si>
    <t>65 mg/L</t>
  </si>
  <si>
    <t>26-30 °C</t>
  </si>
  <si>
    <t>50 TCU</t>
  </si>
  <si>
    <t>100 MPN/100 L</t>
  </si>
  <si>
    <t>250 mg/L</t>
  </si>
  <si>
    <t>Mountainous area, presence of individuals bathing/ swimming</t>
  </si>
  <si>
    <t>Mountainous area, -presence of people bathing/ swimming</t>
  </si>
  <si>
    <t>strong current, presence of individuals swimming/ bathing</t>
  </si>
  <si>
    <t xml:space="preserve">presence of individuals swimming, timber land </t>
  </si>
  <si>
    <t>The 2025 monitoring results for Bagsit River show that most physical and chemical parameters meet Class C standards, but there are significant concerns with fecal coliform and phosphorus levels. Dissolved oxygen (DO) is within the acceptable limit across all stations, with Station 1 (Upstream) showing the highest DO (6.64 mg/L), indicating the best oxygenation. BOD levels remain below the standard, with Stations 1 and 3 recording the highest values (3 mg/L), though still acceptable. TSS values are low overall but Station 2 recorded the highest TSS (15.75 mg/L) due to higher sediment load. pH and temperature are all within proper limits. Color is consistently low (5 TCU) across all stations. The most serious issue is fecal coliform, where the guideline of 200 MPN/100mL is exceeded in all stations. Station 2 (Midstream) recorded the highest fecal coliform level with an average of 18,622.66 MPN/100mL, followed by Station 3. For nitrates, Station 2 again recorded the highest NO3-N (0.453 mg/L), though still within the standard. Phosphate values exceed the allowable 0.025 mg/L in all stations, but Station 1 and Station 3 recorded the highest PO4-P (0.027–0.030 mg/L). Chloride levels are well below the limit, with Station 3 showing the highest Cl- concentration (11 mg/L). Field observations show that upstream areas are mountainous with bathing activities, while midstream and downstream sites have more vegetation and idle land. Overall, Station 2 (Midstream) is the most polluted station—showing the highest TSS, nitrate, and fecal coliform—indicating stronger human influence and water contamination in this section of the river.</t>
  </si>
  <si>
    <t>Idle land</t>
  </si>
  <si>
    <t>Timberland, rich vegetation on riverbank, large volume of water</t>
  </si>
  <si>
    <t>strong current, dump trucks observed</t>
  </si>
  <si>
    <t>presence of peopling washing clothes</t>
  </si>
  <si>
    <t>Idle land, presence of few floating of rotten leaves</t>
  </si>
  <si>
    <t>Timberland, nipa trees on riverbanks</t>
  </si>
  <si>
    <t>strong currrent, residential/ agricutural area</t>
  </si>
  <si>
    <t>individual swimming and fishing observed, presence of few rotten leaves</t>
  </si>
  <si>
    <t>LUCONG RIVER</t>
  </si>
  <si>
    <t>Cut-Cut Bridge</t>
  </si>
  <si>
    <t>San Rafael, Capas, Tarlac</t>
  </si>
  <si>
    <t>Santiago Bridge</t>
  </si>
  <si>
    <t>Santiago, Concepcion, Tarlac</t>
  </si>
  <si>
    <t>Near Green Village</t>
  </si>
  <si>
    <t>San Jose Poblacion, Concepcion, Tarlac</t>
  </si>
  <si>
    <t>No. of Stn.</t>
  </si>
  <si>
    <t>CAPAS-CONCEPCION, TARLAC</t>
  </si>
  <si>
    <t>~</t>
  </si>
  <si>
    <t>Temp. (OC)</t>
  </si>
  <si>
    <t>NO3-N (mg/L)</t>
  </si>
  <si>
    <t>PO4-P (mg/L)</t>
  </si>
  <si>
    <t>JAN</t>
  </si>
  <si>
    <t>MAY</t>
  </si>
  <si>
    <t xml:space="preserve">September </t>
  </si>
  <si>
    <t>Cutcut Bridge</t>
  </si>
  <si>
    <t>Present of solid waste
Water has odor
Water level is low</t>
  </si>
  <si>
    <t>Low volume of water
Slow flow of water
Vegetation growing nearby
Near residential area</t>
  </si>
  <si>
    <t>Near residential
Ongoing construction of riverbank
Rapid flow of water
Vegetation growing near the riverbank</t>
  </si>
  <si>
    <t>Lots of water lilies
Water is slow flowing
Low water level
Foul odor</t>
  </si>
  <si>
    <t>Low volume of water
Stagnant river
Near residential area
Station is overgrown with waterlilies</t>
  </si>
  <si>
    <t>Near residential
Slow flow of water
Overgrown vegetation
Floating solid wastes</t>
  </si>
  <si>
    <t>Water level is low
Water is flowing
Vegetations are present</t>
  </si>
  <si>
    <t>Near residential
Slightly fast flow of water
Overgrown vegetation</t>
  </si>
  <si>
    <t>The Lucong River, monitored at three stations under Class C criteria, shows poor water quality in several key areas. Dissolved oxygen (DO) levels are critically low across all stations (1.32–2.24 mg/L vs. 5 mg/L standard), indicating severe stress on aquatic life. BOD levels are very high at some stations (up to 18 mg/L), reflecting significant organic pollution. Total Suspended Solids (TSS) are generally within limits (26–36 mg/L vs. 80 mg/L), and pH (7.4–7.45) and temperature (27.7–28.4°C) are within acceptable ranges. Color is below the limit, but fecal coliform counts are extremely high (43,649–123,943 MPN/100 mL vs. 200 standard), pointing to heavy microbial contamination from sewage and runoff. Nutrients like nitrates are below limits, but phosphates exceed the 0.5 mg/L standard at all stations, indicating risk of eutrophication. Chloride levels are within safe limits.
Observations show additional pressures: low water volume, slow or variable flow, presence of water lilies, solid waste, nearby residential areas, and ongoing construction near the riverbanks. Overall, Lucong River has poor oxygen and microbial quality, high organic and nutrient pollution, and requires urgent measures to reduce contamination and restore ecological health.</t>
  </si>
  <si>
    <t>ANGAT RIVER</t>
  </si>
  <si>
    <t>Sta. Cruz Poblacion, Angat, Bulacan</t>
  </si>
  <si>
    <t>ANG_1</t>
  </si>
  <si>
    <t>Mid-Stream</t>
  </si>
  <si>
    <t>ANG_2</t>
  </si>
  <si>
    <t>Down-Stream</t>
  </si>
  <si>
    <t>Marungko, Angat, Bulacan</t>
  </si>
  <si>
    <t>ANG_3</t>
  </si>
  <si>
    <t>ANGAT, BULACAN</t>
  </si>
  <si>
    <t xml:space="preserve">6.5-8.5 </t>
  </si>
  <si>
    <t>55 TCU</t>
  </si>
  <si>
    <t>Agricultural area, presence of people swimming during sampling</t>
  </si>
  <si>
    <t>Residential area, presence of people bathing/ swimming</t>
  </si>
  <si>
    <t>residential area, strong current of water</t>
  </si>
  <si>
    <t>strong water currentm, residential areea</t>
  </si>
  <si>
    <t>Residential area</t>
  </si>
  <si>
    <t>Residential area, presence of few solid wastes afloat</t>
  </si>
  <si>
    <t>on-going construction of bridge, strong current of water</t>
  </si>
  <si>
    <t>on-going construction of bridge, presence of heavy equipment</t>
  </si>
  <si>
    <t>Plenty of cottages near the station, presence of people swimming/ bathing</t>
  </si>
  <si>
    <t>noticeable number of cottages, presence of people swimming/ bathing</t>
  </si>
  <si>
    <t>strong current of water, visible of heavy equipment and cottages</t>
  </si>
  <si>
    <t>on-going rehabilitation of riverbank, presence of heavy equipment and individuals swimming</t>
  </si>
  <si>
    <t>Water quality monitoring of Angat River at three stations—upstream, midstream, and downstream—shows generally good physical and chemical conditions, with DO, BOD, TSS, pH, temperature, and color within Class C standards. However, microbial contamination is high, especially downstream, where fecal coliform averaged over 32,000 MPN/100 mL, likely due to cottages, swimming, and riverbank activities. Phosphate levels also exceeded the standard, indicating nutrient enrichment, while nitrate and chloride remained safe. Observations noted residential and recreational use along the river, with occasional floating waste.</t>
  </si>
  <si>
    <t>PALAKOL RIVER</t>
  </si>
  <si>
    <t xml:space="preserve">Up-stream </t>
  </si>
  <si>
    <t>San Jose, Floridablanca, Pampanga</t>
  </si>
  <si>
    <t>PUD_1</t>
  </si>
  <si>
    <t xml:space="preserve">Mid-stream </t>
  </si>
  <si>
    <t>Pabanlag, Floridablanca, Pampanga</t>
  </si>
  <si>
    <t>PUD_2</t>
  </si>
  <si>
    <t xml:space="preserve">Down-stream </t>
  </si>
  <si>
    <t>Sto. Cristo, Lubao, Pampanga</t>
  </si>
  <si>
    <t>PUD_4</t>
  </si>
  <si>
    <t>Lubad - Floridablanca, Pampanga</t>
  </si>
  <si>
    <t>6.5-8.5</t>
  </si>
  <si>
    <t>26-30</t>
  </si>
  <si>
    <t>Lubao - Floridablanca, Pampanga</t>
  </si>
  <si>
    <t>residential area, few individuals bathing/ swimming</t>
  </si>
  <si>
    <t>Large volume of water / Strong current, presence of people bathing/ swimming</t>
  </si>
  <si>
    <t>presence of individuals swimming in the river, multiple small nipa hut sellers.</t>
  </si>
  <si>
    <t>agricultural area, presence of few solid waste, presence of livestocks</t>
  </si>
  <si>
    <t>vacant land</t>
  </si>
  <si>
    <t>Agricultural area, presence of vol. of water lily, rich vegetation along river bank, Large volume of water / strong current</t>
  </si>
  <si>
    <t>sighting of trucks passing the river, no other unusual activities on-site.</t>
  </si>
  <si>
    <t>presence of individuals swimming and washing of trucks</t>
  </si>
  <si>
    <t>Agricultural land, presence of few floating water lily</t>
  </si>
  <si>
    <t>Agricultural area, presence of vol. of water lily, rich vegetation along river bank</t>
  </si>
  <si>
    <t>on-going constructions at bridge nearby</t>
  </si>
  <si>
    <t>strong water current, presence of individuals swimming/ bathing</t>
  </si>
  <si>
    <t>The 2025 water quality monitoring of Palakol River, Class C, covering three stations from upstream to downstream, indicates generally good water conditions with some concerns. Dissolved oxygen levels range from 5.36 to 6.54 mg/L, which meets the Class C standard, supporting aquatic life. BOD is low across all stations (2–2.67 mg/L), indicating minimal organic pollution. Total suspended solids are within the safe limit, though slightly higher in midstream (47.33 mg/L), likely due to runoff. pH values are neutral (7.37–7.44), and temperatures are mostly within the recommended range. Color is low, showing clear water, while chloride, nitrate, and phosphate levels are mostly below harmful limits, except phosphate, which exceeds the water quality guideline at the downstream station (0.16 mg/L vs. 0.025 mg/L), suggesting nutrient enrichment that could lead to localized eutrophication. Fecal coliform levels are elevated at all stations (6,537–19,206 MPN/100mL), exceeding the Class C limit of 100 MPN/100mL, indicating significant microbial contamination likely from domestic or recreational activities. Observations note residential areas, agricultural land, water lily presence, and some human activity such as bathing or swimming.</t>
  </si>
  <si>
    <t>PUDOC RIVER</t>
  </si>
  <si>
    <t>Up-stream (Pudoc Bridge)</t>
  </si>
  <si>
    <t>Buhangin, Baler, Aurora</t>
  </si>
  <si>
    <t>Mid-stream (Buhangin Bridge)</t>
  </si>
  <si>
    <t>Mid-stream (Daungan Bridge)</t>
  </si>
  <si>
    <t>Pob. V, Baler, Aurora</t>
  </si>
  <si>
    <t>PUD_3</t>
  </si>
  <si>
    <t>Down-stream (Near Basketball court)</t>
  </si>
  <si>
    <t>Sabang, Baler, Aurora</t>
  </si>
  <si>
    <t>Residential area, Nipa palm along river bank</t>
  </si>
  <si>
    <t>Residential area, Nipa trees along the riverbank, few floating of water lily.</t>
  </si>
  <si>
    <t>on-going construction of bridge, presence of vol. of water hyacinth and water spinach</t>
  </si>
  <si>
    <t>discoloration of water, on going construction of bridge, visible of heavy equipment</t>
  </si>
  <si>
    <t>Residential area,  Nipa trees along the river bank</t>
  </si>
  <si>
    <t>presence of few floating of rotten water hyacinth and solid waste</t>
  </si>
  <si>
    <t>discoloration of water, presence of few solid waste and hyacinth</t>
  </si>
  <si>
    <t>Residential area, Nipa trees along the riverbank, presence of few floating of solid waste</t>
  </si>
  <si>
    <t>sighting of fishing boat, presence of few solid waste</t>
  </si>
  <si>
    <t>presence of few solid waste, visible of fishing boat</t>
  </si>
  <si>
    <t>Residential area, Nipa palm along river bank and boat docking area</t>
  </si>
  <si>
    <t>Residential area, boat docking area, Nipa trees along the riverbank</t>
  </si>
  <si>
    <t>visible of fisging boats, presence of few solid waste</t>
  </si>
  <si>
    <t>In 2025, water quality in the Pudoc River, Aurora, was monitored at four stations: upstream (Pudoc Bridge), midstream (Buhangin Bridge and Daungan Bridge), and downstream (near Basketball Court). Dissolved oxygen levels ranged from 4.59 to 5.22 mg/L, meeting the Class C standard, while BOD remained low at 2–2.33 mg/L, indicating minimal organic pollution. Total suspended solids were well below the standard, with averages between 9.0 and 15.33 mg/L. River pH and temperature were within acceptable limits, ranging from 7.15–7.21 and 26.65–27.05°C, respectively. Color remained low, indicating clear water, but phosphate concentrations exceeded the guideline at all stations, and fecal coliform levels were extremely high, ranging from 13,831 to 96,406 MPN/100mL, highlighting significant microbial contamination likely from residential areas and riverbank activities. Observations noted water discoloration, floating vegetation such as water hyacinth, solid waste, ongoing bridge construction, and fishing or docking activities along the river, suggesting both human and environmental impacts on water quality.</t>
  </si>
  <si>
    <t>CY 2024</t>
  </si>
  <si>
    <t>TALISAY RIVER</t>
  </si>
  <si>
    <t>Tanato Bridge</t>
  </si>
  <si>
    <t>Tanato, Balanga, Bataan</t>
  </si>
  <si>
    <t>TAL_1</t>
  </si>
  <si>
    <t>Magsaysay Dam</t>
  </si>
  <si>
    <t>Diwa, Pilar, Bataan</t>
  </si>
  <si>
    <t>TAL_2</t>
  </si>
  <si>
    <t xml:space="preserve">Talisay Bridge </t>
  </si>
  <si>
    <t>Ala-uli, Pilar, Bataan</t>
  </si>
  <si>
    <t>TAL_3</t>
  </si>
  <si>
    <t xml:space="preserve">Camacho Bridge  </t>
  </si>
  <si>
    <t>Camacho, Balanga, Bataan</t>
  </si>
  <si>
    <t>TAL_4</t>
  </si>
  <si>
    <t>Name of Stn.</t>
  </si>
  <si>
    <t xml:space="preserve">Near Banzon Residence </t>
  </si>
  <si>
    <t>Balut I, Pilar, Bataan</t>
  </si>
  <si>
    <t>TAL_5</t>
  </si>
  <si>
    <t>PILAR-BALANGA, BATAAN</t>
  </si>
  <si>
    <t>Balanga, Bataan</t>
  </si>
  <si>
    <t>Mixed land, presence of people/ individuals bathing/ swimming</t>
  </si>
  <si>
    <t>Timber land, presence of rotten leaves afloat</t>
  </si>
  <si>
    <t>Timber land, presence of few floating rotten leaves</t>
  </si>
  <si>
    <t>Timberland, presence of individuals bathing/ swimming</t>
  </si>
  <si>
    <t xml:space="preserve">Timberland </t>
  </si>
  <si>
    <t>surrounded by mountains and timber land, turbid water, vol. of solid waste on river bank which is mostly plastic</t>
  </si>
  <si>
    <t>turbid water, rainfall prior to the conduct of sampling</t>
  </si>
  <si>
    <t>turbid water,presence of volume of debris/solid waste, strong current of water</t>
  </si>
  <si>
    <t>strong current of water, rocky river</t>
  </si>
  <si>
    <t>rocky river, strong current of water, volume of solid waste on river bank</t>
  </si>
  <si>
    <t>Presence of people swimming/ solid waste on river bank</t>
  </si>
  <si>
    <t>Mixed land, near Magsaysay dam</t>
  </si>
  <si>
    <t>mixed land, presence of few floating of solid waste</t>
  </si>
  <si>
    <t>mixed land, mini-dam, presence of few rotten leaves afloat</t>
  </si>
  <si>
    <t>Mixed land, presence of few floating of water lily</t>
  </si>
  <si>
    <t>mixed land, near mini dam</t>
  </si>
  <si>
    <t xml:space="preserve">agricultural area, turbid water, large volume of water </t>
  </si>
  <si>
    <t>no unusuala activities observed, floating of dried leaves observed</t>
  </si>
  <si>
    <t>strong current of water, rocky river, presence of rotten leaves</t>
  </si>
  <si>
    <t>on going construction of river bank on upstream, strong current of water</t>
  </si>
  <si>
    <t>Presence of rotting organic matter/ overf lowing of dam observed/ near agricultural and residential area.</t>
  </si>
  <si>
    <t xml:space="preserve">Mixed land </t>
  </si>
  <si>
    <t>Mixed land, presence of vol. of water lily</t>
  </si>
  <si>
    <t>mixed, presence of few floating of solid wastes</t>
  </si>
  <si>
    <t>Mixed land, presence of few floating water lily</t>
  </si>
  <si>
    <t>agricultural area,turbid water</t>
  </si>
  <si>
    <t>fishing activity observed</t>
  </si>
  <si>
    <t>turbid water, strong current of water</t>
  </si>
  <si>
    <t>with water discharge from drainage canal, presence of solid waste</t>
  </si>
  <si>
    <t>agricultural area, presence of few solid waste</t>
  </si>
  <si>
    <t>Presence of solid waste observed/ near residential and agricultural area</t>
  </si>
  <si>
    <t>Residential area, presence of vol. of solid waste</t>
  </si>
  <si>
    <t>Residdential area, presence of few floating solid wastes</t>
  </si>
  <si>
    <t>Residential area, presence of vol. of solid waste &amp; water lily</t>
  </si>
  <si>
    <t>residential area, waste water discharge at drainage canal, and few floating of solid waste and water hyacinth</t>
  </si>
  <si>
    <t>floating of solid waste, near public market</t>
  </si>
  <si>
    <t>turbid water, strong current of water, visible of heavy equipment</t>
  </si>
  <si>
    <t>with water discharge from drainage canal, presence of solid waste and rotten leaves</t>
  </si>
  <si>
    <t>water discharge at drainage canal, presence of few solid waste</t>
  </si>
  <si>
    <t>Presence of solid waste / observed discharge from drainage canal/ near residential area</t>
  </si>
  <si>
    <t xml:space="preserve">Residential area, presence of few solid waste afloat </t>
  </si>
  <si>
    <t>Residential area, few floating of solid waste and rotten leaves</t>
  </si>
  <si>
    <t>near residential area, floating of solid wates and leaves, boat docked near the sampling station</t>
  </si>
  <si>
    <t>turbid water, strong current of water, presence of solid waste on the riverbank</t>
  </si>
  <si>
    <t>Presence of solid waste in the area/ near residential area.</t>
  </si>
  <si>
    <t>ANALYSIS</t>
  </si>
  <si>
    <t>Monitoring of Talisay River at five stations shows that most physical and chemical parameters—DO (3.2–7.84 mg/L), BOD (2–7 mg/L), TSS (1–90 mg/L), pH (6.85–7.86), temperature (26–32.1 °C), and color (5–20 TCU)—are generally within Class C standards, though some stations, especially near Camacho Bridge and Banzon Residence, had lower DO and higher BOD and TSS. Microbial contamination is extremely high, with fecal coliform reaching 3,500,000 MPN/100 mL near Banzon Residence, far above the 200 MPN/100 mL limit. Nitrate (0.023–1.265 mg/L) and phosphate (0.011–0.518 mg/L) occasionally exceeded safe levels, and chloride reached 779 mg/L near Banzon Residence. Observations indicate residential, agricultural, and recreational activities, including bathing, swimming, fishing, and significant solid waste along the riverbanks, contributing to pollution.</t>
  </si>
  <si>
    <t>PAMPANGA RIVER (UPSTREAM NUEVA ECIJA)</t>
  </si>
  <si>
    <t>Bongabon River Irrigation System</t>
  </si>
  <si>
    <t>Palayan City, Nueva Ecija</t>
  </si>
  <si>
    <t>Vergara Bridge</t>
  </si>
  <si>
    <t>Cabanatuan City, Nueva Ecija</t>
  </si>
  <si>
    <t>Sta. Rosa Bridge</t>
  </si>
  <si>
    <t>Santa Rosa, Nueva Ecija</t>
  </si>
  <si>
    <t>Water Quality Satistical Report</t>
  </si>
  <si>
    <t>Palayab City - Cabanatuan City - Sta. Rosa, Nueva Ecija</t>
  </si>
  <si>
    <t>Pampanga River Up-stream</t>
  </si>
  <si>
    <t>Low volume of water
Steady flow of water
Dredging near the station
Livestock can be seen near the station
Spillway is overflowing
Riffraffing ongoing</t>
  </si>
  <si>
    <t>Steady flow of water
Construction ongoing near the spillway
Vegetation growing near the station</t>
  </si>
  <si>
    <t>turbid water, strong current of water, on-going construction of bridge,  heavy equipment visible</t>
  </si>
  <si>
    <t>water overflowing on dam, strong current, on-going construction of bridge</t>
  </si>
  <si>
    <t>Slightly low volume of water
Steady flow of water
Near busy road
Vegetation growing near the station</t>
  </si>
  <si>
    <t>Low volume of water
Vegetation growing on the riverbank
Slow flow of water
Busy road</t>
  </si>
  <si>
    <t>turbid water, strong current of water, presence of few solid waste floating</t>
  </si>
  <si>
    <t>turbid water, formation of bubbles, agricultural area</t>
  </si>
  <si>
    <t>Slow flow of water
Near busy road
Vegetation growing near the station
Ongoing construction of a nearby bridge</t>
  </si>
  <si>
    <t>Slow flow of water
Near commercial area
Vegetation growing near the station
Busy road
Near agricultural field</t>
  </si>
  <si>
    <t>In 2025, monitoring of the upstream Pampanga River in Nueva Ecija at Bongabon River Irrigation System, Vergara Bridge, and Sta. Rosa Bridge showed that dissolved oxygen (DO) levels ranged from 1.54 to 7.10 mg/L, sometimes falling below the Class C standard of 5 mg/L, while BOD remained low (2–5 mg/L), suggesting limited organic pollution. Total suspended solids (TSS) varied widely, with the highest at 123 mg/L at Sta. Rosa Bridge, occasionally exceeding the standard of 80 mg/L. River pH (7.51–8.83) and temperature (26.1–30.2 °C) were within normal ranges, and water color was generally low (5–25 TCU). Fecal coliform contamination was extremely high, peaking at 130,000 MPN/100 mL at Sta. Rosa Bridge, far above the 200 MPN/100 mL limit, likely due to livestock, residential, and agricultural activities. Nitrate (0.371–1.796 mg/L) and phosphate (0.012–0.845 mg/L) were mostly low, though phosphate spikes were observed at Bongabon. Chloride levels fluctuated (4–387 mg/L) but remained under the standard of 350 mg/L. Observations indicated turbid water, strong currents, floating solid waste, nearby construction, and livestock presence, showing that both human activity and natural factors are impacting water quality.</t>
  </si>
  <si>
    <t>NUEVA ECIJA</t>
  </si>
  <si>
    <t>PAMPANGA RIVER UPSTREAM</t>
  </si>
  <si>
    <t>N/A</t>
  </si>
  <si>
    <t>6 mg/L</t>
  </si>
  <si>
    <t>50 mg/L</t>
  </si>
  <si>
    <t>7.0-8.5</t>
  </si>
  <si>
    <t>26-30°C</t>
  </si>
  <si>
    <t>10 mg/L</t>
  </si>
  <si>
    <t>0.200 mg/L</t>
  </si>
  <si>
    <t>TALAVERA RIVER</t>
  </si>
  <si>
    <t xml:space="preserve">2nd Quarter </t>
  </si>
  <si>
    <t>Capintalan, Carranglan, N.E</t>
  </si>
  <si>
    <t>TLV_1</t>
  </si>
  <si>
    <t>Tayabo, San Jose, N.E</t>
  </si>
  <si>
    <t>TLV_2</t>
  </si>
  <si>
    <t>Pag-asa, Talavera, N.E.</t>
  </si>
  <si>
    <t>TLV_3</t>
  </si>
  <si>
    <t>Agricultural area</t>
  </si>
  <si>
    <t>Mountainous/ Timberland, strong current</t>
  </si>
  <si>
    <t>strong current, mountanous area</t>
  </si>
  <si>
    <t>strong current of water, turbid water, agricultural area</t>
  </si>
  <si>
    <t>Mountainous/ agricultural area, presence of people swimming near the station</t>
  </si>
  <si>
    <t>Mixed land, presence of people bathing and washing clothes</t>
  </si>
  <si>
    <t>turbid water, water buffalo sighted, strong current</t>
  </si>
  <si>
    <t>strong current of water, rocky river, agricultural area, on-going construction of bridge, visible of heavy equipment</t>
  </si>
  <si>
    <t>Mountanous/ agricultural area</t>
  </si>
  <si>
    <t>Agricultural/ residential area, strong current</t>
  </si>
  <si>
    <t>turbid water, strong current</t>
  </si>
  <si>
    <t>strong current of water, rocky river, agricultural area</t>
  </si>
  <si>
    <t>Nueva Ecija/ Carranglan,San Jose City and Science City of Munoz</t>
  </si>
  <si>
    <t>The water quality monitoring of Talavera River (Class C, 3 stations) for CY 2025 indicates that dissolved oxygen (DO) consistently met the standard of 5 mg/L, with the highest recorded DO of 7.46 mg/L at the upstream station in the 3rd quarter. Biochemical oxygen demand (BOD) was generally low, ranging from &lt;2 to 5 mg/L, well below the standard of 7 mg/L. Total suspended solids (TSS) exceeded the standard of 80 mg/L at mid-stream and downstream stations, peaking at 247 mg/L downstream in the 3rd quarter. pH and temperature were within allowable ranges, while color remained low and well below the standard. Nitrate (NO3-N) and phosphate (PO4-P) were slightly elevated at certain stations, with phosphate exceeding the guideline of 0.025 mg/L at all stations, reaching a maximum of 0.095 mg/L downstream. Fecal coliform exceeded the WQG of 200 MPN/100mL at all stations, with the highest geomean of 11,342 MPN/100mL recorded upstream, reflecting contamination from agricultural runoff and human activity such as bathing and washing. Observations noted strong currents, turbid water, agricultural activity, and occasional swimming or livestock presence near the stations, indicating that land use and human activity significantly influenced water quality.</t>
  </si>
  <si>
    <t>BEACH MONITORING (BALER BAY)</t>
  </si>
  <si>
    <t>CLASS SB ( 6 STATIONS )</t>
  </si>
  <si>
    <t>Near River Mouths</t>
  </si>
  <si>
    <t>f</t>
  </si>
  <si>
    <t>BLB_1</t>
  </si>
  <si>
    <t>Surfers Hub</t>
  </si>
  <si>
    <t>BLB_2</t>
  </si>
  <si>
    <t>La Patricia Baler B.R</t>
  </si>
  <si>
    <t>BLB_3</t>
  </si>
  <si>
    <t>Costa Pacifica</t>
  </si>
  <si>
    <t>BLB_4</t>
  </si>
  <si>
    <t>Aliya Surf Hotel</t>
  </si>
  <si>
    <t>BLB_5</t>
  </si>
  <si>
    <t>Playa Azul Hotel</t>
  </si>
  <si>
    <t>BLB_6</t>
  </si>
  <si>
    <t xml:space="preserve"> </t>
  </si>
  <si>
    <t>Obserbvations</t>
  </si>
  <si>
    <t>Low tide, near river mouth, presence of few solid waste on shore</t>
  </si>
  <si>
    <t>High tide, near river mouth</t>
  </si>
  <si>
    <t>Near river mouth and high tide during sampling</t>
  </si>
  <si>
    <t>river mouth, residential area, high tide</t>
  </si>
  <si>
    <t>Near river mouth, residential area, low tide</t>
  </si>
  <si>
    <t>near river mouth, low tide, residential area</t>
  </si>
  <si>
    <t>low tide, traces of open burning</t>
  </si>
  <si>
    <t>calm sorrounding, no unusual activitry</t>
  </si>
  <si>
    <t>low tide' wavy, presence of solid waste on shore</t>
  </si>
  <si>
    <t>wavy, presence of debris and solid waste on shore</t>
  </si>
  <si>
    <t>High tide/presence of fishing boats /presence of solid waste on shore</t>
  </si>
  <si>
    <t>Low tide, presence of few solid waste on shore</t>
  </si>
  <si>
    <t>High tide.</t>
  </si>
  <si>
    <t>High Tide</t>
  </si>
  <si>
    <t>high tide</t>
  </si>
  <si>
    <t>High tide</t>
  </si>
  <si>
    <t>Low tide, resorts area</t>
  </si>
  <si>
    <t>stable waters, low tide, and near beach resort hotel</t>
  </si>
  <si>
    <t>low tide, wavy</t>
  </si>
  <si>
    <t>moderate waves</t>
  </si>
  <si>
    <t>low tide' wavy, visible of people catching fish</t>
  </si>
  <si>
    <t>wavy, low tide, visible of bubbles</t>
  </si>
  <si>
    <t>High tide/ strong waves observed/ ongoing rehabilitation of slope protection</t>
  </si>
  <si>
    <t>Hight tide, presence of vol. of debris on shore</t>
  </si>
  <si>
    <t>High Tide, presence of few solid waste on shore</t>
  </si>
  <si>
    <t>High tide, few individuals swimming/ bathing</t>
  </si>
  <si>
    <t>low tide, presence of individuals swimming/ bathing, wav</t>
  </si>
  <si>
    <t>no unusual activities, moderate waves</t>
  </si>
  <si>
    <t>low tide' wavy, visible of people surfing and swimming</t>
  </si>
  <si>
    <t>visible of people surfing and swimming, wavy, low tide</t>
  </si>
  <si>
    <t>High tide/ srong waves observed . presence of solid waste</t>
  </si>
  <si>
    <t>Low tide, presence of few solid waste on shore, wavy on time of sampling</t>
  </si>
  <si>
    <t>High tide, surfing activity observed</t>
  </si>
  <si>
    <t>Low tide, resorts area, presence of people swimming/ bathing</t>
  </si>
  <si>
    <t>tourist in sight bathing neat the sampling point, strong waves</t>
  </si>
  <si>
    <t>wavy, visible of people surfing and swimming, presence of volume of debris and solid waste on shore, low tide</t>
  </si>
  <si>
    <t>High tide/ strong waves observed/ presence of rotting organic matter/ presence of solid waste on shore</t>
  </si>
  <si>
    <t>High tide, presence of few solid waste on shore</t>
  </si>
  <si>
    <t>high tide, few solid waste and debris on shore</t>
  </si>
  <si>
    <t>minimal presence of solid waste along the shore</t>
  </si>
  <si>
    <t>low tide' wavy, visible of people cathing fish, swimming and surfing</t>
  </si>
  <si>
    <t>high tide/ strong waves observed/presence of solid waste on shore</t>
  </si>
  <si>
    <t>high tide, on-going construction of baywalk</t>
  </si>
  <si>
    <t>Low tide, resorts area, on-going construction activity during sampling</t>
  </si>
  <si>
    <t>stable waters, low tide, near beach resort hotel, on-going construction of baywalk, presence of individulas swimming</t>
  </si>
  <si>
    <t>low tide, wavy, on-going construction of bay-walk</t>
  </si>
  <si>
    <t>on-going construction near the sampling point</t>
  </si>
  <si>
    <t>wavy, on going construction of baywalk, presence of volume of debris and solid waste, low tide</t>
  </si>
  <si>
    <t>High tide/ storng waves observed/ presence of solid waste on shore</t>
  </si>
  <si>
    <t>* results to follow</t>
  </si>
  <si>
    <t>** Monthly Sampling not yet conducted</t>
  </si>
  <si>
    <t>BALER BAY</t>
  </si>
  <si>
    <t>Based on the 2025 beach monitoring data for Baler Bay, the stations with the highest recorded values vary depending on the parameter measured. For dissolved oxygen (DO), the highest monthly value (7.60 mg/L) was observed at Station 1 – Near River Mouths. For total suspended solids (TSS), the highest reading reached 73 mg/L at Station 2 – Surfers Hub in August. The highest pH value reported was 8.80, observed at all stations (1 to 6) during September. In terms of temperature, the hottest reading of 31.10°C was recorded at Station 5 – Aliya Surf Hotel in September. For color (TCU), all stations consistently registered the same value of 5 TCU, indicating no station exceeded any other. The highest fecal coliform level reached 17,000 MPN/100 mL at Station 2 – Surfers Hub in March. For nitrate (NO₃-N), the maximum value of 0.905 mg/L occurred at Station 1 – Near River Mouths in March. Lastly, for phosphate (PO₄-P), the highest reading recorded was 0.275 mg/L at Station 3 – La Patricia Baler Beach Resort in September. Overall, contamination peaks commonly occurred near river mouths and high-use recreational areas, particularly at Stations 1 and 2.</t>
  </si>
  <si>
    <t>MONTEMAR BEACH CLUB</t>
  </si>
  <si>
    <t>CLASS SB ( 3 STATIONS )</t>
  </si>
  <si>
    <t xml:space="preserve">August </t>
  </si>
  <si>
    <t>Near Yatch Club</t>
  </si>
  <si>
    <t>Sitio Pahinay, Brgy, Pag-asa, Bagac, Bataan</t>
  </si>
  <si>
    <t>MON_1</t>
  </si>
  <si>
    <t xml:space="preserve">Near Pawikan Hatchery </t>
  </si>
  <si>
    <t>MON_2</t>
  </si>
  <si>
    <t>Near Trota Side Residence</t>
  </si>
  <si>
    <t>MON_3</t>
  </si>
  <si>
    <t>Low tide, wavy on time of sampling</t>
  </si>
  <si>
    <t>Low tide</t>
  </si>
  <si>
    <t>high tide, calm water, presence of people bathing/ swimming</t>
  </si>
  <si>
    <t>low tide, strong waves, and presence of debris/ solid waste on shore</t>
  </si>
  <si>
    <t>hight tide, wavy, few solid waste on shore</t>
  </si>
  <si>
    <t>wavy, high tide, presence of few solid waste</t>
  </si>
  <si>
    <t>high tide, wavy, presence of few solid waste on shore</t>
  </si>
  <si>
    <t>low tide, presence of few solid waste and debris on shore</t>
  </si>
  <si>
    <t>Low tide/ high waves</t>
  </si>
  <si>
    <t>low tide, wavy on time of sampling</t>
  </si>
  <si>
    <t>low tide</t>
  </si>
  <si>
    <t>Low tide.</t>
  </si>
  <si>
    <t>low tide, strong waves</t>
  </si>
  <si>
    <t>wavy, high tide, presence of few solid wast</t>
  </si>
  <si>
    <t>high tide, wavy</t>
  </si>
  <si>
    <t>low tide, presence of few solid waste and rotten leaves on shore</t>
  </si>
  <si>
    <t>BAGAC, BATAAN</t>
  </si>
  <si>
    <t>The water quality monitoring data for Montemar Beach Club in 2025 indicate generally acceptable conditions for most physical and chemical parameters, though some areas of concern were observed. Dissolved oxygen (DO) levels across the three stations averaged between 5.88 and 5.92 mg/L, occasionally falling below the Class C guideline of 6 mg/L, particularly during the February to May period, which may be influenced by low tides, water temperature fluctuations, and organic matter. Total suspended solids (TSS) were mostly within the allowable limit of 50 mg/L, except at Station 1, where September readings reached 226 mg/L, likely due to sediment resuspension or runoff. pH values ranged from 7.39 to 7.42, and water temperatures ranged from 26.69 to 28.81°C, both consistently within acceptable ranges. Water color remained low at 5 TCU, indicating clear water. Nitrate (NO₃-N) and phosphate (PO₄-P) levels were well below the water quality guidelines, showing minimal risk of nutrient enrichment. However, fecal coliform counts were a significant concern, particularly at Station 2 and Station 3, where values frequently exceeded the permissible limits, with a peak of 9,200 MPN/100 mL at Station 2 in July. Field observations noted the presence of solid waste and debris along the shore, with human activity such as bathing and swimming likely contributing to microbial contamination. Overall, while the chemical and physical parameters of the water are largely within standards, the elevated fecal coliform levels and occasional low DO highlight areas that require attention to ensure both environmental health and public safety.</t>
  </si>
  <si>
    <t>JUNESS BEACH RESORT</t>
  </si>
  <si>
    <t>Near Pavillion Main Area</t>
  </si>
  <si>
    <t>Nagbalayong, Morong, Bataan</t>
  </si>
  <si>
    <t>JUN_1</t>
  </si>
  <si>
    <t>Near Open Hall</t>
  </si>
  <si>
    <t>JUN_2</t>
  </si>
  <si>
    <t>Near Building Area</t>
  </si>
  <si>
    <t>JUN_3</t>
  </si>
  <si>
    <t>MORONG, BATAAN</t>
  </si>
  <si>
    <t>Low tide, wavy on time of sampling, near river mouth</t>
  </si>
  <si>
    <t>Low tide, near river mouth and calm water</t>
  </si>
  <si>
    <t>High tide, few solid waste on shore, near river mouth</t>
  </si>
  <si>
    <t>High tide, near river mouth, few people bathing/ swimming</t>
  </si>
  <si>
    <t>high tide, strong waves and presence of few solid waste on shore</t>
  </si>
  <si>
    <t>wavy, high tide, few floating of solid waste on shore</t>
  </si>
  <si>
    <t>low tide, presence of few rotten grass</t>
  </si>
  <si>
    <t>high tide, wavy, near river mouth</t>
  </si>
  <si>
    <t>near river mouth, visible of fishing boats, presence of solid waste and rotten leaves on shore, wavy, low tide</t>
  </si>
  <si>
    <t>Low tide/ near river mouth/ high waves</t>
  </si>
  <si>
    <t>Low tide, wavy on time of sampling, presence of few solid waste on shore</t>
  </si>
  <si>
    <t>High tide, few solid waste on shore</t>
  </si>
  <si>
    <t xml:space="preserve">High tide </t>
  </si>
  <si>
    <t>low tide, presence of solid waste and rotten leaves on shore, wavy</t>
  </si>
  <si>
    <t>Low tide/ high waves/ presence of small fishing boats</t>
  </si>
  <si>
    <t>low tide, presence of solid waste and rotten leaves, visible of people catching fish</t>
  </si>
  <si>
    <t>Low tide/ hgih waves/ presence of small fishing boats</t>
  </si>
  <si>
    <t>Water quality at Juness Beach Resort, Nagbalayong, Morong, Bataan, is generally good for recreational use. Dissolved oxygen (DO) levels averaged 5.8–5.9 mg/L, slightly below the Class C guideline of 6 mg/L at times. Total Suspended Solids (TSS) were low, around 20 mg/L, showing clear water. pH (7.18–7.95), temperature (27–31 °C), color (5 TCU), nitrate (0.102–0.131 mg/L), and phosphate (0.029–0.040 mg/L) all stayed within safe limits. However, fecal coliform counts occasionally exceeded the 100 MPN/100 mL standard, with averages of 205–237 MPN/100 mL, indicating some microbial contamination, likely from nearby human activities or the river mouth. Observations noted that tides, waves, and minor solid waste affected water conditions, and some areas were used for bathing, fishing, or other shore activities.</t>
  </si>
  <si>
    <t>COAST OF PAMPANGA</t>
  </si>
  <si>
    <t>Bangkung Malapad</t>
  </si>
  <si>
    <t>Batang 2nd, Sasmuan, Pampanga</t>
  </si>
  <si>
    <t>Macabebe Point</t>
  </si>
  <si>
    <t>Consuelo, Macabebe, Pampanga</t>
  </si>
  <si>
    <t>Bancal Pugad</t>
  </si>
  <si>
    <t>Bancal Pugad, Lubao, Pampanga</t>
  </si>
  <si>
    <t>SASMUAN-MACABEBE-LUBAO, PAMPANGA</t>
  </si>
  <si>
    <t>n/a</t>
  </si>
  <si>
    <t>Geomean</t>
  </si>
  <si>
    <t>Low tide
350m away from SBMCHEA
150m away from mangroves and fishpens
Fishing vessels seen nearby
Steady flow of water</t>
  </si>
  <si>
    <t>Low tide
Slightly strong waves
Surrounded by fishpens
Fishing vessels seen nearby
400m away from SBMCHEA</t>
  </si>
  <si>
    <t>High tide
400m away from SBMCHEA
Fishing vessels nearby</t>
  </si>
  <si>
    <t>High tide
Slightly strong waves
Fishing vessels seen nearby
400m away from SBMCHEA</t>
  </si>
  <si>
    <t>High tide
Near SBMCHEA
Fishing vessel seen nearby</t>
  </si>
  <si>
    <t>High tide
Near SBMCHEA
Fishing vessels seen nearby
Slightly strong waves</t>
  </si>
  <si>
    <t>High tide
Strong waves
Strong winds
Near SBMCHEA</t>
  </si>
  <si>
    <t>no sighting of fishermen and no activities on-site</t>
  </si>
  <si>
    <t>visible of fishing boat,near fishpond, low tide</t>
  </si>
  <si>
    <t>high tide, visible of fishing boat</t>
  </si>
  <si>
    <t>No unusual activities observed during sampling</t>
  </si>
  <si>
    <t>Low tide
200m away from mangrove sanctuary
150m away from fishpens
Fishing vessels seen nearby
Steady flow of water</t>
  </si>
  <si>
    <t>Low tide
Slightly strong waves
Surrounded by fishpens
100m away from mangrove sanctuary</t>
  </si>
  <si>
    <t>High tide
200m away from mangrove sanctuary
150m away from fishpens
Fishing vessels nearby</t>
  </si>
  <si>
    <t>High tide
Slightly strong waves
500m away from mangrove sanctuary</t>
  </si>
  <si>
    <t>High tide
Near mangroves sanctuary
Backhoe seen nearby</t>
  </si>
  <si>
    <t>HIgh tide
Slightly strong waves
Near mangrove sanctuary
Near fishpens</t>
  </si>
  <si>
    <t>High tide
Strong waves
Strong winds
Near mangrove sanctuary
Near fishpens</t>
  </si>
  <si>
    <t>no unusual activities, clear and stabel waters, watch tower nearby</t>
  </si>
  <si>
    <t>low tide,    visible of fishinf boat</t>
  </si>
  <si>
    <t>high tide, visible of fishing boat, presence of few hyacinth and solid waste</t>
  </si>
  <si>
    <t>Low tide
250m away from fishpens
Steady flow of water</t>
  </si>
  <si>
    <t>Low tide
Slightly strong waves
Surrounded by fishpens</t>
  </si>
  <si>
    <t>High tide
Surrounded by fishpens
Fishing vessels nearby</t>
  </si>
  <si>
    <t>High tide
Slightly strong waves
FIshing vessels seen nearby
100m away from fishtraps</t>
  </si>
  <si>
    <t>High tide
Near fishtraps</t>
  </si>
  <si>
    <t>High tide
Near fishpens
Fishing vessels nearby
Slightly strong waves</t>
  </si>
  <si>
    <t>High tide
Strong waves
Strong winds
Near fishpen</t>
  </si>
  <si>
    <t>no unusual activities, stable waters</t>
  </si>
  <si>
    <t>low tide,    visible of fishing boat</t>
  </si>
  <si>
    <t>Water quality monitoring at three stations along the Coast of Pampanga—Bangkung Malapad, Macabebe Point, and Bancal Pugad—indicates that most physical and chemical parameters remained within Class SB standards. pH values (7.72–7.76) and temperatures (28.95–29.23 °C) were stable, while nutrient concentrations for nitrate (NO₃-N, 0.317–0.371 mg/L) and phosphate (PO₄-P, 0.232–0.293 mg/L) were generally below guideline limits. Total Suspended Solids (TSS) averaged 38–45 mg/L, occasionally approaching the 50 mg/L threshold, suggesting temporary increases in turbidity likely caused by runoff, wave action, or nearby aquaculture activities. Dissolved oxygen (DO) consistently fell below the 6 mg/L standard (5.50–5.60 mg/L), potentially posing stress for aquatic organisms. Color measurements largely complied with the standard, although isolated spikes occurred. Fecal coliform counts were elevated at all stations, with geometric means ranging from 141–452 MPN/100 mL compared to the standard of 100, indicating contamination from nearby fishpens, residential areas, and domestic effluents. Field observations noted that most stations were near mangroves, fishpens, and occasional fishing activity, with tidal variations influencing water movement and quality.</t>
  </si>
  <si>
    <t>COAST OF BATAAN</t>
  </si>
  <si>
    <t>CLASS SB ( 7 STATIONS )</t>
  </si>
  <si>
    <t>Mouth of Almacen River</t>
  </si>
  <si>
    <t>Tapulao, Orani, Bataan</t>
  </si>
  <si>
    <t>Mouth of Kaparangan River</t>
  </si>
  <si>
    <t>Kaparangan, Orani, Bataan</t>
  </si>
  <si>
    <t>Mouth of Samal River</t>
  </si>
  <si>
    <t>San Roque Pob., Samal, Bataan</t>
  </si>
  <si>
    <t>Mouth of Calaguiman River</t>
  </si>
  <si>
    <t>West Calaguiman, Samal, Bataan</t>
  </si>
  <si>
    <t>Mouth of Wawa River</t>
  </si>
  <si>
    <t>Omboy, Abucay, Bataan</t>
  </si>
  <si>
    <t>ORANI - SAMAL - ABUCAY - LIMAY , BATAAN</t>
  </si>
  <si>
    <t>Mouth of Alangan River</t>
  </si>
  <si>
    <t>Alangan, Limay, Bataan</t>
  </si>
  <si>
    <t>Mouth of Lamao River</t>
  </si>
  <si>
    <t>Lamao, Limay, Bataan</t>
  </si>
  <si>
    <t>Low tide
Slightly strong waves
800m away from silt containment area
300m away from mangroves
100m away from fishpens</t>
  </si>
  <si>
    <t>RIsing tide
Surrounded by fishpens
200m away from mangroves
700m away from silt containment area
Fishing vessels seen nearby
Slightly strong waves</t>
  </si>
  <si>
    <t>High tide
250m away from mangroves
600m away from silt containment area</t>
  </si>
  <si>
    <t>High tide
Near mangroves
Near fishtraps
Near silt containment area</t>
  </si>
  <si>
    <t>High tide
Slightly strong waves
Near mangroves
Near fishpens
Near silt containment area</t>
  </si>
  <si>
    <t>High tide
Strong waves
Near silt containment area
Near mangroves</t>
  </si>
  <si>
    <t>no sighting of unusual activities</t>
  </si>
  <si>
    <t>low tide, sighting of fishing boat</t>
  </si>
  <si>
    <t>high tide, visible of fishing boat, presence of few solid waste</t>
  </si>
  <si>
    <t>Formation of foams in the surface of the station</t>
  </si>
  <si>
    <t>Low tide
Strong waves
200m away from fishpens</t>
  </si>
  <si>
    <t>Rising tide
Slightly strong waves
100m away from fishpens
250m away from mangroves
FIshing vessels seen nearby</t>
  </si>
  <si>
    <t>High tide
100m away from fishtraps
300m away from mangroves</t>
  </si>
  <si>
    <t>High tide
Near mangroves
Near fishtraps
Fishing vessels nearby</t>
  </si>
  <si>
    <t>High tide
Slightly strong waves
Near fishpens
Near mangroves</t>
  </si>
  <si>
    <t>High tide
Strong waves
Near fishpens</t>
  </si>
  <si>
    <t xml:space="preserve">high tide, visible of fishing boat, presence of few solid waste </t>
  </si>
  <si>
    <t>Observed various fishing activities in the stations</t>
  </si>
  <si>
    <t>Low tide
Strong waves
300m away from mangroves
150m away from fishpens</t>
  </si>
  <si>
    <t>Rising tide
Slightly strong waves
Surrounded by fishpens
FIshing vessels seen nearby
Atleast 1km away from nearby settlements</t>
  </si>
  <si>
    <t>High tide
200m away from mangroves
Atleast 700m away from residential area
Fishing vessels seen nearby</t>
  </si>
  <si>
    <t>High tide
Near mangroves
Near residential area
Fishing vessels nearby</t>
  </si>
  <si>
    <t>High tide
Slightly strong waves
Near fishpens
Near mangroves
Near residential area
Fishing vessels nearby</t>
  </si>
  <si>
    <t>High tide
Strong waves
Near mangroves
Near fishpens
Near residential area</t>
  </si>
  <si>
    <t>formation of small bubbles, no major activities on-site</t>
  </si>
  <si>
    <t>low tide, sighting of fishing boat, formation of bubbles</t>
  </si>
  <si>
    <t>high tide, presence of few solid waste</t>
  </si>
  <si>
    <t>No other activities osbserved</t>
  </si>
  <si>
    <t>Low tide
Strong waves
100m away from fishpens</t>
  </si>
  <si>
    <t>Rising tide
Slightly strong waves
100m away from fishpens</t>
  </si>
  <si>
    <t>High tide
Surrounded by fishtraps
200m away from mangroves</t>
  </si>
  <si>
    <t>High tide
Near mangroves
Presence of black jellyfishes</t>
  </si>
  <si>
    <t>High tide
Strong waves
Near mangroves
Sudden downpour</t>
  </si>
  <si>
    <t>High tide
Strong waves
Near mangroves</t>
  </si>
  <si>
    <t>fishermen are farming mussles nearby, no major activities on-site</t>
  </si>
  <si>
    <t>Low tide
Strong waves
700m away from port area and mangroves</t>
  </si>
  <si>
    <t>Rising tide
Slightly strong waves
250m away from coastal community, port area and mangroves
Fishing vessels seen nearby</t>
  </si>
  <si>
    <t>High tide
300m away from mangroves, port area and residential area
Fishing vessels seen nearby</t>
  </si>
  <si>
    <t>High tide
Near residential and port area
Near mangroves</t>
  </si>
  <si>
    <t>High tide
Strong waves
Near mangroves and port area
Sudden downpour
Fishing vessels seen nearby</t>
  </si>
  <si>
    <t>High tide
Strong waves
Near port area
Near mangroves
Fishing vessel seen nearby</t>
  </si>
  <si>
    <t>residential area visible from the station, no major activities on-site</t>
  </si>
  <si>
    <t>low tide, visible of fishing boat</t>
  </si>
  <si>
    <t>Low tide
Steady flow of water
Approx. 150m away from mangroves and residential area</t>
  </si>
  <si>
    <t>Low tide
100m away from residential area and mangroves
Fishing vessels seen nearby
Steady flow of water</t>
  </si>
  <si>
    <t>Steady flow of water
Near residential area and port area
Fishing vessels seen nearby</t>
  </si>
  <si>
    <t>High tide
Near residential area
100m away from mangroves
Recreational activity seen near the station
Strong waves</t>
  </si>
  <si>
    <t>Tide is going down
Near residential area and mangroves
Sudden downpour during sampling
Strong waves</t>
  </si>
  <si>
    <t>High tide
Strong waves
Near mangroves
Near residential area
Recreational activity seen near the station
Ongoing construction 200m away from station</t>
  </si>
  <si>
    <t>low tide, presence of cattle near the station</t>
  </si>
  <si>
    <t>low tide, visible of fishing boat, vessel/ ship</t>
  </si>
  <si>
    <t>high tide, visible of ship and fishing boat</t>
  </si>
  <si>
    <t>Low tide
Steady flow of water
Windy
100m away from port area and residential area</t>
  </si>
  <si>
    <t>Strong waves
100m away from residential area and port area
Fishing vessels seen nearby</t>
  </si>
  <si>
    <t>Steady flow of water
Near residential and port area
Freighter ships atleast 2km away from shore</t>
  </si>
  <si>
    <t>High tide
Near residential area and port area
Freighter ship seen nearby
Fishing vessels seen nearby
Strong waves</t>
  </si>
  <si>
    <t>High tide
Near residential and port area
Fishing vessels seen nearby
Sudden downpour during sampling</t>
  </si>
  <si>
    <t>High tide
Strong waves
Near residential and port area
Freighter ship atleast 1km away</t>
  </si>
  <si>
    <t>scattered solid waste on shore, residents collectig shells in the seashore</t>
  </si>
  <si>
    <t>low tide, visible of fishing boat,vessel/ ship</t>
  </si>
  <si>
    <t>high tide, visible of ship/ vessel and fishing boat, presence of few solid waste</t>
  </si>
  <si>
    <t xml:space="preserve">ANALYSIS: </t>
  </si>
  <si>
    <t>The 2025 water quality monitoring of the Coast of Bataan (Class SB) indicates that most stations generally meet acceptable limits for parameters such as pH, temperature, color, nitrates, and phosphates. However, several areas of concern were identified. Dissolved oxygen (DO), which should ideally be above 6 mg/L, remained below the guideline at all stations, with the highest average recorded at Station 4 (Calaguiman River) at 5.74 mg/L. Total suspended solids (TSS) were highest at Station 6 (Alangan River), averaging 56.50 mg/L and exceeding the 50 mg/L guideline. The most critical issue is fecal coliform contamination, with Station 6 showing an extremely high yearly average of 56,644.30 MPN/100 mL, followed by Station 7 (Lamao River), indicating severe pollution likely associated with nearby residential areas, port activities, and recreational use. Nutrient levels, including nitrates and phosphates, remained within the allowable limits, with nitrate concentrations highest at Station 5 (Wawa River) but still below the guideline, and phosphate levels peaking at 0.25 mg/L at Station 1 (Almacen River), remaining compliant. Overall, while most physical and chemical parameters are within acceptable ranges, the very high fecal coliform levels at Stations 6 and 7 highlight urgent pollution concerns that require immediate management and intervention.</t>
  </si>
  <si>
    <t>COAST OF BULACAN</t>
  </si>
  <si>
    <t>CLASS SB ( 5 STATIONS )</t>
  </si>
  <si>
    <t>Mouth of Capiz River</t>
  </si>
  <si>
    <t>Pamarawan, Malolos, Bulacan</t>
  </si>
  <si>
    <t>Mouth of Sta. Cruz Creek</t>
  </si>
  <si>
    <t>Sta. Cruz, Paombong, Bulacan</t>
  </si>
  <si>
    <t>Mouth of Tibaguin Creek</t>
  </si>
  <si>
    <t>Tibaguin, Hagonoy, Bulacan</t>
  </si>
  <si>
    <t>Mouth of Pugad Creek</t>
  </si>
  <si>
    <t>Pugad, Hagonoy, Bulacan</t>
  </si>
  <si>
    <t>Mouth of San Roque River</t>
  </si>
  <si>
    <t>San Pascual, Hagonoy, Bulacan</t>
  </si>
  <si>
    <t>`</t>
  </si>
  <si>
    <t>Temp</t>
  </si>
  <si>
    <t>Malolos, Bulacan</t>
  </si>
  <si>
    <t>Paombong, Bulacan</t>
  </si>
  <si>
    <t>Hagonoy, Bulacan</t>
  </si>
  <si>
    <t>Low tide
Steady flow of water
Surrounded by fishpens
Approx. 400m away from mangroves</t>
  </si>
  <si>
    <t>Low tide
Strong waves
Surrounded by fishpens
Fishing vessels seen nearby
Strong winds</t>
  </si>
  <si>
    <t>High tide
200m away from mangroves
100m away from fishpens</t>
  </si>
  <si>
    <t>High tide
Slightly strong waves
250m away from mangroves
100m away from fishtraps</t>
  </si>
  <si>
    <t>No waste
Near bulacan mangrove
Near baklad</t>
  </si>
  <si>
    <t>High tide
Near residential area
Near mangroves
Sudden downpour
Strong waves
Fishing vessels seen nearby</t>
  </si>
  <si>
    <t>High tide
Strong waves
Near fishpens
Near mangroves
Floating organic waste</t>
  </si>
  <si>
    <t>floating of organic material presumably fish feeds</t>
  </si>
  <si>
    <t>visible of fishing boat, presence of few floating solid waste</t>
  </si>
  <si>
    <t>Floating solidwastes observed/ near fish pens.</t>
  </si>
  <si>
    <t>Low tide
Steady flow of water
Surrounded by fishpens
Approx. 600m away from coastal community and mangroves</t>
  </si>
  <si>
    <t>Low tide
Strong waves
Strong winds
300m away from mangroves</t>
  </si>
  <si>
    <t>High tide
200m away from mangroves
300m away from coastal community
Fishing vessels seen nearby</t>
  </si>
  <si>
    <t>HIgh tide
Slightly strong waves
300m away from residential area and mangroves</t>
  </si>
  <si>
    <t>No waste
100m away from dredging activity, community and mangroves</t>
  </si>
  <si>
    <t>High tide
Near mangroves
Near fishpens
Sudden downpour
Strong waves</t>
  </si>
  <si>
    <t>High tide
Strong waves
Near mangroves
Floating organic waste</t>
  </si>
  <si>
    <t>presence of organice material but with lesser quantity</t>
  </si>
  <si>
    <t>visible of fishing boat/ dredgine vessel</t>
  </si>
  <si>
    <t>Floating solidwastes/ near coastal community</t>
  </si>
  <si>
    <t>Low tide
Steady flow of water
Approx. 150m away from coastal community
Fishing vessels coming and going
Dredging equipment seen</t>
  </si>
  <si>
    <t>Low tide
Strong waves
Strong winds
150m away from coastal community</t>
  </si>
  <si>
    <t>High tide
200m away from coastal community
Fishing vessels seen nearby</t>
  </si>
  <si>
    <t>High tide
Slightly strong waves
200m away from residential area
Floating solid wastes seen nearby</t>
  </si>
  <si>
    <t>Foam and bit waste
50m away from community</t>
  </si>
  <si>
    <t>High tide
100m away from residential area
Near mangroves
Strong waves
Sudden downpour</t>
  </si>
  <si>
    <t>High tide
Strong waves
Near residential area
Floating solid and organic waste</t>
  </si>
  <si>
    <t>presence of dead fish seen near the station, near residential area</t>
  </si>
  <si>
    <t>turbid water, visible of fishing boat, presence of few floating hyacinth</t>
  </si>
  <si>
    <t>No observed solid wastes/organic matter/ near coastal community</t>
  </si>
  <si>
    <t>Low tide
Steady flow of water
Approx. 200m away from coastal community
Fishing vessels coming and going</t>
  </si>
  <si>
    <t>Low tide
Strong waves
Strong winds
200m away from coastal community
Fishing vessels seen nearby</t>
  </si>
  <si>
    <t>High tide
150m away from coastal community
100m away from fishpens
Fishing vessels seen nearby</t>
  </si>
  <si>
    <t>High tide
Slightly strong waves
250m away from residential area</t>
  </si>
  <si>
    <t>Plastic waste
180m away from community</t>
  </si>
  <si>
    <t>High tide
150m away from residential area
Strong waves
Sudden downpour</t>
  </si>
  <si>
    <t>near residential area, near river mouth</t>
  </si>
  <si>
    <t>turbid water, visible of fishing boat</t>
  </si>
  <si>
    <t>Low tide
Steady flow of water
Surrounded by fishpens</t>
  </si>
  <si>
    <t>Low tide
Strong waves
Strong winds
Surrounded by fishpens</t>
  </si>
  <si>
    <t>High tide
Surrounded by fishpens
Dredging equipment nearby</t>
  </si>
  <si>
    <t>High tide
Slightly strong waves
Surrounded by fishtraps
Fishing vessels nearby</t>
  </si>
  <si>
    <t>15m away from fishfence and barracks
No waste</t>
  </si>
  <si>
    <t>High tide
Near fishpens
Strong waves
Sudden downpour</t>
  </si>
  <si>
    <t>High tide
Strong waves
Near fishpens
Floating organic waste</t>
  </si>
  <si>
    <t>area saturated by fish cages</t>
  </si>
  <si>
    <t>visible of baklad/  fishing boat</t>
  </si>
  <si>
    <t>In 2025, the coastal waters of Bulacan were mostly clear and slightly alkaline, with pH 7.69–8.74 and temperatures around 28–29°C. Water color was low (7–8 TCU), showing clear water.
Dissolved oxygen (DO) varied from 4.21 to 11 mg/L, with some stations slightly below the 6 mg/L guideline, which could stress aquatic life. Total suspended solids (TSS) were usually within the 50 mg/L limit, but peaks occurred, such as 137 mg/L at Tibaguin Creek in July, likely due to runoff or dredging. Nutrients were low, with nitrate 0.22–0.25 mg/L and phosphate 0.12–0.15 mg/L, indicating minimal pollution.
The main concern was fecal coliform, which ranged from 4.5 to 9,200 MPN/100 mL, often exceeding the 100 MPN/100 mL standard. This suggests contamination from nearby communities, fishpens, and dredging activities. Observations noted fishpens, boats, and floating wastes near some stations.</t>
  </si>
  <si>
    <t>MOUTH OF OBANDO RIVER</t>
  </si>
  <si>
    <t>Obando River Mouth of Obando River Brgy Salambao Obando Bulacan</t>
  </si>
  <si>
    <t>Brgy. Salambao, Obando, Bulacan</t>
  </si>
  <si>
    <t>300 m away from Station 1 Brgy. Salambao Obando Bulacan</t>
  </si>
  <si>
    <t>300 m away from Station 2 Brgy. Salambao Obando Bulacan</t>
  </si>
  <si>
    <t>MOUTH OF OBANDO</t>
  </si>
  <si>
    <t>Obando, Bulacan</t>
  </si>
  <si>
    <t>Low tide
Steady flow of water
Surrounded by fishpens
Fishing vessels seen nearby</t>
  </si>
  <si>
    <t>Low tide
Strong waves
Surrounded by fishpens
Strong winds</t>
  </si>
  <si>
    <t>High tide
Surrounded by fishpens</t>
  </si>
  <si>
    <t>High tide
Slightly strong waves
Surrounded by fishtraps
Fishing vessels seen nearby</t>
  </si>
  <si>
    <t>Near baklad
1 PET bottle</t>
  </si>
  <si>
    <t>High tide
Strong waves
Sudden downpour
Near fishpens</t>
  </si>
  <si>
    <t>High tide
Strong waves
Near fishpens
Intermittent raining</t>
  </si>
  <si>
    <t>presence of fish cages</t>
  </si>
  <si>
    <t>presence of few floating solid waste, visible of fishing boat</t>
  </si>
  <si>
    <t>presence of few solid waste, presence of ship/vessel &amp; fishing boat near the station</t>
  </si>
  <si>
    <t>low tide, presence of fishing boat</t>
  </si>
  <si>
    <t>No unusual activities observed</t>
  </si>
  <si>
    <t>z</t>
  </si>
  <si>
    <t>300m away from Station 1</t>
  </si>
  <si>
    <t>Low tide
Steady flow of water
Surrounded by fishpens
Approx. 300m away from mangroves
FIshing vessels seen nearby</t>
  </si>
  <si>
    <t>Low tide
Strong waves
Surrounded by fishpens
400m away from mangroves
Strong winds</t>
  </si>
  <si>
    <t>High tide
Surrounded by fishpens
500m away from mangroves</t>
  </si>
  <si>
    <t>High tide
Slightly strong waves
Surrounded by fishtraps
400m away from mangroves
Fishing vessels seen nearby</t>
  </si>
  <si>
    <t>No waste
Near Navotas landfill
Near baklad</t>
  </si>
  <si>
    <t>High tide
Strong waves
Sudden downpour
Near fishpens
Near mangroves</t>
  </si>
  <si>
    <t>High tide
Strong waves
Intermittent raining
Near fishpens</t>
  </si>
  <si>
    <t xml:space="preserve">no sighting of unusual activities </t>
  </si>
  <si>
    <t>low tide, fishing activities observed</t>
  </si>
  <si>
    <t>300m away from Station 2</t>
  </si>
  <si>
    <t>Low tide
Strong waves
400m away from mangroves
Strong winds</t>
  </si>
  <si>
    <t>High tide
Surrounded by fishpens
300m away from mangroves</t>
  </si>
  <si>
    <t>High tide
Slightly strong waves
Surrounded by fishtraps
350m away from mangroves
Fishing vessels seen nearby</t>
  </si>
  <si>
    <t>High tide
Strong waves
Near fishpens
Near mangroves
Intermittent raining</t>
  </si>
  <si>
    <t>In 2025, the Mouth of Obando River exhibited mostly acceptable physical and chemical water quality. pH ranged 7.73–8.76, slightly alkaline but within the Class SB standard, while water temperature averaged 28–29°C, within the 26–30°C guideline. Water color was low, with geomean values around 7.92 TCU, indicating generally clear water. Dissolved oxygen (DO) fluctuated between 4.00 mg/L in May at Station 1 to 8.30 mg/L at Station 3 in August, with average values slightly below the 6 mg/L guideline, suggesting occasional oxygen stress for aquatic organisms. Total suspended solids (TSS) mostly remained below the 50 mg/L limit, although Station 1 peaked at 98 mg/L in May, likely due to runoff or sediment disturbance. Nutrient concentrations were low, with nitrate averaging 0.195–0.226 mg/L and phosphate 0.199–0.215 mg/L, well within guideline limits, indicating minimal nutrient pollution. The primary concern was fecal coliform contamination, with counts ranging from 6.8 MPN/100 mL to 24,000 MPN/100 mL, frequently exceeding the 100 MPN/100 mL standard, pointing to microbial pollution likely from nearby fishpens, fishing activities, and domestic sources. Field observations recorded fishpens, fishing vessels, and occasional floating solid waste, which may contribute to localized turbidity and bacterial contamination. Overall, while physical and chemical parameters were largely satisfactory, microbial contamination and episodic low DO highlight the need for better sanitation management and monitoring of human activities in the river.</t>
  </si>
  <si>
    <t>MOUTH OF TALISAY RIVER</t>
  </si>
  <si>
    <t>Near River Mouth</t>
  </si>
  <si>
    <t>Tortugas, Balanga City, Bataan</t>
  </si>
  <si>
    <t>TLY_1</t>
  </si>
  <si>
    <t>300 mtrs. away from Stn. 1</t>
  </si>
  <si>
    <t>TLY_2</t>
  </si>
  <si>
    <t>300 mtrs. away from stn. 2</t>
  </si>
  <si>
    <t>TLY_3</t>
  </si>
  <si>
    <t>240, 000</t>
  </si>
  <si>
    <t>Low tide, near residential area, docking area, presence of few solid waste on riverbanks</t>
  </si>
  <si>
    <t>Low tide, near residential area, motorboat docking area, presence of few solid waste on riverbanks</t>
  </si>
  <si>
    <t>Low tide, near residential area, presence of boat docked and few solid waste on riverbank.</t>
  </si>
  <si>
    <t>High tide, near residential area, docking area</t>
  </si>
  <si>
    <t>High tide,  dredging vessel stationed near the sampling area, near resedintial area</t>
  </si>
  <si>
    <t>High tide, dredging vessel anchored near the station, near residential area</t>
  </si>
  <si>
    <t>residential area, high tide, turbid water, floating of water hyacinth and solid waste.</t>
  </si>
  <si>
    <t>near residential area, few floating of solid waste, low tide</t>
  </si>
  <si>
    <t>turbid water, strong curent of water, visible of dredging ship</t>
  </si>
  <si>
    <t>visible of fishing boat and dredging machine, presence of solid waste</t>
  </si>
  <si>
    <t>visible of boats and dredging machine, presence of few solid waste, low tide</t>
  </si>
  <si>
    <t xml:space="preserve">Low tide/ observed possible dredging activities due to presence of dredging machineies/ presence of fishing boats/ presence of solid wastes </t>
  </si>
  <si>
    <t>low tide, presence of few solid waste</t>
  </si>
  <si>
    <t>Low tide, presence of few solid waste on river banks</t>
  </si>
  <si>
    <t>High tide, presence of few floating solid waste</t>
  </si>
  <si>
    <t>High tide, dredging ship anchored near the station, presence of few floating solid wastes</t>
  </si>
  <si>
    <t>dredging vessel anchored near the station, low tide, minimal solid waste</t>
  </si>
  <si>
    <t>visible  of  dredging machine, low tide</t>
  </si>
  <si>
    <t>Low tide/ Presence of possible dredging activities due to presence of dredging machineries/prepresence of fishing boats</t>
  </si>
  <si>
    <t>low tide, near fish pond area, presence of few solid waste on riverbanks</t>
  </si>
  <si>
    <t>Low tide, near fish pond, presence of few solid waste on river banks.</t>
  </si>
  <si>
    <t>low tide, near fish port, presence of few solid waste on riverbank</t>
  </si>
  <si>
    <t>High tide, near bakawan area/ fish pond</t>
  </si>
  <si>
    <t>High tide, dredging vessel anchored near the station</t>
  </si>
  <si>
    <t>no unusual actitivy, low tide, minimal solid waste</t>
  </si>
  <si>
    <t>visible of dredging machine, low tide</t>
  </si>
  <si>
    <t>BALANGA, BATAAN</t>
  </si>
  <si>
    <t>In 2025, the Mouth of Talisay River showed mostly acceptable physical and chemical water quality, with pH ranging 7.0–7.83, temperatures 28–29°C, and water color low (5–15 TCU), indicating clear water. Dissolved oxygen (DO) ranged from 3.45 mg/L at Station 1 in March to 7.59 mg/L at Station 3 in May, with average values slightly below the 6 mg/L guideline, suggesting occasional oxygen stress for aquatic organisms. Total suspended solids (TSS) were generally within the 50 mg/L limit, although Station 1 spiked to 212 mg/L in July, likely due to dredging or runoff. Nutrients were low, with nitrate averaging 0.273–0.307 mg/L and phosphate 0.099–0.123 mg/L, well below guideline limits, indicating minimal nutrient pollution. The most critical issue was fecal coliform contamination, with counts ranging from 33 MPN/100 mL to 540,000 MPN/100 mL, far exceeding the 100 MPN/100 mL standard, showing severe bacterial pollution, likely from nearby residential areas, fishpens, and dredging activities. Observations throughout the year recorded boats, dredging vessels, fishpens, and floating solid waste, which may contribute to localized turbidity and contamination.</t>
  </si>
  <si>
    <t>MOUTH OF PAMPANGA RIVER</t>
  </si>
  <si>
    <t>Near Armando Aguinaldo F.P. Brgy. Consuelo Macabebe Pampanga</t>
  </si>
  <si>
    <t>Brgy. Consuelo, Macabebe, Pampanga</t>
  </si>
  <si>
    <t>300 meters away from Station 1 Brgy. Consuelo Macabebe Pampanga</t>
  </si>
  <si>
    <t>300 meters away from Station 2 Brgy. Consuelo Macabebe Pampanga</t>
  </si>
  <si>
    <t>CONSUELO, MACABEBE, PAMPANGA</t>
  </si>
  <si>
    <t>Near Armando Aguinaldo F.P.</t>
  </si>
  <si>
    <t>Low tide
100m away from mangroves and public beach
Steady flow of water</t>
  </si>
  <si>
    <t>Low tide
Slightly strong waves
100m away from public beach and mangroves
700m away from dredging equipment</t>
  </si>
  <si>
    <t>High tide
150m away from public beach and mangroves
Fishing vessels nearby</t>
  </si>
  <si>
    <t>High tide
Slightly strong waves
250m away from public beach and mangroves</t>
  </si>
  <si>
    <t>High tide
Near public beach and mangroves</t>
  </si>
  <si>
    <t>High tide
Slightly strong waves
Near public beach
Near mangroves</t>
  </si>
  <si>
    <t>High tide
Strong waves
Strong winds
Near public beach</t>
  </si>
  <si>
    <t>presence of medium vessels, milk fish propagation area</t>
  </si>
  <si>
    <t>Turbid water, presence of few solid waste and water hyacinth, sighting of dredging equipment from the station</t>
  </si>
  <si>
    <t>high tide, turbid water, visible of dredging machine and heavy equipment</t>
  </si>
  <si>
    <t>low tide, presence of dredging machine and heavy equipments</t>
  </si>
  <si>
    <t>No other activities observed during sampling</t>
  </si>
  <si>
    <t>Low tide
200m away from mangroves
Fishing vessels seen nearby
Approx. 600m away from dredging equipment
Steady flow of water</t>
  </si>
  <si>
    <t>Low tide
Slightly strong waves
Fishing vessels seen nearby</t>
  </si>
  <si>
    <t>High tide
200m away from mangroves
100m away from fishpens
Fishing vessels nearby</t>
  </si>
  <si>
    <t>High tide
Slightly strong waves
Fishing vessels seen nearby
200m away from mangroves</t>
  </si>
  <si>
    <t>High tide
Near mangroves
Atleast 1km away from dredging equipment</t>
  </si>
  <si>
    <t>High tide
Slightly strong waves
Near mangroves
Near fishpens</t>
  </si>
  <si>
    <t>High tide
Strong waves
Strong winds
Near mangroves</t>
  </si>
  <si>
    <t>no sightings of unusual activities on-site, clear and stable waters</t>
  </si>
  <si>
    <t>low tide, presence of fishing boats and heavy equipments</t>
  </si>
  <si>
    <t>Low tide
350m away from mangroves
450m away from fishpens
Steady flow of water</t>
  </si>
  <si>
    <t>Low tide
Slightly strong waves
150m away from fishpens</t>
  </si>
  <si>
    <t>High tide
200m away from fishpens
Fishing vessels nearby</t>
  </si>
  <si>
    <t>High tide
Slightly strong waves
200m away from mangroves</t>
  </si>
  <si>
    <t>High tide
Near fishtraps
Near mangroves</t>
  </si>
  <si>
    <t>High tide
Slightly strong waves
Near mangroves
Near fishpens
Fishing vessels seen nearby</t>
  </si>
  <si>
    <t>High tide
Strong waves
Strong winds
Near mangroves
Near fishpens</t>
  </si>
  <si>
    <t>minimal floating trash debris, no unusual activities</t>
  </si>
  <si>
    <t>In 2025, water quality at the Mouth of Pampanga River generally met chemical and physical standards, with pH consistently between 7.0–8.5, temperatures within 28–29°C, and water color low at 5–25 TCU, indicating relatively clear water. Dissolved oxygen (DO) ranged from a low of 4.58 mg/L at Station 1 in April to a high of 10.50 mg/L at the same station in August, with average values slightly below the 6 mg/L guideline, suggesting occasional oxygen stress for aquatic life. Total suspended solids (TSS) were mostly within the 50 mg/L limit, although Station 3 recorded a spike up to 130 mg/L in February, likely due to sediment disturbance. Nutrient levels were low, with nitrate averaging 0.33–0.45 mg/L and phosphate 0.14–0.17 mg/L, well below the limits, indicating minimal nutrient pollution. The most critical concern was fecal coliform contamination, with counts ranging from 2 MPN/100 mL to 16,000 MPN/100 mL, far exceeding the 100 MPN/100 mL standard, highlighting significant bacterial pollution, likely from nearby human activities, fishpens, and dredging. Observations also noted fishing vessels, dredging equipment, floating solid waste, and proximity to mangroves, which may locally affect turbidity and water quality.</t>
  </si>
  <si>
    <t>MARIVELES &amp; LIMAY</t>
  </si>
  <si>
    <t>CLASS SB ( 4 STATIONS )</t>
  </si>
  <si>
    <t>Villa Carmen Mariveles Bataan</t>
  </si>
  <si>
    <t>Mt. View, Mariveles, Bataan</t>
  </si>
  <si>
    <t>Mattel Mariveles Bataan</t>
  </si>
  <si>
    <t>AFAB, Mariveles, Bataan</t>
  </si>
  <si>
    <t>**</t>
  </si>
  <si>
    <t>Sitio Babuyan</t>
  </si>
  <si>
    <t>Sitio Aguawan</t>
  </si>
  <si>
    <t>Sisiman, Mariveles, Bataan</t>
  </si>
  <si>
    <t>???</t>
  </si>
  <si>
    <t>Villa Carmen</t>
  </si>
  <si>
    <t>Low tide
Road construction nearby
Fishing vessel nearby
People are seen swimming
Slightly strong waves</t>
  </si>
  <si>
    <t>Slightly strong waves
Fishing vessels seen nearby
Approx. 150m away from residential area</t>
  </si>
  <si>
    <t>Low tide
Steady flow of water
Nearby fishing vessels
200m away from residential area</t>
  </si>
  <si>
    <t>High tide
Fishing vessels nearby
Freighter ship atleast 1km away
Slightly strong waves</t>
  </si>
  <si>
    <t>High tide
Near residential area
Freighter ship seen docked nearby</t>
  </si>
  <si>
    <t>Near residential area
Near private beach under construction
High tide
Strong waves</t>
  </si>
  <si>
    <t>High tide
Strong waves
Water is brown due to sediments being washed by waves
Near private beach
Near residential area</t>
  </si>
  <si>
    <t>presence of individuals swimming/ bathing, few solid wastes at the beach</t>
  </si>
  <si>
    <t>presence of solid waste along coast, presence of residesces swimming</t>
  </si>
  <si>
    <t>low tide,visible of fishing boat</t>
  </si>
  <si>
    <t>low tide, isible of fishing boat and people catching fish</t>
  </si>
  <si>
    <t>Construction near shore</t>
  </si>
  <si>
    <t>Mattel</t>
  </si>
  <si>
    <t>Low tide
Near commercial area
Ongoing construction of baywalk
Slightly strong waves</t>
  </si>
  <si>
    <t>Slightly strong waves
100m away from commercial area
Approx. 300m away from a docked freighter ship</t>
  </si>
  <si>
    <t>Low tide
100m away from commercial area
Fishing vessels nearby
Steady flow of water</t>
  </si>
  <si>
    <t>High tide
Fishing vessels nearby
Near commercial area</t>
  </si>
  <si>
    <t>High tide
Near commercial area
Fishing vessels seen nearby
Freighter ship seen nearby</t>
  </si>
  <si>
    <t>Near commercial area
High tide
Strong waves
Floating solid wastes
Fishing vessels nearby
Cargo ship nearby</t>
  </si>
  <si>
    <t>High tide
Strong waves
Floating solid wastes
Near commercial area</t>
  </si>
  <si>
    <t>*</t>
  </si>
  <si>
    <t>Low tide
Slightly strong waves
Near residential area
Floating solid wastes seen nearby</t>
  </si>
  <si>
    <t>Slightly strong waves
Floating solid wastes near the station
Approx. 250m away from residential area</t>
  </si>
  <si>
    <t>Low tide
Steady flow of water
200m away from residential area
50m away from mangroves</t>
  </si>
  <si>
    <t>High tide
Near residential area
Fishing vessels seen nearby</t>
  </si>
  <si>
    <t>High tide
Near residential area</t>
  </si>
  <si>
    <t>High tide
Near residential area
Strong waves</t>
  </si>
  <si>
    <t>High tide
Strong waves
Near residential area
Water is brown due to sediments being washed</t>
  </si>
  <si>
    <t>low tide, presence of fishing vessels in the area</t>
  </si>
  <si>
    <t>presence of solid waste along coastline, near structure (port)</t>
  </si>
  <si>
    <t>low tide, presence of people catching fish, visible of ship/ cargo vessel</t>
  </si>
  <si>
    <t>Low tide. Visible of fishing boats and ships</t>
  </si>
  <si>
    <t>Presence of swimmers</t>
  </si>
  <si>
    <t>Low tide
Fishing vessel seen nearby
Barge hauling aggregates seen nearby
People are seen swimming</t>
  </si>
  <si>
    <t>Slightly strong waves
Fishing vessels approx. 150m away from beach
Recreational activities seen on the beach
50m away from mangroves</t>
  </si>
  <si>
    <t>Low tide
Steady flow of water
100m away from residential area
Nearby fishing vessels</t>
  </si>
  <si>
    <t>High tide
Slightly strong waves
Fishing vessels nearby
Recreational activities seen near the station</t>
  </si>
  <si>
    <t>High tide
Fishing vessels nearby
Recreational activity seen near the station
Cargo ship hauling aggregates seen nearby</t>
  </si>
  <si>
    <t>High tide
Near residential area
Near mangroves
Solid wastes on the shore
Crago ship hauling aggregates
Strong waves</t>
  </si>
  <si>
    <t>High tide
Strong waves
Near residential area
Near mangroves
Recreational activity seen near the station
Water is brown due to sediments being washed by waves</t>
  </si>
  <si>
    <t>presence of individuals swimming/ bathing, few solid waste on shore</t>
  </si>
  <si>
    <t>solid waste along coastline, ,ix of organic and residuals, tourist present</t>
  </si>
  <si>
    <t>visible of fishing boat, ships and people swimming, low tide</t>
  </si>
  <si>
    <t>No other activities observed while sampling</t>
  </si>
  <si>
    <t>**Area Not accesible</t>
  </si>
  <si>
    <t>In 2025, water quality at Mariveles and Limay (Class SB) generally met pH, temperature, color, and nutrient standards, but dissolved oxygen (DO) ranged from a low of 3.62 mg/L at Sitio Babuyan in April to a high of 8.92 mg/L at Sitio Aguawan in September, both showing that some stations were below the 6 mg/L water quality guideline, indicating occasional oxygen stress. Fecal coliform levels were the most critical concern, ranging from 4 MPN/100 mL at Mattel in January to a very high 54,000 MPN/100 mL at Mattel in June, far exceeding the 100 MPN/100 mL limit, showing significant microbial contamination likely from nearby residential areas, recreational activities, and fishing. Total suspended solids were mostly within limits except at Sitio Aguawan, which recorded up to 283 mg/L in June (guideline 50 mg/L), likely influenced by strong waves and nearby construction. Observations noted tidal changes, solid waste along the shore, and frequent boat traffic, highlighting the combined impact of human activity and natural conditions on water quality. Overall, the waters show moderate to high pollution pressures, especially from microbial contamination and sediments, with DO occasionally below the safe limit.</t>
  </si>
  <si>
    <t>MARIVELES, BATAAN</t>
  </si>
  <si>
    <t>BATHING BEACHES</t>
  </si>
  <si>
    <t>SUBIC BAY</t>
  </si>
  <si>
    <t>By the Sea Beach Resort</t>
  </si>
  <si>
    <t>Barreto, Olongapo City, Zambales</t>
  </si>
  <si>
    <t>SUB_1</t>
  </si>
  <si>
    <t>Driftwood Beach resort</t>
  </si>
  <si>
    <t>SUB_2</t>
  </si>
  <si>
    <t>Sierra Beach Resort</t>
  </si>
  <si>
    <t>Kalaklan, Olongapo City, Zambales</t>
  </si>
  <si>
    <t>SUB_3</t>
  </si>
  <si>
    <t>Samba Blue Ocean Beach Resort</t>
  </si>
  <si>
    <t>SUB_4</t>
  </si>
  <si>
    <t>low tide, near Drainage outfall</t>
  </si>
  <si>
    <t>Low tide, Presence of few solid waste on shore.</t>
  </si>
  <si>
    <t>low tide, presence of few individuals swimming/ bathing, near municipal canal</t>
  </si>
  <si>
    <t>High tide, few solid waste on shore, near municipal drainage outfall</t>
  </si>
  <si>
    <t>High tide, presence of people bathing/ swimming, drainage canal near the station</t>
  </si>
  <si>
    <t>High tide, near residential area, near municipal drainage canal, presence of accumulated or gathered trash on shore</t>
  </si>
  <si>
    <t>low tide, boats laid ashore, adjacent to resiential area</t>
  </si>
  <si>
    <t>fishing vessels parked on shoreline, presence of solid wastes</t>
  </si>
  <si>
    <t>high tide, with water activity, visible of fishing boat, presence of solid waste, water discharge from brgy. canal</t>
  </si>
  <si>
    <t>presence of few solid waste, near barangay drainage canal, visible of fishing boats/ vessel, low tide</t>
  </si>
  <si>
    <t>low tide, presence of few solid waste on shore, visible of fishing boats</t>
  </si>
  <si>
    <t>Presence of people doing various boating activities/ Presence of solid waste on shore</t>
  </si>
  <si>
    <t>low tide, presence of people swimming &amp; bathing</t>
  </si>
  <si>
    <t>Low tide, presence of few individual swimming/ bathing</t>
  </si>
  <si>
    <t>low tide, presence of few individuals swimming/ bathing, boat docking area</t>
  </si>
  <si>
    <t>low tide, presence of few individuals swimming / bathing</t>
  </si>
  <si>
    <t>low tide, presence of people swimming/bathing</t>
  </si>
  <si>
    <t xml:space="preserve">low tide, presence of people swimming/ bathing </t>
  </si>
  <si>
    <t>visible of fishing boat ,people swimming/bathing</t>
  </si>
  <si>
    <t>presence of people swimming, visible of fishing boats, low tide</t>
  </si>
  <si>
    <t>-low tide, presence of few solid waste on the shore, near river mouth</t>
  </si>
  <si>
    <t>low tide, near river mouth, presence of few individual swimming/ taking a bath</t>
  </si>
  <si>
    <t>low tide, near river mouth</t>
  </si>
  <si>
    <t>High tide, near river mouth,  individuals swimming / bathing.</t>
  </si>
  <si>
    <t>High tide, presence of people bathing/ swimming, near river mouth</t>
  </si>
  <si>
    <t>high tide, near river mouth</t>
  </si>
  <si>
    <t>low tide, private beach, across hanjin, solid waste scattered along the shore</t>
  </si>
  <si>
    <t>presence of permiter fence, presence of solid wastes</t>
  </si>
  <si>
    <t>visible of fishing boat ,near river mouth, presence of solid waste, high tide</t>
  </si>
  <si>
    <t>visible of fishing boat/ vessel, near river mouth, low tide</t>
  </si>
  <si>
    <t>low tide, presence of few solid waste on shore, near river mouth, visible of fishing boats</t>
  </si>
  <si>
    <t>low tide, presence of people swimming and bathing</t>
  </si>
  <si>
    <t>low tide, presence of individuals swimming/ bathing</t>
  </si>
  <si>
    <t>High tide, presence of people swimming / bathing</t>
  </si>
  <si>
    <t>high tide, presence of people bathing/ swimming</t>
  </si>
  <si>
    <t>high tide near resort, presence of people swimming/ bathing</t>
  </si>
  <si>
    <t>low tide, private beach, no solid waste observed</t>
  </si>
  <si>
    <t>presence of individuals bathing/swimming, beach front developed</t>
  </si>
  <si>
    <t>visible of fishing boat, high tide</t>
  </si>
  <si>
    <t>presenc of people swimming, visible of fishing boat, low tide</t>
  </si>
  <si>
    <t>low tide, presence of volume of solid waste on shore, visible of fishing boats</t>
  </si>
  <si>
    <t>In 2025, Subic Bay beaches generally met pH (7.0–9.14) and color (5 TCU) standards, while water temperature ranged from 26.4–36.7 °C, exceeding the 26–30 °C guideline in July. Dissolved oxygen occasionally fell below the 6 mg/L standard, with a low of 4.07 mg/L at By the Sea Beach Resort in February. Total suspended solids were mostly under the 50 mg/L limit but peaked at 79 mg/L at Driftwood Beach Resort in December. Fecal coliform consistently exceeded the 100 MPN/100 mL guideline, with a high of 160,000 MPN/100 mL at Sierra Beach Resort in September, indicating significant microbial contamination likely from human activity and nearby drainage. Nutrients such as nitrate (NO3-N) and phosphate (PO4-P) were generally within standards, though phosphate reached 0.497 mg/L at By the Sea Beach Resort in March. Observations noted low to high tides, swimming and boating activities, nearby drainage canals, and scattered solid waste, showing that tidal conditions, human recreation, and local discharges influenced water quality.</t>
  </si>
  <si>
    <t>BEACH MONITORING (ZAMBALES BAY)</t>
  </si>
  <si>
    <t>Bakasyunan Beach Resort</t>
  </si>
  <si>
    <t>Amungan, Iba, Zambales</t>
  </si>
  <si>
    <t>ZAM_1</t>
  </si>
  <si>
    <t>Lindamar By The Sea</t>
  </si>
  <si>
    <t>Bangantalinga, Iba, Zambales</t>
  </si>
  <si>
    <t>ZAM_2</t>
  </si>
  <si>
    <t>La Vista Beach Resort</t>
  </si>
  <si>
    <t>ZAM_3</t>
  </si>
  <si>
    <t>FuntaSea (Formerly Sand Valley B.R.)</t>
  </si>
  <si>
    <t>Lipay-Dingin-Panibuatan, Iba, Zambales</t>
  </si>
  <si>
    <t>ZAM_4</t>
  </si>
  <si>
    <t>7..89</t>
  </si>
  <si>
    <t>-Low tide, wavy on time of sampling, presence of few solid waste on shore</t>
  </si>
  <si>
    <t>Low tide, few solid waste on shore</t>
  </si>
  <si>
    <t>high tide, few individual swimming/ bathing</t>
  </si>
  <si>
    <t>high tide, presence of few solid wastes on shore</t>
  </si>
  <si>
    <t>low tide, presence of few solid waste on shore</t>
  </si>
  <si>
    <t>high tide, few solid waste on shore, traces of open burning, wavy</t>
  </si>
  <si>
    <t>few solid waste on shore, high tide</t>
  </si>
  <si>
    <t>low tide, presence of few solid waste on shore, presence of individuals swimming/ bathing</t>
  </si>
  <si>
    <t>low tide, few solid waste on shore</t>
  </si>
  <si>
    <t>Low tide/ Presence of solid wastes on shore/ calm waves</t>
  </si>
  <si>
    <t>Low tide, presence of people bathing/ swimming</t>
  </si>
  <si>
    <t>low tide, presence of vol. of debris and solid waste on shore</t>
  </si>
  <si>
    <t>Low tide, presence of solid waste on shore</t>
  </si>
  <si>
    <t>high tide, wavy, vol. of solid waste on shore, traces of open burning</t>
  </si>
  <si>
    <t>low tide.</t>
  </si>
  <si>
    <t>IBA, ZAMBALES</t>
  </si>
  <si>
    <t>BEACH MONITORING</t>
  </si>
  <si>
    <t>In 2025, water quality at Zambales Bay beaches showed generally good conditions, with pH (7.08–7.85) and water color (5 TCU) within standards, while temperature ranged from 27.2 to 32.1 °C, slightly exceeding the 26–30 °C guideline in April–May. Dissolved oxygen was occasionally below the 6 mg/L standard, reaching a low of 4.17 mg/L at Bakasyunan Beach Resort in May. Total suspended solids were mostly under the 50 mg/L limit but spiked to 99 mg/L at La Vista Beach Resort in August. Fecal coliform levels exceeded the 100 MPN/100 mL guideline at all stations, with a peak of 9,200 MPN/100 mL at Lindamar By The Sea in June, indicating microbial contamination likely from human activity. Nutrients were generally within standards, although phosphate briefly peaked at 0.249 mg/L at Lindamar By The Sea in May. Observations noted low to high tides, waves, presence of solid waste, and occasional swimming, showing that tidal conditions and recreational use influenced water quality.</t>
  </si>
  <si>
    <t>Coordinates</t>
  </si>
  <si>
    <t>Average</t>
  </si>
  <si>
    <t>Hong Kong ISQV</t>
  </si>
  <si>
    <t>Latitude, °N</t>
  </si>
  <si>
    <t>Longitude, °E</t>
  </si>
  <si>
    <t>OFFSHORE SEDIMENTS SAMPLING</t>
  </si>
  <si>
    <t>(9 STATIONS )</t>
  </si>
  <si>
    <t>Cadmium
(mg/Kg)</t>
  </si>
  <si>
    <t>Chromium
(mg/Kg)</t>
  </si>
  <si>
    <t>ND</t>
  </si>
  <si>
    <t>Lead
(mg/Kg)</t>
  </si>
  <si>
    <t>Mercury (mg/Kg)</t>
  </si>
  <si>
    <t>Arsenic (mg/Kg)</t>
  </si>
  <si>
    <t>Cobalt (mg/Kg)</t>
  </si>
  <si>
    <t>ns</t>
  </si>
  <si>
    <t>Copper (mg/Kg)</t>
  </si>
  <si>
    <t>Manganese (mg/Kg)</t>
  </si>
  <si>
    <t>Nickel (mg/Kg)</t>
  </si>
  <si>
    <t>Zinc (mg/Kg)</t>
  </si>
  <si>
    <t>Barium (mg/Kg)</t>
  </si>
  <si>
    <t>Boron (mg/Kg)</t>
  </si>
  <si>
    <t>*results to follow</t>
  </si>
  <si>
    <t>** results not yet available</t>
  </si>
  <si>
    <t>Standards are based on the Hong kong Interim Sediment Quality Values by Chapman et.al</t>
  </si>
  <si>
    <t>ns = 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</si>
</sst>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
    <numFmt numFmtId="165" formatCode="0.000"/>
    <numFmt numFmtId="166" formatCode="#,##0.000"/>
    <numFmt numFmtId="167" formatCode="_-* #,##0_-;\-* #,##0_-;_-* &quot;-&quot;??_-;_-@"/>
    <numFmt numFmtId="168" formatCode="_(* #,##0_);_(* \(#,##0\);_(* &quot;-&quot;??_);_(@_)"/>
    <numFmt numFmtId="169" formatCode="0.0"/>
    <numFmt numFmtId="170" formatCode="#,##0.0"/>
  </numFmts>
  <fonts count="32">
    <font>
      <sz val="11"/>
      <color theme="1"/>
      <name val="Calibri"/>
      <scheme val="minor"/>
    </font>
    <font>
      <b/>
      <sz val="11"/>
      <color theme="1"/>
      <name val="Times New Roman"/>
    </font>
    <font>
      <sz val="11"/>
      <name val="Calibri"/>
    </font>
    <font>
      <sz val="11"/>
      <color theme="1"/>
      <name val="Times New Roman"/>
    </font>
    <font>
      <b/>
      <sz val="11"/>
      <color rgb="FFFFFFFF"/>
      <name val="Times New Roman"/>
    </font>
    <font>
      <sz val="11"/>
      <color rgb="FF000000"/>
      <name val="Times New Roman"/>
    </font>
    <font>
      <b/>
      <sz val="11"/>
      <color theme="0"/>
      <name val="Times New Roman"/>
    </font>
    <font>
      <sz val="11"/>
      <color theme="1"/>
      <name val="Calibri"/>
    </font>
    <font>
      <b/>
      <sz val="8"/>
      <color theme="1"/>
      <name val="Times New Roman"/>
    </font>
    <font>
      <b/>
      <sz val="11"/>
      <color rgb="FF000000"/>
      <name val="Times New Roman"/>
    </font>
    <font>
      <sz val="11"/>
      <color theme="1"/>
      <name val="Calibri"/>
      <scheme val="minor"/>
    </font>
    <font>
      <b/>
      <vertAlign val="subscript"/>
      <sz val="11"/>
      <color theme="1"/>
      <name val="Times New Roman"/>
    </font>
    <font>
      <b/>
      <vertAlign val="subscript"/>
      <sz val="11"/>
      <color rgb="FFFFFFFF"/>
      <name val="Times New Roman"/>
    </font>
    <font>
      <b/>
      <sz val="11"/>
      <color rgb="FF000000"/>
      <name val="&quot;Times New Roman&quot;"/>
    </font>
    <font>
      <b/>
      <sz val="10"/>
      <color theme="1"/>
      <name val="Times New Roman"/>
    </font>
    <font>
      <b/>
      <vertAlign val="subscript"/>
      <sz val="10"/>
      <color theme="1"/>
      <name val="Times New Roman"/>
    </font>
    <font>
      <sz val="8"/>
      <name val="Calibri"/>
      <scheme val="minor"/>
    </font>
    <font>
      <sz val="11"/>
      <color theme="0"/>
      <name val="Times New Roman"/>
      <family val="1"/>
    </font>
    <font>
      <sz val="8"/>
      <name val="Calibri"/>
      <family val="2"/>
      <scheme val="minor"/>
    </font>
    <font>
      <b/>
      <sz val="11"/>
      <color theme="0"/>
      <name val="Times New Roman"/>
      <family val="1"/>
    </font>
    <font>
      <b/>
      <sz val="10"/>
      <color theme="1"/>
      <name val="Times New Roman"/>
      <family val="1"/>
    </font>
    <font>
      <sz val="11"/>
      <color theme="1"/>
      <name val="Times New Roman"/>
      <charset val="1"/>
    </font>
    <font>
      <b/>
      <sz val="11"/>
      <color theme="1"/>
      <name val="Times New Roman"/>
      <charset val="1"/>
    </font>
    <font>
      <sz val="11"/>
      <color theme="1"/>
      <name val="Calibri"/>
      <charset val="1"/>
    </font>
    <font>
      <b/>
      <sz val="16"/>
      <color theme="1"/>
      <name val="Times New Roman"/>
      <charset val="1"/>
    </font>
    <font>
      <sz val="10"/>
      <color theme="1"/>
      <name val="Times New Roman"/>
      <family val="1"/>
      <charset val="1"/>
    </font>
    <font>
      <sz val="11"/>
      <color theme="1"/>
      <name val="Times New Roman"/>
      <family val="1"/>
    </font>
    <font>
      <sz val="12"/>
      <color theme="1"/>
      <name val="Calibri"/>
      <scheme val="minor"/>
    </font>
    <font>
      <sz val="11"/>
      <color rgb="FF000000"/>
      <name val="Calibri"/>
      <charset val="1"/>
    </font>
    <font>
      <sz val="9"/>
      <color theme="1"/>
      <name val="Calibri"/>
      <charset val="1"/>
    </font>
    <font>
      <b/>
      <sz val="9"/>
      <color theme="1"/>
      <name val="Times New Roman"/>
      <charset val="1"/>
    </font>
    <font>
      <b/>
      <sz val="11"/>
      <color theme="1"/>
      <name val="Calibri"/>
      <charset val="1"/>
    </font>
  </fonts>
  <fills count="21">
    <fill>
      <patternFill patternType="none"/>
    </fill>
    <fill>
      <patternFill patternType="gray125"/>
    </fill>
    <fill>
      <patternFill patternType="solid">
        <fgColor rgb="FFFFC000"/>
        <bgColor rgb="FFFFC000"/>
      </patternFill>
    </fill>
    <fill>
      <patternFill patternType="solid">
        <fgColor rgb="FFFFFF00"/>
        <bgColor rgb="FFFFFF00"/>
      </patternFill>
    </fill>
    <fill>
      <patternFill patternType="solid">
        <fgColor rgb="FFC5E0B3"/>
        <bgColor rgb="FFC5E0B3"/>
      </patternFill>
    </fill>
    <fill>
      <patternFill patternType="solid">
        <fgColor rgb="FFB6D7A8"/>
        <bgColor rgb="FFB6D7A8"/>
      </patternFill>
    </fill>
    <fill>
      <patternFill patternType="solid">
        <fgColor theme="9" tint="0.59999389629810485"/>
        <bgColor indexed="64"/>
      </patternFill>
    </fill>
    <fill>
      <patternFill patternType="solid">
        <fgColor theme="0"/>
        <bgColor rgb="FFC5E0B3"/>
      </patternFill>
    </fill>
    <fill>
      <patternFill patternType="solid">
        <fgColor theme="0"/>
        <bgColor rgb="FFFFFF00"/>
      </patternFill>
    </fill>
    <fill>
      <patternFill patternType="solid">
        <fgColor rgb="FFC5E0B3"/>
        <bgColor indexed="64"/>
      </patternFill>
    </fill>
    <fill>
      <patternFill patternType="solid">
        <fgColor rgb="FFFFFF00"/>
        <bgColor indexed="64"/>
      </patternFill>
    </fill>
    <fill>
      <patternFill patternType="solid">
        <fgColor rgb="FFFFC000"/>
        <bgColor indexed="64"/>
      </patternFill>
    </fill>
    <fill>
      <patternFill patternType="solid">
        <fgColor rgb="FFFAF9F9"/>
        <bgColor indexed="64"/>
      </patternFill>
    </fill>
    <fill>
      <patternFill patternType="solid">
        <fgColor rgb="FFC6E0B4"/>
        <bgColor indexed="64"/>
      </patternFill>
    </fill>
    <fill>
      <patternFill patternType="solid">
        <fgColor rgb="FFFFFFFF"/>
        <bgColor indexed="64"/>
      </patternFill>
    </fill>
    <fill>
      <patternFill patternType="solid">
        <fgColor theme="0"/>
        <bgColor indexed="64"/>
      </patternFill>
    </fill>
    <fill>
      <patternFill patternType="solid">
        <fgColor theme="5" tint="0.59999389629810485"/>
        <bgColor indexed="64"/>
      </patternFill>
    </fill>
    <fill>
      <patternFill patternType="solid">
        <fgColor theme="4"/>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7"/>
        <bgColor indexed="64"/>
      </patternFill>
    </fill>
  </fills>
  <borders count="95">
    <border>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medium">
        <color rgb="FF000000"/>
      </left>
      <right style="thin">
        <color rgb="FF000000"/>
      </right>
      <top/>
      <bottom style="thin">
        <color rgb="FF000000"/>
      </bottom>
      <diagonal/>
    </border>
    <border>
      <left/>
      <right/>
      <top/>
      <bottom style="thin">
        <color rgb="FF000000"/>
      </bottom>
      <diagonal/>
    </border>
    <border>
      <left/>
      <right/>
      <top/>
      <bottom/>
      <diagonal/>
    </border>
    <border>
      <left/>
      <right style="thin">
        <color rgb="FF000000"/>
      </right>
      <top/>
      <bottom style="thin">
        <color rgb="FF000000"/>
      </bottom>
      <diagonal/>
    </border>
    <border>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thin">
        <color rgb="FF000000"/>
      </left>
      <right/>
      <top style="thin">
        <color rgb="FF000000"/>
      </top>
      <bottom style="thin">
        <color rgb="FFCCCCCC"/>
      </bottom>
      <diagonal/>
    </border>
    <border>
      <left/>
      <right/>
      <top style="thin">
        <color rgb="FF000000"/>
      </top>
      <bottom style="thin">
        <color rgb="FFCCCCCC"/>
      </bottom>
      <diagonal/>
    </border>
    <border>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right/>
      <top style="thin">
        <color rgb="FFCCCCCC"/>
      </top>
      <bottom/>
      <diagonal/>
    </border>
    <border>
      <left style="thin">
        <color rgb="FF000000"/>
      </left>
      <right style="thin">
        <color rgb="FFCCCCCC"/>
      </right>
      <top style="thin">
        <color rgb="FFCCCCCC"/>
      </top>
      <bottom style="thin">
        <color rgb="FFCCCCCC"/>
      </bottom>
      <diagonal/>
    </border>
    <border>
      <left style="thin">
        <color rgb="FF000000"/>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000000"/>
      </left>
      <right/>
      <top style="thin">
        <color rgb="FFCCCCCC"/>
      </top>
      <bottom style="thin">
        <color rgb="FF000000"/>
      </bottom>
      <diagonal/>
    </border>
    <border>
      <left/>
      <right/>
      <top style="thin">
        <color rgb="FFCCCCCC"/>
      </top>
      <bottom style="thin">
        <color rgb="FF000000"/>
      </bottom>
      <diagonal/>
    </border>
    <border>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top style="thin">
        <color rgb="FFCCCCCC"/>
      </top>
      <bottom/>
      <diagonal/>
    </border>
    <border>
      <left/>
      <right style="thin">
        <color rgb="FF000000"/>
      </right>
      <top style="thin">
        <color rgb="FFCCCCCC"/>
      </top>
      <bottom/>
      <diagonal/>
    </border>
    <border>
      <left style="thin">
        <color rgb="FF000000"/>
      </left>
      <right/>
      <top/>
      <bottom style="thin">
        <color rgb="FFCCCCCC"/>
      </bottom>
      <diagonal/>
    </border>
    <border>
      <left/>
      <right/>
      <top/>
      <bottom style="thin">
        <color rgb="FFCCCCCC"/>
      </bottom>
      <diagonal/>
    </border>
    <border>
      <left/>
      <right style="thin">
        <color rgb="FF000000"/>
      </right>
      <top/>
      <bottom style="thin">
        <color rgb="FFCCCCCC"/>
      </bottom>
      <diagonal/>
    </border>
    <border>
      <left/>
      <right style="thin">
        <color rgb="FFCCCCCC"/>
      </right>
      <top style="thin">
        <color rgb="FFCCCCCC"/>
      </top>
      <bottom/>
      <diagonal/>
    </border>
    <border>
      <left/>
      <right style="thin">
        <color rgb="FFCCCCCC"/>
      </right>
      <top/>
      <bottom style="thin">
        <color rgb="FFCCCCCC"/>
      </bottom>
      <diagonal/>
    </border>
    <border>
      <left style="thin">
        <color rgb="FFCCCCCC"/>
      </left>
      <right/>
      <top style="thin">
        <color rgb="FFCCCCCC"/>
      </top>
      <bottom/>
      <diagonal/>
    </border>
    <border>
      <left style="thin">
        <color rgb="FFCCCCCC"/>
      </left>
      <right/>
      <top/>
      <bottom/>
      <diagonal/>
    </border>
    <border>
      <left style="thin">
        <color rgb="FFCCCCCC"/>
      </left>
      <right/>
      <top/>
      <bottom style="thin">
        <color rgb="FF000000"/>
      </bottom>
      <diagonal/>
    </border>
    <border>
      <left/>
      <right style="thin">
        <color rgb="FFCCCCCC"/>
      </right>
      <top/>
      <bottom style="thin">
        <color rgb="FF000000"/>
      </bottom>
      <diagonal/>
    </border>
    <border>
      <left/>
      <right style="thin">
        <color rgb="FF000000"/>
      </right>
      <top style="thin">
        <color rgb="FF000000"/>
      </top>
      <bottom style="thin">
        <color rgb="FFCCCCCC"/>
      </bottom>
      <diagonal/>
    </border>
    <border>
      <left/>
      <right style="thin">
        <color rgb="FF000000"/>
      </right>
      <top style="thin">
        <color rgb="FFCCCCCC"/>
      </top>
      <bottom style="thin">
        <color rgb="FFCCCCCC"/>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000000"/>
      </top>
      <bottom/>
      <diagonal/>
    </border>
    <border>
      <left/>
      <right style="thin">
        <color rgb="FFCCCCCC"/>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CCCCCC"/>
      </right>
      <top/>
      <bottom/>
      <diagonal/>
    </border>
    <border>
      <left style="thin">
        <color rgb="FFCCCCCC"/>
      </left>
      <right/>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CCCCCC"/>
      </left>
      <right/>
      <top style="thin">
        <color rgb="FFCCCCCC"/>
      </top>
      <bottom style="thin">
        <color rgb="FFCCCCCC"/>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CCCCCC"/>
      </left>
      <right style="thin">
        <color rgb="FFCCCCCC"/>
      </right>
      <top/>
      <bottom style="thin">
        <color rgb="FF000000"/>
      </bottom>
      <diagonal/>
    </border>
    <border>
      <left style="thin">
        <color rgb="FFCCCCCC"/>
      </left>
      <right style="thin">
        <color rgb="FF000000"/>
      </right>
      <top/>
      <bottom style="thin">
        <color rgb="FFCCCCCC"/>
      </bottom>
      <diagonal/>
    </border>
    <border>
      <left style="thin">
        <color rgb="FF000000"/>
      </left>
      <right style="thin">
        <color rgb="FFCCCCCC"/>
      </right>
      <top/>
      <bottom style="thin">
        <color rgb="FFCCCCCC"/>
      </bottom>
      <diagonal/>
    </border>
    <border>
      <left style="thin">
        <color rgb="FF000000"/>
      </left>
      <right style="medium">
        <color rgb="FF000000"/>
      </right>
      <top/>
      <bottom style="thin">
        <color rgb="FF000000"/>
      </bottom>
      <diagonal/>
    </border>
    <border>
      <left style="thin">
        <color rgb="FF000000"/>
      </left>
      <right style="thin">
        <color rgb="FFCCCCCC"/>
      </right>
      <top/>
      <bottom/>
      <diagonal/>
    </border>
    <border>
      <left style="thin">
        <color rgb="FFCCCCCC"/>
      </left>
      <right style="thin">
        <color rgb="FFCCCCCC"/>
      </right>
      <top/>
      <bottom/>
      <diagonal/>
    </border>
  </borders>
  <cellStyleXfs count="1">
    <xf numFmtId="0" fontId="0" fillId="0" borderId="0"/>
  </cellStyleXfs>
  <cellXfs count="1206">
    <xf numFmtId="0" fontId="0" fillId="0" borderId="0" xfId="0"/>
    <xf numFmtId="0" fontId="3" fillId="0" borderId="0" xfId="0" applyFont="1"/>
    <xf numFmtId="0" fontId="1" fillId="0" borderId="1" xfId="0" applyFont="1" applyBorder="1" applyAlignment="1">
      <alignment horizontal="center"/>
    </xf>
    <xf numFmtId="0" fontId="1" fillId="3" borderId="2" xfId="0" applyFont="1" applyFill="1" applyBorder="1"/>
    <xf numFmtId="0" fontId="1" fillId="3" borderId="2" xfId="0" applyFont="1" applyFill="1" applyBorder="1" applyAlignment="1">
      <alignment horizontal="center" vertical="center"/>
    </xf>
    <xf numFmtId="2" fontId="1" fillId="3" borderId="2" xfId="0" applyNumberFormat="1" applyFont="1" applyFill="1" applyBorder="1" applyAlignment="1">
      <alignment horizontal="center" vertical="center"/>
    </xf>
    <xf numFmtId="0" fontId="1" fillId="0" borderId="2" xfId="0" applyFont="1" applyBorder="1" applyAlignment="1">
      <alignment horizontal="center" vertical="center" wrapText="1"/>
    </xf>
    <xf numFmtId="4" fontId="3" fillId="4" borderId="2" xfId="0" applyNumberFormat="1" applyFont="1" applyFill="1" applyBorder="1" applyAlignment="1">
      <alignment horizontal="right" vertical="center" wrapText="1"/>
    </xf>
    <xf numFmtId="0" fontId="3" fillId="4" borderId="2" xfId="0" applyFont="1" applyFill="1" applyBorder="1"/>
    <xf numFmtId="0" fontId="3" fillId="0" borderId="2" xfId="0" applyFont="1" applyBorder="1" applyAlignment="1">
      <alignment horizontal="center" vertical="center"/>
    </xf>
    <xf numFmtId="0" fontId="4" fillId="0" borderId="2" xfId="0" applyFont="1" applyBorder="1" applyAlignment="1">
      <alignment horizontal="center" vertical="center" wrapText="1"/>
    </xf>
    <xf numFmtId="0" fontId="1" fillId="0" borderId="2" xfId="0" applyFont="1" applyBorder="1" applyAlignment="1">
      <alignment horizontal="center" vertical="center"/>
    </xf>
    <xf numFmtId="4" fontId="3" fillId="0" borderId="2" xfId="0" applyNumberFormat="1" applyFont="1" applyBorder="1" applyAlignment="1">
      <alignment horizontal="right" vertical="center" wrapText="1"/>
    </xf>
    <xf numFmtId="2" fontId="3" fillId="0" borderId="3" xfId="0" applyNumberFormat="1" applyFont="1" applyBorder="1"/>
    <xf numFmtId="0" fontId="3" fillId="0" borderId="2" xfId="0" applyFont="1" applyBorder="1"/>
    <xf numFmtId="0" fontId="1" fillId="4" borderId="2" xfId="0" applyFont="1" applyFill="1" applyBorder="1" applyAlignment="1">
      <alignment horizontal="center" vertical="center"/>
    </xf>
    <xf numFmtId="1" fontId="3" fillId="0" borderId="3" xfId="0" applyNumberFormat="1" applyFont="1" applyBorder="1"/>
    <xf numFmtId="2" fontId="3" fillId="4" borderId="2" xfId="0" applyNumberFormat="1" applyFont="1" applyFill="1" applyBorder="1" applyAlignment="1">
      <alignment horizontal="right" vertical="center" wrapText="1"/>
    </xf>
    <xf numFmtId="2" fontId="3" fillId="0" borderId="2" xfId="0" applyNumberFormat="1" applyFont="1" applyBorder="1" applyAlignment="1">
      <alignment horizontal="right" vertical="center" wrapText="1"/>
    </xf>
    <xf numFmtId="164" fontId="3" fillId="0" borderId="3" xfId="0" applyNumberFormat="1" applyFont="1" applyBorder="1"/>
    <xf numFmtId="165" fontId="3" fillId="0" borderId="2" xfId="0" applyNumberFormat="1" applyFont="1" applyBorder="1" applyAlignment="1">
      <alignment horizontal="center" vertical="center"/>
    </xf>
    <xf numFmtId="1" fontId="1" fillId="4" borderId="2" xfId="0" applyNumberFormat="1" applyFont="1" applyFill="1" applyBorder="1" applyAlignment="1">
      <alignment horizontal="center" vertical="center"/>
    </xf>
    <xf numFmtId="166" fontId="3" fillId="4" borderId="2" xfId="0" applyNumberFormat="1" applyFont="1" applyFill="1" applyBorder="1" applyAlignment="1">
      <alignment horizontal="right" vertical="center" wrapText="1"/>
    </xf>
    <xf numFmtId="165" fontId="3" fillId="4" borderId="2" xfId="0" applyNumberFormat="1" applyFont="1" applyFill="1" applyBorder="1"/>
    <xf numFmtId="165" fontId="3" fillId="0" borderId="0" xfId="0" applyNumberFormat="1" applyFont="1"/>
    <xf numFmtId="1" fontId="1" fillId="0" borderId="2" xfId="0" applyNumberFormat="1" applyFont="1" applyBorder="1" applyAlignment="1">
      <alignment horizontal="center" vertical="center"/>
    </xf>
    <xf numFmtId="166" fontId="3" fillId="0" borderId="2" xfId="0" applyNumberFormat="1" applyFont="1" applyBorder="1" applyAlignment="1">
      <alignment horizontal="right" vertical="center" wrapText="1"/>
    </xf>
    <xf numFmtId="166" fontId="3" fillId="0" borderId="3" xfId="0" applyNumberFormat="1" applyFont="1" applyBorder="1"/>
    <xf numFmtId="165" fontId="3" fillId="0" borderId="2" xfId="0" applyNumberFormat="1" applyFont="1" applyBorder="1"/>
    <xf numFmtId="0" fontId="1" fillId="0" borderId="2" xfId="0" applyFont="1" applyBorder="1" applyAlignment="1">
      <alignment horizontal="center"/>
    </xf>
    <xf numFmtId="4" fontId="3" fillId="4" borderId="2" xfId="0" applyNumberFormat="1" applyFont="1" applyFill="1" applyBorder="1" applyAlignment="1">
      <alignment horizontal="left" vertical="center" wrapText="1"/>
    </xf>
    <xf numFmtId="4" fontId="3" fillId="0" borderId="2" xfId="0" applyNumberFormat="1" applyFont="1" applyBorder="1" applyAlignment="1">
      <alignment horizontal="left" vertical="center" wrapText="1"/>
    </xf>
    <xf numFmtId="0" fontId="3" fillId="0" borderId="2" xfId="0" applyFont="1" applyBorder="1" applyAlignment="1">
      <alignment horizontal="left"/>
    </xf>
    <xf numFmtId="4" fontId="3" fillId="0" borderId="2" xfId="0" applyNumberFormat="1" applyFont="1" applyBorder="1"/>
    <xf numFmtId="166" fontId="3" fillId="0" borderId="2" xfId="0" applyNumberFormat="1" applyFont="1" applyBorder="1"/>
    <xf numFmtId="2" fontId="3" fillId="0" borderId="2" xfId="0" applyNumberFormat="1" applyFont="1" applyBorder="1"/>
    <xf numFmtId="164" fontId="3" fillId="0" borderId="2" xfId="0" applyNumberFormat="1" applyFont="1" applyBorder="1"/>
    <xf numFmtId="0" fontId="1" fillId="3" borderId="9" xfId="0" applyFont="1" applyFill="1" applyBorder="1" applyAlignment="1">
      <alignment horizontal="center" vertical="center"/>
    </xf>
    <xf numFmtId="0" fontId="1" fillId="3" borderId="2" xfId="0" applyFont="1" applyFill="1" applyBorder="1" applyAlignment="1">
      <alignment horizontal="center"/>
    </xf>
    <xf numFmtId="0" fontId="3" fillId="4" borderId="2" xfId="0" applyFont="1" applyFill="1" applyBorder="1" applyAlignment="1">
      <alignment horizontal="left"/>
    </xf>
    <xf numFmtId="0" fontId="1" fillId="0" borderId="6" xfId="0" applyFont="1" applyBorder="1" applyAlignment="1">
      <alignment horizontal="center" vertical="center" wrapText="1"/>
    </xf>
    <xf numFmtId="0" fontId="5" fillId="4" borderId="9" xfId="0" applyFont="1" applyFill="1" applyBorder="1" applyAlignment="1">
      <alignment vertical="center"/>
    </xf>
    <xf numFmtId="4" fontId="3" fillId="4" borderId="2" xfId="0" applyNumberFormat="1" applyFont="1" applyFill="1" applyBorder="1" applyAlignment="1">
      <alignment horizontal="right" vertical="center"/>
    </xf>
    <xf numFmtId="4" fontId="3" fillId="4" borderId="2" xfId="0" applyNumberFormat="1" applyFont="1" applyFill="1" applyBorder="1"/>
    <xf numFmtId="0" fontId="6" fillId="0" borderId="6" xfId="0" applyFont="1" applyBorder="1" applyAlignment="1">
      <alignment horizontal="center" vertical="center" wrapText="1"/>
    </xf>
    <xf numFmtId="4" fontId="3" fillId="0" borderId="2" xfId="0" applyNumberFormat="1" applyFont="1" applyBorder="1" applyAlignment="1">
      <alignment horizontal="right" vertical="center"/>
    </xf>
    <xf numFmtId="3" fontId="3" fillId="4" borderId="2" xfId="0" applyNumberFormat="1" applyFont="1" applyFill="1" applyBorder="1"/>
    <xf numFmtId="3" fontId="3" fillId="0" borderId="2" xfId="0" applyNumberFormat="1" applyFont="1" applyBorder="1"/>
    <xf numFmtId="2" fontId="3" fillId="4" borderId="2" xfId="0" applyNumberFormat="1" applyFont="1" applyFill="1" applyBorder="1"/>
    <xf numFmtId="164" fontId="3" fillId="4" borderId="2" xfId="0" applyNumberFormat="1" applyFont="1" applyFill="1" applyBorder="1"/>
    <xf numFmtId="11" fontId="3" fillId="0" borderId="0" xfId="0" applyNumberFormat="1" applyFont="1"/>
    <xf numFmtId="165" fontId="5" fillId="4" borderId="9" xfId="0" applyNumberFormat="1" applyFont="1" applyFill="1" applyBorder="1" applyAlignment="1">
      <alignment vertical="center"/>
    </xf>
    <xf numFmtId="166" fontId="3" fillId="4" borderId="2" xfId="0" applyNumberFormat="1" applyFont="1" applyFill="1" applyBorder="1" applyAlignment="1">
      <alignment horizontal="right" vertical="center"/>
    </xf>
    <xf numFmtId="166" fontId="3" fillId="0" borderId="2" xfId="0" applyNumberFormat="1" applyFont="1" applyBorder="1" applyAlignment="1">
      <alignment horizontal="right" vertical="center"/>
    </xf>
    <xf numFmtId="4" fontId="3" fillId="0" borderId="0" xfId="0" applyNumberFormat="1" applyFont="1"/>
    <xf numFmtId="0" fontId="1" fillId="3" borderId="10" xfId="0" applyFont="1" applyFill="1" applyBorder="1" applyAlignment="1">
      <alignment horizontal="center"/>
    </xf>
    <xf numFmtId="0" fontId="5" fillId="0" borderId="2" xfId="0" applyFont="1" applyBorder="1" applyAlignment="1">
      <alignment vertical="center"/>
    </xf>
    <xf numFmtId="4" fontId="3" fillId="0" borderId="2" xfId="0" applyNumberFormat="1" applyFont="1" applyBorder="1" applyAlignment="1">
      <alignment horizontal="right" wrapText="1"/>
    </xf>
    <xf numFmtId="165" fontId="3" fillId="0" borderId="3" xfId="0" applyNumberFormat="1" applyFont="1" applyBorder="1"/>
    <xf numFmtId="1" fontId="3" fillId="0" borderId="2" xfId="0" applyNumberFormat="1" applyFont="1" applyBorder="1"/>
    <xf numFmtId="0" fontId="1" fillId="2" borderId="11" xfId="0" applyFont="1" applyFill="1" applyBorder="1" applyAlignment="1">
      <alignment horizontal="center" vertical="center"/>
    </xf>
    <xf numFmtId="0" fontId="1" fillId="0" borderId="1" xfId="0" applyFont="1" applyBorder="1" applyAlignment="1">
      <alignment horizontal="center" wrapText="1"/>
    </xf>
    <xf numFmtId="0" fontId="1" fillId="0" borderId="2" xfId="0" applyFont="1" applyBorder="1" applyAlignment="1">
      <alignment horizontal="left" vertical="center" wrapText="1"/>
    </xf>
    <xf numFmtId="0" fontId="4" fillId="0" borderId="2" xfId="0" applyFont="1" applyBorder="1" applyAlignment="1">
      <alignment horizontal="left" vertical="center" wrapText="1"/>
    </xf>
    <xf numFmtId="1" fontId="3" fillId="4" borderId="2" xfId="0" applyNumberFormat="1" applyFont="1" applyFill="1" applyBorder="1"/>
    <xf numFmtId="0" fontId="3" fillId="0" borderId="2" xfId="0" applyFont="1" applyBorder="1" applyAlignment="1">
      <alignment wrapText="1"/>
    </xf>
    <xf numFmtId="0" fontId="5" fillId="4" borderId="2" xfId="0" applyFont="1" applyFill="1" applyBorder="1" applyAlignment="1">
      <alignment vertical="center" wrapText="1"/>
    </xf>
    <xf numFmtId="4" fontId="3" fillId="4" borderId="2" xfId="0" applyNumberFormat="1" applyFont="1" applyFill="1" applyBorder="1" applyAlignment="1">
      <alignment horizontal="right" wrapText="1"/>
    </xf>
    <xf numFmtId="0" fontId="5" fillId="0" borderId="2" xfId="0" applyFont="1" applyBorder="1" applyAlignment="1">
      <alignment vertical="center" wrapText="1"/>
    </xf>
    <xf numFmtId="166" fontId="3" fillId="0" borderId="2" xfId="0" applyNumberFormat="1" applyFont="1" applyBorder="1" applyAlignment="1">
      <alignment horizontal="center" vertical="center"/>
    </xf>
    <xf numFmtId="166" fontId="3" fillId="4" borderId="2" xfId="0" applyNumberFormat="1" applyFont="1" applyFill="1" applyBorder="1"/>
    <xf numFmtId="166" fontId="3" fillId="4" borderId="2" xfId="0" applyNumberFormat="1" applyFont="1" applyFill="1" applyBorder="1" applyAlignment="1">
      <alignment horizontal="right" wrapText="1"/>
    </xf>
    <xf numFmtId="165" fontId="4" fillId="0" borderId="2" xfId="0" applyNumberFormat="1" applyFont="1" applyBorder="1" applyAlignment="1">
      <alignment horizontal="left" vertical="center" wrapText="1"/>
    </xf>
    <xf numFmtId="166" fontId="3" fillId="0" borderId="2" xfId="0" applyNumberFormat="1" applyFont="1" applyBorder="1" applyAlignment="1">
      <alignment horizontal="right" wrapText="1"/>
    </xf>
    <xf numFmtId="165" fontId="5" fillId="4" borderId="2" xfId="0" applyNumberFormat="1" applyFont="1" applyFill="1" applyBorder="1" applyAlignment="1">
      <alignment vertical="center"/>
    </xf>
    <xf numFmtId="4" fontId="3" fillId="4" borderId="2" xfId="0" applyNumberFormat="1" applyFont="1" applyFill="1" applyBorder="1" applyAlignment="1">
      <alignment horizontal="left" wrapText="1"/>
    </xf>
    <xf numFmtId="0" fontId="1" fillId="3" borderId="13" xfId="0" applyFont="1" applyFill="1" applyBorder="1"/>
    <xf numFmtId="0" fontId="3" fillId="4" borderId="2" xfId="0" applyFont="1" applyFill="1" applyBorder="1" applyAlignment="1">
      <alignment horizontal="left" vertical="center" wrapText="1"/>
    </xf>
    <xf numFmtId="4" fontId="3" fillId="4" borderId="2" xfId="0" applyNumberFormat="1" applyFont="1" applyFill="1" applyBorder="1" applyAlignment="1">
      <alignment horizontal="center" vertical="center" wrapText="1"/>
    </xf>
    <xf numFmtId="0" fontId="3" fillId="0" borderId="2" xfId="0" applyFont="1" applyBorder="1" applyAlignment="1">
      <alignment horizontal="left" vertical="center"/>
    </xf>
    <xf numFmtId="4" fontId="3" fillId="0" borderId="2" xfId="0" applyNumberFormat="1" applyFont="1" applyBorder="1" applyAlignment="1">
      <alignment horizontal="center" vertical="center" wrapText="1"/>
    </xf>
    <xf numFmtId="3" fontId="3" fillId="4" borderId="2" xfId="0" applyNumberFormat="1" applyFont="1" applyFill="1" applyBorder="1" applyAlignment="1">
      <alignment horizontal="center" vertical="center" wrapText="1"/>
    </xf>
    <xf numFmtId="3" fontId="3" fillId="0" borderId="2" xfId="0" applyNumberFormat="1" applyFont="1" applyBorder="1" applyAlignment="1">
      <alignment horizontal="center" vertical="center" wrapText="1"/>
    </xf>
    <xf numFmtId="166" fontId="3" fillId="4" borderId="2" xfId="0" applyNumberFormat="1" applyFont="1" applyFill="1" applyBorder="1" applyAlignment="1">
      <alignment horizontal="center" vertical="center" wrapText="1"/>
    </xf>
    <xf numFmtId="165" fontId="4" fillId="0" borderId="2" xfId="0" applyNumberFormat="1" applyFont="1" applyBorder="1" applyAlignment="1">
      <alignment horizontal="center" vertical="center" wrapText="1"/>
    </xf>
    <xf numFmtId="166" fontId="3" fillId="0" borderId="2" xfId="0" applyNumberFormat="1" applyFont="1" applyBorder="1" applyAlignment="1">
      <alignment horizontal="center" vertical="center" wrapText="1"/>
    </xf>
    <xf numFmtId="0" fontId="1" fillId="2" borderId="14" xfId="0" applyFont="1" applyFill="1" applyBorder="1" applyAlignment="1">
      <alignment horizontal="center" vertical="center"/>
    </xf>
    <xf numFmtId="0" fontId="1" fillId="0" borderId="8" xfId="0" applyFont="1" applyBorder="1" applyAlignment="1">
      <alignment horizontal="center" vertical="center"/>
    </xf>
    <xf numFmtId="0" fontId="1" fillId="0" borderId="8" xfId="0" applyFont="1" applyBorder="1" applyAlignment="1">
      <alignment horizontal="center"/>
    </xf>
    <xf numFmtId="0" fontId="1" fillId="0" borderId="0" xfId="0" applyFont="1" applyAlignment="1">
      <alignment horizontal="center"/>
    </xf>
    <xf numFmtId="0" fontId="3" fillId="0" borderId="2" xfId="0" applyFont="1" applyBorder="1" applyAlignment="1">
      <alignment vertical="center" wrapText="1"/>
    </xf>
    <xf numFmtId="0" fontId="3" fillId="4" borderId="2" xfId="0" applyFont="1" applyFill="1" applyBorder="1" applyAlignment="1">
      <alignment horizontal="left" vertical="center"/>
    </xf>
    <xf numFmtId="0" fontId="3" fillId="5" borderId="2" xfId="0" applyFont="1" applyFill="1" applyBorder="1" applyAlignment="1">
      <alignment wrapText="1"/>
    </xf>
    <xf numFmtId="0" fontId="1" fillId="2" borderId="15" xfId="0" applyFont="1" applyFill="1" applyBorder="1" applyAlignment="1">
      <alignment horizontal="center" vertical="center"/>
    </xf>
    <xf numFmtId="0" fontId="1" fillId="0" borderId="4" xfId="0" applyFont="1" applyBorder="1" applyAlignment="1">
      <alignment horizontal="center"/>
    </xf>
    <xf numFmtId="0" fontId="3" fillId="4" borderId="9" xfId="0" applyFont="1" applyFill="1" applyBorder="1" applyAlignment="1">
      <alignment vertical="center"/>
    </xf>
    <xf numFmtId="165" fontId="3" fillId="4" borderId="9" xfId="0" applyNumberFormat="1" applyFont="1" applyFill="1" applyBorder="1" applyAlignment="1">
      <alignment vertical="center"/>
    </xf>
    <xf numFmtId="0" fontId="1" fillId="2" borderId="11" xfId="0" applyFont="1" applyFill="1" applyBorder="1" applyAlignment="1">
      <alignment horizontal="center"/>
    </xf>
    <xf numFmtId="0" fontId="7" fillId="0" borderId="0" xfId="0" applyFont="1"/>
    <xf numFmtId="0" fontId="8" fillId="3" borderId="16" xfId="0" applyFont="1" applyFill="1" applyBorder="1" applyAlignment="1">
      <alignment horizontal="center"/>
    </xf>
    <xf numFmtId="0" fontId="3" fillId="4" borderId="16" xfId="0" applyFont="1" applyFill="1" applyBorder="1"/>
    <xf numFmtId="4" fontId="3" fillId="4" borderId="16" xfId="0" applyNumberFormat="1" applyFont="1" applyFill="1" applyBorder="1" applyAlignment="1">
      <alignment horizontal="right" wrapText="1"/>
    </xf>
    <xf numFmtId="2" fontId="3" fillId="4" borderId="16" xfId="0" applyNumberFormat="1" applyFont="1" applyFill="1" applyBorder="1" applyAlignment="1">
      <alignment horizontal="right"/>
    </xf>
    <xf numFmtId="0" fontId="3" fillId="4" borderId="16" xfId="0" applyFont="1" applyFill="1" applyBorder="1" applyAlignment="1">
      <alignment horizontal="right"/>
    </xf>
    <xf numFmtId="0" fontId="7" fillId="0" borderId="3" xfId="0" applyFont="1" applyBorder="1"/>
    <xf numFmtId="165" fontId="7" fillId="0" borderId="3" xfId="0" applyNumberFormat="1" applyFont="1" applyBorder="1"/>
    <xf numFmtId="165" fontId="3" fillId="4" borderId="16" xfId="0" applyNumberFormat="1" applyFont="1" applyFill="1" applyBorder="1"/>
    <xf numFmtId="165" fontId="3" fillId="4" borderId="16" xfId="0" applyNumberFormat="1" applyFont="1" applyFill="1" applyBorder="1" applyAlignment="1">
      <alignment horizontal="right"/>
    </xf>
    <xf numFmtId="4" fontId="7" fillId="0" borderId="3" xfId="0" applyNumberFormat="1" applyFont="1" applyBorder="1"/>
    <xf numFmtId="4" fontId="3" fillId="4" borderId="16" xfId="0" applyNumberFormat="1" applyFont="1" applyFill="1" applyBorder="1"/>
    <xf numFmtId="4" fontId="3" fillId="4" borderId="16" xfId="0" applyNumberFormat="1" applyFont="1" applyFill="1" applyBorder="1" applyAlignment="1">
      <alignment horizontal="right"/>
    </xf>
    <xf numFmtId="4" fontId="3" fillId="0" borderId="2" xfId="0" applyNumberFormat="1" applyFont="1" applyBorder="1" applyAlignment="1">
      <alignment wrapText="1"/>
    </xf>
    <xf numFmtId="11" fontId="3" fillId="0" borderId="2" xfId="0" applyNumberFormat="1" applyFont="1" applyBorder="1"/>
    <xf numFmtId="0" fontId="1" fillId="3" borderId="18" xfId="0" applyFont="1" applyFill="1" applyBorder="1"/>
    <xf numFmtId="0" fontId="3" fillId="4" borderId="2" xfId="0" applyFont="1" applyFill="1" applyBorder="1" applyAlignment="1">
      <alignment horizontal="right"/>
    </xf>
    <xf numFmtId="0" fontId="3" fillId="0" borderId="2" xfId="0" applyFont="1" applyBorder="1" applyAlignment="1">
      <alignment horizontal="right"/>
    </xf>
    <xf numFmtId="1" fontId="3" fillId="4" borderId="2" xfId="0" applyNumberFormat="1" applyFont="1" applyFill="1" applyBorder="1" applyAlignment="1">
      <alignment horizontal="right" vertical="center" wrapText="1"/>
    </xf>
    <xf numFmtId="1" fontId="3" fillId="0" borderId="2" xfId="0" applyNumberFormat="1" applyFont="1" applyBorder="1" applyAlignment="1">
      <alignment horizontal="right" vertical="center" wrapText="1"/>
    </xf>
    <xf numFmtId="0" fontId="1" fillId="0" borderId="2" xfId="0" applyFont="1" applyBorder="1"/>
    <xf numFmtId="4" fontId="3" fillId="0" borderId="3" xfId="0" applyNumberFormat="1" applyFont="1" applyBorder="1" applyAlignment="1">
      <alignment horizontal="right" vertical="center" wrapText="1"/>
    </xf>
    <xf numFmtId="166" fontId="3" fillId="0" borderId="3" xfId="0" applyNumberFormat="1" applyFont="1" applyBorder="1" applyAlignment="1">
      <alignment horizontal="right" vertical="center" wrapText="1"/>
    </xf>
    <xf numFmtId="0" fontId="3" fillId="0" borderId="2" xfId="0" applyFont="1" applyBorder="1" applyAlignment="1">
      <alignment vertical="center"/>
    </xf>
    <xf numFmtId="0" fontId="3" fillId="0" borderId="3" xfId="0" applyFont="1" applyBorder="1"/>
    <xf numFmtId="0" fontId="3" fillId="4" borderId="2" xfId="0" applyFont="1" applyFill="1" applyBorder="1" applyAlignment="1">
      <alignment vertical="center"/>
    </xf>
    <xf numFmtId="165" fontId="3" fillId="4" borderId="2" xfId="0" applyNumberFormat="1" applyFont="1" applyFill="1" applyBorder="1" applyAlignment="1">
      <alignment vertical="center"/>
    </xf>
    <xf numFmtId="165" fontId="3" fillId="0" borderId="2" xfId="0" applyNumberFormat="1" applyFont="1" applyBorder="1" applyAlignment="1">
      <alignment vertical="center"/>
    </xf>
    <xf numFmtId="165" fontId="3" fillId="0" borderId="2" xfId="0" applyNumberFormat="1" applyFont="1" applyBorder="1" applyAlignment="1">
      <alignment wrapText="1"/>
    </xf>
    <xf numFmtId="165" fontId="3" fillId="0" borderId="2" xfId="0" applyNumberFormat="1" applyFont="1" applyBorder="1" applyAlignment="1">
      <alignment horizontal="right" vertical="center" wrapText="1"/>
    </xf>
    <xf numFmtId="3" fontId="3" fillId="4" borderId="2" xfId="0" applyNumberFormat="1" applyFont="1" applyFill="1" applyBorder="1" applyAlignment="1">
      <alignment horizontal="right" vertical="center" wrapText="1"/>
    </xf>
    <xf numFmtId="3" fontId="3" fillId="0" borderId="2" xfId="0" applyNumberFormat="1" applyFont="1" applyBorder="1" applyAlignment="1">
      <alignment horizontal="right" vertical="center" wrapText="1"/>
    </xf>
    <xf numFmtId="4" fontId="3" fillId="0" borderId="2" xfId="0" applyNumberFormat="1" applyFont="1" applyBorder="1" applyAlignment="1">
      <alignment horizontal="center" vertical="center"/>
    </xf>
    <xf numFmtId="3" fontId="1" fillId="4" borderId="2" xfId="0" applyNumberFormat="1" applyFont="1" applyFill="1" applyBorder="1" applyAlignment="1">
      <alignment horizontal="center" vertical="center"/>
    </xf>
    <xf numFmtId="4" fontId="3" fillId="4" borderId="9" xfId="0" applyNumberFormat="1" applyFont="1" applyFill="1" applyBorder="1" applyAlignment="1">
      <alignment vertical="center"/>
    </xf>
    <xf numFmtId="4" fontId="4" fillId="0" borderId="2" xfId="0" applyNumberFormat="1" applyFont="1" applyBorder="1" applyAlignment="1">
      <alignment horizontal="center" vertical="center" wrapText="1"/>
    </xf>
    <xf numFmtId="3" fontId="1" fillId="0" borderId="2" xfId="0" applyNumberFormat="1" applyFont="1" applyBorder="1" applyAlignment="1">
      <alignment horizontal="center" vertical="center"/>
    </xf>
    <xf numFmtId="0" fontId="10" fillId="0" borderId="0" xfId="0" applyFont="1"/>
    <xf numFmtId="4" fontId="1" fillId="3" borderId="2" xfId="0" applyNumberFormat="1" applyFont="1" applyFill="1" applyBorder="1" applyAlignment="1">
      <alignment horizontal="center" vertical="center"/>
    </xf>
    <xf numFmtId="2" fontId="3" fillId="0" borderId="3" xfId="0" applyNumberFormat="1" applyFont="1" applyBorder="1" applyAlignment="1">
      <alignment horizontal="right"/>
    </xf>
    <xf numFmtId="0" fontId="1" fillId="2" borderId="8"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4" xfId="0" applyFont="1" applyBorder="1" applyAlignment="1">
      <alignment horizontal="center"/>
    </xf>
    <xf numFmtId="0" fontId="1" fillId="3" borderId="6" xfId="0" applyFont="1" applyFill="1" applyBorder="1" applyAlignment="1">
      <alignment horizontal="center"/>
    </xf>
    <xf numFmtId="0" fontId="3" fillId="4" borderId="3" xfId="0" applyFont="1" applyFill="1" applyBorder="1" applyAlignment="1">
      <alignment horizontal="left"/>
    </xf>
    <xf numFmtId="0" fontId="1" fillId="4" borderId="3" xfId="0" applyFont="1" applyFill="1" applyBorder="1" applyAlignment="1">
      <alignment horizontal="center" vertical="center"/>
    </xf>
    <xf numFmtId="0" fontId="3" fillId="4" borderId="1" xfId="0" applyFont="1" applyFill="1" applyBorder="1"/>
    <xf numFmtId="2" fontId="3" fillId="4" borderId="3" xfId="0" applyNumberFormat="1" applyFont="1" applyFill="1" applyBorder="1" applyAlignment="1">
      <alignment horizontal="right"/>
    </xf>
    <xf numFmtId="0" fontId="3" fillId="0" borderId="9" xfId="0" applyFont="1" applyBorder="1"/>
    <xf numFmtId="0" fontId="1" fillId="0" borderId="10" xfId="0" applyFont="1" applyBorder="1" applyAlignment="1">
      <alignment horizontal="center" vertical="center" wrapText="1"/>
    </xf>
    <xf numFmtId="0" fontId="4" fillId="0" borderId="10" xfId="0" applyFont="1" applyBorder="1" applyAlignment="1">
      <alignment horizontal="center" vertical="center" wrapText="1"/>
    </xf>
    <xf numFmtId="165" fontId="1" fillId="0" borderId="10" xfId="0" applyNumberFormat="1" applyFont="1" applyBorder="1" applyAlignment="1">
      <alignment horizontal="center" vertical="center" wrapText="1"/>
    </xf>
    <xf numFmtId="166" fontId="3" fillId="4" borderId="3" xfId="0" applyNumberFormat="1" applyFont="1" applyFill="1" applyBorder="1" applyAlignment="1">
      <alignment horizontal="right"/>
    </xf>
    <xf numFmtId="165" fontId="4" fillId="0" borderId="10" xfId="0" applyNumberFormat="1" applyFont="1" applyBorder="1" applyAlignment="1">
      <alignment horizontal="center" vertical="center" wrapText="1"/>
    </xf>
    <xf numFmtId="2" fontId="3" fillId="4" borderId="3" xfId="0" applyNumberFormat="1" applyFont="1" applyFill="1" applyBorder="1"/>
    <xf numFmtId="0" fontId="1" fillId="0" borderId="9" xfId="0" applyFont="1" applyBorder="1" applyAlignment="1">
      <alignment horizontal="center"/>
    </xf>
    <xf numFmtId="0" fontId="5" fillId="0" borderId="9" xfId="0" applyFont="1" applyBorder="1" applyAlignment="1">
      <alignment vertical="center"/>
    </xf>
    <xf numFmtId="0" fontId="6" fillId="0" borderId="10" xfId="0" applyFont="1" applyBorder="1" applyAlignment="1">
      <alignment horizontal="center" vertical="center" wrapText="1"/>
    </xf>
    <xf numFmtId="165" fontId="5" fillId="0" borderId="9" xfId="0" applyNumberFormat="1" applyFont="1" applyBorder="1" applyAlignment="1">
      <alignment vertical="center"/>
    </xf>
    <xf numFmtId="0" fontId="1" fillId="3" borderId="6" xfId="0" applyFont="1" applyFill="1" applyBorder="1"/>
    <xf numFmtId="0" fontId="5" fillId="4" borderId="3" xfId="0" applyFont="1" applyFill="1" applyBorder="1" applyAlignment="1">
      <alignment vertical="center"/>
    </xf>
    <xf numFmtId="4" fontId="3" fillId="4" borderId="3" xfId="0" applyNumberFormat="1" applyFont="1" applyFill="1" applyBorder="1" applyAlignment="1">
      <alignment horizontal="right" wrapText="1"/>
    </xf>
    <xf numFmtId="4" fontId="3" fillId="4" borderId="3" xfId="0" applyNumberFormat="1" applyFont="1" applyFill="1" applyBorder="1" applyAlignment="1">
      <alignment horizontal="right" vertical="center" wrapText="1"/>
    </xf>
    <xf numFmtId="1" fontId="3" fillId="4" borderId="3" xfId="0" applyNumberFormat="1" applyFont="1" applyFill="1" applyBorder="1"/>
    <xf numFmtId="164" fontId="3" fillId="4" borderId="3" xfId="0" applyNumberFormat="1" applyFont="1" applyFill="1" applyBorder="1"/>
    <xf numFmtId="166" fontId="3" fillId="4" borderId="3" xfId="0" applyNumberFormat="1" applyFont="1" applyFill="1" applyBorder="1" applyAlignment="1">
      <alignment horizontal="right" vertical="center" wrapText="1"/>
    </xf>
    <xf numFmtId="165" fontId="3" fillId="4" borderId="3" xfId="0" applyNumberFormat="1" applyFont="1" applyFill="1" applyBorder="1"/>
    <xf numFmtId="4" fontId="3" fillId="4" borderId="3" xfId="0" applyNumberFormat="1" applyFont="1" applyFill="1" applyBorder="1" applyAlignment="1">
      <alignment horizontal="left" vertical="center" wrapText="1"/>
    </xf>
    <xf numFmtId="0" fontId="1" fillId="2" borderId="12" xfId="0" applyFont="1" applyFill="1" applyBorder="1" applyAlignment="1">
      <alignment horizontal="center" vertical="center"/>
    </xf>
    <xf numFmtId="0" fontId="1" fillId="0" borderId="14" xfId="0" applyFont="1" applyBorder="1" applyAlignment="1">
      <alignment horizontal="center" wrapText="1"/>
    </xf>
    <xf numFmtId="0" fontId="1" fillId="3" borderId="3" xfId="0" applyFont="1" applyFill="1" applyBorder="1"/>
    <xf numFmtId="0" fontId="1" fillId="3" borderId="3" xfId="0" applyFont="1" applyFill="1" applyBorder="1" applyAlignment="1">
      <alignment horizontal="center" vertical="center"/>
    </xf>
    <xf numFmtId="2" fontId="1" fillId="3" borderId="3" xfId="0" applyNumberFormat="1" applyFont="1" applyFill="1" applyBorder="1" applyAlignment="1">
      <alignment horizontal="center" vertical="center"/>
    </xf>
    <xf numFmtId="0" fontId="5" fillId="4" borderId="1" xfId="0" applyFont="1" applyFill="1" applyBorder="1" applyAlignment="1">
      <alignment vertical="center"/>
    </xf>
    <xf numFmtId="0" fontId="1" fillId="0" borderId="10" xfId="0" applyFont="1" applyBorder="1" applyAlignment="1">
      <alignment horizontal="left" vertical="center" wrapText="1"/>
    </xf>
    <xf numFmtId="0" fontId="4" fillId="0" borderId="10" xfId="0" applyFont="1" applyBorder="1" applyAlignment="1">
      <alignment horizontal="left" vertical="center" wrapText="1"/>
    </xf>
    <xf numFmtId="165" fontId="1" fillId="0" borderId="10" xfId="0" applyNumberFormat="1" applyFont="1" applyBorder="1" applyAlignment="1">
      <alignment horizontal="left" vertical="center" wrapText="1"/>
    </xf>
    <xf numFmtId="165" fontId="4" fillId="0" borderId="10" xfId="0" applyNumberFormat="1" applyFont="1" applyBorder="1" applyAlignment="1">
      <alignment horizontal="left" vertical="center" wrapText="1"/>
    </xf>
    <xf numFmtId="166" fontId="3" fillId="4" borderId="3" xfId="0" applyNumberFormat="1" applyFont="1" applyFill="1" applyBorder="1"/>
    <xf numFmtId="0" fontId="1" fillId="3" borderId="3" xfId="0" applyFont="1" applyFill="1" applyBorder="1" applyAlignment="1">
      <alignment horizontal="center"/>
    </xf>
    <xf numFmtId="166" fontId="1" fillId="0" borderId="10" xfId="0" applyNumberFormat="1" applyFont="1" applyBorder="1" applyAlignment="1">
      <alignment horizontal="left" vertical="center" wrapText="1"/>
    </xf>
    <xf numFmtId="166" fontId="4" fillId="0" borderId="10" xfId="0" applyNumberFormat="1" applyFont="1" applyBorder="1" applyAlignment="1">
      <alignment horizontal="left" vertical="center" wrapText="1"/>
    </xf>
    <xf numFmtId="0" fontId="3" fillId="4" borderId="3" xfId="0" applyFont="1" applyFill="1" applyBorder="1"/>
    <xf numFmtId="0" fontId="3" fillId="4" borderId="1" xfId="0" applyFont="1" applyFill="1" applyBorder="1" applyAlignment="1">
      <alignment vertical="center"/>
    </xf>
    <xf numFmtId="4" fontId="3" fillId="4" borderId="3" xfId="0" applyNumberFormat="1" applyFont="1" applyFill="1" applyBorder="1"/>
    <xf numFmtId="0" fontId="3" fillId="0" borderId="9" xfId="0" applyFont="1" applyBorder="1" applyAlignment="1">
      <alignment vertical="center"/>
    </xf>
    <xf numFmtId="165" fontId="3" fillId="0" borderId="9" xfId="0" applyNumberFormat="1" applyFont="1" applyBorder="1" applyAlignment="1">
      <alignment vertical="center"/>
    </xf>
    <xf numFmtId="0" fontId="1" fillId="2" borderId="8" xfId="0" applyFont="1" applyFill="1" applyBorder="1" applyAlignment="1">
      <alignment horizontal="center"/>
    </xf>
    <xf numFmtId="0" fontId="1" fillId="2" borderId="1" xfId="0" applyFont="1" applyFill="1" applyBorder="1" applyAlignment="1">
      <alignment horizontal="center"/>
    </xf>
    <xf numFmtId="0" fontId="8" fillId="3" borderId="3" xfId="0" applyFont="1" applyFill="1" applyBorder="1"/>
    <xf numFmtId="0" fontId="1" fillId="4" borderId="16" xfId="0" applyFont="1" applyFill="1" applyBorder="1" applyAlignment="1">
      <alignment horizontal="center"/>
    </xf>
    <xf numFmtId="0" fontId="1" fillId="0" borderId="16" xfId="0" applyFont="1" applyBorder="1" applyAlignment="1">
      <alignment horizontal="center"/>
    </xf>
    <xf numFmtId="0" fontId="3" fillId="0" borderId="16" xfId="0" applyFont="1" applyBorder="1"/>
    <xf numFmtId="4" fontId="3" fillId="0" borderId="16" xfId="0" applyNumberFormat="1" applyFont="1" applyBorder="1" applyAlignment="1">
      <alignment horizontal="right" wrapText="1"/>
    </xf>
    <xf numFmtId="2" fontId="3" fillId="0" borderId="16" xfId="0" applyNumberFormat="1" applyFont="1" applyBorder="1" applyAlignment="1">
      <alignment horizontal="right"/>
    </xf>
    <xf numFmtId="0" fontId="3" fillId="0" borderId="16" xfId="0" applyFont="1" applyBorder="1" applyAlignment="1">
      <alignment horizontal="right"/>
    </xf>
    <xf numFmtId="4" fontId="3" fillId="0" borderId="16" xfId="0" applyNumberFormat="1" applyFont="1" applyBorder="1" applyAlignment="1">
      <alignment horizontal="right"/>
    </xf>
    <xf numFmtId="3" fontId="3" fillId="0" borderId="16" xfId="0" applyNumberFormat="1" applyFont="1" applyBorder="1" applyAlignment="1">
      <alignment horizontal="right" wrapText="1"/>
    </xf>
    <xf numFmtId="3" fontId="3" fillId="0" borderId="16" xfId="0" applyNumberFormat="1" applyFont="1" applyBorder="1" applyAlignment="1">
      <alignment horizontal="right"/>
    </xf>
    <xf numFmtId="165" fontId="3" fillId="0" borderId="16" xfId="0" applyNumberFormat="1" applyFont="1" applyBorder="1"/>
    <xf numFmtId="166" fontId="3" fillId="0" borderId="16" xfId="0" applyNumberFormat="1" applyFont="1" applyBorder="1" applyAlignment="1">
      <alignment horizontal="right" wrapText="1"/>
    </xf>
    <xf numFmtId="165" fontId="3" fillId="0" borderId="16" xfId="0" applyNumberFormat="1" applyFont="1" applyBorder="1" applyAlignment="1">
      <alignment horizontal="right"/>
    </xf>
    <xf numFmtId="166" fontId="3" fillId="0" borderId="16" xfId="0" applyNumberFormat="1" applyFont="1" applyBorder="1" applyAlignment="1">
      <alignment horizontal="right"/>
    </xf>
    <xf numFmtId="4" fontId="3" fillId="0" borderId="16" xfId="0" applyNumberFormat="1" applyFont="1" applyBorder="1"/>
    <xf numFmtId="4" fontId="3" fillId="0" borderId="16" xfId="0" applyNumberFormat="1" applyFont="1" applyBorder="1" applyAlignment="1">
      <alignment horizontal="left" wrapText="1"/>
    </xf>
    <xf numFmtId="4" fontId="3" fillId="0" borderId="9" xfId="0" applyNumberFormat="1" applyFont="1" applyBorder="1" applyAlignment="1">
      <alignment horizontal="right" vertical="center"/>
    </xf>
    <xf numFmtId="166" fontId="3" fillId="0" borderId="9" xfId="0" applyNumberFormat="1" applyFont="1" applyBorder="1" applyAlignment="1">
      <alignment horizontal="right" vertical="center"/>
    </xf>
    <xf numFmtId="4" fontId="3" fillId="0" borderId="9" xfId="0" applyNumberFormat="1" applyFont="1" applyBorder="1" applyAlignment="1">
      <alignment horizontal="left" vertical="center" wrapText="1"/>
    </xf>
    <xf numFmtId="0" fontId="3" fillId="0" borderId="9" xfId="0" applyFont="1" applyBorder="1" applyAlignment="1">
      <alignment vertical="center" wrapText="1"/>
    </xf>
    <xf numFmtId="0" fontId="3" fillId="4" borderId="3" xfId="0" applyFont="1" applyFill="1" applyBorder="1" applyAlignment="1">
      <alignment vertical="center"/>
    </xf>
    <xf numFmtId="4" fontId="3" fillId="4" borderId="3" xfId="0" applyNumberFormat="1" applyFont="1" applyFill="1" applyBorder="1" applyAlignment="1">
      <alignment horizontal="right" vertical="center"/>
    </xf>
    <xf numFmtId="166" fontId="3" fillId="4" borderId="3" xfId="0" applyNumberFormat="1" applyFont="1" applyFill="1" applyBorder="1" applyAlignment="1">
      <alignment horizontal="right" vertical="center"/>
    </xf>
    <xf numFmtId="2" fontId="3" fillId="4" borderId="3" xfId="0" applyNumberFormat="1" applyFont="1" applyFill="1" applyBorder="1" applyAlignment="1">
      <alignment horizontal="right" vertical="center" wrapText="1"/>
    </xf>
    <xf numFmtId="1" fontId="3" fillId="4" borderId="3" xfId="0" applyNumberFormat="1" applyFont="1" applyFill="1" applyBorder="1" applyAlignment="1">
      <alignment horizontal="right" vertical="center" wrapText="1"/>
    </xf>
    <xf numFmtId="165" fontId="3" fillId="4" borderId="3" xfId="0" applyNumberFormat="1" applyFont="1" applyFill="1" applyBorder="1" applyAlignment="1">
      <alignment horizontal="right" vertical="center" wrapText="1"/>
    </xf>
    <xf numFmtId="4" fontId="1" fillId="0" borderId="10" xfId="0" applyNumberFormat="1" applyFont="1" applyBorder="1" applyAlignment="1">
      <alignment horizontal="center" vertical="center" wrapText="1"/>
    </xf>
    <xf numFmtId="4" fontId="3" fillId="0" borderId="9" xfId="0" applyNumberFormat="1" applyFont="1" applyBorder="1" applyAlignment="1">
      <alignment vertical="center"/>
    </xf>
    <xf numFmtId="165" fontId="3" fillId="4" borderId="1" xfId="0" applyNumberFormat="1" applyFont="1" applyFill="1" applyBorder="1" applyAlignment="1">
      <alignment vertical="center"/>
    </xf>
    <xf numFmtId="164" fontId="3" fillId="0" borderId="3" xfId="0" applyNumberFormat="1" applyFont="1" applyBorder="1" applyAlignment="1">
      <alignment horizontal="right"/>
    </xf>
    <xf numFmtId="166" fontId="3" fillId="0" borderId="3" xfId="0" applyNumberFormat="1" applyFont="1" applyBorder="1" applyAlignment="1">
      <alignment horizontal="right"/>
    </xf>
    <xf numFmtId="164" fontId="3" fillId="4" borderId="3" xfId="0" applyNumberFormat="1" applyFont="1" applyFill="1" applyBorder="1" applyAlignment="1">
      <alignment horizontal="right" vertical="center"/>
    </xf>
    <xf numFmtId="0" fontId="0" fillId="0" borderId="0" xfId="0" applyAlignment="1">
      <alignment vertical="center"/>
    </xf>
    <xf numFmtId="2" fontId="3" fillId="6" borderId="3" xfId="0" applyNumberFormat="1" applyFont="1" applyFill="1" applyBorder="1" applyAlignment="1">
      <alignment horizontal="right"/>
    </xf>
    <xf numFmtId="164" fontId="3" fillId="4" borderId="2" xfId="0" applyNumberFormat="1" applyFont="1" applyFill="1" applyBorder="1" applyAlignment="1">
      <alignment horizontal="right"/>
    </xf>
    <xf numFmtId="164" fontId="3" fillId="0" borderId="2" xfId="0" applyNumberFormat="1" applyFont="1" applyBorder="1" applyAlignment="1">
      <alignment horizontal="right"/>
    </xf>
    <xf numFmtId="4" fontId="3" fillId="0" borderId="2" xfId="0" applyNumberFormat="1" applyFont="1" applyBorder="1" applyAlignment="1">
      <alignment horizontal="left" vertical="top" wrapText="1"/>
    </xf>
    <xf numFmtId="4" fontId="3" fillId="4" borderId="3" xfId="0" applyNumberFormat="1" applyFont="1" applyFill="1" applyBorder="1" applyAlignment="1">
      <alignment horizontal="left" vertical="top" wrapText="1"/>
    </xf>
    <xf numFmtId="0" fontId="5" fillId="0" borderId="9" xfId="0" applyFont="1" applyBorder="1" applyAlignment="1">
      <alignment vertical="center" wrapText="1"/>
    </xf>
    <xf numFmtId="4" fontId="3" fillId="4" borderId="2" xfId="0" applyNumberFormat="1" applyFont="1" applyFill="1" applyBorder="1" applyAlignment="1">
      <alignment horizontal="left" vertical="top" wrapText="1"/>
    </xf>
    <xf numFmtId="4" fontId="3" fillId="4" borderId="3" xfId="0" applyNumberFormat="1" applyFont="1" applyFill="1" applyBorder="1" applyAlignment="1">
      <alignment vertical="top" wrapText="1"/>
    </xf>
    <xf numFmtId="4" fontId="3" fillId="0" borderId="2" xfId="0" applyNumberFormat="1" applyFont="1" applyBorder="1" applyAlignment="1">
      <alignment vertical="top" wrapText="1"/>
    </xf>
    <xf numFmtId="0" fontId="0" fillId="0" borderId="2" xfId="0" applyBorder="1"/>
    <xf numFmtId="0" fontId="0" fillId="0" borderId="15" xfId="0" applyBorder="1"/>
    <xf numFmtId="0" fontId="1" fillId="0" borderId="10" xfId="0" applyFont="1" applyBorder="1" applyAlignment="1">
      <alignment horizontal="center" vertical="center"/>
    </xf>
    <xf numFmtId="4" fontId="3" fillId="0" borderId="10" xfId="0" applyNumberFormat="1" applyFont="1" applyBorder="1" applyAlignment="1">
      <alignment horizontal="left" vertical="top" wrapText="1"/>
    </xf>
    <xf numFmtId="2" fontId="3" fillId="4" borderId="3" xfId="0" applyNumberFormat="1" applyFont="1" applyFill="1" applyBorder="1" applyAlignment="1">
      <alignment vertical="top" wrapText="1"/>
    </xf>
    <xf numFmtId="2" fontId="3" fillId="0" borderId="2" xfId="0" applyNumberFormat="1" applyFont="1" applyBorder="1" applyAlignment="1">
      <alignment vertical="top" wrapText="1"/>
    </xf>
    <xf numFmtId="4" fontId="3" fillId="4" borderId="2" xfId="0" applyNumberFormat="1" applyFont="1" applyFill="1" applyBorder="1" applyAlignment="1">
      <alignment vertical="top" wrapText="1"/>
    </xf>
    <xf numFmtId="4" fontId="3" fillId="0" borderId="9" xfId="0" applyNumberFormat="1" applyFont="1" applyBorder="1" applyAlignment="1">
      <alignment vertical="top" wrapText="1"/>
    </xf>
    <xf numFmtId="4" fontId="3" fillId="0" borderId="9" xfId="0" applyNumberFormat="1" applyFont="1" applyBorder="1" applyAlignment="1">
      <alignment vertical="top"/>
    </xf>
    <xf numFmtId="0" fontId="9" fillId="0" borderId="10" xfId="0" applyFont="1" applyBorder="1" applyAlignment="1">
      <alignment horizontal="left" vertical="center" wrapText="1"/>
    </xf>
    <xf numFmtId="0" fontId="2" fillId="0" borderId="15" xfId="0" applyFont="1" applyBorder="1"/>
    <xf numFmtId="4" fontId="17" fillId="7" borderId="6" xfId="0" applyNumberFormat="1" applyFont="1" applyFill="1" applyBorder="1" applyAlignment="1">
      <alignment horizontal="right" vertical="center" wrapText="1"/>
    </xf>
    <xf numFmtId="0" fontId="3" fillId="0" borderId="15" xfId="0" applyFont="1" applyBorder="1"/>
    <xf numFmtId="4" fontId="3" fillId="0" borderId="15" xfId="0" applyNumberFormat="1" applyFont="1" applyBorder="1"/>
    <xf numFmtId="0" fontId="1" fillId="0" borderId="15" xfId="0" applyFont="1" applyBorder="1" applyAlignment="1">
      <alignment horizontal="center"/>
    </xf>
    <xf numFmtId="2" fontId="3" fillId="0" borderId="15" xfId="0" applyNumberFormat="1" applyFont="1" applyBorder="1"/>
    <xf numFmtId="0" fontId="17" fillId="7" borderId="15" xfId="0" applyFont="1" applyFill="1" applyBorder="1" applyAlignment="1">
      <alignment vertical="center"/>
    </xf>
    <xf numFmtId="4" fontId="17" fillId="7" borderId="6" xfId="0" applyNumberFormat="1" applyFont="1" applyFill="1" applyBorder="1" applyAlignment="1">
      <alignment horizontal="right" wrapText="1"/>
    </xf>
    <xf numFmtId="4" fontId="17" fillId="7" borderId="6" xfId="0" applyNumberFormat="1" applyFont="1" applyFill="1" applyBorder="1" applyAlignment="1">
      <alignment horizontal="center" vertical="center" wrapText="1"/>
    </xf>
    <xf numFmtId="4" fontId="17" fillId="7" borderId="6" xfId="0" applyNumberFormat="1" applyFont="1" applyFill="1" applyBorder="1" applyAlignment="1">
      <alignment horizontal="right" vertical="center"/>
    </xf>
    <xf numFmtId="2" fontId="17" fillId="7" borderId="6" xfId="0" applyNumberFormat="1" applyFont="1" applyFill="1" applyBorder="1" applyAlignment="1">
      <alignment horizontal="right" vertical="center" wrapText="1"/>
    </xf>
    <xf numFmtId="4" fontId="17" fillId="7" borderId="17" xfId="0" applyNumberFormat="1" applyFont="1" applyFill="1" applyBorder="1" applyAlignment="1">
      <alignment horizontal="right" wrapText="1"/>
    </xf>
    <xf numFmtId="0" fontId="19" fillId="8" borderId="6" xfId="0" applyFont="1" applyFill="1" applyBorder="1" applyAlignment="1">
      <alignment horizontal="center" vertical="center"/>
    </xf>
    <xf numFmtId="2" fontId="1" fillId="3" borderId="16" xfId="0" applyNumberFormat="1" applyFont="1" applyFill="1" applyBorder="1" applyAlignment="1">
      <alignment horizontal="center"/>
    </xf>
    <xf numFmtId="0" fontId="20" fillId="3" borderId="16" xfId="0" applyFont="1" applyFill="1" applyBorder="1" applyAlignment="1">
      <alignment horizontal="center" wrapText="1"/>
    </xf>
    <xf numFmtId="0" fontId="14" fillId="3" borderId="16" xfId="0" applyFont="1" applyFill="1" applyBorder="1" applyAlignment="1">
      <alignment horizontal="center"/>
    </xf>
    <xf numFmtId="0" fontId="3" fillId="5" borderId="2" xfId="0" applyFont="1" applyFill="1" applyBorder="1" applyAlignment="1">
      <alignment horizontal="left" vertical="top" wrapText="1"/>
    </xf>
    <xf numFmtId="0" fontId="3" fillId="0" borderId="2" xfId="0" applyFont="1" applyBorder="1" applyAlignment="1">
      <alignment horizontal="left" vertical="top" wrapText="1"/>
    </xf>
    <xf numFmtId="4" fontId="3" fillId="4" borderId="3" xfId="0" applyNumberFormat="1" applyFont="1" applyFill="1" applyBorder="1" applyAlignment="1">
      <alignment horizontal="right" vertical="top" wrapText="1"/>
    </xf>
    <xf numFmtId="4" fontId="3" fillId="0" borderId="2" xfId="0" applyNumberFormat="1" applyFont="1" applyBorder="1" applyAlignment="1">
      <alignment horizontal="right" vertical="top" wrapText="1"/>
    </xf>
    <xf numFmtId="0" fontId="21" fillId="9" borderId="2" xfId="0" applyFont="1" applyFill="1" applyBorder="1" applyAlignment="1">
      <alignment wrapText="1" readingOrder="1"/>
    </xf>
    <xf numFmtId="0" fontId="21" fillId="0" borderId="19" xfId="0" applyFont="1" applyBorder="1" applyAlignment="1">
      <alignment wrapText="1" readingOrder="1"/>
    </xf>
    <xf numFmtId="0" fontId="21" fillId="9" borderId="19" xfId="0" applyFont="1" applyFill="1" applyBorder="1" applyAlignment="1">
      <alignment wrapText="1" readingOrder="1"/>
    </xf>
    <xf numFmtId="3" fontId="21" fillId="9" borderId="19" xfId="0" applyNumberFormat="1" applyFont="1" applyFill="1" applyBorder="1" applyAlignment="1">
      <alignment wrapText="1" readingOrder="1"/>
    </xf>
    <xf numFmtId="3" fontId="21" fillId="0" borderId="19" xfId="0" applyNumberFormat="1" applyFont="1" applyBorder="1" applyAlignment="1">
      <alignment wrapText="1" readingOrder="1"/>
    </xf>
    <xf numFmtId="0" fontId="21" fillId="0" borderId="19" xfId="0" applyFont="1" applyBorder="1" applyAlignment="1">
      <alignment horizontal="center" vertical="center" wrapText="1" readingOrder="1"/>
    </xf>
    <xf numFmtId="0" fontId="21" fillId="6" borderId="2" xfId="0" applyFont="1" applyFill="1" applyBorder="1" applyAlignment="1">
      <alignment horizontal="center" vertical="center" wrapText="1" readingOrder="1"/>
    </xf>
    <xf numFmtId="0" fontId="3" fillId="5" borderId="2" xfId="0" applyFont="1" applyFill="1" applyBorder="1" applyAlignment="1">
      <alignment vertical="top" wrapText="1"/>
    </xf>
    <xf numFmtId="0" fontId="3" fillId="0" borderId="2" xfId="0" applyFont="1" applyBorder="1" applyAlignment="1">
      <alignment vertical="top" wrapText="1"/>
    </xf>
    <xf numFmtId="4" fontId="3" fillId="0" borderId="16" xfId="0" applyNumberFormat="1" applyFont="1" applyBorder="1" applyAlignment="1">
      <alignment horizontal="right" vertical="top" wrapText="1"/>
    </xf>
    <xf numFmtId="0" fontId="22" fillId="0" borderId="2" xfId="0" applyFont="1" applyBorder="1" applyAlignment="1">
      <alignment horizontal="left" vertical="center" readingOrder="1"/>
    </xf>
    <xf numFmtId="166" fontId="3" fillId="0" borderId="2" xfId="0" applyNumberFormat="1" applyFont="1" applyBorder="1" applyAlignment="1">
      <alignment vertical="center" wrapText="1"/>
    </xf>
    <xf numFmtId="0" fontId="2" fillId="0" borderId="2" xfId="0" applyFont="1" applyBorder="1"/>
    <xf numFmtId="3" fontId="3" fillId="4" borderId="3" xfId="0" applyNumberFormat="1" applyFont="1" applyFill="1" applyBorder="1" applyAlignment="1">
      <alignment horizontal="right" vertical="center" wrapText="1"/>
    </xf>
    <xf numFmtId="43" fontId="3" fillId="0" borderId="2" xfId="0" applyNumberFormat="1" applyFont="1" applyBorder="1" applyAlignment="1">
      <alignment horizontal="right" vertical="center" wrapText="1"/>
    </xf>
    <xf numFmtId="2" fontId="21" fillId="9" borderId="19" xfId="0" applyNumberFormat="1" applyFont="1" applyFill="1" applyBorder="1" applyAlignment="1">
      <alignment wrapText="1" readingOrder="1"/>
    </xf>
    <xf numFmtId="2" fontId="21" fillId="0" borderId="19" xfId="0" applyNumberFormat="1" applyFont="1" applyBorder="1" applyAlignment="1">
      <alignment wrapText="1" readingOrder="1"/>
    </xf>
    <xf numFmtId="2" fontId="21" fillId="9" borderId="2" xfId="0" applyNumberFormat="1" applyFont="1" applyFill="1" applyBorder="1" applyAlignment="1">
      <alignment wrapText="1" readingOrder="1"/>
    </xf>
    <xf numFmtId="165" fontId="21" fillId="9" borderId="19" xfId="0" applyNumberFormat="1" applyFont="1" applyFill="1" applyBorder="1" applyAlignment="1">
      <alignment wrapText="1" readingOrder="1"/>
    </xf>
    <xf numFmtId="165" fontId="21" fillId="0" borderId="19" xfId="0" applyNumberFormat="1" applyFont="1" applyBorder="1" applyAlignment="1">
      <alignment wrapText="1" readingOrder="1"/>
    </xf>
    <xf numFmtId="0" fontId="3" fillId="0" borderId="10" xfId="0" applyFont="1" applyBorder="1" applyAlignment="1">
      <alignment wrapText="1"/>
    </xf>
    <xf numFmtId="0" fontId="3" fillId="0" borderId="2" xfId="0" applyFont="1" applyBorder="1" applyAlignment="1">
      <alignment horizontal="center" wrapText="1"/>
    </xf>
    <xf numFmtId="0" fontId="0" fillId="0" borderId="2" xfId="0" applyBorder="1" applyAlignment="1">
      <alignment horizontal="center" vertical="center"/>
    </xf>
    <xf numFmtId="0" fontId="23" fillId="0" borderId="2" xfId="0" applyFont="1" applyBorder="1" applyAlignment="1">
      <alignment horizontal="center" vertical="center" wrapText="1" readingOrder="1"/>
    </xf>
    <xf numFmtId="0" fontId="5" fillId="0" borderId="11" xfId="0" applyFont="1" applyBorder="1" applyAlignment="1">
      <alignment vertical="center"/>
    </xf>
    <xf numFmtId="0" fontId="21" fillId="0" borderId="20" xfId="0" applyFont="1" applyBorder="1" applyAlignment="1">
      <alignment wrapText="1" readingOrder="1"/>
    </xf>
    <xf numFmtId="4" fontId="3" fillId="0" borderId="10" xfId="0" applyNumberFormat="1" applyFont="1" applyBorder="1" applyAlignment="1">
      <alignment horizontal="right" vertical="center"/>
    </xf>
    <xf numFmtId="0" fontId="0" fillId="0" borderId="2" xfId="0" applyBorder="1" applyAlignment="1">
      <alignment wrapText="1"/>
    </xf>
    <xf numFmtId="0" fontId="2" fillId="0" borderId="6" xfId="0" applyFont="1" applyBorder="1"/>
    <xf numFmtId="0" fontId="2" fillId="0" borderId="3" xfId="0" applyFont="1" applyBorder="1"/>
    <xf numFmtId="0" fontId="3" fillId="0" borderId="11" xfId="0" applyFont="1" applyBorder="1"/>
    <xf numFmtId="0" fontId="3" fillId="0" borderId="1" xfId="0" applyFont="1" applyBorder="1"/>
    <xf numFmtId="0" fontId="3" fillId="0" borderId="8" xfId="0" applyFont="1" applyBorder="1"/>
    <xf numFmtId="0" fontId="5" fillId="6" borderId="9" xfId="0" applyFont="1" applyFill="1" applyBorder="1" applyAlignment="1">
      <alignment vertical="center" wrapText="1"/>
    </xf>
    <xf numFmtId="0" fontId="3" fillId="0" borderId="1" xfId="0" applyFont="1" applyBorder="1" applyAlignment="1">
      <alignment vertical="center"/>
    </xf>
    <xf numFmtId="0" fontId="5" fillId="0" borderId="1" xfId="0" applyFont="1" applyBorder="1" applyAlignment="1">
      <alignment vertical="center"/>
    </xf>
    <xf numFmtId="0" fontId="3" fillId="0" borderId="1" xfId="0" applyFont="1" applyBorder="1" applyAlignment="1">
      <alignment vertical="center" wrapText="1"/>
    </xf>
    <xf numFmtId="0" fontId="23" fillId="0" borderId="24" xfId="0" applyFont="1" applyBorder="1" applyAlignment="1">
      <alignment readingOrder="1"/>
    </xf>
    <xf numFmtId="0" fontId="23" fillId="0" borderId="25" xfId="0" applyFont="1" applyBorder="1" applyAlignment="1">
      <alignment readingOrder="1"/>
    </xf>
    <xf numFmtId="0" fontId="23" fillId="0" borderId="31" xfId="0" applyFont="1" applyBorder="1" applyAlignment="1">
      <alignment readingOrder="1"/>
    </xf>
    <xf numFmtId="0" fontId="23" fillId="0" borderId="32" xfId="0" applyFont="1" applyBorder="1" applyAlignment="1">
      <alignment readingOrder="1"/>
    </xf>
    <xf numFmtId="0" fontId="21" fillId="9" borderId="19" xfId="0" applyFont="1" applyFill="1" applyBorder="1" applyAlignment="1">
      <alignment readingOrder="1"/>
    </xf>
    <xf numFmtId="0" fontId="22" fillId="9" borderId="37" xfId="0" applyFont="1" applyFill="1" applyBorder="1" applyAlignment="1">
      <alignment readingOrder="1"/>
    </xf>
    <xf numFmtId="0" fontId="21" fillId="9" borderId="37" xfId="0" applyFont="1" applyFill="1" applyBorder="1" applyAlignment="1">
      <alignment readingOrder="1"/>
    </xf>
    <xf numFmtId="0" fontId="21" fillId="9" borderId="37" xfId="0" applyFont="1" applyFill="1" applyBorder="1" applyAlignment="1">
      <alignment wrapText="1" readingOrder="1"/>
    </xf>
    <xf numFmtId="0" fontId="23" fillId="9" borderId="37" xfId="0" applyFont="1" applyFill="1" applyBorder="1" applyAlignment="1">
      <alignment readingOrder="1"/>
    </xf>
    <xf numFmtId="0" fontId="23" fillId="0" borderId="19" xfId="0" applyFont="1" applyBorder="1" applyAlignment="1">
      <alignment readingOrder="1"/>
    </xf>
    <xf numFmtId="0" fontId="22" fillId="0" borderId="37" xfId="0" applyFont="1" applyBorder="1" applyAlignment="1">
      <alignment readingOrder="1"/>
    </xf>
    <xf numFmtId="0" fontId="21" fillId="0" borderId="37" xfId="0" applyFont="1" applyBorder="1" applyAlignment="1">
      <alignment readingOrder="1"/>
    </xf>
    <xf numFmtId="0" fontId="21" fillId="0" borderId="37" xfId="0" applyFont="1" applyBorder="1" applyAlignment="1">
      <alignment wrapText="1" readingOrder="1"/>
    </xf>
    <xf numFmtId="0" fontId="23" fillId="0" borderId="37" xfId="0" applyFont="1" applyBorder="1" applyAlignment="1">
      <alignment readingOrder="1"/>
    </xf>
    <xf numFmtId="0" fontId="23" fillId="0" borderId="33" xfId="0" applyFont="1" applyBorder="1" applyAlignment="1">
      <alignment readingOrder="1"/>
    </xf>
    <xf numFmtId="0" fontId="23" fillId="0" borderId="41" xfId="0" applyFont="1" applyBorder="1" applyAlignment="1">
      <alignment readingOrder="1"/>
    </xf>
    <xf numFmtId="3" fontId="21" fillId="9" borderId="37" xfId="0" applyNumberFormat="1" applyFont="1" applyFill="1" applyBorder="1" applyAlignment="1">
      <alignment wrapText="1" readingOrder="1"/>
    </xf>
    <xf numFmtId="3" fontId="21" fillId="9" borderId="37" xfId="0" applyNumberFormat="1" applyFont="1" applyFill="1" applyBorder="1" applyAlignment="1">
      <alignment readingOrder="1"/>
    </xf>
    <xf numFmtId="3" fontId="21" fillId="0" borderId="37" xfId="0" applyNumberFormat="1" applyFont="1" applyBorder="1" applyAlignment="1">
      <alignment readingOrder="1"/>
    </xf>
    <xf numFmtId="0" fontId="22" fillId="10" borderId="43" xfId="0" applyFont="1" applyFill="1" applyBorder="1" applyAlignment="1">
      <alignment readingOrder="1"/>
    </xf>
    <xf numFmtId="0" fontId="21" fillId="10" borderId="37" xfId="0" applyFont="1" applyFill="1" applyBorder="1" applyAlignment="1">
      <alignment wrapText="1" readingOrder="1"/>
    </xf>
    <xf numFmtId="0" fontId="23" fillId="0" borderId="27" xfId="0" applyFont="1" applyBorder="1" applyAlignment="1">
      <alignment readingOrder="1"/>
    </xf>
    <xf numFmtId="0" fontId="23" fillId="0" borderId="37" xfId="0" applyFont="1" applyBorder="1" applyAlignment="1">
      <alignment wrapText="1" readingOrder="1"/>
    </xf>
    <xf numFmtId="0" fontId="23" fillId="12" borderId="27" xfId="0" applyFont="1" applyFill="1" applyBorder="1" applyAlignment="1">
      <alignment readingOrder="1"/>
    </xf>
    <xf numFmtId="0" fontId="23" fillId="12" borderId="31" xfId="0" applyFont="1" applyFill="1" applyBorder="1" applyAlignment="1">
      <alignment readingOrder="1"/>
    </xf>
    <xf numFmtId="0" fontId="23" fillId="12" borderId="32" xfId="0" applyFont="1" applyFill="1" applyBorder="1" applyAlignment="1">
      <alignment readingOrder="1"/>
    </xf>
    <xf numFmtId="0" fontId="23" fillId="12" borderId="33" xfId="0" applyFont="1" applyFill="1" applyBorder="1" applyAlignment="1">
      <alignment readingOrder="1"/>
    </xf>
    <xf numFmtId="0" fontId="23" fillId="12" borderId="41" xfId="0" applyFont="1" applyFill="1" applyBorder="1" applyAlignment="1">
      <alignment readingOrder="1"/>
    </xf>
    <xf numFmtId="0" fontId="23" fillId="12" borderId="37" xfId="0" applyFont="1" applyFill="1" applyBorder="1" applyAlignment="1">
      <alignment readingOrder="1"/>
    </xf>
    <xf numFmtId="0" fontId="22" fillId="10" borderId="37" xfId="0" applyFont="1" applyFill="1" applyBorder="1" applyAlignment="1">
      <alignment horizontal="center" readingOrder="1"/>
    </xf>
    <xf numFmtId="0" fontId="22" fillId="9" borderId="37" xfId="0" applyFont="1" applyFill="1" applyBorder="1" applyAlignment="1">
      <alignment horizontal="center" readingOrder="1"/>
    </xf>
    <xf numFmtId="0" fontId="22" fillId="0" borderId="37" xfId="0" applyFont="1" applyBorder="1" applyAlignment="1">
      <alignment horizontal="center" readingOrder="1"/>
    </xf>
    <xf numFmtId="0" fontId="23" fillId="0" borderId="41" xfId="0" applyFont="1" applyBorder="1" applyAlignment="1">
      <alignment horizontal="center" readingOrder="1"/>
    </xf>
    <xf numFmtId="0" fontId="23" fillId="0" borderId="32" xfId="0" applyFont="1" applyBorder="1" applyAlignment="1">
      <alignment horizontal="center" readingOrder="1"/>
    </xf>
    <xf numFmtId="0" fontId="23" fillId="0" borderId="31" xfId="0" applyFont="1" applyBorder="1" applyAlignment="1">
      <alignment horizontal="center" readingOrder="1"/>
    </xf>
    <xf numFmtId="0" fontId="23" fillId="12" borderId="31" xfId="0" applyFont="1" applyFill="1" applyBorder="1" applyAlignment="1">
      <alignment horizontal="center" readingOrder="1"/>
    </xf>
    <xf numFmtId="0" fontId="23" fillId="12" borderId="41" xfId="0" applyFont="1" applyFill="1" applyBorder="1" applyAlignment="1">
      <alignment horizontal="center" readingOrder="1"/>
    </xf>
    <xf numFmtId="0" fontId="0" fillId="0" borderId="0" xfId="0" applyAlignment="1">
      <alignment horizontal="center"/>
    </xf>
    <xf numFmtId="0" fontId="22" fillId="10" borderId="19" xfId="0" applyFont="1" applyFill="1" applyBorder="1" applyAlignment="1">
      <alignment horizontal="center" readingOrder="1"/>
    </xf>
    <xf numFmtId="0" fontId="22" fillId="10" borderId="37" xfId="0" applyFont="1" applyFill="1" applyBorder="1" applyAlignment="1">
      <alignment horizontal="center" wrapText="1" readingOrder="1"/>
    </xf>
    <xf numFmtId="0" fontId="21" fillId="10" borderId="37" xfId="0" applyFont="1" applyFill="1" applyBorder="1" applyAlignment="1">
      <alignment readingOrder="1"/>
    </xf>
    <xf numFmtId="0" fontId="21" fillId="9" borderId="19" xfId="0" applyFont="1" applyFill="1" applyBorder="1" applyAlignment="1">
      <alignment horizontal="center" readingOrder="1"/>
    </xf>
    <xf numFmtId="0" fontId="21" fillId="9" borderId="37" xfId="0" applyFont="1" applyFill="1" applyBorder="1" applyAlignment="1">
      <alignment horizontal="center" wrapText="1" readingOrder="1"/>
    </xf>
    <xf numFmtId="0" fontId="21" fillId="9" borderId="37" xfId="0" applyFont="1" applyFill="1" applyBorder="1" applyAlignment="1">
      <alignment horizontal="center" readingOrder="1"/>
    </xf>
    <xf numFmtId="0" fontId="23" fillId="0" borderId="19" xfId="0" applyFont="1" applyBorder="1" applyAlignment="1">
      <alignment horizontal="center" readingOrder="1"/>
    </xf>
    <xf numFmtId="0" fontId="21" fillId="0" borderId="37" xfId="0" applyFont="1" applyBorder="1" applyAlignment="1">
      <alignment horizontal="center" wrapText="1" readingOrder="1"/>
    </xf>
    <xf numFmtId="0" fontId="21" fillId="0" borderId="37" xfId="0" applyFont="1" applyBorder="1" applyAlignment="1">
      <alignment horizontal="center" readingOrder="1"/>
    </xf>
    <xf numFmtId="0" fontId="21" fillId="9" borderId="37" xfId="0" applyFont="1" applyFill="1" applyBorder="1" applyAlignment="1">
      <alignment vertical="center" wrapText="1" readingOrder="1"/>
    </xf>
    <xf numFmtId="0" fontId="21" fillId="0" borderId="37" xfId="0" applyFont="1" applyBorder="1" applyAlignment="1">
      <alignment vertical="center" wrapText="1" readingOrder="1"/>
    </xf>
    <xf numFmtId="0" fontId="23" fillId="0" borderId="41" xfId="0" applyFont="1" applyBorder="1" applyAlignment="1">
      <alignment vertical="center" readingOrder="1"/>
    </xf>
    <xf numFmtId="0" fontId="23" fillId="0" borderId="37" xfId="0" applyFont="1" applyBorder="1" applyAlignment="1">
      <alignment vertical="center" readingOrder="1"/>
    </xf>
    <xf numFmtId="0" fontId="22" fillId="0" borderId="37" xfId="0" applyFont="1" applyBorder="1" applyAlignment="1">
      <alignment vertical="center" readingOrder="1"/>
    </xf>
    <xf numFmtId="0" fontId="21" fillId="0" borderId="37" xfId="0" applyFont="1" applyBorder="1" applyAlignment="1">
      <alignment vertical="center" readingOrder="1"/>
    </xf>
    <xf numFmtId="0" fontId="23" fillId="0" borderId="31" xfId="0" applyFont="1" applyBorder="1" applyAlignment="1">
      <alignment vertical="center" readingOrder="1"/>
    </xf>
    <xf numFmtId="0" fontId="22" fillId="10" borderId="37" xfId="0" applyFont="1" applyFill="1" applyBorder="1" applyAlignment="1">
      <alignment horizontal="center" vertical="center" readingOrder="1"/>
    </xf>
    <xf numFmtId="0" fontId="21" fillId="13" borderId="37" xfId="0" applyFont="1" applyFill="1" applyBorder="1" applyAlignment="1">
      <alignment readingOrder="1"/>
    </xf>
    <xf numFmtId="0" fontId="23" fillId="0" borderId="41" xfId="0" applyFont="1" applyBorder="1" applyAlignment="1">
      <alignment wrapText="1" readingOrder="1"/>
    </xf>
    <xf numFmtId="0" fontId="22" fillId="0" borderId="37" xfId="0" applyFont="1" applyBorder="1" applyAlignment="1">
      <alignment wrapText="1" readingOrder="1"/>
    </xf>
    <xf numFmtId="0" fontId="0" fillId="0" borderId="0" xfId="0" applyAlignment="1">
      <alignment wrapText="1"/>
    </xf>
    <xf numFmtId="0" fontId="23" fillId="0" borderId="24" xfId="0" applyFont="1" applyBorder="1" applyAlignment="1">
      <alignment horizontal="center" vertical="center" readingOrder="1"/>
    </xf>
    <xf numFmtId="0" fontId="23" fillId="0" borderId="25" xfId="0" applyFont="1" applyBorder="1" applyAlignment="1">
      <alignment horizontal="center" vertical="center" readingOrder="1"/>
    </xf>
    <xf numFmtId="0" fontId="0" fillId="0" borderId="0" xfId="0" applyAlignment="1">
      <alignment horizontal="center" vertical="center"/>
    </xf>
    <xf numFmtId="0" fontId="23" fillId="0" borderId="31" xfId="0" applyFont="1" applyBorder="1" applyAlignment="1">
      <alignment horizontal="center" vertical="center" readingOrder="1"/>
    </xf>
    <xf numFmtId="0" fontId="23" fillId="0" borderId="32" xfId="0" applyFont="1" applyBorder="1" applyAlignment="1">
      <alignment horizontal="center" vertical="center" readingOrder="1"/>
    </xf>
    <xf numFmtId="0" fontId="22" fillId="10" borderId="19" xfId="0" applyFont="1" applyFill="1" applyBorder="1" applyAlignment="1">
      <alignment horizontal="center" vertical="center" readingOrder="1"/>
    </xf>
    <xf numFmtId="0" fontId="22" fillId="10" borderId="37" xfId="0" applyFont="1" applyFill="1" applyBorder="1" applyAlignment="1">
      <alignment horizontal="center" vertical="center" wrapText="1" readingOrder="1"/>
    </xf>
    <xf numFmtId="0" fontId="21" fillId="9" borderId="37" xfId="0" applyFont="1" applyFill="1" applyBorder="1" applyAlignment="1">
      <alignment vertical="top" wrapText="1" readingOrder="1"/>
    </xf>
    <xf numFmtId="0" fontId="21" fillId="0" borderId="37" xfId="0" applyFont="1" applyBorder="1" applyAlignment="1">
      <alignment vertical="top" wrapText="1" readingOrder="1"/>
    </xf>
    <xf numFmtId="0" fontId="23" fillId="0" borderId="41" xfId="0" applyFont="1" applyBorder="1" applyAlignment="1">
      <alignment vertical="top" wrapText="1" readingOrder="1"/>
    </xf>
    <xf numFmtId="0" fontId="23" fillId="0" borderId="37" xfId="0" applyFont="1" applyBorder="1" applyAlignment="1">
      <alignment vertical="top" wrapText="1" readingOrder="1"/>
    </xf>
    <xf numFmtId="0" fontId="22" fillId="0" borderId="37" xfId="0" applyFont="1" applyBorder="1" applyAlignment="1">
      <alignment vertical="top" wrapText="1" readingOrder="1"/>
    </xf>
    <xf numFmtId="0" fontId="23" fillId="0" borderId="31" xfId="0" applyFont="1" applyBorder="1" applyAlignment="1">
      <alignment vertical="top" wrapText="1" readingOrder="1"/>
    </xf>
    <xf numFmtId="0" fontId="0" fillId="0" borderId="0" xfId="0" applyAlignment="1">
      <alignment vertical="top" wrapText="1"/>
    </xf>
    <xf numFmtId="0" fontId="22" fillId="14" borderId="37" xfId="0" applyFont="1" applyFill="1" applyBorder="1" applyAlignment="1">
      <alignment readingOrder="1"/>
    </xf>
    <xf numFmtId="0" fontId="23" fillId="0" borderId="24" xfId="0" applyFont="1" applyBorder="1" applyAlignment="1">
      <alignment horizontal="center" vertical="top" readingOrder="1"/>
    </xf>
    <xf numFmtId="0" fontId="23" fillId="0" borderId="25" xfId="0" applyFont="1" applyBorder="1" applyAlignment="1">
      <alignment horizontal="center" vertical="top" readingOrder="1"/>
    </xf>
    <xf numFmtId="0" fontId="0" fillId="0" borderId="0" xfId="0" applyAlignment="1">
      <alignment horizontal="center" vertical="top"/>
    </xf>
    <xf numFmtId="0" fontId="23" fillId="0" borderId="31" xfId="0" applyFont="1" applyBorder="1" applyAlignment="1">
      <alignment horizontal="center" vertical="top" readingOrder="1"/>
    </xf>
    <xf numFmtId="0" fontId="23" fillId="0" borderId="32" xfId="0" applyFont="1" applyBorder="1" applyAlignment="1">
      <alignment horizontal="center" vertical="top" readingOrder="1"/>
    </xf>
    <xf numFmtId="0" fontId="22" fillId="10" borderId="19" xfId="0" applyFont="1" applyFill="1" applyBorder="1" applyAlignment="1">
      <alignment horizontal="center" vertical="top" readingOrder="1"/>
    </xf>
    <xf numFmtId="0" fontId="22" fillId="10" borderId="37" xfId="0" applyFont="1" applyFill="1" applyBorder="1" applyAlignment="1">
      <alignment horizontal="center" vertical="top" readingOrder="1"/>
    </xf>
    <xf numFmtId="0" fontId="23" fillId="0" borderId="41" xfId="0" applyFont="1" applyBorder="1" applyAlignment="1">
      <alignment vertical="top" readingOrder="1"/>
    </xf>
    <xf numFmtId="0" fontId="23" fillId="0" borderId="32" xfId="0" applyFont="1" applyBorder="1" applyAlignment="1">
      <alignment vertical="top" readingOrder="1"/>
    </xf>
    <xf numFmtId="0" fontId="23" fillId="0" borderId="31" xfId="0" applyFont="1" applyBorder="1" applyAlignment="1">
      <alignment vertical="top" readingOrder="1"/>
    </xf>
    <xf numFmtId="0" fontId="0" fillId="0" borderId="0" xfId="0" applyAlignment="1">
      <alignment vertical="top"/>
    </xf>
    <xf numFmtId="0" fontId="21" fillId="9" borderId="19" xfId="0" applyFont="1" applyFill="1" applyBorder="1" applyAlignment="1">
      <alignment horizontal="center" vertical="top" readingOrder="1"/>
    </xf>
    <xf numFmtId="0" fontId="21" fillId="9" borderId="37" xfId="0" applyFont="1" applyFill="1" applyBorder="1" applyAlignment="1">
      <alignment horizontal="center" vertical="top" readingOrder="1"/>
    </xf>
    <xf numFmtId="0" fontId="23" fillId="0" borderId="19" xfId="0" applyFont="1" applyBorder="1" applyAlignment="1">
      <alignment horizontal="center" vertical="top" readingOrder="1"/>
    </xf>
    <xf numFmtId="0" fontId="21" fillId="0" borderId="37" xfId="0" applyFont="1" applyBorder="1" applyAlignment="1">
      <alignment horizontal="center" vertical="top" readingOrder="1"/>
    </xf>
    <xf numFmtId="0" fontId="22" fillId="9" borderId="37" xfId="0" applyFont="1" applyFill="1" applyBorder="1" applyAlignment="1">
      <alignment horizontal="center" vertical="center" readingOrder="1"/>
    </xf>
    <xf numFmtId="0" fontId="21" fillId="9" borderId="37" xfId="0" applyFont="1" applyFill="1" applyBorder="1" applyAlignment="1">
      <alignment horizontal="center" vertical="center" wrapText="1" readingOrder="1"/>
    </xf>
    <xf numFmtId="0" fontId="22" fillId="14" borderId="37" xfId="0" applyFont="1" applyFill="1" applyBorder="1" applyAlignment="1">
      <alignment horizontal="center" vertical="center" readingOrder="1"/>
    </xf>
    <xf numFmtId="0" fontId="21" fillId="0" borderId="37" xfId="0" applyFont="1" applyBorder="1" applyAlignment="1">
      <alignment horizontal="center" vertical="center" wrapText="1" readingOrder="1"/>
    </xf>
    <xf numFmtId="0" fontId="0" fillId="0" borderId="0" xfId="0" applyAlignment="1">
      <alignment vertical="center" wrapText="1"/>
    </xf>
    <xf numFmtId="0" fontId="23" fillId="0" borderId="2" xfId="0" applyFont="1" applyBorder="1" applyAlignment="1">
      <alignment readingOrder="1"/>
    </xf>
    <xf numFmtId="0" fontId="22" fillId="9" borderId="57" xfId="0" applyFont="1" applyFill="1" applyBorder="1" applyAlignment="1">
      <alignment readingOrder="1"/>
    </xf>
    <xf numFmtId="0" fontId="21" fillId="9" borderId="57" xfId="0" applyFont="1" applyFill="1" applyBorder="1" applyAlignment="1">
      <alignment readingOrder="1"/>
    </xf>
    <xf numFmtId="0" fontId="21" fillId="9" borderId="57" xfId="0" applyFont="1" applyFill="1" applyBorder="1" applyAlignment="1">
      <alignment wrapText="1" readingOrder="1"/>
    </xf>
    <xf numFmtId="0" fontId="22" fillId="14" borderId="37" xfId="0" applyFont="1" applyFill="1" applyBorder="1" applyAlignment="1">
      <alignment wrapText="1" readingOrder="1"/>
    </xf>
    <xf numFmtId="0" fontId="23" fillId="14" borderId="32" xfId="0" applyFont="1" applyFill="1" applyBorder="1" applyAlignment="1">
      <alignment readingOrder="1"/>
    </xf>
    <xf numFmtId="0" fontId="23" fillId="0" borderId="31" xfId="0" applyFont="1" applyBorder="1" applyAlignment="1">
      <alignment vertical="center" wrapText="1" readingOrder="1"/>
    </xf>
    <xf numFmtId="0" fontId="21" fillId="9" borderId="19" xfId="0" applyFont="1" applyFill="1" applyBorder="1" applyAlignment="1">
      <alignment horizontal="center" vertical="center" readingOrder="1"/>
    </xf>
    <xf numFmtId="0" fontId="21" fillId="9" borderId="37" xfId="0" applyFont="1" applyFill="1" applyBorder="1" applyAlignment="1">
      <alignment horizontal="center" vertical="center" readingOrder="1"/>
    </xf>
    <xf numFmtId="0" fontId="23" fillId="0" borderId="19" xfId="0" applyFont="1" applyBorder="1" applyAlignment="1">
      <alignment horizontal="center" vertical="center" readingOrder="1"/>
    </xf>
    <xf numFmtId="0" fontId="22" fillId="0" borderId="37" xfId="0" applyFont="1" applyBorder="1" applyAlignment="1">
      <alignment horizontal="center" vertical="center" readingOrder="1"/>
    </xf>
    <xf numFmtId="0" fontId="21" fillId="0" borderId="37" xfId="0" applyFont="1" applyBorder="1" applyAlignment="1">
      <alignment horizontal="center" vertical="center" readingOrder="1"/>
    </xf>
    <xf numFmtId="0" fontId="23" fillId="0" borderId="24" xfId="0" applyFont="1" applyBorder="1" applyAlignment="1">
      <alignment horizontal="center" vertical="center" wrapText="1" readingOrder="1"/>
    </xf>
    <xf numFmtId="0" fontId="23" fillId="0" borderId="25" xfId="0" applyFont="1" applyBorder="1" applyAlignment="1">
      <alignment horizontal="center" vertical="center" wrapText="1" readingOrder="1"/>
    </xf>
    <xf numFmtId="0" fontId="0" fillId="0" borderId="0" xfId="0" applyAlignment="1">
      <alignment horizontal="center" vertical="center" wrapText="1"/>
    </xf>
    <xf numFmtId="0" fontId="23" fillId="0" borderId="31" xfId="0" applyFont="1" applyBorder="1" applyAlignment="1">
      <alignment horizontal="center" vertical="center" wrapText="1" readingOrder="1"/>
    </xf>
    <xf numFmtId="0" fontId="23" fillId="0" borderId="32" xfId="0" applyFont="1" applyBorder="1" applyAlignment="1">
      <alignment horizontal="center" vertical="center" wrapText="1" readingOrder="1"/>
    </xf>
    <xf numFmtId="0" fontId="21" fillId="13" borderId="19" xfId="0" applyFont="1" applyFill="1" applyBorder="1" applyAlignment="1">
      <alignment horizontal="center" vertical="center" wrapText="1" readingOrder="1"/>
    </xf>
    <xf numFmtId="0" fontId="22" fillId="13" borderId="37" xfId="0" applyFont="1" applyFill="1" applyBorder="1" applyAlignment="1">
      <alignment horizontal="center" vertical="center" wrapText="1" readingOrder="1"/>
    </xf>
    <xf numFmtId="0" fontId="21" fillId="13" borderId="37" xfId="0" applyFont="1" applyFill="1" applyBorder="1" applyAlignment="1">
      <alignment horizontal="center" vertical="center" wrapText="1" readingOrder="1"/>
    </xf>
    <xf numFmtId="0" fontId="23" fillId="0" borderId="19" xfId="0" applyFont="1" applyBorder="1" applyAlignment="1">
      <alignment horizontal="center" vertical="center" wrapText="1" readingOrder="1"/>
    </xf>
    <xf numFmtId="0" fontId="22" fillId="0" borderId="37" xfId="0" applyFont="1" applyBorder="1" applyAlignment="1">
      <alignment horizontal="center" vertical="center" wrapText="1" readingOrder="1"/>
    </xf>
    <xf numFmtId="0" fontId="23" fillId="0" borderId="37" xfId="0" applyFont="1" applyBorder="1" applyAlignment="1">
      <alignment horizontal="center" vertical="center" wrapText="1" readingOrder="1"/>
    </xf>
    <xf numFmtId="0" fontId="21" fillId="14" borderId="37" xfId="0" applyFont="1" applyFill="1" applyBorder="1" applyAlignment="1">
      <alignment horizontal="center" vertical="center" wrapText="1" readingOrder="1"/>
    </xf>
    <xf numFmtId="0" fontId="23" fillId="0" borderId="27" xfId="0" applyFont="1" applyBorder="1" applyAlignment="1">
      <alignment horizontal="center" vertical="center" wrapText="1" readingOrder="1"/>
    </xf>
    <xf numFmtId="0" fontId="23" fillId="0" borderId="33" xfId="0" applyFont="1" applyBorder="1" applyAlignment="1">
      <alignment horizontal="center" vertical="center" wrapText="1" readingOrder="1"/>
    </xf>
    <xf numFmtId="0" fontId="23" fillId="0" borderId="41" xfId="0" applyFont="1" applyBorder="1" applyAlignment="1">
      <alignment horizontal="center" vertical="center" wrapText="1" readingOrder="1"/>
    </xf>
    <xf numFmtId="0" fontId="3" fillId="4" borderId="1" xfId="0" applyFont="1" applyFill="1" applyBorder="1" applyAlignment="1">
      <alignment horizontal="left"/>
    </xf>
    <xf numFmtId="0" fontId="3" fillId="0" borderId="9" xfId="0" applyFont="1" applyBorder="1" applyAlignment="1">
      <alignment horizontal="center" vertical="center"/>
    </xf>
    <xf numFmtId="0" fontId="1" fillId="4" borderId="16" xfId="0" applyFont="1" applyFill="1" applyBorder="1" applyAlignment="1">
      <alignment horizontal="center" vertical="center"/>
    </xf>
    <xf numFmtId="0" fontId="1" fillId="0" borderId="5" xfId="0" applyFont="1" applyBorder="1" applyAlignment="1">
      <alignment horizontal="center" vertical="center"/>
    </xf>
    <xf numFmtId="0" fontId="1" fillId="0" borderId="17" xfId="0" applyFont="1" applyBorder="1" applyAlignment="1">
      <alignment horizontal="center" vertical="center"/>
    </xf>
    <xf numFmtId="0" fontId="1" fillId="3" borderId="10" xfId="0" applyFont="1" applyFill="1" applyBorder="1" applyAlignment="1">
      <alignment horizontal="center" vertical="center"/>
    </xf>
    <xf numFmtId="0" fontId="8" fillId="3" borderId="16" xfId="0" applyFont="1" applyFill="1" applyBorder="1" applyAlignment="1">
      <alignment horizontal="center" vertical="center"/>
    </xf>
    <xf numFmtId="4" fontId="1" fillId="0" borderId="17" xfId="0" applyNumberFormat="1" applyFont="1" applyBorder="1" applyAlignment="1">
      <alignment horizontal="center" vertical="center" wrapText="1"/>
    </xf>
    <xf numFmtId="0" fontId="7" fillId="0" borderId="0" xfId="0" applyFont="1" applyAlignment="1">
      <alignment vertical="center"/>
    </xf>
    <xf numFmtId="0" fontId="3" fillId="15" borderId="16" xfId="0" applyFont="1" applyFill="1" applyBorder="1"/>
    <xf numFmtId="0" fontId="3" fillId="6" borderId="16" xfId="0" applyFont="1" applyFill="1" applyBorder="1"/>
    <xf numFmtId="4" fontId="3" fillId="6" borderId="16" xfId="0" applyNumberFormat="1" applyFont="1" applyFill="1" applyBorder="1" applyAlignment="1">
      <alignment horizontal="right"/>
    </xf>
    <xf numFmtId="3" fontId="3" fillId="6" borderId="16" xfId="0" applyNumberFormat="1" applyFont="1" applyFill="1" applyBorder="1" applyAlignment="1">
      <alignment horizontal="right" wrapText="1"/>
    </xf>
    <xf numFmtId="3" fontId="3" fillId="6" borderId="16" xfId="0" applyNumberFormat="1" applyFont="1" applyFill="1" applyBorder="1" applyAlignment="1">
      <alignment horizontal="right"/>
    </xf>
    <xf numFmtId="166" fontId="3" fillId="6" borderId="16" xfId="0" applyNumberFormat="1" applyFont="1" applyFill="1" applyBorder="1" applyAlignment="1">
      <alignment horizontal="right"/>
    </xf>
    <xf numFmtId="4" fontId="3" fillId="6" borderId="16" xfId="0" applyNumberFormat="1" applyFont="1" applyFill="1" applyBorder="1" applyAlignment="1">
      <alignment horizontal="left" wrapText="1"/>
    </xf>
    <xf numFmtId="4" fontId="3" fillId="6" borderId="16" xfId="0" applyNumberFormat="1" applyFont="1" applyFill="1" applyBorder="1" applyAlignment="1">
      <alignment horizontal="right" wrapText="1"/>
    </xf>
    <xf numFmtId="4" fontId="3" fillId="6" borderId="16" xfId="0" applyNumberFormat="1" applyFont="1" applyFill="1" applyBorder="1" applyAlignment="1">
      <alignment horizontal="right" vertical="top" wrapText="1"/>
    </xf>
    <xf numFmtId="0" fontId="7" fillId="0" borderId="2" xfId="0" applyFont="1" applyBorder="1"/>
    <xf numFmtId="4" fontId="3" fillId="0" borderId="17" xfId="0" applyNumberFormat="1" applyFont="1" applyBorder="1" applyAlignment="1">
      <alignment horizontal="right"/>
    </xf>
    <xf numFmtId="0" fontId="7" fillId="0" borderId="15" xfId="0" applyFont="1" applyBorder="1"/>
    <xf numFmtId="0" fontId="7" fillId="6" borderId="2" xfId="0" applyFont="1" applyFill="1" applyBorder="1"/>
    <xf numFmtId="0" fontId="0" fillId="6" borderId="2" xfId="0" applyFill="1" applyBorder="1"/>
    <xf numFmtId="4" fontId="3" fillId="0" borderId="2" xfId="0" applyNumberFormat="1" applyFont="1" applyBorder="1" applyAlignment="1">
      <alignment horizontal="left" wrapText="1"/>
    </xf>
    <xf numFmtId="43" fontId="3" fillId="0" borderId="2" xfId="0" applyNumberFormat="1" applyFont="1" applyBorder="1"/>
    <xf numFmtId="165" fontId="21" fillId="9" borderId="2" xfId="0" applyNumberFormat="1" applyFont="1" applyFill="1" applyBorder="1" applyAlignment="1">
      <alignment wrapText="1" readingOrder="1"/>
    </xf>
    <xf numFmtId="0" fontId="1" fillId="17" borderId="12" xfId="0" applyFont="1" applyFill="1" applyBorder="1" applyAlignment="1">
      <alignment horizontal="center" vertical="center"/>
    </xf>
    <xf numFmtId="0" fontId="0" fillId="0" borderId="10" xfId="0" applyBorder="1"/>
    <xf numFmtId="0" fontId="0" fillId="0" borderId="10" xfId="0" applyBorder="1" applyAlignment="1">
      <alignment horizontal="center" vertical="center"/>
    </xf>
    <xf numFmtId="0" fontId="23" fillId="0" borderId="10" xfId="0" applyFont="1" applyBorder="1" applyAlignment="1">
      <alignment horizontal="center" vertical="center" wrapText="1" readingOrder="1"/>
    </xf>
    <xf numFmtId="0" fontId="0" fillId="0" borderId="10" xfId="0" applyBorder="1" applyAlignment="1">
      <alignment wrapText="1"/>
    </xf>
    <xf numFmtId="0" fontId="23" fillId="0" borderId="44" xfId="0" applyFont="1" applyBorder="1" applyAlignment="1">
      <alignment readingOrder="1"/>
    </xf>
    <xf numFmtId="0" fontId="23" fillId="0" borderId="26" xfId="0" applyFont="1" applyBorder="1" applyAlignment="1">
      <alignment readingOrder="1"/>
    </xf>
    <xf numFmtId="0" fontId="23" fillId="0" borderId="46" xfId="0" applyFont="1" applyBorder="1" applyAlignment="1">
      <alignment readingOrder="1"/>
    </xf>
    <xf numFmtId="0" fontId="23" fillId="0" borderId="1" xfId="0" applyFont="1" applyBorder="1" applyAlignment="1">
      <alignment readingOrder="1"/>
    </xf>
    <xf numFmtId="0" fontId="23" fillId="0" borderId="14" xfId="0" applyFont="1" applyBorder="1" applyAlignment="1">
      <alignment readingOrder="1"/>
    </xf>
    <xf numFmtId="0" fontId="23" fillId="0" borderId="16" xfId="0" applyFont="1" applyBorder="1" applyAlignment="1">
      <alignment readingOrder="1"/>
    </xf>
    <xf numFmtId="0" fontId="22" fillId="0" borderId="38" xfId="0" applyFont="1" applyBorder="1" applyAlignment="1">
      <alignment wrapText="1" readingOrder="1"/>
    </xf>
    <xf numFmtId="0" fontId="22" fillId="0" borderId="39" xfId="0" applyFont="1" applyBorder="1" applyAlignment="1">
      <alignment wrapText="1" readingOrder="1"/>
    </xf>
    <xf numFmtId="0" fontId="22" fillId="0" borderId="40" xfId="0" applyFont="1" applyBorder="1" applyAlignment="1">
      <alignment wrapText="1" readingOrder="1"/>
    </xf>
    <xf numFmtId="2" fontId="1" fillId="10" borderId="2" xfId="0" applyNumberFormat="1" applyFont="1" applyFill="1" applyBorder="1" applyAlignment="1">
      <alignment horizontal="center" vertical="center"/>
    </xf>
    <xf numFmtId="0" fontId="1" fillId="10" borderId="2" xfId="0" applyFont="1" applyFill="1" applyBorder="1" applyAlignment="1">
      <alignment horizontal="center" vertical="center"/>
    </xf>
    <xf numFmtId="0" fontId="3" fillId="0" borderId="9" xfId="0" applyFont="1" applyBorder="1" applyAlignment="1">
      <alignment horizontal="center"/>
    </xf>
    <xf numFmtId="0" fontId="3" fillId="0" borderId="10" xfId="0" applyFont="1" applyBorder="1" applyAlignment="1">
      <alignment horizontal="center" wrapText="1"/>
    </xf>
    <xf numFmtId="0" fontId="21" fillId="6" borderId="37" xfId="0" applyFont="1" applyFill="1" applyBorder="1" applyAlignment="1">
      <alignment wrapText="1" readingOrder="1"/>
    </xf>
    <xf numFmtId="0" fontId="21" fillId="6" borderId="37" xfId="0" applyFont="1" applyFill="1" applyBorder="1" applyAlignment="1">
      <alignment readingOrder="1"/>
    </xf>
    <xf numFmtId="0" fontId="23" fillId="6" borderId="37" xfId="0" applyFont="1" applyFill="1" applyBorder="1" applyAlignment="1">
      <alignment readingOrder="1"/>
    </xf>
    <xf numFmtId="0" fontId="2" fillId="0" borderId="14" xfId="0" applyFont="1" applyBorder="1"/>
    <xf numFmtId="0" fontId="2" fillId="0" borderId="16" xfId="0" applyFont="1" applyBorder="1"/>
    <xf numFmtId="0" fontId="2" fillId="0" borderId="4" xfId="0" applyFont="1" applyBorder="1"/>
    <xf numFmtId="0" fontId="2" fillId="0" borderId="5" xfId="0" applyFont="1" applyBorder="1"/>
    <xf numFmtId="0" fontId="2" fillId="0" borderId="12" xfId="0" applyFont="1" applyBorder="1"/>
    <xf numFmtId="0" fontId="2" fillId="0" borderId="7" xfId="0" applyFont="1" applyBorder="1"/>
    <xf numFmtId="0" fontId="2" fillId="0" borderId="8" xfId="0" applyFont="1" applyBorder="1"/>
    <xf numFmtId="0" fontId="2" fillId="0" borderId="17" xfId="0" applyFont="1" applyBorder="1"/>
    <xf numFmtId="0" fontId="2" fillId="0" borderId="1" xfId="0" applyFont="1" applyBorder="1"/>
    <xf numFmtId="0" fontId="1" fillId="0" borderId="15" xfId="0" applyFont="1" applyBorder="1"/>
    <xf numFmtId="0" fontId="3" fillId="0" borderId="17" xfId="0" applyFont="1" applyBorder="1" applyAlignment="1">
      <alignment wrapText="1"/>
    </xf>
    <xf numFmtId="0" fontId="1" fillId="10" borderId="3" xfId="0" applyFont="1" applyFill="1" applyBorder="1" applyAlignment="1">
      <alignment horizontal="center" vertical="center"/>
    </xf>
    <xf numFmtId="0" fontId="3" fillId="0" borderId="2" xfId="0" applyFont="1" applyBorder="1" applyAlignment="1">
      <alignment horizontal="center"/>
    </xf>
    <xf numFmtId="0" fontId="22" fillId="11" borderId="22" xfId="0" applyFont="1" applyFill="1" applyBorder="1" applyAlignment="1">
      <alignment readingOrder="1"/>
    </xf>
    <xf numFmtId="0" fontId="22" fillId="11" borderId="29" xfId="0" applyFont="1" applyFill="1" applyBorder="1" applyAlignment="1">
      <alignment readingOrder="1"/>
    </xf>
    <xf numFmtId="0" fontId="22" fillId="11" borderId="35" xfId="0" applyFont="1" applyFill="1" applyBorder="1" applyAlignment="1">
      <alignment readingOrder="1"/>
    </xf>
    <xf numFmtId="0" fontId="22" fillId="0" borderId="35" xfId="0" applyFont="1" applyBorder="1" applyAlignment="1">
      <alignment readingOrder="1"/>
    </xf>
    <xf numFmtId="165" fontId="23" fillId="9" borderId="37" xfId="0" applyNumberFormat="1" applyFont="1" applyFill="1" applyBorder="1" applyAlignment="1">
      <alignment readingOrder="1"/>
    </xf>
    <xf numFmtId="165" fontId="23" fillId="0" borderId="37" xfId="0" applyNumberFormat="1" applyFont="1" applyBorder="1" applyAlignment="1">
      <alignment readingOrder="1"/>
    </xf>
    <xf numFmtId="2" fontId="1" fillId="10" borderId="3" xfId="0" applyNumberFormat="1" applyFont="1" applyFill="1" applyBorder="1" applyAlignment="1">
      <alignment horizontal="center" vertical="center"/>
    </xf>
    <xf numFmtId="0" fontId="22" fillId="11" borderId="22" xfId="0" applyFont="1" applyFill="1" applyBorder="1" applyAlignment="1">
      <alignment vertical="top" readingOrder="1"/>
    </xf>
    <xf numFmtId="0" fontId="22" fillId="11" borderId="29" xfId="0" applyFont="1" applyFill="1" applyBorder="1" applyAlignment="1">
      <alignment vertical="top" readingOrder="1"/>
    </xf>
    <xf numFmtId="0" fontId="22" fillId="11" borderId="35" xfId="0" applyFont="1" applyFill="1" applyBorder="1" applyAlignment="1">
      <alignment vertical="top" readingOrder="1"/>
    </xf>
    <xf numFmtId="0" fontId="22" fillId="0" borderId="35" xfId="0" applyFont="1" applyBorder="1" applyAlignment="1">
      <alignment vertical="top" readingOrder="1"/>
    </xf>
    <xf numFmtId="2" fontId="21" fillId="9" borderId="37" xfId="0" applyNumberFormat="1" applyFont="1" applyFill="1" applyBorder="1" applyAlignment="1">
      <alignment horizontal="center" vertical="top" readingOrder="1"/>
    </xf>
    <xf numFmtId="2" fontId="21" fillId="0" borderId="37" xfId="0" applyNumberFormat="1" applyFont="1" applyBorder="1" applyAlignment="1">
      <alignment horizontal="center" vertical="top" readingOrder="1"/>
    </xf>
    <xf numFmtId="2" fontId="21" fillId="0" borderId="37" xfId="0" applyNumberFormat="1" applyFont="1" applyBorder="1" applyAlignment="1">
      <alignment wrapText="1" readingOrder="1"/>
    </xf>
    <xf numFmtId="2" fontId="21" fillId="9" borderId="37" xfId="0" applyNumberFormat="1" applyFont="1" applyFill="1" applyBorder="1" applyAlignment="1">
      <alignment wrapText="1" readingOrder="1"/>
    </xf>
    <xf numFmtId="0" fontId="3" fillId="0" borderId="8" xfId="0" applyFont="1" applyBorder="1" applyAlignment="1">
      <alignment vertical="center"/>
    </xf>
    <xf numFmtId="4" fontId="3" fillId="4" borderId="16" xfId="0" applyNumberFormat="1" applyFont="1" applyFill="1" applyBorder="1" applyAlignment="1">
      <alignment horizontal="right" vertical="center"/>
    </xf>
    <xf numFmtId="4" fontId="3" fillId="0" borderId="5" xfId="0" applyNumberFormat="1" applyFont="1" applyBorder="1" applyAlignment="1">
      <alignment horizontal="right" vertical="center"/>
    </xf>
    <xf numFmtId="165" fontId="3" fillId="0" borderId="8" xfId="0" applyNumberFormat="1" applyFont="1" applyBorder="1" applyAlignment="1">
      <alignment vertical="center"/>
    </xf>
    <xf numFmtId="166" fontId="3" fillId="4" borderId="16" xfId="0" applyNumberFormat="1" applyFont="1" applyFill="1" applyBorder="1" applyAlignment="1">
      <alignment horizontal="right" vertical="center"/>
    </xf>
    <xf numFmtId="166" fontId="3" fillId="0" borderId="5" xfId="0" applyNumberFormat="1" applyFont="1" applyBorder="1" applyAlignment="1">
      <alignment horizontal="right" vertical="center"/>
    </xf>
    <xf numFmtId="4" fontId="3" fillId="4" borderId="16" xfId="0" applyNumberFormat="1" applyFont="1" applyFill="1" applyBorder="1" applyAlignment="1">
      <alignment horizontal="left" vertical="top" wrapText="1"/>
    </xf>
    <xf numFmtId="4" fontId="3" fillId="0" borderId="5" xfId="0" applyNumberFormat="1" applyFont="1" applyBorder="1" applyAlignment="1">
      <alignment horizontal="left" vertical="top" wrapText="1"/>
    </xf>
    <xf numFmtId="0" fontId="3" fillId="0" borderId="10" xfId="0" applyFont="1" applyBorder="1" applyAlignment="1">
      <alignment vertical="center"/>
    </xf>
    <xf numFmtId="2" fontId="23" fillId="9" borderId="37" xfId="0" applyNumberFormat="1" applyFont="1" applyFill="1" applyBorder="1" applyAlignment="1">
      <alignment horizontal="center" vertical="top" readingOrder="1"/>
    </xf>
    <xf numFmtId="2" fontId="23" fillId="0" borderId="37" xfId="0" applyNumberFormat="1" applyFont="1" applyBorder="1" applyAlignment="1">
      <alignment horizontal="center" vertical="top" readingOrder="1"/>
    </xf>
    <xf numFmtId="2" fontId="23" fillId="0" borderId="37" xfId="0" applyNumberFormat="1" applyFont="1" applyBorder="1" applyAlignment="1">
      <alignment readingOrder="1"/>
    </xf>
    <xf numFmtId="2" fontId="23" fillId="9" borderId="37" xfId="0" applyNumberFormat="1" applyFont="1" applyFill="1" applyBorder="1" applyAlignment="1">
      <alignment readingOrder="1"/>
    </xf>
    <xf numFmtId="15" fontId="0" fillId="0" borderId="2" xfId="0" applyNumberFormat="1" applyBorder="1"/>
    <xf numFmtId="0" fontId="23" fillId="6" borderId="37" xfId="0" applyFont="1" applyFill="1" applyBorder="1" applyAlignment="1">
      <alignment wrapText="1" readingOrder="1"/>
    </xf>
    <xf numFmtId="2" fontId="23" fillId="0" borderId="41" xfId="0" applyNumberFormat="1" applyFont="1" applyBorder="1" applyAlignment="1">
      <alignment readingOrder="1"/>
    </xf>
    <xf numFmtId="2" fontId="23" fillId="10" borderId="37" xfId="0" applyNumberFormat="1" applyFont="1" applyFill="1" applyBorder="1" applyAlignment="1">
      <alignment readingOrder="1"/>
    </xf>
    <xf numFmtId="2" fontId="21" fillId="13" borderId="37" xfId="0" applyNumberFormat="1" applyFont="1" applyFill="1" applyBorder="1" applyAlignment="1">
      <alignment readingOrder="1"/>
    </xf>
    <xf numFmtId="2" fontId="21" fillId="0" borderId="37" xfId="0" applyNumberFormat="1" applyFont="1" applyBorder="1" applyAlignment="1">
      <alignment readingOrder="1"/>
    </xf>
    <xf numFmtId="2" fontId="21" fillId="14" borderId="37" xfId="0" applyNumberFormat="1" applyFont="1" applyFill="1" applyBorder="1" applyAlignment="1">
      <alignment wrapText="1" readingOrder="1"/>
    </xf>
    <xf numFmtId="2" fontId="21" fillId="10" borderId="37" xfId="0" applyNumberFormat="1" applyFont="1" applyFill="1" applyBorder="1" applyAlignment="1">
      <alignment wrapText="1" readingOrder="1"/>
    </xf>
    <xf numFmtId="16" fontId="0" fillId="0" borderId="0" xfId="0" applyNumberFormat="1"/>
    <xf numFmtId="2" fontId="21" fillId="13" borderId="37" xfId="0" applyNumberFormat="1" applyFont="1" applyFill="1" applyBorder="1" applyAlignment="1">
      <alignment horizontal="center" vertical="top" readingOrder="1"/>
    </xf>
    <xf numFmtId="0" fontId="23" fillId="0" borderId="19" xfId="0" applyFont="1" applyBorder="1" applyAlignment="1">
      <alignment wrapText="1" readingOrder="1"/>
    </xf>
    <xf numFmtId="16" fontId="23" fillId="0" borderId="41" xfId="0" applyNumberFormat="1" applyFont="1" applyBorder="1" applyAlignment="1">
      <alignment readingOrder="1"/>
    </xf>
    <xf numFmtId="16" fontId="3" fillId="0" borderId="0" xfId="0" applyNumberFormat="1" applyFont="1"/>
    <xf numFmtId="2" fontId="21" fillId="9" borderId="37" xfId="0" applyNumberFormat="1" applyFont="1" applyFill="1" applyBorder="1" applyAlignment="1">
      <alignment horizontal="center" wrapText="1" readingOrder="1"/>
    </xf>
    <xf numFmtId="2" fontId="21" fillId="13" borderId="37" xfId="0" applyNumberFormat="1" applyFont="1" applyFill="1" applyBorder="1" applyAlignment="1">
      <alignment horizontal="center" readingOrder="1"/>
    </xf>
    <xf numFmtId="2" fontId="23" fillId="9" borderId="37" xfId="0" applyNumberFormat="1" applyFont="1" applyFill="1" applyBorder="1" applyAlignment="1">
      <alignment horizontal="center" readingOrder="1"/>
    </xf>
    <xf numFmtId="2" fontId="21" fillId="0" borderId="37" xfId="0" applyNumberFormat="1" applyFont="1" applyBorder="1" applyAlignment="1">
      <alignment horizontal="center" wrapText="1" readingOrder="1"/>
    </xf>
    <xf numFmtId="2" fontId="21" fillId="0" borderId="37" xfId="0" applyNumberFormat="1" applyFont="1" applyBorder="1" applyAlignment="1">
      <alignment horizontal="center" readingOrder="1"/>
    </xf>
    <xf numFmtId="2" fontId="23" fillId="0" borderId="37" xfId="0" applyNumberFormat="1" applyFont="1" applyBorder="1" applyAlignment="1">
      <alignment horizontal="center" readingOrder="1"/>
    </xf>
    <xf numFmtId="166" fontId="3" fillId="4" borderId="16" xfId="0" applyNumberFormat="1" applyFont="1" applyFill="1" applyBorder="1" applyAlignment="1">
      <alignment horizontal="right" wrapText="1"/>
    </xf>
    <xf numFmtId="0" fontId="22" fillId="0" borderId="38" xfId="0" applyFont="1" applyBorder="1" applyAlignment="1">
      <alignment vertical="center" wrapText="1" readingOrder="1"/>
    </xf>
    <xf numFmtId="0" fontId="22" fillId="0" borderId="39" xfId="0" applyFont="1" applyBorder="1" applyAlignment="1">
      <alignment vertical="center" wrapText="1" readingOrder="1"/>
    </xf>
    <xf numFmtId="0" fontId="22" fillId="0" borderId="40" xfId="0" applyFont="1" applyBorder="1" applyAlignment="1">
      <alignment vertical="center" wrapText="1" readingOrder="1"/>
    </xf>
    <xf numFmtId="0" fontId="22" fillId="0" borderId="39" xfId="0" applyFont="1" applyBorder="1" applyAlignment="1">
      <alignment horizontal="center" vertical="center" wrapText="1" readingOrder="1"/>
    </xf>
    <xf numFmtId="0" fontId="22" fillId="0" borderId="22" xfId="0" applyFont="1" applyBorder="1" applyAlignment="1">
      <alignment vertical="center" readingOrder="1"/>
    </xf>
    <xf numFmtId="0" fontId="22" fillId="0" borderId="29" xfId="0" applyFont="1" applyBorder="1" applyAlignment="1">
      <alignment vertical="center" readingOrder="1"/>
    </xf>
    <xf numFmtId="0" fontId="22" fillId="0" borderId="15" xfId="0" applyFont="1" applyBorder="1" applyAlignment="1">
      <alignment vertical="center" readingOrder="1"/>
    </xf>
    <xf numFmtId="0" fontId="22" fillId="0" borderId="26" xfId="0" applyFont="1" applyBorder="1" applyAlignment="1">
      <alignment vertical="center" readingOrder="1"/>
    </xf>
    <xf numFmtId="0" fontId="22" fillId="0" borderId="14" xfId="0" applyFont="1" applyBorder="1" applyAlignment="1">
      <alignment vertical="center" readingOrder="1"/>
    </xf>
    <xf numFmtId="165" fontId="21" fillId="0" borderId="37" xfId="0" applyNumberFormat="1" applyFont="1" applyBorder="1" applyAlignment="1">
      <alignment wrapText="1" readingOrder="1"/>
    </xf>
    <xf numFmtId="165" fontId="21" fillId="0" borderId="37" xfId="0" applyNumberFormat="1" applyFont="1" applyBorder="1" applyAlignment="1">
      <alignment readingOrder="1"/>
    </xf>
    <xf numFmtId="165" fontId="21" fillId="9" borderId="37" xfId="0" applyNumberFormat="1" applyFont="1" applyFill="1" applyBorder="1" applyAlignment="1">
      <alignment readingOrder="1"/>
    </xf>
    <xf numFmtId="0" fontId="23" fillId="6" borderId="2" xfId="0" applyFont="1" applyFill="1" applyBorder="1" applyAlignment="1">
      <alignment wrapText="1" readingOrder="1"/>
    </xf>
    <xf numFmtId="3" fontId="3" fillId="4" borderId="2" xfId="0" applyNumberFormat="1" applyFont="1" applyFill="1" applyBorder="1" applyAlignment="1">
      <alignment horizontal="right" vertical="center"/>
    </xf>
    <xf numFmtId="3" fontId="3" fillId="0" borderId="2" xfId="0" applyNumberFormat="1" applyFont="1" applyBorder="1" applyAlignment="1">
      <alignment horizontal="right" vertical="center"/>
    </xf>
    <xf numFmtId="166" fontId="3" fillId="4" borderId="9" xfId="0" applyNumberFormat="1" applyFont="1" applyFill="1" applyBorder="1" applyAlignment="1">
      <alignment horizontal="right" vertical="center"/>
    </xf>
    <xf numFmtId="0" fontId="22" fillId="0" borderId="22" xfId="0" applyFont="1" applyBorder="1" applyAlignment="1">
      <alignment readingOrder="1"/>
    </xf>
    <xf numFmtId="0" fontId="22" fillId="0" borderId="15" xfId="0" applyFont="1" applyBorder="1" applyAlignment="1">
      <alignment readingOrder="1"/>
    </xf>
    <xf numFmtId="0" fontId="0" fillId="0" borderId="15" xfId="0" applyBorder="1" applyAlignment="1">
      <alignment horizontal="center"/>
    </xf>
    <xf numFmtId="0" fontId="22" fillId="0" borderId="26" xfId="0" applyFont="1" applyBorder="1" applyAlignment="1">
      <alignment readingOrder="1"/>
    </xf>
    <xf numFmtId="0" fontId="22" fillId="10" borderId="2" xfId="0" applyFont="1" applyFill="1" applyBorder="1" applyAlignment="1">
      <alignment horizontal="center" readingOrder="1"/>
    </xf>
    <xf numFmtId="0" fontId="22" fillId="10" borderId="43" xfId="0" applyFont="1" applyFill="1" applyBorder="1" applyAlignment="1">
      <alignment horizontal="center" readingOrder="1"/>
    </xf>
    <xf numFmtId="0" fontId="22" fillId="10" borderId="2" xfId="0" applyFont="1" applyFill="1" applyBorder="1" applyAlignment="1">
      <alignment horizontal="center" wrapText="1" readingOrder="1"/>
    </xf>
    <xf numFmtId="0" fontId="21" fillId="9" borderId="3" xfId="0" applyFont="1" applyFill="1" applyBorder="1" applyAlignment="1">
      <alignment readingOrder="1"/>
    </xf>
    <xf numFmtId="0" fontId="22" fillId="9" borderId="40" xfId="0" applyFont="1" applyFill="1" applyBorder="1" applyAlignment="1">
      <alignment readingOrder="1"/>
    </xf>
    <xf numFmtId="0" fontId="21" fillId="9" borderId="40" xfId="0" applyFont="1" applyFill="1" applyBorder="1" applyAlignment="1">
      <alignment wrapText="1" readingOrder="1"/>
    </xf>
    <xf numFmtId="0" fontId="21" fillId="9" borderId="40" xfId="0" applyFont="1" applyFill="1" applyBorder="1" applyAlignment="1">
      <alignment readingOrder="1"/>
    </xf>
    <xf numFmtId="0" fontId="25" fillId="0" borderId="15" xfId="0" applyFont="1" applyBorder="1"/>
    <xf numFmtId="2" fontId="21" fillId="9" borderId="37" xfId="0" applyNumberFormat="1" applyFont="1" applyFill="1" applyBorder="1" applyAlignment="1">
      <alignment readingOrder="1"/>
    </xf>
    <xf numFmtId="2" fontId="21" fillId="9" borderId="37" xfId="0" applyNumberFormat="1" applyFont="1" applyFill="1" applyBorder="1" applyAlignment="1">
      <alignment horizontal="center" vertical="center" wrapText="1" readingOrder="1"/>
    </xf>
    <xf numFmtId="2" fontId="21" fillId="9" borderId="37" xfId="0" applyNumberFormat="1" applyFont="1" applyFill="1" applyBorder="1" applyAlignment="1">
      <alignment horizontal="center" vertical="center" readingOrder="1"/>
    </xf>
    <xf numFmtId="2" fontId="21" fillId="13" borderId="37" xfId="0" applyNumberFormat="1" applyFont="1" applyFill="1" applyBorder="1" applyAlignment="1">
      <alignment horizontal="center" vertical="center" readingOrder="1"/>
    </xf>
    <xf numFmtId="2" fontId="21" fillId="0" borderId="37" xfId="0" applyNumberFormat="1" applyFont="1" applyBorder="1" applyAlignment="1">
      <alignment horizontal="center" vertical="center" wrapText="1" readingOrder="1"/>
    </xf>
    <xf numFmtId="2" fontId="21" fillId="0" borderId="37" xfId="0" applyNumberFormat="1" applyFont="1" applyBorder="1" applyAlignment="1">
      <alignment horizontal="center" vertical="center" readingOrder="1"/>
    </xf>
    <xf numFmtId="0" fontId="22" fillId="0" borderId="29" xfId="0" applyFont="1" applyBorder="1" applyAlignment="1">
      <alignment readingOrder="1"/>
    </xf>
    <xf numFmtId="0" fontId="22" fillId="0" borderId="38" xfId="0" applyFont="1" applyBorder="1" applyAlignment="1">
      <alignment readingOrder="1"/>
    </xf>
    <xf numFmtId="0" fontId="24" fillId="0" borderId="51" xfId="0" applyFont="1" applyBorder="1" applyAlignment="1">
      <alignment vertical="center" readingOrder="1"/>
    </xf>
    <xf numFmtId="0" fontId="24" fillId="0" borderId="26" xfId="0" applyFont="1" applyBorder="1" applyAlignment="1">
      <alignment vertical="center" readingOrder="1"/>
    </xf>
    <xf numFmtId="0" fontId="24" fillId="0" borderId="45" xfId="0" applyFont="1" applyBorder="1" applyAlignment="1">
      <alignment vertical="center" readingOrder="1"/>
    </xf>
    <xf numFmtId="0" fontId="24" fillId="0" borderId="52" xfId="0" applyFont="1" applyBorder="1" applyAlignment="1">
      <alignment vertical="center" readingOrder="1"/>
    </xf>
    <xf numFmtId="0" fontId="24" fillId="0" borderId="15" xfId="0" applyFont="1" applyBorder="1" applyAlignment="1">
      <alignment vertical="center" readingOrder="1"/>
    </xf>
    <xf numFmtId="0" fontId="24" fillId="0" borderId="17" xfId="0" applyFont="1" applyBorder="1" applyAlignment="1">
      <alignment vertical="center" readingOrder="1"/>
    </xf>
    <xf numFmtId="0" fontId="24" fillId="0" borderId="53" xfId="0" applyFont="1" applyBorder="1" applyAlignment="1">
      <alignment vertical="center" readingOrder="1"/>
    </xf>
    <xf numFmtId="0" fontId="24" fillId="0" borderId="14" xfId="0" applyFont="1" applyBorder="1" applyAlignment="1">
      <alignment vertical="center" readingOrder="1"/>
    </xf>
    <xf numFmtId="0" fontId="24" fillId="0" borderId="16" xfId="0" applyFont="1" applyBorder="1" applyAlignment="1">
      <alignment vertical="center" readingOrder="1"/>
    </xf>
    <xf numFmtId="165" fontId="21" fillId="9" borderId="37" xfId="0" applyNumberFormat="1" applyFont="1" applyFill="1" applyBorder="1" applyAlignment="1">
      <alignment wrapText="1" readingOrder="1"/>
    </xf>
    <xf numFmtId="165" fontId="21" fillId="13" borderId="37" xfId="0" applyNumberFormat="1" applyFont="1" applyFill="1" applyBorder="1" applyAlignment="1">
      <alignment readingOrder="1"/>
    </xf>
    <xf numFmtId="165" fontId="21" fillId="14" borderId="37" xfId="0" applyNumberFormat="1" applyFont="1" applyFill="1" applyBorder="1" applyAlignment="1">
      <alignment wrapText="1" readingOrder="1"/>
    </xf>
    <xf numFmtId="0" fontId="0" fillId="11" borderId="15" xfId="0" applyFill="1" applyBorder="1" applyAlignment="1">
      <alignment horizontal="center" vertical="top"/>
    </xf>
    <xf numFmtId="0" fontId="22" fillId="11" borderId="15" xfId="0" applyFont="1" applyFill="1" applyBorder="1" applyAlignment="1">
      <alignment vertical="top" readingOrder="1"/>
    </xf>
    <xf numFmtId="0" fontId="22" fillId="11" borderId="15" xfId="0" applyFont="1" applyFill="1" applyBorder="1" applyAlignment="1">
      <alignment horizontal="center" vertical="top" readingOrder="1"/>
    </xf>
    <xf numFmtId="0" fontId="22" fillId="10" borderId="40" xfId="0" applyFont="1" applyFill="1" applyBorder="1" applyAlignment="1">
      <alignment horizontal="center" vertical="center" readingOrder="1"/>
    </xf>
    <xf numFmtId="0" fontId="22" fillId="10" borderId="40" xfId="0" applyFont="1" applyFill="1" applyBorder="1" applyAlignment="1">
      <alignment horizontal="center" vertical="top" readingOrder="1"/>
    </xf>
    <xf numFmtId="0" fontId="22" fillId="10" borderId="2" xfId="0" applyFont="1" applyFill="1" applyBorder="1" applyAlignment="1">
      <alignment horizontal="center" vertical="top" readingOrder="1"/>
    </xf>
    <xf numFmtId="0" fontId="22" fillId="10" borderId="2" xfId="0" applyFont="1" applyFill="1" applyBorder="1" applyAlignment="1">
      <alignment horizontal="center" vertical="center" readingOrder="1"/>
    </xf>
    <xf numFmtId="0" fontId="22" fillId="10" borderId="2" xfId="0" applyFont="1" applyFill="1" applyBorder="1" applyAlignment="1">
      <alignment horizontal="center" vertical="top" wrapText="1" readingOrder="1"/>
    </xf>
    <xf numFmtId="0" fontId="21" fillId="9" borderId="40" xfId="0" applyFont="1" applyFill="1" applyBorder="1" applyAlignment="1">
      <alignment vertical="top" wrapText="1" readingOrder="1"/>
    </xf>
    <xf numFmtId="0" fontId="23" fillId="0" borderId="23" xfId="0" applyFont="1" applyBorder="1" applyAlignment="1">
      <alignment horizontal="center" vertical="top" readingOrder="1"/>
    </xf>
    <xf numFmtId="0" fontId="23" fillId="0" borderId="30" xfId="0" applyFont="1" applyBorder="1" applyAlignment="1">
      <alignment horizontal="center" vertical="top" readingOrder="1"/>
    </xf>
    <xf numFmtId="0" fontId="22" fillId="10" borderId="16" xfId="0" applyFont="1" applyFill="1" applyBorder="1" applyAlignment="1">
      <alignment horizontal="center" vertical="top" readingOrder="1"/>
    </xf>
    <xf numFmtId="0" fontId="22" fillId="11" borderId="15" xfId="0" applyFont="1" applyFill="1" applyBorder="1" applyAlignment="1">
      <alignment vertical="center" readingOrder="1"/>
    </xf>
    <xf numFmtId="0" fontId="23" fillId="0" borderId="23" xfId="0" applyFont="1" applyBorder="1" applyAlignment="1">
      <alignment horizontal="center" vertical="center" readingOrder="1"/>
    </xf>
    <xf numFmtId="0" fontId="23" fillId="0" borderId="30" xfId="0" applyFont="1" applyBorder="1" applyAlignment="1">
      <alignment horizontal="center" vertical="center" readingOrder="1"/>
    </xf>
    <xf numFmtId="0" fontId="22" fillId="10" borderId="16" xfId="0" applyFont="1" applyFill="1" applyBorder="1" applyAlignment="1">
      <alignment horizontal="center" vertical="center" readingOrder="1"/>
    </xf>
    <xf numFmtId="0" fontId="0" fillId="11" borderId="15" xfId="0" applyFill="1" applyBorder="1" applyAlignment="1">
      <alignment horizontal="center" vertical="center"/>
    </xf>
    <xf numFmtId="16" fontId="23" fillId="0" borderId="31" xfId="0" applyNumberFormat="1" applyFont="1" applyBorder="1" applyAlignment="1">
      <alignment readingOrder="1"/>
    </xf>
    <xf numFmtId="167" fontId="3" fillId="4" borderId="3" xfId="0" applyNumberFormat="1" applyFont="1" applyFill="1" applyBorder="1"/>
    <xf numFmtId="167" fontId="3" fillId="0" borderId="3" xfId="0" applyNumberFormat="1" applyFont="1" applyBorder="1"/>
    <xf numFmtId="3" fontId="3" fillId="0" borderId="9" xfId="0" applyNumberFormat="1" applyFont="1" applyBorder="1" applyAlignment="1">
      <alignment horizontal="right" vertical="center"/>
    </xf>
    <xf numFmtId="3" fontId="3" fillId="0" borderId="3" xfId="0" applyNumberFormat="1" applyFont="1" applyBorder="1" applyAlignment="1">
      <alignment horizontal="right" vertical="center" wrapText="1"/>
    </xf>
    <xf numFmtId="3" fontId="23" fillId="9" borderId="37" xfId="0" applyNumberFormat="1" applyFont="1" applyFill="1" applyBorder="1" applyAlignment="1">
      <alignment readingOrder="1"/>
    </xf>
    <xf numFmtId="3" fontId="23" fillId="0" borderId="37" xfId="0" applyNumberFormat="1" applyFont="1" applyBorder="1" applyAlignment="1">
      <alignment readingOrder="1"/>
    </xf>
    <xf numFmtId="168" fontId="3" fillId="4" borderId="16" xfId="0" applyNumberFormat="1" applyFont="1" applyFill="1" applyBorder="1" applyAlignment="1">
      <alignment horizontal="right"/>
    </xf>
    <xf numFmtId="168" fontId="3" fillId="0" borderId="16" xfId="0" applyNumberFormat="1" applyFont="1" applyBorder="1" applyAlignment="1">
      <alignment horizontal="right"/>
    </xf>
    <xf numFmtId="3" fontId="3" fillId="4" borderId="16" xfId="0" applyNumberFormat="1" applyFont="1" applyFill="1" applyBorder="1" applyAlignment="1">
      <alignment horizontal="right" wrapText="1"/>
    </xf>
    <xf numFmtId="3" fontId="3" fillId="0" borderId="10" xfId="0" applyNumberFormat="1" applyFont="1" applyBorder="1" applyAlignment="1">
      <alignment horizontal="right" vertical="center"/>
    </xf>
    <xf numFmtId="3" fontId="3" fillId="4" borderId="3" xfId="0" applyNumberFormat="1" applyFont="1" applyFill="1" applyBorder="1"/>
    <xf numFmtId="3" fontId="3" fillId="0" borderId="3" xfId="0" applyNumberFormat="1" applyFont="1" applyBorder="1"/>
    <xf numFmtId="43" fontId="21" fillId="9" borderId="57" xfId="0" applyNumberFormat="1" applyFont="1" applyFill="1" applyBorder="1" applyAlignment="1">
      <alignment wrapText="1" readingOrder="1"/>
    </xf>
    <xf numFmtId="43" fontId="21" fillId="13" borderId="57" xfId="0" applyNumberFormat="1" applyFont="1" applyFill="1" applyBorder="1" applyAlignment="1">
      <alignment readingOrder="1"/>
    </xf>
    <xf numFmtId="43" fontId="23" fillId="9" borderId="57" xfId="0" applyNumberFormat="1" applyFont="1" applyFill="1" applyBorder="1" applyAlignment="1">
      <alignment readingOrder="1"/>
    </xf>
    <xf numFmtId="43" fontId="21" fillId="0" borderId="37" xfId="0" applyNumberFormat="1" applyFont="1" applyBorder="1" applyAlignment="1">
      <alignment wrapText="1" readingOrder="1"/>
    </xf>
    <xf numFmtId="43" fontId="21" fillId="0" borderId="37" xfId="0" applyNumberFormat="1" applyFont="1" applyBorder="1" applyAlignment="1">
      <alignment readingOrder="1"/>
    </xf>
    <xf numFmtId="43" fontId="23" fillId="0" borderId="37" xfId="0" applyNumberFormat="1" applyFont="1" applyBorder="1" applyAlignment="1">
      <alignment readingOrder="1"/>
    </xf>
    <xf numFmtId="0" fontId="5" fillId="4" borderId="2" xfId="0" applyFont="1" applyFill="1" applyBorder="1"/>
    <xf numFmtId="0" fontId="5" fillId="0" borderId="3" xfId="0" applyFont="1" applyBorder="1"/>
    <xf numFmtId="169" fontId="3" fillId="4" borderId="2" xfId="0" applyNumberFormat="1" applyFont="1" applyFill="1" applyBorder="1"/>
    <xf numFmtId="169" fontId="3" fillId="0" borderId="2" xfId="0" applyNumberFormat="1" applyFont="1" applyBorder="1"/>
    <xf numFmtId="4" fontId="3" fillId="0" borderId="9" xfId="0" applyNumberFormat="1" applyFont="1" applyBorder="1" applyAlignment="1">
      <alignment horizontal="right" vertical="center" wrapText="1"/>
    </xf>
    <xf numFmtId="4" fontId="26" fillId="0" borderId="2" xfId="0" applyNumberFormat="1" applyFont="1" applyBorder="1" applyAlignment="1">
      <alignment horizontal="right" wrapText="1"/>
    </xf>
    <xf numFmtId="170" fontId="3" fillId="0" borderId="2" xfId="0" applyNumberFormat="1" applyFont="1" applyBorder="1" applyAlignment="1">
      <alignment horizontal="right" vertical="center" wrapText="1"/>
    </xf>
    <xf numFmtId="0" fontId="23" fillId="0" borderId="28" xfId="0" applyFont="1" applyBorder="1" applyAlignment="1">
      <alignment readingOrder="1"/>
    </xf>
    <xf numFmtId="4" fontId="3" fillId="0" borderId="2" xfId="0" applyNumberFormat="1" applyFont="1" applyBorder="1" applyAlignment="1">
      <alignment horizontal="right" vertical="top"/>
    </xf>
    <xf numFmtId="43" fontId="21" fillId="9" borderId="37" xfId="0" applyNumberFormat="1" applyFont="1" applyFill="1" applyBorder="1" applyAlignment="1">
      <alignment wrapText="1" readingOrder="1"/>
    </xf>
    <xf numFmtId="43" fontId="23" fillId="9" borderId="37" xfId="0" applyNumberFormat="1" applyFont="1" applyFill="1" applyBorder="1" applyAlignment="1">
      <alignment readingOrder="1"/>
    </xf>
    <xf numFmtId="43" fontId="21" fillId="13" borderId="37" xfId="0" applyNumberFormat="1" applyFont="1" applyFill="1" applyBorder="1" applyAlignment="1">
      <alignment readingOrder="1"/>
    </xf>
    <xf numFmtId="0" fontId="23" fillId="0" borderId="30" xfId="0" applyFont="1" applyBorder="1" applyAlignment="1">
      <alignment readingOrder="1"/>
    </xf>
    <xf numFmtId="0" fontId="23" fillId="0" borderId="70" xfId="0" applyFont="1" applyBorder="1" applyAlignment="1">
      <alignment vertical="center" readingOrder="1"/>
    </xf>
    <xf numFmtId="0" fontId="23" fillId="0" borderId="70" xfId="0" applyFont="1" applyBorder="1" applyAlignment="1">
      <alignment readingOrder="1"/>
    </xf>
    <xf numFmtId="0" fontId="23" fillId="0" borderId="71" xfId="0" applyFont="1" applyBorder="1" applyAlignment="1">
      <alignment vertical="center" readingOrder="1"/>
    </xf>
    <xf numFmtId="0" fontId="23" fillId="0" borderId="71" xfId="0" applyFont="1" applyBorder="1" applyAlignment="1">
      <alignment readingOrder="1"/>
    </xf>
    <xf numFmtId="43" fontId="23" fillId="9" borderId="37" xfId="0" applyNumberFormat="1" applyFont="1" applyFill="1" applyBorder="1" applyAlignment="1">
      <alignment horizontal="right" readingOrder="1"/>
    </xf>
    <xf numFmtId="43" fontId="23" fillId="0" borderId="37" xfId="0" applyNumberFormat="1" applyFont="1" applyBorder="1" applyAlignment="1">
      <alignment horizontal="right" readingOrder="1"/>
    </xf>
    <xf numFmtId="0" fontId="0" fillId="0" borderId="15" xfId="0" applyBorder="1" applyAlignment="1">
      <alignment vertical="center" wrapText="1"/>
    </xf>
    <xf numFmtId="0" fontId="0" fillId="0" borderId="15" xfId="0" applyBorder="1" applyAlignment="1">
      <alignment vertical="center"/>
    </xf>
    <xf numFmtId="0" fontId="23" fillId="0" borderId="70" xfId="0" applyFont="1" applyBorder="1" applyAlignment="1">
      <alignment vertical="top" readingOrder="1"/>
    </xf>
    <xf numFmtId="0" fontId="23" fillId="0" borderId="70" xfId="0" applyFont="1" applyBorder="1" applyAlignment="1">
      <alignment vertical="top" wrapText="1" readingOrder="1"/>
    </xf>
    <xf numFmtId="0" fontId="23" fillId="0" borderId="71" xfId="0" applyFont="1" applyBorder="1" applyAlignment="1">
      <alignment vertical="top" readingOrder="1"/>
    </xf>
    <xf numFmtId="0" fontId="23" fillId="0" borderId="71" xfId="0" applyFont="1" applyBorder="1" applyAlignment="1">
      <alignment vertical="top" wrapText="1" readingOrder="1"/>
    </xf>
    <xf numFmtId="43" fontId="21" fillId="9" borderId="37" xfId="0" applyNumberFormat="1" applyFont="1" applyFill="1" applyBorder="1" applyAlignment="1">
      <alignment horizontal="right" wrapText="1" readingOrder="1"/>
    </xf>
    <xf numFmtId="43" fontId="21" fillId="0" borderId="37" xfId="0" applyNumberFormat="1" applyFont="1" applyBorder="1" applyAlignment="1">
      <alignment horizontal="right" wrapText="1" readingOrder="1"/>
    </xf>
    <xf numFmtId="0" fontId="23" fillId="0" borderId="72" xfId="0" applyFont="1" applyBorder="1" applyAlignment="1">
      <alignment horizontal="center" readingOrder="1"/>
    </xf>
    <xf numFmtId="0" fontId="0" fillId="0" borderId="15" xfId="0" applyBorder="1" applyAlignment="1">
      <alignment horizontal="center" vertical="top" wrapText="1"/>
    </xf>
    <xf numFmtId="0" fontId="0" fillId="0" borderId="15" xfId="0" applyBorder="1" applyAlignment="1">
      <alignment wrapText="1"/>
    </xf>
    <xf numFmtId="16" fontId="0" fillId="0" borderId="2" xfId="0" applyNumberFormat="1" applyBorder="1"/>
    <xf numFmtId="166" fontId="3" fillId="0" borderId="9" xfId="0" applyNumberFormat="1" applyFont="1" applyBorder="1" applyAlignment="1">
      <alignment horizontal="right" vertical="center" wrapText="1"/>
    </xf>
    <xf numFmtId="166" fontId="3" fillId="0" borderId="4" xfId="0" applyNumberFormat="1" applyFont="1" applyBorder="1" applyAlignment="1">
      <alignment horizontal="right" vertical="center"/>
    </xf>
    <xf numFmtId="166" fontId="3" fillId="0" borderId="5" xfId="0" applyNumberFormat="1" applyFont="1" applyBorder="1" applyAlignment="1">
      <alignment horizontal="right" vertical="center" wrapText="1"/>
    </xf>
    <xf numFmtId="166" fontId="3" fillId="4" borderId="6" xfId="0" applyNumberFormat="1" applyFont="1" applyFill="1" applyBorder="1" applyAlignment="1">
      <alignment horizontal="right" vertical="center"/>
    </xf>
    <xf numFmtId="2" fontId="3" fillId="4" borderId="3" xfId="0" applyNumberFormat="1" applyFont="1" applyFill="1" applyBorder="1" applyAlignment="1">
      <alignment horizontal="right" wrapText="1"/>
    </xf>
    <xf numFmtId="2" fontId="3" fillId="0" borderId="2" xfId="0" applyNumberFormat="1" applyFont="1" applyBorder="1" applyAlignment="1">
      <alignment horizontal="right" wrapText="1"/>
    </xf>
    <xf numFmtId="2" fontId="23" fillId="9" borderId="37" xfId="0" applyNumberFormat="1" applyFont="1" applyFill="1" applyBorder="1" applyAlignment="1">
      <alignment horizontal="center" vertical="center" readingOrder="1"/>
    </xf>
    <xf numFmtId="2" fontId="21" fillId="14" borderId="37" xfId="0" applyNumberFormat="1" applyFont="1" applyFill="1" applyBorder="1" applyAlignment="1">
      <alignment horizontal="center" vertical="center" readingOrder="1"/>
    </xf>
    <xf numFmtId="2" fontId="23" fillId="0" borderId="37" xfId="0" applyNumberFormat="1" applyFont="1" applyBorder="1" applyAlignment="1">
      <alignment horizontal="center" vertical="center" readingOrder="1"/>
    </xf>
    <xf numFmtId="165" fontId="3" fillId="0" borderId="10" xfId="0" applyNumberFormat="1" applyFont="1" applyBorder="1" applyAlignment="1">
      <alignment horizontal="center" vertical="center"/>
    </xf>
    <xf numFmtId="0" fontId="3" fillId="0" borderId="11" xfId="0" applyFont="1" applyBorder="1" applyAlignment="1">
      <alignment vertical="center" wrapText="1"/>
    </xf>
    <xf numFmtId="0" fontId="3" fillId="0" borderId="8" xfId="0" applyFont="1" applyBorder="1" applyAlignment="1">
      <alignment vertical="center" wrapText="1"/>
    </xf>
    <xf numFmtId="4" fontId="3" fillId="0" borderId="6" xfId="0" applyNumberFormat="1" applyFont="1" applyBorder="1" applyAlignment="1">
      <alignment horizontal="left" vertical="center" wrapText="1"/>
    </xf>
    <xf numFmtId="4" fontId="3" fillId="0" borderId="10" xfId="0" applyNumberFormat="1" applyFont="1" applyBorder="1" applyAlignment="1">
      <alignment horizontal="left" vertical="center" wrapText="1"/>
    </xf>
    <xf numFmtId="4" fontId="3" fillId="0" borderId="10" xfId="0" applyNumberFormat="1" applyFont="1" applyBorder="1" applyAlignment="1">
      <alignment horizontal="right" vertical="center" wrapText="1"/>
    </xf>
    <xf numFmtId="0" fontId="3" fillId="0" borderId="18" xfId="0" applyFont="1" applyBorder="1"/>
    <xf numFmtId="0" fontId="3" fillId="0" borderId="76" xfId="0" applyFont="1" applyBorder="1"/>
    <xf numFmtId="2" fontId="3" fillId="0" borderId="76" xfId="0" applyNumberFormat="1" applyFont="1" applyBorder="1"/>
    <xf numFmtId="0" fontId="3" fillId="0" borderId="77" xfId="0" applyFont="1" applyBorder="1"/>
    <xf numFmtId="0" fontId="1" fillId="0" borderId="78" xfId="0" applyFont="1" applyBorder="1" applyAlignment="1">
      <alignment horizontal="center"/>
    </xf>
    <xf numFmtId="0" fontId="1" fillId="0" borderId="79" xfId="0" applyFont="1" applyBorder="1" applyAlignment="1">
      <alignment horizontal="center"/>
    </xf>
    <xf numFmtId="1" fontId="3" fillId="0" borderId="76" xfId="0" applyNumberFormat="1" applyFont="1" applyBorder="1"/>
    <xf numFmtId="4" fontId="3" fillId="0" borderId="76" xfId="0" applyNumberFormat="1" applyFont="1" applyBorder="1"/>
    <xf numFmtId="0" fontId="2" fillId="0" borderId="76" xfId="0" applyFont="1" applyBorder="1"/>
    <xf numFmtId="0" fontId="3" fillId="0" borderId="87" xfId="0" applyFont="1" applyBorder="1"/>
    <xf numFmtId="2" fontId="23" fillId="9" borderId="57" xfId="0" applyNumberFormat="1" applyFont="1" applyFill="1" applyBorder="1" applyAlignment="1">
      <alignment readingOrder="1"/>
    </xf>
    <xf numFmtId="165" fontId="5" fillId="4" borderId="5" xfId="0" applyNumberFormat="1" applyFont="1" applyFill="1" applyBorder="1"/>
    <xf numFmtId="165" fontId="5" fillId="0" borderId="16" xfId="0" applyNumberFormat="1" applyFont="1" applyBorder="1"/>
    <xf numFmtId="165" fontId="5" fillId="4" borderId="3" xfId="0" applyNumberFormat="1" applyFont="1" applyFill="1" applyBorder="1"/>
    <xf numFmtId="165" fontId="5" fillId="0" borderId="3" xfId="0" applyNumberFormat="1" applyFont="1" applyBorder="1"/>
    <xf numFmtId="2" fontId="3" fillId="4" borderId="2" xfId="0" applyNumberFormat="1" applyFont="1" applyFill="1" applyBorder="1" applyAlignment="1">
      <alignment horizontal="right" vertical="center"/>
    </xf>
    <xf numFmtId="2" fontId="3" fillId="0" borderId="2" xfId="0" applyNumberFormat="1" applyFont="1" applyBorder="1" applyAlignment="1">
      <alignment horizontal="right" vertical="center"/>
    </xf>
    <xf numFmtId="0" fontId="19" fillId="0" borderId="6" xfId="0" applyFont="1" applyBorder="1" applyAlignment="1">
      <alignment horizontal="center" vertical="center"/>
    </xf>
    <xf numFmtId="0" fontId="3" fillId="0" borderId="3" xfId="0" applyFont="1" applyBorder="1" applyAlignment="1">
      <alignment horizontal="left"/>
    </xf>
    <xf numFmtId="4" fontId="17" fillId="0" borderId="6" xfId="0" applyNumberFormat="1" applyFont="1" applyBorder="1" applyAlignment="1">
      <alignment horizontal="right" wrapText="1"/>
    </xf>
    <xf numFmtId="169" fontId="23" fillId="9" borderId="37" xfId="0" applyNumberFormat="1" applyFont="1" applyFill="1" applyBorder="1" applyAlignment="1">
      <alignment readingOrder="1"/>
    </xf>
    <xf numFmtId="169" fontId="23" fillId="0" borderId="37" xfId="0" applyNumberFormat="1" applyFont="1" applyBorder="1" applyAlignment="1">
      <alignment readingOrder="1"/>
    </xf>
    <xf numFmtId="2" fontId="21" fillId="9" borderId="34" xfId="0" applyNumberFormat="1" applyFont="1" applyFill="1" applyBorder="1" applyAlignment="1">
      <alignment wrapText="1" readingOrder="1"/>
    </xf>
    <xf numFmtId="2" fontId="21" fillId="0" borderId="34" xfId="0" applyNumberFormat="1" applyFont="1" applyBorder="1" applyAlignment="1">
      <alignment wrapText="1" readingOrder="1"/>
    </xf>
    <xf numFmtId="4" fontId="3" fillId="15" borderId="3" xfId="0" applyNumberFormat="1" applyFont="1" applyFill="1" applyBorder="1" applyAlignment="1">
      <alignment vertical="top" wrapText="1"/>
    </xf>
    <xf numFmtId="0" fontId="7" fillId="6" borderId="2" xfId="0" applyFont="1" applyFill="1" applyBorder="1" applyAlignment="1">
      <alignment wrapText="1"/>
    </xf>
    <xf numFmtId="0" fontId="7" fillId="0" borderId="2" xfId="0" applyFont="1" applyBorder="1" applyAlignment="1">
      <alignment wrapText="1"/>
    </xf>
    <xf numFmtId="0" fontId="1" fillId="20" borderId="8" xfId="0" applyFont="1" applyFill="1" applyBorder="1" applyAlignment="1">
      <alignment horizontal="center" vertical="center"/>
    </xf>
    <xf numFmtId="0" fontId="1" fillId="20" borderId="15" xfId="0" applyFont="1" applyFill="1" applyBorder="1" applyAlignment="1">
      <alignment horizontal="center" vertical="center"/>
    </xf>
    <xf numFmtId="0" fontId="1" fillId="20" borderId="1" xfId="0" applyFont="1" applyFill="1" applyBorder="1" applyAlignment="1">
      <alignment horizontal="center" vertical="center"/>
    </xf>
    <xf numFmtId="0" fontId="1" fillId="20" borderId="14" xfId="0" applyFont="1" applyFill="1" applyBorder="1" applyAlignment="1">
      <alignment horizontal="center" vertical="center"/>
    </xf>
    <xf numFmtId="0" fontId="1" fillId="10" borderId="2" xfId="0" applyFont="1" applyFill="1" applyBorder="1"/>
    <xf numFmtId="0" fontId="1" fillId="10" borderId="6" xfId="0" applyFont="1" applyFill="1" applyBorder="1"/>
    <xf numFmtId="0" fontId="1" fillId="10" borderId="10" xfId="0" applyFont="1" applyFill="1" applyBorder="1" applyAlignment="1">
      <alignment horizontal="center"/>
    </xf>
    <xf numFmtId="0" fontId="1" fillId="6" borderId="3" xfId="0" applyFont="1" applyFill="1" applyBorder="1" applyAlignment="1">
      <alignment horizontal="center" vertical="center"/>
    </xf>
    <xf numFmtId="0" fontId="5" fillId="6" borderId="3" xfId="0" applyFont="1" applyFill="1" applyBorder="1" applyAlignment="1">
      <alignment vertical="center"/>
    </xf>
    <xf numFmtId="4" fontId="3" fillId="6" borderId="3" xfId="0" applyNumberFormat="1" applyFont="1" applyFill="1" applyBorder="1" applyAlignment="1">
      <alignment horizontal="right" wrapText="1"/>
    </xf>
    <xf numFmtId="2" fontId="3" fillId="6" borderId="3" xfId="0" applyNumberFormat="1" applyFont="1" applyFill="1" applyBorder="1"/>
    <xf numFmtId="0" fontId="3" fillId="6" borderId="2" xfId="0" applyFont="1" applyFill="1" applyBorder="1"/>
    <xf numFmtId="0" fontId="1" fillId="6" borderId="2" xfId="0" applyFont="1" applyFill="1" applyBorder="1" applyAlignment="1">
      <alignment horizontal="center" vertical="center"/>
    </xf>
    <xf numFmtId="4" fontId="3" fillId="6" borderId="3" xfId="0" applyNumberFormat="1" applyFont="1" applyFill="1" applyBorder="1" applyAlignment="1">
      <alignment horizontal="right" vertical="center" wrapText="1"/>
    </xf>
    <xf numFmtId="1" fontId="3" fillId="6" borderId="3" xfId="0" applyNumberFormat="1" applyFont="1" applyFill="1" applyBorder="1"/>
    <xf numFmtId="2" fontId="3" fillId="6" borderId="2" xfId="0" applyNumberFormat="1" applyFont="1" applyFill="1" applyBorder="1" applyAlignment="1">
      <alignment horizontal="right" vertical="center" wrapText="1"/>
    </xf>
    <xf numFmtId="164" fontId="3" fillId="6" borderId="3" xfId="0" applyNumberFormat="1" applyFont="1" applyFill="1" applyBorder="1"/>
    <xf numFmtId="1" fontId="1" fillId="6" borderId="2" xfId="0" applyNumberFormat="1" applyFont="1" applyFill="1" applyBorder="1" applyAlignment="1">
      <alignment horizontal="center" vertical="center"/>
    </xf>
    <xf numFmtId="166" fontId="3" fillId="6" borderId="3" xfId="0" applyNumberFormat="1" applyFont="1" applyFill="1" applyBorder="1" applyAlignment="1">
      <alignment horizontal="right" vertical="center" wrapText="1"/>
    </xf>
    <xf numFmtId="165" fontId="3" fillId="6" borderId="3" xfId="0" applyNumberFormat="1" applyFont="1" applyFill="1" applyBorder="1"/>
    <xf numFmtId="165" fontId="3" fillId="6" borderId="2" xfId="0" applyNumberFormat="1" applyFont="1" applyFill="1" applyBorder="1"/>
    <xf numFmtId="4" fontId="3" fillId="6" borderId="3" xfId="0" applyNumberFormat="1" applyFont="1" applyFill="1" applyBorder="1" applyAlignment="1">
      <alignment horizontal="left" vertical="center" wrapText="1"/>
    </xf>
    <xf numFmtId="4" fontId="3" fillId="6" borderId="2" xfId="0" applyNumberFormat="1" applyFont="1" applyFill="1" applyBorder="1" applyAlignment="1">
      <alignment horizontal="right" vertical="center"/>
    </xf>
    <xf numFmtId="0" fontId="23" fillId="15" borderId="37" xfId="0" applyFont="1" applyFill="1" applyBorder="1" applyAlignment="1">
      <alignment wrapText="1" readingOrder="1"/>
    </xf>
    <xf numFmtId="0" fontId="23" fillId="6" borderId="31" xfId="0" applyFont="1" applyFill="1" applyBorder="1" applyAlignment="1">
      <alignment wrapText="1" readingOrder="1"/>
    </xf>
    <xf numFmtId="0" fontId="23" fillId="0" borderId="2" xfId="0" applyFont="1" applyBorder="1" applyAlignment="1">
      <alignment wrapText="1" readingOrder="1"/>
    </xf>
    <xf numFmtId="0" fontId="23" fillId="0" borderId="42" xfId="0" applyFont="1" applyBorder="1" applyAlignment="1">
      <alignment readingOrder="1"/>
    </xf>
    <xf numFmtId="0" fontId="23" fillId="0" borderId="42" xfId="0" applyFont="1" applyBorder="1" applyAlignment="1">
      <alignment wrapText="1" readingOrder="1"/>
    </xf>
    <xf numFmtId="0" fontId="23" fillId="0" borderId="38" xfId="0" applyFont="1" applyBorder="1" applyAlignment="1">
      <alignment wrapText="1" readingOrder="1"/>
    </xf>
    <xf numFmtId="0" fontId="23" fillId="0" borderId="89" xfId="0" applyFont="1" applyBorder="1" applyAlignment="1">
      <alignment readingOrder="1"/>
    </xf>
    <xf numFmtId="2" fontId="3" fillId="15" borderId="3" xfId="0" applyNumberFormat="1" applyFont="1" applyFill="1" applyBorder="1" applyAlignment="1">
      <alignment vertical="top" wrapText="1"/>
    </xf>
    <xf numFmtId="4" fontId="3" fillId="15" borderId="3" xfId="0" applyNumberFormat="1" applyFont="1" applyFill="1" applyBorder="1" applyAlignment="1">
      <alignment horizontal="right" vertical="center" wrapText="1"/>
    </xf>
    <xf numFmtId="4" fontId="3" fillId="0" borderId="10" xfId="0" applyNumberFormat="1" applyFont="1" applyBorder="1" applyAlignment="1">
      <alignment horizontal="right" wrapText="1"/>
    </xf>
    <xf numFmtId="2" fontId="0" fillId="6" borderId="2" xfId="0" applyNumberFormat="1" applyFill="1" applyBorder="1"/>
    <xf numFmtId="2" fontId="3" fillId="4" borderId="5" xfId="0" applyNumberFormat="1" applyFont="1" applyFill="1" applyBorder="1"/>
    <xf numFmtId="2" fontId="0" fillId="0" borderId="2" xfId="0" applyNumberFormat="1" applyBorder="1"/>
    <xf numFmtId="2" fontId="3" fillId="0" borderId="5" xfId="0" applyNumberFormat="1" applyFont="1" applyBorder="1"/>
    <xf numFmtId="4" fontId="3" fillId="0" borderId="3" xfId="0" applyNumberFormat="1" applyFont="1" applyBorder="1" applyAlignment="1">
      <alignment horizontal="right" wrapText="1"/>
    </xf>
    <xf numFmtId="165" fontId="3" fillId="4" borderId="3" xfId="0" applyNumberFormat="1" applyFont="1" applyFill="1" applyBorder="1" applyAlignment="1">
      <alignment horizontal="right" wrapText="1"/>
    </xf>
    <xf numFmtId="165" fontId="3" fillId="0" borderId="2" xfId="0" applyNumberFormat="1" applyFont="1" applyBorder="1" applyAlignment="1">
      <alignment horizontal="right" wrapText="1"/>
    </xf>
    <xf numFmtId="3" fontId="3" fillId="6" borderId="2" xfId="0" applyNumberFormat="1" applyFont="1" applyFill="1" applyBorder="1" applyAlignment="1">
      <alignment horizontal="right" vertical="center" wrapText="1"/>
    </xf>
    <xf numFmtId="0" fontId="28" fillId="0" borderId="2" xfId="0" applyFont="1" applyBorder="1" applyAlignment="1">
      <alignment wrapText="1"/>
    </xf>
    <xf numFmtId="4" fontId="3" fillId="4" borderId="9" xfId="0" applyNumberFormat="1" applyFont="1" applyFill="1" applyBorder="1" applyAlignment="1">
      <alignment horizontal="right" wrapText="1"/>
    </xf>
    <xf numFmtId="0" fontId="3" fillId="0" borderId="8" xfId="0" applyFont="1" applyBorder="1" applyAlignment="1">
      <alignment horizontal="center" wrapText="1"/>
    </xf>
    <xf numFmtId="0" fontId="3" fillId="0" borderId="14" xfId="0" applyFont="1" applyBorder="1"/>
    <xf numFmtId="0" fontId="3" fillId="0" borderId="10" xfId="0" applyFont="1" applyBorder="1"/>
    <xf numFmtId="0" fontId="0" fillId="0" borderId="2" xfId="0" applyBorder="1" applyAlignment="1">
      <alignment horizontal="left"/>
    </xf>
    <xf numFmtId="0" fontId="22" fillId="9" borderId="2" xfId="0" applyFont="1" applyFill="1" applyBorder="1" applyAlignment="1">
      <alignment vertical="top" readingOrder="1"/>
    </xf>
    <xf numFmtId="0" fontId="21" fillId="9" borderId="2" xfId="0" applyFont="1" applyFill="1" applyBorder="1" applyAlignment="1">
      <alignment vertical="top" wrapText="1" readingOrder="1"/>
    </xf>
    <xf numFmtId="0" fontId="22" fillId="14" borderId="2" xfId="0" applyFont="1" applyFill="1" applyBorder="1" applyAlignment="1">
      <alignment vertical="top" readingOrder="1"/>
    </xf>
    <xf numFmtId="0" fontId="21" fillId="0" borderId="2" xfId="0" applyFont="1" applyBorder="1" applyAlignment="1">
      <alignment vertical="top" wrapText="1" readingOrder="1"/>
    </xf>
    <xf numFmtId="0" fontId="23" fillId="0" borderId="2" xfId="0" applyFont="1" applyBorder="1" applyAlignment="1">
      <alignment vertical="top" wrapText="1" readingOrder="1"/>
    </xf>
    <xf numFmtId="0" fontId="23" fillId="0" borderId="2" xfId="0" applyFont="1" applyBorder="1" applyAlignment="1">
      <alignment vertical="center" readingOrder="1"/>
    </xf>
    <xf numFmtId="0" fontId="23" fillId="0" borderId="2" xfId="0" applyFont="1" applyBorder="1" applyAlignment="1">
      <alignment vertical="top" readingOrder="1"/>
    </xf>
    <xf numFmtId="0" fontId="21" fillId="9" borderId="1" xfId="0" applyFont="1" applyFill="1" applyBorder="1" applyAlignment="1">
      <alignment readingOrder="1"/>
    </xf>
    <xf numFmtId="0" fontId="23" fillId="0" borderId="34" xfId="0" applyFont="1" applyBorder="1" applyAlignment="1">
      <alignment readingOrder="1"/>
    </xf>
    <xf numFmtId="0" fontId="21" fillId="9" borderId="16" xfId="0" applyFont="1" applyFill="1" applyBorder="1" applyAlignment="1">
      <alignment vertical="top" wrapText="1" readingOrder="1"/>
    </xf>
    <xf numFmtId="0" fontId="21" fillId="0" borderId="43" xfId="0" applyFont="1" applyBorder="1" applyAlignment="1">
      <alignment vertical="top" wrapText="1" readingOrder="1"/>
    </xf>
    <xf numFmtId="0" fontId="23" fillId="0" borderId="43" xfId="0" applyFont="1" applyBorder="1" applyAlignment="1">
      <alignment vertical="top" wrapText="1" readingOrder="1"/>
    </xf>
    <xf numFmtId="0" fontId="21" fillId="9" borderId="43" xfId="0" applyFont="1" applyFill="1" applyBorder="1" applyAlignment="1">
      <alignment vertical="top" wrapText="1" readingOrder="1"/>
    </xf>
    <xf numFmtId="0" fontId="23" fillId="0" borderId="36" xfId="0" applyFont="1" applyBorder="1" applyAlignment="1">
      <alignment vertical="top" wrapText="1" readingOrder="1"/>
    </xf>
    <xf numFmtId="0" fontId="22" fillId="10" borderId="10" xfId="0" applyFont="1" applyFill="1" applyBorder="1" applyAlignment="1">
      <alignment horizontal="center" vertical="center" readingOrder="1"/>
    </xf>
    <xf numFmtId="0" fontId="22" fillId="10" borderId="10" xfId="0" applyFont="1" applyFill="1" applyBorder="1" applyAlignment="1">
      <alignment horizontal="center" vertical="top" readingOrder="1"/>
    </xf>
    <xf numFmtId="0" fontId="22" fillId="10" borderId="10" xfId="0" applyFont="1" applyFill="1" applyBorder="1" applyAlignment="1">
      <alignment horizontal="center" vertical="top" wrapText="1" readingOrder="1"/>
    </xf>
    <xf numFmtId="0" fontId="23" fillId="0" borderId="90" xfId="0" applyFont="1" applyBorder="1" applyAlignment="1">
      <alignment vertical="top" readingOrder="1"/>
    </xf>
    <xf numFmtId="0" fontId="23" fillId="0" borderId="40" xfId="0" applyFont="1" applyBorder="1" applyAlignment="1">
      <alignment vertical="top" wrapText="1" readingOrder="1"/>
    </xf>
    <xf numFmtId="0" fontId="3" fillId="0" borderId="14" xfId="0" applyFont="1" applyBorder="1" applyAlignment="1">
      <alignment horizontal="left"/>
    </xf>
    <xf numFmtId="0" fontId="23" fillId="0" borderId="14" xfId="0" applyFont="1" applyBorder="1" applyAlignment="1">
      <alignment vertical="top" wrapText="1" readingOrder="1"/>
    </xf>
    <xf numFmtId="0" fontId="21" fillId="9" borderId="14" xfId="0" applyFont="1" applyFill="1" applyBorder="1" applyAlignment="1">
      <alignment readingOrder="1"/>
    </xf>
    <xf numFmtId="2" fontId="3" fillId="0" borderId="14" xfId="0" applyNumberFormat="1" applyFont="1" applyBorder="1"/>
    <xf numFmtId="166" fontId="3" fillId="0" borderId="14" xfId="0" applyNumberFormat="1" applyFont="1" applyBorder="1"/>
    <xf numFmtId="0" fontId="9" fillId="0" borderId="2" xfId="0" applyFont="1" applyBorder="1" applyAlignment="1">
      <alignment horizontal="center" vertical="center" wrapText="1"/>
    </xf>
    <xf numFmtId="0" fontId="3" fillId="0" borderId="0" xfId="0" applyFont="1" applyAlignment="1">
      <alignment horizontal="center" wrapText="1"/>
    </xf>
    <xf numFmtId="0" fontId="3" fillId="6" borderId="9" xfId="0" applyFont="1" applyFill="1" applyBorder="1" applyAlignment="1">
      <alignment vertical="center"/>
    </xf>
    <xf numFmtId="0" fontId="2" fillId="0" borderId="9" xfId="0" applyFont="1" applyBorder="1"/>
    <xf numFmtId="0" fontId="1" fillId="0" borderId="0" xfId="0" applyFont="1" applyAlignment="1">
      <alignment horizontal="center" vertical="center" wrapText="1"/>
    </xf>
    <xf numFmtId="2" fontId="23" fillId="6" borderId="37" xfId="0" applyNumberFormat="1" applyFont="1" applyFill="1" applyBorder="1" applyAlignment="1">
      <alignment readingOrder="1"/>
    </xf>
    <xf numFmtId="2" fontId="23" fillId="9" borderId="37" xfId="0" applyNumberFormat="1" applyFont="1" applyFill="1" applyBorder="1" applyAlignment="1">
      <alignment horizontal="right" readingOrder="1"/>
    </xf>
    <xf numFmtId="2" fontId="23" fillId="0" borderId="37" xfId="0" applyNumberFormat="1" applyFont="1" applyBorder="1" applyAlignment="1">
      <alignment horizontal="right" readingOrder="1"/>
    </xf>
    <xf numFmtId="2" fontId="23" fillId="14" borderId="37" xfId="0" applyNumberFormat="1" applyFont="1" applyFill="1" applyBorder="1" applyAlignment="1">
      <alignment readingOrder="1"/>
    </xf>
    <xf numFmtId="3" fontId="21" fillId="0" borderId="37" xfId="0" applyNumberFormat="1" applyFont="1" applyBorder="1" applyAlignment="1">
      <alignment wrapText="1" readingOrder="1"/>
    </xf>
    <xf numFmtId="2" fontId="21" fillId="9" borderId="37" xfId="0" applyNumberFormat="1" applyFont="1" applyFill="1" applyBorder="1" applyAlignment="1">
      <alignment horizontal="center" readingOrder="1"/>
    </xf>
    <xf numFmtId="2" fontId="23" fillId="14" borderId="37" xfId="0" applyNumberFormat="1" applyFont="1" applyFill="1" applyBorder="1" applyAlignment="1">
      <alignment horizontal="center" readingOrder="1"/>
    </xf>
    <xf numFmtId="0" fontId="22" fillId="9" borderId="5" xfId="0" applyFont="1" applyFill="1" applyBorder="1" applyAlignment="1">
      <alignment vertical="top" readingOrder="1"/>
    </xf>
    <xf numFmtId="0" fontId="22" fillId="14" borderId="5" xfId="0" applyFont="1" applyFill="1" applyBorder="1" applyAlignment="1">
      <alignment vertical="top" readingOrder="1"/>
    </xf>
    <xf numFmtId="2" fontId="21" fillId="6" borderId="37" xfId="0" applyNumberFormat="1" applyFont="1" applyFill="1" applyBorder="1" applyAlignment="1">
      <alignment wrapText="1" readingOrder="1"/>
    </xf>
    <xf numFmtId="2" fontId="21" fillId="6" borderId="37" xfId="0" applyNumberFormat="1" applyFont="1" applyFill="1" applyBorder="1" applyAlignment="1">
      <alignment readingOrder="1"/>
    </xf>
    <xf numFmtId="164" fontId="3" fillId="0" borderId="15" xfId="0" applyNumberFormat="1" applyFont="1" applyBorder="1"/>
    <xf numFmtId="166" fontId="3" fillId="0" borderId="15" xfId="0" applyNumberFormat="1" applyFont="1" applyBorder="1"/>
    <xf numFmtId="0" fontId="23" fillId="0" borderId="90" xfId="0" applyFont="1" applyBorder="1" applyAlignment="1">
      <alignment readingOrder="1"/>
    </xf>
    <xf numFmtId="0" fontId="23" fillId="0" borderId="50" xfId="0" applyFont="1" applyBorder="1" applyAlignment="1">
      <alignment readingOrder="1"/>
    </xf>
    <xf numFmtId="0" fontId="23" fillId="0" borderId="36" xfId="0" applyFont="1" applyBorder="1" applyAlignment="1">
      <alignment readingOrder="1"/>
    </xf>
    <xf numFmtId="0" fontId="23" fillId="0" borderId="91" xfId="0" applyFont="1" applyBorder="1" applyAlignment="1">
      <alignment readingOrder="1"/>
    </xf>
    <xf numFmtId="0" fontId="23" fillId="0" borderId="18" xfId="0" applyFont="1" applyBorder="1" applyAlignment="1">
      <alignment vertical="top" readingOrder="1"/>
    </xf>
    <xf numFmtId="0" fontId="23" fillId="0" borderId="2" xfId="0" applyFont="1" applyBorder="1" applyAlignment="1">
      <alignment horizontal="center" vertical="top" readingOrder="1"/>
    </xf>
    <xf numFmtId="4" fontId="29" fillId="0" borderId="2" xfId="0" applyNumberFormat="1" applyFont="1" applyBorder="1" applyAlignment="1">
      <alignment vertical="top" readingOrder="1"/>
    </xf>
    <xf numFmtId="4" fontId="29" fillId="0" borderId="76" xfId="0" applyNumberFormat="1" applyFont="1" applyBorder="1" applyAlignment="1">
      <alignment vertical="top" readingOrder="1"/>
    </xf>
    <xf numFmtId="2" fontId="29" fillId="0" borderId="2" xfId="0" applyNumberFormat="1" applyFont="1" applyBorder="1" applyAlignment="1">
      <alignment vertical="top" readingOrder="1"/>
    </xf>
    <xf numFmtId="2" fontId="29" fillId="0" borderId="76" xfId="0" applyNumberFormat="1" applyFont="1" applyBorder="1" applyAlignment="1">
      <alignment vertical="top" readingOrder="1"/>
    </xf>
    <xf numFmtId="0" fontId="29" fillId="0" borderId="2" xfId="0" applyFont="1" applyBorder="1" applyAlignment="1">
      <alignment vertical="top" readingOrder="1"/>
    </xf>
    <xf numFmtId="0" fontId="29" fillId="0" borderId="76" xfId="0" applyFont="1" applyBorder="1" applyAlignment="1">
      <alignment vertical="top" readingOrder="1"/>
    </xf>
    <xf numFmtId="2" fontId="29" fillId="0" borderId="2" xfId="0" applyNumberFormat="1" applyFont="1" applyBorder="1" applyAlignment="1">
      <alignment horizontal="center" vertical="top" readingOrder="1"/>
    </xf>
    <xf numFmtId="2" fontId="29" fillId="0" borderId="76" xfId="0" applyNumberFormat="1" applyFont="1" applyBorder="1" applyAlignment="1">
      <alignment horizontal="center" vertical="top" readingOrder="1"/>
    </xf>
    <xf numFmtId="0" fontId="29" fillId="0" borderId="2" xfId="0" applyFont="1" applyBorder="1" applyAlignment="1">
      <alignment horizontal="center" vertical="top" readingOrder="1"/>
    </xf>
    <xf numFmtId="0" fontId="29" fillId="0" borderId="76" xfId="0" applyFont="1" applyBorder="1" applyAlignment="1">
      <alignment horizontal="center" vertical="top" readingOrder="1"/>
    </xf>
    <xf numFmtId="0" fontId="23" fillId="0" borderId="77" xfId="0" applyFont="1" applyBorder="1" applyAlignment="1">
      <alignment vertical="top" readingOrder="1"/>
    </xf>
    <xf numFmtId="0" fontId="23" fillId="0" borderId="78" xfId="0" applyFont="1" applyBorder="1" applyAlignment="1">
      <alignment horizontal="center" vertical="top" readingOrder="1"/>
    </xf>
    <xf numFmtId="2" fontId="29" fillId="0" borderId="78" xfId="0" applyNumberFormat="1" applyFont="1" applyBorder="1" applyAlignment="1">
      <alignment vertical="top" readingOrder="1"/>
    </xf>
    <xf numFmtId="2" fontId="29" fillId="0" borderId="78" xfId="0" applyNumberFormat="1" applyFont="1" applyBorder="1" applyAlignment="1">
      <alignment horizontal="center" vertical="top" readingOrder="1"/>
    </xf>
    <xf numFmtId="2" fontId="29" fillId="0" borderId="79" xfId="0" applyNumberFormat="1" applyFont="1" applyBorder="1" applyAlignment="1">
      <alignment horizontal="center" vertical="top" readingOrder="1"/>
    </xf>
    <xf numFmtId="0" fontId="30" fillId="0" borderId="78" xfId="0" applyFont="1" applyBorder="1" applyAlignment="1">
      <alignment horizontal="center" vertical="center" readingOrder="1"/>
    </xf>
    <xf numFmtId="0" fontId="30" fillId="0" borderId="78" xfId="0" applyFont="1" applyBorder="1" applyAlignment="1">
      <alignment horizontal="center" vertical="center" wrapText="1" readingOrder="1"/>
    </xf>
    <xf numFmtId="0" fontId="30" fillId="0" borderId="79" xfId="0" applyFont="1" applyBorder="1" applyAlignment="1">
      <alignment horizontal="center" vertical="center" readingOrder="1"/>
    </xf>
    <xf numFmtId="0" fontId="23" fillId="0" borderId="13" xfId="0" applyFont="1" applyBorder="1" applyAlignment="1">
      <alignment vertical="top" readingOrder="1"/>
    </xf>
    <xf numFmtId="0" fontId="31" fillId="0" borderId="3" xfId="0" applyFont="1" applyBorder="1" applyAlignment="1">
      <alignment vertical="top" wrapText="1" readingOrder="1"/>
    </xf>
    <xf numFmtId="0" fontId="30" fillId="0" borderId="3" xfId="0" applyFont="1" applyBorder="1" applyAlignment="1">
      <alignment horizontal="center" vertical="top" readingOrder="1"/>
    </xf>
    <xf numFmtId="0" fontId="30" fillId="0" borderId="3" xfId="0" applyFont="1" applyBorder="1" applyAlignment="1">
      <alignment horizontal="center" vertical="top" wrapText="1" readingOrder="1"/>
    </xf>
    <xf numFmtId="0" fontId="30" fillId="0" borderId="92" xfId="0" applyFont="1" applyBorder="1" applyAlignment="1">
      <alignment horizontal="center" vertical="top" readingOrder="1"/>
    </xf>
    <xf numFmtId="0" fontId="23" fillId="0" borderId="93" xfId="0" applyFont="1" applyBorder="1" applyAlignment="1">
      <alignment readingOrder="1"/>
    </xf>
    <xf numFmtId="0" fontId="23" fillId="0" borderId="68" xfId="0" applyFont="1" applyBorder="1" applyAlignment="1">
      <alignment readingOrder="1"/>
    </xf>
    <xf numFmtId="0" fontId="23" fillId="0" borderId="94" xfId="0" applyFont="1" applyBorder="1" applyAlignment="1">
      <alignment readingOrder="1"/>
    </xf>
    <xf numFmtId="0" fontId="23" fillId="0" borderId="73" xfId="0" applyFont="1" applyBorder="1" applyAlignment="1">
      <alignment readingOrder="1"/>
    </xf>
    <xf numFmtId="0" fontId="23" fillId="0" borderId="74" xfId="0" applyFont="1" applyBorder="1" applyAlignment="1">
      <alignment readingOrder="1"/>
    </xf>
    <xf numFmtId="0" fontId="23" fillId="0" borderId="75" xfId="0" applyFont="1" applyBorder="1" applyAlignment="1">
      <alignment readingOrder="1"/>
    </xf>
    <xf numFmtId="2" fontId="29" fillId="0" borderId="79" xfId="0" applyNumberFormat="1" applyFont="1" applyBorder="1" applyAlignment="1">
      <alignment vertical="top" readingOrder="1"/>
    </xf>
    <xf numFmtId="2" fontId="21" fillId="9" borderId="57" xfId="0" applyNumberFormat="1" applyFont="1" applyFill="1" applyBorder="1" applyAlignment="1">
      <alignment readingOrder="1"/>
    </xf>
    <xf numFmtId="0" fontId="21" fillId="13" borderId="2" xfId="0" applyFont="1" applyFill="1" applyBorder="1" applyAlignment="1">
      <alignment readingOrder="1"/>
    </xf>
    <xf numFmtId="0" fontId="21" fillId="13" borderId="57" xfId="0" applyFont="1" applyFill="1" applyBorder="1" applyAlignment="1">
      <alignment readingOrder="1"/>
    </xf>
    <xf numFmtId="0" fontId="21" fillId="0" borderId="19" xfId="0" applyFont="1" applyBorder="1" applyAlignment="1">
      <alignment readingOrder="1"/>
    </xf>
    <xf numFmtId="0" fontId="21" fillId="13" borderId="19" xfId="0" applyFont="1" applyFill="1" applyBorder="1" applyAlignment="1">
      <alignment readingOrder="1"/>
    </xf>
    <xf numFmtId="0" fontId="21" fillId="9" borderId="37" xfId="0" applyFont="1" applyFill="1" applyBorder="1" applyAlignment="1">
      <alignment horizontal="right" readingOrder="1"/>
    </xf>
    <xf numFmtId="0" fontId="21" fillId="0" borderId="37" xfId="0" applyFont="1" applyBorder="1" applyAlignment="1">
      <alignment horizontal="right" readingOrder="1"/>
    </xf>
    <xf numFmtId="0" fontId="21" fillId="9" borderId="37" xfId="0" applyFont="1" applyFill="1" applyBorder="1" applyAlignment="1">
      <alignment horizontal="right" wrapText="1" readingOrder="1"/>
    </xf>
    <xf numFmtId="0" fontId="21" fillId="0" borderId="37" xfId="0" applyFont="1" applyBorder="1" applyAlignment="1">
      <alignment horizontal="right" wrapText="1" readingOrder="1"/>
    </xf>
    <xf numFmtId="0" fontId="23" fillId="0" borderId="37" xfId="0" applyFont="1" applyBorder="1" applyAlignment="1">
      <alignment horizontal="right" readingOrder="1"/>
    </xf>
    <xf numFmtId="0" fontId="23" fillId="10" borderId="37" xfId="0" applyFont="1" applyFill="1" applyBorder="1" applyAlignment="1">
      <alignment horizontal="right" readingOrder="1"/>
    </xf>
    <xf numFmtId="2" fontId="23" fillId="0" borderId="41" xfId="0" applyNumberFormat="1" applyFont="1" applyBorder="1" applyAlignment="1">
      <alignment horizontal="center" vertical="center" readingOrder="1"/>
    </xf>
    <xf numFmtId="0" fontId="23" fillId="0" borderId="41" xfId="0" applyFont="1" applyBorder="1" applyAlignment="1">
      <alignment horizontal="center" vertical="center" readingOrder="1"/>
    </xf>
    <xf numFmtId="2" fontId="21" fillId="14" borderId="37" xfId="0" applyNumberFormat="1" applyFont="1" applyFill="1" applyBorder="1" applyAlignment="1">
      <alignment horizontal="center" vertical="center" wrapText="1" readingOrder="1"/>
    </xf>
    <xf numFmtId="2" fontId="21" fillId="10" borderId="37" xfId="0" applyNumberFormat="1" applyFont="1" applyFill="1" applyBorder="1" applyAlignment="1">
      <alignment horizontal="center" vertical="center" wrapText="1" readingOrder="1"/>
    </xf>
    <xf numFmtId="0" fontId="21" fillId="10" borderId="37" xfId="0" applyFont="1" applyFill="1" applyBorder="1" applyAlignment="1">
      <alignment horizontal="center" vertical="center" wrapText="1" readingOrder="1"/>
    </xf>
    <xf numFmtId="165" fontId="21" fillId="9" borderId="37" xfId="0" applyNumberFormat="1" applyFont="1" applyFill="1" applyBorder="1" applyAlignment="1">
      <alignment horizontal="center" vertical="center" wrapText="1" readingOrder="1"/>
    </xf>
    <xf numFmtId="165" fontId="21" fillId="13" borderId="37" xfId="0" applyNumberFormat="1" applyFont="1" applyFill="1" applyBorder="1" applyAlignment="1">
      <alignment horizontal="center" vertical="center" readingOrder="1"/>
    </xf>
    <xf numFmtId="165" fontId="23" fillId="9" borderId="37" xfId="0" applyNumberFormat="1" applyFont="1" applyFill="1" applyBorder="1" applyAlignment="1">
      <alignment horizontal="center" vertical="center" readingOrder="1"/>
    </xf>
    <xf numFmtId="0" fontId="23" fillId="9" borderId="37" xfId="0" applyFont="1" applyFill="1" applyBorder="1" applyAlignment="1">
      <alignment horizontal="center" vertical="center" readingOrder="1"/>
    </xf>
    <xf numFmtId="165" fontId="21" fillId="9" borderId="37" xfId="0" applyNumberFormat="1" applyFont="1" applyFill="1" applyBorder="1" applyAlignment="1">
      <alignment horizontal="center" vertical="center" readingOrder="1"/>
    </xf>
    <xf numFmtId="165" fontId="21" fillId="0" borderId="37" xfId="0" applyNumberFormat="1" applyFont="1" applyBorder="1" applyAlignment="1">
      <alignment horizontal="center" vertical="center" wrapText="1" readingOrder="1"/>
    </xf>
    <xf numFmtId="165" fontId="21" fillId="0" borderId="37" xfId="0" applyNumberFormat="1" applyFont="1" applyBorder="1" applyAlignment="1">
      <alignment horizontal="center" vertical="center" readingOrder="1"/>
    </xf>
    <xf numFmtId="165" fontId="23" fillId="0" borderId="37" xfId="0" applyNumberFormat="1" applyFont="1" applyBorder="1" applyAlignment="1">
      <alignment horizontal="center" vertical="center" readingOrder="1"/>
    </xf>
    <xf numFmtId="0" fontId="23" fillId="0" borderId="37" xfId="0" applyFont="1" applyBorder="1" applyAlignment="1">
      <alignment horizontal="center" vertical="center" readingOrder="1"/>
    </xf>
    <xf numFmtId="0" fontId="31" fillId="0" borderId="74" xfId="0" applyFont="1" applyBorder="1" applyAlignment="1">
      <alignment horizontal="center" vertical="center" wrapText="1" readingOrder="1"/>
    </xf>
    <xf numFmtId="0" fontId="31" fillId="0" borderId="78" xfId="0" applyFont="1" applyBorder="1" applyAlignment="1">
      <alignment horizontal="center" vertical="center" wrapText="1" readingOrder="1"/>
    </xf>
    <xf numFmtId="0" fontId="31" fillId="0" borderId="8" xfId="0" applyFont="1" applyBorder="1" applyAlignment="1">
      <alignment horizontal="center" vertical="center" readingOrder="1"/>
    </xf>
    <xf numFmtId="0" fontId="31" fillId="0" borderId="15" xfId="0" applyFont="1" applyBorder="1" applyAlignment="1">
      <alignment horizontal="center" vertical="center" readingOrder="1"/>
    </xf>
    <xf numFmtId="0" fontId="31" fillId="0" borderId="68" xfId="0" applyFont="1" applyBorder="1" applyAlignment="1">
      <alignment horizontal="center" vertical="center" readingOrder="1"/>
    </xf>
    <xf numFmtId="0" fontId="31" fillId="0" borderId="74" xfId="0" applyFont="1" applyBorder="1" applyAlignment="1">
      <alignment horizontal="center" vertical="center" readingOrder="1"/>
    </xf>
    <xf numFmtId="0" fontId="31" fillId="0" borderId="75" xfId="0" applyFont="1" applyBorder="1" applyAlignment="1">
      <alignment horizontal="center" vertical="center" readingOrder="1"/>
    </xf>
    <xf numFmtId="0" fontId="31" fillId="0" borderId="73" xfId="0" applyFont="1" applyBorder="1" applyAlignment="1">
      <alignment horizontal="center" vertical="center" readingOrder="1"/>
    </xf>
    <xf numFmtId="0" fontId="31" fillId="0" borderId="77" xfId="0" applyFont="1" applyBorder="1" applyAlignment="1">
      <alignment horizontal="center" vertical="center" readingOrder="1"/>
    </xf>
    <xf numFmtId="0" fontId="1" fillId="0" borderId="2" xfId="0" applyFont="1" applyBorder="1" applyAlignment="1">
      <alignment horizontal="center"/>
    </xf>
    <xf numFmtId="0" fontId="3" fillId="0" borderId="9"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2" xfId="0" applyFont="1" applyBorder="1" applyAlignment="1">
      <alignment wrapText="1"/>
    </xf>
    <xf numFmtId="0" fontId="3" fillId="0" borderId="2" xfId="0" applyFont="1" applyBorder="1" applyAlignment="1">
      <alignment horizontal="center"/>
    </xf>
    <xf numFmtId="0" fontId="1" fillId="18" borderId="73" xfId="0" applyFont="1" applyFill="1" applyBorder="1" applyAlignment="1">
      <alignment horizontal="center"/>
    </xf>
    <xf numFmtId="0" fontId="1" fillId="18" borderId="74" xfId="0" applyFont="1" applyFill="1" applyBorder="1" applyAlignment="1">
      <alignment horizontal="center"/>
    </xf>
    <xf numFmtId="0" fontId="1" fillId="18" borderId="75" xfId="0" applyFont="1" applyFill="1" applyBorder="1" applyAlignment="1">
      <alignment horizontal="center"/>
    </xf>
    <xf numFmtId="0" fontId="1" fillId="18" borderId="18" xfId="0" applyFont="1" applyFill="1" applyBorder="1" applyAlignment="1">
      <alignment horizontal="center"/>
    </xf>
    <xf numFmtId="0" fontId="1" fillId="18" borderId="2" xfId="0" applyFont="1" applyFill="1" applyBorder="1" applyAlignment="1">
      <alignment horizontal="center"/>
    </xf>
    <xf numFmtId="0" fontId="1" fillId="18" borderId="76" xfId="0" applyFont="1" applyFill="1" applyBorder="1" applyAlignment="1">
      <alignment horizontal="center"/>
    </xf>
    <xf numFmtId="0" fontId="3" fillId="0" borderId="2" xfId="0" applyFont="1" applyBorder="1" applyAlignment="1">
      <alignment horizontal="center" wrapText="1"/>
    </xf>
    <xf numFmtId="0" fontId="0" fillId="0" borderId="60" xfId="0" applyBorder="1" applyAlignment="1">
      <alignment horizontal="center" vertical="top" wrapText="1"/>
    </xf>
    <xf numFmtId="0" fontId="0" fillId="0" borderId="61" xfId="0" applyBorder="1" applyAlignment="1">
      <alignment horizontal="center" vertical="top" wrapText="1"/>
    </xf>
    <xf numFmtId="0" fontId="0" fillId="0" borderId="62" xfId="0" applyBorder="1" applyAlignment="1">
      <alignment horizontal="center" vertical="top" wrapText="1"/>
    </xf>
    <xf numFmtId="0" fontId="0" fillId="0" borderId="65" xfId="0" applyBorder="1" applyAlignment="1">
      <alignment horizontal="center" vertical="top" wrapText="1"/>
    </xf>
    <xf numFmtId="0" fontId="0" fillId="0" borderId="66" xfId="0" applyBorder="1" applyAlignment="1">
      <alignment horizontal="center" vertical="top" wrapText="1"/>
    </xf>
    <xf numFmtId="0" fontId="0" fillId="0" borderId="67" xfId="0" applyBorder="1" applyAlignment="1">
      <alignment horizontal="center" vertical="top" wrapText="1"/>
    </xf>
    <xf numFmtId="0" fontId="3" fillId="0" borderId="18" xfId="0" applyFont="1" applyBorder="1" applyAlignment="1">
      <alignment horizontal="center"/>
    </xf>
    <xf numFmtId="0" fontId="3" fillId="0" borderId="80" xfId="0" applyFont="1" applyBorder="1" applyAlignment="1">
      <alignment horizontal="center"/>
    </xf>
    <xf numFmtId="0" fontId="3" fillId="0" borderId="81" xfId="0" applyFont="1" applyBorder="1" applyAlignment="1">
      <alignment horizontal="center"/>
    </xf>
    <xf numFmtId="0" fontId="3" fillId="0" borderId="18" xfId="0" applyFont="1" applyBorder="1" applyAlignment="1">
      <alignment wrapText="1"/>
    </xf>
    <xf numFmtId="0" fontId="0" fillId="0" borderId="0" xfId="0" applyAlignment="1">
      <alignment horizontal="center" vertical="top" wrapText="1"/>
    </xf>
    <xf numFmtId="0" fontId="0" fillId="0" borderId="15" xfId="0" applyBorder="1" applyAlignment="1">
      <alignment horizontal="center" vertical="top" wrapText="1"/>
    </xf>
    <xf numFmtId="0" fontId="1" fillId="2" borderId="8"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11" xfId="0" applyFont="1" applyBorder="1" applyAlignment="1">
      <alignment horizontal="center" vertical="center"/>
    </xf>
    <xf numFmtId="0" fontId="1" fillId="0" borderId="1" xfId="0" applyFont="1" applyBorder="1" applyAlignment="1">
      <alignment horizontal="center"/>
    </xf>
    <xf numFmtId="0" fontId="3" fillId="0" borderId="76" xfId="0" applyFont="1" applyBorder="1" applyAlignment="1">
      <alignment horizontal="center"/>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0" fillId="0" borderId="15" xfId="0" applyBorder="1" applyAlignment="1">
      <alignment horizontal="center" vertical="center" wrapText="1"/>
    </xf>
    <xf numFmtId="0" fontId="0" fillId="0" borderId="64" xfId="0" applyBorder="1" applyAlignment="1">
      <alignment horizontal="center" vertical="center" wrapText="1"/>
    </xf>
    <xf numFmtId="0" fontId="0" fillId="0" borderId="65" xfId="0" applyBorder="1" applyAlignment="1">
      <alignment horizontal="center" vertical="center" wrapText="1"/>
    </xf>
    <xf numFmtId="0" fontId="0" fillId="0" borderId="66" xfId="0" applyBorder="1" applyAlignment="1">
      <alignment horizontal="center" vertical="center" wrapText="1"/>
    </xf>
    <xf numFmtId="0" fontId="0" fillId="0" borderId="67" xfId="0" applyBorder="1" applyAlignment="1">
      <alignment horizontal="center" vertical="center" wrapText="1"/>
    </xf>
    <xf numFmtId="0" fontId="1" fillId="0" borderId="2" xfId="0" applyFont="1" applyBorder="1" applyAlignment="1">
      <alignment horizontal="center" wrapText="1"/>
    </xf>
    <xf numFmtId="0" fontId="3" fillId="0" borderId="10" xfId="0" applyFont="1" applyBorder="1" applyAlignment="1">
      <alignment horizontal="center" wrapText="1"/>
    </xf>
    <xf numFmtId="0" fontId="3" fillId="0" borderId="6" xfId="0" applyFont="1" applyBorder="1" applyAlignment="1">
      <alignment horizontal="center" wrapText="1"/>
    </xf>
    <xf numFmtId="0" fontId="3" fillId="0" borderId="3" xfId="0" applyFont="1" applyBorder="1" applyAlignment="1">
      <alignment horizontal="center" wrapText="1"/>
    </xf>
    <xf numFmtId="0" fontId="3" fillId="0" borderId="10" xfId="0" applyFont="1" applyBorder="1" applyAlignment="1">
      <alignment wrapText="1"/>
    </xf>
    <xf numFmtId="0" fontId="3" fillId="0" borderId="6" xfId="0" applyFont="1" applyBorder="1" applyAlignment="1">
      <alignment wrapText="1"/>
    </xf>
    <xf numFmtId="0" fontId="3" fillId="0" borderId="3" xfId="0" applyFont="1" applyBorder="1" applyAlignment="1">
      <alignment wrapText="1"/>
    </xf>
    <xf numFmtId="0" fontId="1" fillId="0" borderId="9"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2" borderId="11" xfId="0" applyFont="1" applyFill="1" applyBorder="1" applyAlignment="1">
      <alignment horizontal="center" vertical="center"/>
    </xf>
    <xf numFmtId="0" fontId="1" fillId="0" borderId="1" xfId="0" applyFont="1" applyBorder="1" applyAlignment="1">
      <alignment horizontal="center" wrapText="1"/>
    </xf>
    <xf numFmtId="0" fontId="1" fillId="0" borderId="8" xfId="0" applyFont="1" applyBorder="1" applyAlignment="1">
      <alignment horizontal="center"/>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3" xfId="0" applyFont="1" applyBorder="1" applyAlignment="1">
      <alignment horizontal="center" vertical="center" wrapText="1"/>
    </xf>
    <xf numFmtId="0" fontId="0" fillId="0" borderId="60" xfId="0" applyBorder="1" applyAlignment="1">
      <alignment horizontal="left" wrapText="1"/>
    </xf>
    <xf numFmtId="0" fontId="0" fillId="0" borderId="61" xfId="0" applyBorder="1" applyAlignment="1">
      <alignment horizontal="left" wrapText="1"/>
    </xf>
    <xf numFmtId="0" fontId="0" fillId="0" borderId="62" xfId="0" applyBorder="1" applyAlignment="1">
      <alignment horizontal="left" wrapText="1"/>
    </xf>
    <xf numFmtId="0" fontId="0" fillId="0" borderId="63" xfId="0" applyBorder="1" applyAlignment="1">
      <alignment horizontal="left" wrapText="1"/>
    </xf>
    <xf numFmtId="0" fontId="0" fillId="0" borderId="15" xfId="0" applyBorder="1" applyAlignment="1">
      <alignment horizontal="left" wrapText="1"/>
    </xf>
    <xf numFmtId="0" fontId="0" fillId="0" borderId="64" xfId="0" applyBorder="1" applyAlignment="1">
      <alignment horizontal="left" wrapText="1"/>
    </xf>
    <xf numFmtId="0" fontId="0" fillId="0" borderId="65" xfId="0" applyBorder="1" applyAlignment="1">
      <alignment horizontal="left" wrapText="1"/>
    </xf>
    <xf numFmtId="0" fontId="0" fillId="0" borderId="66" xfId="0" applyBorder="1" applyAlignment="1">
      <alignment horizontal="left" wrapText="1"/>
    </xf>
    <xf numFmtId="0" fontId="0" fillId="0" borderId="67" xfId="0" applyBorder="1" applyAlignment="1">
      <alignment horizontal="left" wrapText="1"/>
    </xf>
    <xf numFmtId="0" fontId="1" fillId="2" borderId="15" xfId="0" applyFont="1" applyFill="1" applyBorder="1" applyAlignment="1">
      <alignment horizontal="center" vertical="center"/>
    </xf>
    <xf numFmtId="0" fontId="1" fillId="2" borderId="14" xfId="0" applyFont="1" applyFill="1" applyBorder="1" applyAlignment="1">
      <alignment horizontal="center" vertical="center"/>
    </xf>
    <xf numFmtId="0" fontId="3" fillId="0" borderId="10"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0" xfId="0" applyFont="1" applyBorder="1" applyAlignment="1">
      <alignment horizontal="center" vertical="center" wrapText="1"/>
    </xf>
    <xf numFmtId="0" fontId="3" fillId="0" borderId="61"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63"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64" xfId="0" applyFont="1" applyBorder="1" applyAlignment="1">
      <alignment horizontal="center" vertical="center" wrapText="1"/>
    </xf>
    <xf numFmtId="0" fontId="3" fillId="0" borderId="65" xfId="0" applyFont="1" applyBorder="1" applyAlignment="1">
      <alignment horizontal="center" vertical="center" wrapText="1"/>
    </xf>
    <xf numFmtId="0" fontId="3" fillId="0" borderId="66" xfId="0" applyFont="1" applyBorder="1" applyAlignment="1">
      <alignment horizontal="center" vertical="center" wrapText="1"/>
    </xf>
    <xf numFmtId="0" fontId="3" fillId="0" borderId="67" xfId="0" applyFont="1" applyBorder="1" applyAlignment="1">
      <alignment horizontal="center" vertical="center" wrapText="1"/>
    </xf>
    <xf numFmtId="0" fontId="1" fillId="6" borderId="2" xfId="0" applyFont="1" applyFill="1" applyBorder="1" applyAlignment="1">
      <alignment horizontal="center"/>
    </xf>
    <xf numFmtId="0" fontId="3" fillId="0" borderId="78" xfId="0" applyFont="1" applyBorder="1" applyAlignment="1">
      <alignment horizontal="center"/>
    </xf>
    <xf numFmtId="0" fontId="3" fillId="0" borderId="18" xfId="0" applyFont="1" applyBorder="1" applyAlignment="1">
      <alignment horizontal="center" wrapText="1"/>
    </xf>
    <xf numFmtId="0" fontId="3" fillId="0" borderId="2" xfId="0" applyFont="1" applyBorder="1" applyAlignment="1">
      <alignment horizontal="center" vertical="center" wrapText="1"/>
    </xf>
    <xf numFmtId="4" fontId="1" fillId="0" borderId="10" xfId="0" applyNumberFormat="1" applyFont="1" applyBorder="1" applyAlignment="1">
      <alignment horizontal="center" vertical="center" wrapText="1"/>
    </xf>
    <xf numFmtId="4" fontId="1" fillId="0" borderId="6" xfId="0" applyNumberFormat="1" applyFont="1" applyBorder="1" applyAlignment="1">
      <alignment horizontal="center" vertical="center" wrapText="1"/>
    </xf>
    <xf numFmtId="4" fontId="1" fillId="0" borderId="3" xfId="0" applyNumberFormat="1" applyFont="1" applyBorder="1" applyAlignment="1">
      <alignment horizontal="center" vertical="center" wrapText="1"/>
    </xf>
    <xf numFmtId="0" fontId="1" fillId="16" borderId="11" xfId="0" applyFont="1" applyFill="1" applyBorder="1" applyAlignment="1">
      <alignment horizontal="center" wrapText="1"/>
    </xf>
    <xf numFmtId="0" fontId="1" fillId="16" borderId="7" xfId="0" applyFont="1" applyFill="1" applyBorder="1" applyAlignment="1">
      <alignment horizontal="center" wrapText="1"/>
    </xf>
    <xf numFmtId="0" fontId="1" fillId="16" borderId="1" xfId="0" applyFont="1" applyFill="1" applyBorder="1" applyAlignment="1">
      <alignment horizontal="center" wrapText="1"/>
    </xf>
    <xf numFmtId="0" fontId="1" fillId="16" borderId="16" xfId="0" applyFont="1" applyFill="1" applyBorder="1" applyAlignment="1">
      <alignment horizontal="center" wrapText="1"/>
    </xf>
    <xf numFmtId="0" fontId="13" fillId="0" borderId="10"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3" xfId="0" applyFont="1" applyBorder="1" applyAlignment="1">
      <alignment horizontal="center" vertical="center" wrapText="1"/>
    </xf>
    <xf numFmtId="165" fontId="9" fillId="0" borderId="10" xfId="0" applyNumberFormat="1" applyFont="1" applyBorder="1" applyAlignment="1">
      <alignment horizontal="center" vertical="center" wrapText="1"/>
    </xf>
    <xf numFmtId="165" fontId="9" fillId="0" borderId="6" xfId="0" applyNumberFormat="1" applyFont="1" applyBorder="1" applyAlignment="1">
      <alignment horizontal="center" vertical="center" wrapText="1"/>
    </xf>
    <xf numFmtId="165" fontId="9" fillId="0" borderId="3" xfId="0" applyNumberFormat="1" applyFont="1" applyBorder="1" applyAlignment="1">
      <alignment horizontal="center" vertical="center" wrapText="1"/>
    </xf>
    <xf numFmtId="0" fontId="2" fillId="0" borderId="6" xfId="0" applyFont="1" applyBorder="1" applyAlignment="1">
      <alignment vertical="center"/>
    </xf>
    <xf numFmtId="0" fontId="2" fillId="0" borderId="3" xfId="0" applyFont="1" applyBorder="1" applyAlignment="1">
      <alignment vertical="center"/>
    </xf>
    <xf numFmtId="0" fontId="1" fillId="18" borderId="84" xfId="0" applyFont="1" applyFill="1" applyBorder="1" applyAlignment="1">
      <alignment horizontal="center"/>
    </xf>
    <xf numFmtId="0" fontId="1" fillId="18" borderId="85" xfId="0" applyFont="1" applyFill="1" applyBorder="1" applyAlignment="1">
      <alignment horizontal="center"/>
    </xf>
    <xf numFmtId="0" fontId="1" fillId="18" borderId="80" xfId="0" applyFont="1" applyFill="1" applyBorder="1" applyAlignment="1">
      <alignment horizontal="center"/>
    </xf>
    <xf numFmtId="0" fontId="1" fillId="18" borderId="4" xfId="0" applyFont="1" applyFill="1" applyBorder="1" applyAlignment="1">
      <alignment horizontal="center"/>
    </xf>
    <xf numFmtId="0" fontId="3" fillId="0" borderId="82" xfId="0" applyFont="1" applyBorder="1" applyAlignment="1">
      <alignment vertical="center" wrapText="1"/>
    </xf>
    <xf numFmtId="0" fontId="2" fillId="0" borderId="83" xfId="0" applyFont="1" applyBorder="1" applyAlignment="1">
      <alignment vertical="center"/>
    </xf>
    <xf numFmtId="0" fontId="2" fillId="0" borderId="13" xfId="0" applyFont="1" applyBorder="1" applyAlignment="1">
      <alignment vertical="center"/>
    </xf>
    <xf numFmtId="0" fontId="3" fillId="0" borderId="10" xfId="0" applyFont="1" applyBorder="1" applyAlignment="1">
      <alignment vertical="center" wrapText="1"/>
    </xf>
    <xf numFmtId="0" fontId="27" fillId="0" borderId="60" xfId="0" applyFont="1" applyBorder="1" applyAlignment="1">
      <alignment horizontal="left" wrapText="1"/>
    </xf>
    <xf numFmtId="0" fontId="27" fillId="0" borderId="61" xfId="0" applyFont="1" applyBorder="1" applyAlignment="1">
      <alignment horizontal="left" wrapText="1"/>
    </xf>
    <xf numFmtId="0" fontId="27" fillId="0" borderId="62" xfId="0" applyFont="1" applyBorder="1" applyAlignment="1">
      <alignment horizontal="left" wrapText="1"/>
    </xf>
    <xf numFmtId="0" fontId="27" fillId="0" borderId="63" xfId="0" applyFont="1" applyBorder="1" applyAlignment="1">
      <alignment horizontal="left" wrapText="1"/>
    </xf>
    <xf numFmtId="0" fontId="27" fillId="0" borderId="15" xfId="0" applyFont="1" applyBorder="1" applyAlignment="1">
      <alignment horizontal="left" wrapText="1"/>
    </xf>
    <xf numFmtId="0" fontId="27" fillId="0" borderId="64" xfId="0" applyFont="1" applyBorder="1" applyAlignment="1">
      <alignment horizontal="left" wrapText="1"/>
    </xf>
    <xf numFmtId="0" fontId="27" fillId="0" borderId="65" xfId="0" applyFont="1" applyBorder="1" applyAlignment="1">
      <alignment horizontal="left" wrapText="1"/>
    </xf>
    <xf numFmtId="0" fontId="27" fillId="0" borderId="66" xfId="0" applyFont="1" applyBorder="1" applyAlignment="1">
      <alignment horizontal="left" wrapText="1"/>
    </xf>
    <xf numFmtId="0" fontId="27" fillId="0" borderId="67" xfId="0" applyFont="1" applyBorder="1" applyAlignment="1">
      <alignment horizontal="left" wrapText="1"/>
    </xf>
    <xf numFmtId="0" fontId="1" fillId="2" borderId="11" xfId="0" applyFont="1" applyFill="1" applyBorder="1" applyAlignment="1">
      <alignment horizontal="center"/>
    </xf>
    <xf numFmtId="0" fontId="1" fillId="2" borderId="8"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horizontal="center" vertical="center" wrapText="1"/>
    </xf>
    <xf numFmtId="0" fontId="3" fillId="0" borderId="11" xfId="0" applyFont="1" applyBorder="1" applyAlignment="1">
      <alignment horizontal="center"/>
    </xf>
    <xf numFmtId="0" fontId="3" fillId="0" borderId="12"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15" xfId="0" applyFont="1" applyBorder="1" applyAlignment="1">
      <alignment horizontal="center"/>
    </xf>
    <xf numFmtId="0" fontId="3" fillId="0" borderId="17" xfId="0" applyFont="1" applyBorder="1" applyAlignment="1">
      <alignment horizontal="center"/>
    </xf>
    <xf numFmtId="0" fontId="3" fillId="0" borderId="1" xfId="0" applyFont="1" applyBorder="1" applyAlignment="1">
      <alignment horizontal="center"/>
    </xf>
    <xf numFmtId="0" fontId="3" fillId="0" borderId="14" xfId="0" applyFont="1" applyBorder="1" applyAlignment="1">
      <alignment horizontal="center"/>
    </xf>
    <xf numFmtId="0" fontId="3" fillId="0" borderId="16" xfId="0" applyFont="1" applyBorder="1" applyAlignment="1">
      <alignment horizontal="center"/>
    </xf>
    <xf numFmtId="0" fontId="1" fillId="17" borderId="2" xfId="0" applyFont="1" applyFill="1" applyBorder="1" applyAlignment="1">
      <alignment horizontal="center"/>
    </xf>
    <xf numFmtId="0" fontId="1" fillId="17" borderId="9" xfId="0" applyFont="1" applyFill="1" applyBorder="1" applyAlignment="1">
      <alignment horizontal="center"/>
    </xf>
    <xf numFmtId="0" fontId="1" fillId="17" borderId="4" xfId="0" applyFont="1" applyFill="1" applyBorder="1" applyAlignment="1">
      <alignment horizontal="center"/>
    </xf>
    <xf numFmtId="0" fontId="0" fillId="0" borderId="60" xfId="0" applyBorder="1" applyAlignment="1">
      <alignment horizontal="center" wrapText="1"/>
    </xf>
    <xf numFmtId="0" fontId="0" fillId="0" borderId="61" xfId="0" applyBorder="1" applyAlignment="1">
      <alignment horizontal="center" wrapText="1"/>
    </xf>
    <xf numFmtId="0" fontId="0" fillId="0" borderId="62" xfId="0" applyBorder="1" applyAlignment="1">
      <alignment horizontal="center" wrapText="1"/>
    </xf>
    <xf numFmtId="0" fontId="0" fillId="0" borderId="63" xfId="0" applyBorder="1" applyAlignment="1">
      <alignment horizontal="center" wrapText="1"/>
    </xf>
    <xf numFmtId="0" fontId="0" fillId="0" borderId="15" xfId="0" applyBorder="1" applyAlignment="1">
      <alignment horizontal="center" wrapText="1"/>
    </xf>
    <xf numFmtId="0" fontId="0" fillId="0" borderId="64" xfId="0" applyBorder="1" applyAlignment="1">
      <alignment horizontal="center" wrapText="1"/>
    </xf>
    <xf numFmtId="0" fontId="0" fillId="0" borderId="65" xfId="0" applyBorder="1" applyAlignment="1">
      <alignment horizontal="center" wrapText="1"/>
    </xf>
    <xf numFmtId="0" fontId="0" fillId="0" borderId="66" xfId="0" applyBorder="1" applyAlignment="1">
      <alignment horizontal="center" wrapText="1"/>
    </xf>
    <xf numFmtId="0" fontId="0" fillId="0" borderId="67" xfId="0" applyBorder="1" applyAlignment="1">
      <alignment horizontal="center" wrapText="1"/>
    </xf>
    <xf numFmtId="165" fontId="1" fillId="0" borderId="10" xfId="0" applyNumberFormat="1" applyFont="1" applyBorder="1" applyAlignment="1">
      <alignment horizontal="center" vertical="center" wrapText="1"/>
    </xf>
    <xf numFmtId="165" fontId="1" fillId="0" borderId="6" xfId="0" applyNumberFormat="1" applyFont="1" applyBorder="1" applyAlignment="1">
      <alignment horizontal="center" vertical="center" wrapText="1"/>
    </xf>
    <xf numFmtId="165" fontId="1" fillId="0" borderId="3" xfId="0" applyNumberFormat="1" applyFont="1" applyBorder="1" applyAlignment="1">
      <alignment horizontal="center" vertical="center" wrapText="1"/>
    </xf>
    <xf numFmtId="0" fontId="1" fillId="20" borderId="8" xfId="0" applyFont="1" applyFill="1" applyBorder="1" applyAlignment="1">
      <alignment horizontal="center" vertical="center"/>
    </xf>
    <xf numFmtId="0" fontId="1" fillId="20" borderId="1" xfId="0" applyFont="1" applyFill="1" applyBorder="1" applyAlignment="1">
      <alignment horizontal="center" vertical="center"/>
    </xf>
    <xf numFmtId="0" fontId="0" fillId="0" borderId="60" xfId="0" applyBorder="1" applyAlignment="1">
      <alignment horizontal="left" vertical="center" wrapText="1"/>
    </xf>
    <xf numFmtId="0" fontId="0" fillId="0" borderId="61" xfId="0" applyBorder="1" applyAlignment="1">
      <alignment horizontal="left" vertical="center" wrapText="1"/>
    </xf>
    <xf numFmtId="0" fontId="0" fillId="0" borderId="62" xfId="0" applyBorder="1" applyAlignment="1">
      <alignment horizontal="left" vertical="center" wrapText="1"/>
    </xf>
    <xf numFmtId="0" fontId="0" fillId="0" borderId="63" xfId="0" applyBorder="1" applyAlignment="1">
      <alignment horizontal="left" vertical="center" wrapText="1"/>
    </xf>
    <xf numFmtId="0" fontId="0" fillId="0" borderId="15" xfId="0" applyBorder="1" applyAlignment="1">
      <alignment horizontal="left" vertical="center" wrapText="1"/>
    </xf>
    <xf numFmtId="0" fontId="0" fillId="0" borderId="64" xfId="0" applyBorder="1" applyAlignment="1">
      <alignment horizontal="left" vertical="center" wrapText="1"/>
    </xf>
    <xf numFmtId="0" fontId="0" fillId="0" borderId="65"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left" vertical="center" wrapText="1"/>
    </xf>
    <xf numFmtId="0" fontId="23" fillId="0" borderId="60" xfId="0" applyFont="1" applyBorder="1" applyAlignment="1">
      <alignment horizontal="center" vertical="center" wrapText="1" readingOrder="1"/>
    </xf>
    <xf numFmtId="0" fontId="23" fillId="0" borderId="61" xfId="0" applyFont="1" applyBorder="1" applyAlignment="1">
      <alignment horizontal="center" vertical="center" wrapText="1" readingOrder="1"/>
    </xf>
    <xf numFmtId="0" fontId="23" fillId="0" borderId="62" xfId="0" applyFont="1" applyBorder="1" applyAlignment="1">
      <alignment horizontal="center" vertical="center" wrapText="1" readingOrder="1"/>
    </xf>
    <xf numFmtId="0" fontId="23" fillId="0" borderId="63" xfId="0" applyFont="1" applyBorder="1" applyAlignment="1">
      <alignment horizontal="center" vertical="center" wrapText="1" readingOrder="1"/>
    </xf>
    <xf numFmtId="0" fontId="23" fillId="0" borderId="15" xfId="0" applyFont="1" applyBorder="1" applyAlignment="1">
      <alignment horizontal="center" vertical="center" wrapText="1" readingOrder="1"/>
    </xf>
    <xf numFmtId="0" fontId="23" fillId="0" borderId="64" xfId="0" applyFont="1" applyBorder="1" applyAlignment="1">
      <alignment horizontal="center" vertical="center" wrapText="1" readingOrder="1"/>
    </xf>
    <xf numFmtId="0" fontId="23" fillId="0" borderId="65" xfId="0" applyFont="1" applyBorder="1" applyAlignment="1">
      <alignment horizontal="center" vertical="center" wrapText="1" readingOrder="1"/>
    </xf>
    <xf numFmtId="0" fontId="23" fillId="0" borderId="66" xfId="0" applyFont="1" applyBorder="1" applyAlignment="1">
      <alignment horizontal="center" vertical="center" wrapText="1" readingOrder="1"/>
    </xf>
    <xf numFmtId="0" fontId="23" fillId="0" borderId="67" xfId="0" applyFont="1" applyBorder="1" applyAlignment="1">
      <alignment horizontal="center" vertical="center" wrapText="1" readingOrder="1"/>
    </xf>
    <xf numFmtId="0" fontId="23" fillId="0" borderId="44" xfId="0" applyFont="1" applyBorder="1" applyAlignment="1">
      <alignment readingOrder="1"/>
    </xf>
    <xf numFmtId="0" fontId="23" fillId="0" borderId="26" xfId="0" applyFont="1" applyBorder="1" applyAlignment="1">
      <alignment readingOrder="1"/>
    </xf>
    <xf numFmtId="0" fontId="23" fillId="0" borderId="49" xfId="0" applyFont="1" applyBorder="1" applyAlignment="1">
      <alignment readingOrder="1"/>
    </xf>
    <xf numFmtId="0" fontId="23" fillId="0" borderId="46" xfId="0" applyFont="1" applyBorder="1" applyAlignment="1">
      <alignment readingOrder="1"/>
    </xf>
    <xf numFmtId="0" fontId="23" fillId="0" borderId="47" xfId="0" applyFont="1" applyBorder="1" applyAlignment="1">
      <alignment readingOrder="1"/>
    </xf>
    <xf numFmtId="0" fontId="23" fillId="0" borderId="50" xfId="0" applyFont="1" applyBorder="1" applyAlignment="1">
      <alignment readingOrder="1"/>
    </xf>
    <xf numFmtId="0" fontId="22" fillId="11" borderId="21" xfId="0" applyFont="1" applyFill="1" applyBorder="1" applyAlignment="1">
      <alignment horizontal="center" readingOrder="1"/>
    </xf>
    <xf numFmtId="0" fontId="22" fillId="11" borderId="22" xfId="0" applyFont="1" applyFill="1" applyBorder="1" applyAlignment="1">
      <alignment horizontal="center" readingOrder="1"/>
    </xf>
    <xf numFmtId="0" fontId="22" fillId="11" borderId="23" xfId="0" applyFont="1" applyFill="1" applyBorder="1" applyAlignment="1">
      <alignment horizontal="center" readingOrder="1"/>
    </xf>
    <xf numFmtId="0" fontId="22" fillId="11" borderId="28" xfId="0" applyFont="1" applyFill="1" applyBorder="1" applyAlignment="1">
      <alignment horizontal="center" readingOrder="1"/>
    </xf>
    <xf numFmtId="0" fontId="22" fillId="11" borderId="29" xfId="0" applyFont="1" applyFill="1" applyBorder="1" applyAlignment="1">
      <alignment horizontal="center" readingOrder="1"/>
    </xf>
    <xf numFmtId="0" fontId="22" fillId="11" borderId="30" xfId="0" applyFont="1" applyFill="1" applyBorder="1" applyAlignment="1">
      <alignment horizontal="center" readingOrder="1"/>
    </xf>
    <xf numFmtId="0" fontId="22" fillId="11" borderId="34" xfId="0" applyFont="1" applyFill="1" applyBorder="1" applyAlignment="1">
      <alignment horizontal="center" readingOrder="1"/>
    </xf>
    <xf numFmtId="0" fontId="22" fillId="11" borderId="35" xfId="0" applyFont="1" applyFill="1" applyBorder="1" applyAlignment="1">
      <alignment horizontal="center" readingOrder="1"/>
    </xf>
    <xf numFmtId="0" fontId="22" fillId="11" borderId="36" xfId="0" applyFont="1" applyFill="1" applyBorder="1" applyAlignment="1">
      <alignment horizontal="center" readingOrder="1"/>
    </xf>
    <xf numFmtId="0" fontId="22" fillId="0" borderId="21" xfId="0" applyFont="1" applyBorder="1" applyAlignment="1">
      <alignment horizontal="center" readingOrder="1"/>
    </xf>
    <xf numFmtId="0" fontId="22" fillId="0" borderId="22" xfId="0" applyFont="1" applyBorder="1" applyAlignment="1">
      <alignment horizontal="center" readingOrder="1"/>
    </xf>
    <xf numFmtId="0" fontId="22" fillId="0" borderId="23" xfId="0" applyFont="1" applyBorder="1" applyAlignment="1">
      <alignment horizontal="center" readingOrder="1"/>
    </xf>
    <xf numFmtId="0" fontId="22" fillId="0" borderId="34" xfId="0" applyFont="1" applyBorder="1" applyAlignment="1">
      <alignment horizontal="center" readingOrder="1"/>
    </xf>
    <xf numFmtId="0" fontId="22" fillId="0" borderId="35" xfId="0" applyFont="1" applyBorder="1" applyAlignment="1">
      <alignment horizontal="center" readingOrder="1"/>
    </xf>
    <xf numFmtId="0" fontId="22" fillId="0" borderId="36" xfId="0" applyFont="1" applyBorder="1" applyAlignment="1">
      <alignment horizontal="center" readingOrder="1"/>
    </xf>
    <xf numFmtId="0" fontId="22" fillId="0" borderId="10" xfId="0" applyFont="1" applyBorder="1" applyAlignment="1">
      <alignment horizontal="center" wrapText="1" readingOrder="1"/>
    </xf>
    <xf numFmtId="0" fontId="22" fillId="0" borderId="6" xfId="0" applyFont="1" applyBorder="1" applyAlignment="1">
      <alignment horizontal="center" wrapText="1" readingOrder="1"/>
    </xf>
    <xf numFmtId="0" fontId="22" fillId="0" borderId="3" xfId="0" applyFont="1" applyBorder="1" applyAlignment="1">
      <alignment horizontal="center" wrapText="1" readingOrder="1"/>
    </xf>
    <xf numFmtId="0" fontId="3" fillId="0" borderId="1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6" xfId="0" applyFont="1" applyBorder="1" applyAlignment="1">
      <alignment horizontal="center" vertical="center" wrapText="1"/>
    </xf>
    <xf numFmtId="0" fontId="1" fillId="0" borderId="8" xfId="0" applyFont="1" applyBorder="1" applyAlignment="1">
      <alignment horizontal="center" vertical="center"/>
    </xf>
    <xf numFmtId="0" fontId="3" fillId="0" borderId="11" xfId="0" applyFont="1" applyBorder="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17" xfId="0" applyFont="1" applyBorder="1" applyAlignment="1">
      <alignment horizontal="center" wrapText="1"/>
    </xf>
    <xf numFmtId="0" fontId="3" fillId="0" borderId="1" xfId="0" applyFont="1" applyBorder="1" applyAlignment="1">
      <alignment horizontal="center" wrapText="1"/>
    </xf>
    <xf numFmtId="0" fontId="3" fillId="0" borderId="16" xfId="0" applyFont="1" applyBorder="1" applyAlignment="1">
      <alignment horizontal="center" wrapText="1"/>
    </xf>
    <xf numFmtId="0" fontId="1" fillId="19" borderId="9" xfId="0" applyFont="1" applyFill="1" applyBorder="1" applyAlignment="1">
      <alignment horizontal="center"/>
    </xf>
    <xf numFmtId="0" fontId="1" fillId="19" borderId="4" xfId="0" applyFont="1" applyFill="1" applyBorder="1" applyAlignment="1">
      <alignment horizontal="center"/>
    </xf>
    <xf numFmtId="0" fontId="3" fillId="0" borderId="82" xfId="0" applyFont="1" applyBorder="1" applyAlignment="1">
      <alignment horizontal="center" vertical="center" wrapText="1"/>
    </xf>
    <xf numFmtId="0" fontId="3" fillId="0" borderId="83" xfId="0" applyFont="1" applyBorder="1" applyAlignment="1">
      <alignment horizontal="center" vertical="center" wrapText="1"/>
    </xf>
    <xf numFmtId="0" fontId="3" fillId="0" borderId="13" xfId="0" applyFont="1" applyBorder="1" applyAlignment="1">
      <alignment horizontal="center" vertical="center" wrapText="1"/>
    </xf>
    <xf numFmtId="0" fontId="1" fillId="0" borderId="12" xfId="0" applyFont="1" applyBorder="1" applyAlignment="1">
      <alignment horizontal="center" vertical="center"/>
    </xf>
    <xf numFmtId="0" fontId="1" fillId="0" borderId="14" xfId="0" applyFont="1" applyBorder="1" applyAlignment="1">
      <alignment horizontal="center"/>
    </xf>
    <xf numFmtId="0" fontId="22" fillId="0" borderId="38" xfId="0" applyFont="1" applyBorder="1" applyAlignment="1">
      <alignment wrapText="1" readingOrder="1"/>
    </xf>
    <xf numFmtId="0" fontId="22" fillId="0" borderId="39" xfId="0" applyFont="1" applyBorder="1" applyAlignment="1">
      <alignment wrapText="1" readingOrder="1"/>
    </xf>
    <xf numFmtId="0" fontId="22" fillId="0" borderId="40" xfId="0" applyFont="1" applyBorder="1" applyAlignment="1">
      <alignment wrapText="1" readingOrder="1"/>
    </xf>
    <xf numFmtId="0" fontId="1" fillId="17" borderId="8" xfId="0" applyFont="1" applyFill="1" applyBorder="1" applyAlignment="1">
      <alignment horizontal="center"/>
    </xf>
    <xf numFmtId="0" fontId="1" fillId="17" borderId="15" xfId="0" applyFont="1" applyFill="1" applyBorder="1" applyAlignment="1">
      <alignment horizontal="center"/>
    </xf>
    <xf numFmtId="0" fontId="3" fillId="17" borderId="2" xfId="0" applyFont="1" applyFill="1" applyBorder="1" applyAlignment="1">
      <alignment horizontal="center"/>
    </xf>
    <xf numFmtId="0" fontId="22" fillId="0" borderId="43" xfId="0" applyFont="1" applyBorder="1" applyAlignment="1">
      <alignment horizontal="center" readingOrder="1"/>
    </xf>
    <xf numFmtId="0" fontId="22" fillId="0" borderId="38" xfId="0" applyFont="1" applyBorder="1" applyAlignment="1">
      <alignment horizontal="center" wrapText="1" readingOrder="1"/>
    </xf>
    <xf numFmtId="0" fontId="22" fillId="0" borderId="39" xfId="0" applyFont="1" applyBorder="1" applyAlignment="1">
      <alignment horizontal="center" wrapText="1" readingOrder="1"/>
    </xf>
    <xf numFmtId="0" fontId="22" fillId="0" borderId="40" xfId="0" applyFont="1" applyBorder="1" applyAlignment="1">
      <alignment horizontal="center" wrapText="1" readingOrder="1"/>
    </xf>
    <xf numFmtId="0" fontId="23" fillId="0" borderId="1" xfId="0" applyFont="1" applyBorder="1" applyAlignment="1">
      <alignment readingOrder="1"/>
    </xf>
    <xf numFmtId="0" fontId="23" fillId="0" borderId="54" xfId="0" applyFont="1" applyBorder="1" applyAlignment="1">
      <alignment readingOrder="1"/>
    </xf>
    <xf numFmtId="0" fontId="23" fillId="0" borderId="45" xfId="0" applyFont="1" applyBorder="1" applyAlignment="1">
      <alignment readingOrder="1"/>
    </xf>
    <xf numFmtId="0" fontId="23" fillId="0" borderId="48" xfId="0" applyFont="1" applyBorder="1" applyAlignment="1">
      <alignment readingOrder="1"/>
    </xf>
    <xf numFmtId="0" fontId="2" fillId="0" borderId="10" xfId="0" applyFont="1" applyBorder="1" applyAlignment="1">
      <alignment horizontal="center"/>
    </xf>
    <xf numFmtId="0" fontId="2" fillId="0" borderId="3" xfId="0" applyFont="1" applyBorder="1" applyAlignment="1">
      <alignment horizontal="center"/>
    </xf>
    <xf numFmtId="0" fontId="3" fillId="0" borderId="2" xfId="0" applyFont="1" applyBorder="1" applyAlignment="1">
      <alignment vertical="center" wrapText="1"/>
    </xf>
    <xf numFmtId="0" fontId="2" fillId="0" borderId="2" xfId="0" applyFont="1" applyBorder="1" applyAlignment="1">
      <alignment vertical="center"/>
    </xf>
    <xf numFmtId="0" fontId="1" fillId="17" borderId="5" xfId="0" applyFont="1" applyFill="1" applyBorder="1" applyAlignment="1">
      <alignment horizontal="center"/>
    </xf>
    <xf numFmtId="0" fontId="1" fillId="2" borderId="12" xfId="0" applyFont="1" applyFill="1" applyBorder="1" applyAlignment="1">
      <alignment horizontal="center" vertical="center"/>
    </xf>
    <xf numFmtId="0" fontId="1" fillId="0" borderId="15" xfId="0" applyFont="1" applyBorder="1" applyAlignment="1">
      <alignment horizontal="center"/>
    </xf>
    <xf numFmtId="0" fontId="22" fillId="11" borderId="2" xfId="0" applyFont="1" applyFill="1" applyBorder="1" applyAlignment="1">
      <alignment horizontal="center" vertical="center" readingOrder="1"/>
    </xf>
    <xf numFmtId="0" fontId="23" fillId="0" borderId="51" xfId="0" applyFont="1" applyBorder="1" applyAlignment="1">
      <alignment horizontal="center" vertical="top" wrapText="1" readingOrder="1"/>
    </xf>
    <xf numFmtId="0" fontId="23" fillId="0" borderId="26" xfId="0" applyFont="1" applyBorder="1" applyAlignment="1">
      <alignment horizontal="center" vertical="top" wrapText="1" readingOrder="1"/>
    </xf>
    <xf numFmtId="0" fontId="23" fillId="0" borderId="49" xfId="0" applyFont="1" applyBorder="1" applyAlignment="1">
      <alignment horizontal="center" vertical="top" wrapText="1" readingOrder="1"/>
    </xf>
    <xf numFmtId="0" fontId="23" fillId="0" borderId="52" xfId="0" applyFont="1" applyBorder="1" applyAlignment="1">
      <alignment horizontal="center" vertical="top" wrapText="1" readingOrder="1"/>
    </xf>
    <xf numFmtId="0" fontId="23" fillId="0" borderId="15" xfId="0" applyFont="1" applyBorder="1" applyAlignment="1">
      <alignment horizontal="center" vertical="top" wrapText="1" readingOrder="1"/>
    </xf>
    <xf numFmtId="0" fontId="23" fillId="0" borderId="68" xfId="0" applyFont="1" applyBorder="1" applyAlignment="1">
      <alignment horizontal="center" vertical="top" wrapText="1" readingOrder="1"/>
    </xf>
    <xf numFmtId="0" fontId="23" fillId="0" borderId="69" xfId="0" applyFont="1" applyBorder="1" applyAlignment="1">
      <alignment horizontal="center" vertical="top" wrapText="1" readingOrder="1"/>
    </xf>
    <xf numFmtId="0" fontId="23" fillId="0" borderId="47" xfId="0" applyFont="1" applyBorder="1" applyAlignment="1">
      <alignment horizontal="center" vertical="top" wrapText="1" readingOrder="1"/>
    </xf>
    <xf numFmtId="0" fontId="23" fillId="0" borderId="50" xfId="0" applyFont="1" applyBorder="1" applyAlignment="1">
      <alignment horizontal="center" vertical="top" wrapText="1" readingOrder="1"/>
    </xf>
    <xf numFmtId="0" fontId="22" fillId="10" borderId="42" xfId="0" applyFont="1" applyFill="1" applyBorder="1" applyAlignment="1">
      <alignment readingOrder="1"/>
    </xf>
    <xf numFmtId="0" fontId="22" fillId="10" borderId="35" xfId="0" applyFont="1" applyFill="1" applyBorder="1" applyAlignment="1">
      <alignment readingOrder="1"/>
    </xf>
    <xf numFmtId="0" fontId="22" fillId="10" borderId="43" xfId="0" applyFont="1" applyFill="1" applyBorder="1" applyAlignment="1">
      <alignment readingOrder="1"/>
    </xf>
    <xf numFmtId="0" fontId="23" fillId="0" borderId="28" xfId="0" applyFont="1" applyBorder="1" applyAlignment="1">
      <alignment readingOrder="1"/>
    </xf>
    <xf numFmtId="0" fontId="23" fillId="0" borderId="29" xfId="0" applyFont="1" applyBorder="1" applyAlignment="1">
      <alignment readingOrder="1"/>
    </xf>
    <xf numFmtId="0" fontId="23" fillId="0" borderId="56" xfId="0" applyFont="1" applyBorder="1" applyAlignment="1">
      <alignment readingOrder="1"/>
    </xf>
    <xf numFmtId="0" fontId="22" fillId="11" borderId="21" xfId="0" applyFont="1" applyFill="1" applyBorder="1" applyAlignment="1">
      <alignment horizontal="center" vertical="top" readingOrder="1"/>
    </xf>
    <xf numFmtId="0" fontId="22" fillId="11" borderId="22" xfId="0" applyFont="1" applyFill="1" applyBorder="1" applyAlignment="1">
      <alignment horizontal="center" vertical="top" readingOrder="1"/>
    </xf>
    <xf numFmtId="0" fontId="22" fillId="11" borderId="23" xfId="0" applyFont="1" applyFill="1" applyBorder="1" applyAlignment="1">
      <alignment horizontal="center" vertical="top" readingOrder="1"/>
    </xf>
    <xf numFmtId="0" fontId="22" fillId="11" borderId="28" xfId="0" applyFont="1" applyFill="1" applyBorder="1" applyAlignment="1">
      <alignment horizontal="center" vertical="top" readingOrder="1"/>
    </xf>
    <xf numFmtId="0" fontId="22" fillId="11" borderId="29" xfId="0" applyFont="1" applyFill="1" applyBorder="1" applyAlignment="1">
      <alignment horizontal="center" vertical="top" readingOrder="1"/>
    </xf>
    <xf numFmtId="0" fontId="22" fillId="11" borderId="30" xfId="0" applyFont="1" applyFill="1" applyBorder="1" applyAlignment="1">
      <alignment horizontal="center" vertical="top" readingOrder="1"/>
    </xf>
    <xf numFmtId="0" fontId="22" fillId="11" borderId="34" xfId="0" applyFont="1" applyFill="1" applyBorder="1" applyAlignment="1">
      <alignment horizontal="center" vertical="top" readingOrder="1"/>
    </xf>
    <xf numFmtId="0" fontId="22" fillId="11" borderId="35" xfId="0" applyFont="1" applyFill="1" applyBorder="1" applyAlignment="1">
      <alignment horizontal="center" vertical="top" readingOrder="1"/>
    </xf>
    <xf numFmtId="0" fontId="22" fillId="11" borderId="36" xfId="0" applyFont="1" applyFill="1" applyBorder="1" applyAlignment="1">
      <alignment horizontal="center" vertical="top" readingOrder="1"/>
    </xf>
    <xf numFmtId="0" fontId="22" fillId="0" borderId="9" xfId="0" applyFont="1" applyBorder="1" applyAlignment="1">
      <alignment horizontal="center" vertical="top" readingOrder="1"/>
    </xf>
    <xf numFmtId="0" fontId="22" fillId="0" borderId="4" xfId="0" applyFont="1" applyBorder="1" applyAlignment="1">
      <alignment horizontal="center" vertical="top" readingOrder="1"/>
    </xf>
    <xf numFmtId="0" fontId="22" fillId="0" borderId="5" xfId="0" applyFont="1" applyBorder="1" applyAlignment="1">
      <alignment horizontal="center" vertical="top" readingOrder="1"/>
    </xf>
    <xf numFmtId="0" fontId="22" fillId="0" borderId="38" xfId="0" applyFont="1" applyBorder="1" applyAlignment="1">
      <alignment horizontal="center" vertical="center" wrapText="1" readingOrder="1"/>
    </xf>
    <xf numFmtId="0" fontId="22" fillId="0" borderId="39" xfId="0" applyFont="1" applyBorder="1" applyAlignment="1">
      <alignment horizontal="center" vertical="center" wrapText="1" readingOrder="1"/>
    </xf>
    <xf numFmtId="0" fontId="22" fillId="0" borderId="40" xfId="0" applyFont="1" applyBorder="1" applyAlignment="1">
      <alignment horizontal="center" vertical="center" wrapText="1" readingOrder="1"/>
    </xf>
    <xf numFmtId="0" fontId="23" fillId="0" borderId="14" xfId="0" applyFont="1" applyBorder="1" applyAlignment="1">
      <alignment readingOrder="1"/>
    </xf>
    <xf numFmtId="0" fontId="23" fillId="0" borderId="16" xfId="0" applyFont="1" applyBorder="1" applyAlignment="1">
      <alignment readingOrder="1"/>
    </xf>
    <xf numFmtId="0" fontId="22" fillId="0" borderId="58" xfId="0" applyFont="1" applyBorder="1" applyAlignment="1">
      <alignment vertical="center" wrapText="1" readingOrder="1"/>
    </xf>
    <xf numFmtId="0" fontId="22" fillId="0" borderId="39" xfId="0" applyFont="1" applyBorder="1" applyAlignment="1">
      <alignment vertical="center" wrapText="1" readingOrder="1"/>
    </xf>
    <xf numFmtId="0" fontId="22" fillId="0" borderId="40" xfId="0" applyFont="1" applyBorder="1" applyAlignment="1">
      <alignment vertical="center" wrapText="1" readingOrder="1"/>
    </xf>
    <xf numFmtId="0" fontId="22" fillId="0" borderId="38" xfId="0" applyFont="1" applyBorder="1" applyAlignment="1">
      <alignment vertical="center" wrapText="1" readingOrder="1"/>
    </xf>
    <xf numFmtId="0" fontId="3" fillId="0" borderId="0" xfId="0" applyFont="1" applyAlignment="1">
      <alignment horizontal="center"/>
    </xf>
    <xf numFmtId="0" fontId="22" fillId="11" borderId="2" xfId="0" applyFont="1" applyFill="1" applyBorder="1" applyAlignment="1">
      <alignment horizontal="center" vertical="top" readingOrder="1"/>
    </xf>
    <xf numFmtId="0" fontId="22" fillId="10" borderId="9" xfId="0" applyFont="1" applyFill="1" applyBorder="1" applyAlignment="1">
      <alignment readingOrder="1"/>
    </xf>
    <xf numFmtId="0" fontId="22" fillId="10" borderId="4" xfId="0" applyFont="1" applyFill="1" applyBorder="1" applyAlignment="1">
      <alignment readingOrder="1"/>
    </xf>
    <xf numFmtId="0" fontId="22" fillId="10" borderId="5" xfId="0" applyFont="1" applyFill="1" applyBorder="1" applyAlignment="1">
      <alignment readingOrder="1"/>
    </xf>
    <xf numFmtId="0" fontId="22" fillId="0" borderId="10" xfId="0" applyFont="1" applyBorder="1" applyAlignment="1">
      <alignment vertical="center" wrapText="1" readingOrder="1"/>
    </xf>
    <xf numFmtId="0" fontId="22" fillId="0" borderId="6" xfId="0" applyFont="1" applyBorder="1" applyAlignment="1">
      <alignment vertical="center" wrapText="1" readingOrder="1"/>
    </xf>
    <xf numFmtId="0" fontId="22" fillId="0" borderId="3" xfId="0" applyFont="1" applyBorder="1" applyAlignment="1">
      <alignment vertical="center" wrapText="1" readingOrder="1"/>
    </xf>
    <xf numFmtId="0" fontId="22" fillId="0" borderId="2" xfId="0" applyFont="1" applyBorder="1" applyAlignment="1">
      <alignment horizontal="center" vertical="center" wrapText="1" readingOrder="1"/>
    </xf>
    <xf numFmtId="0" fontId="21" fillId="0" borderId="44" xfId="0" applyFont="1" applyBorder="1" applyAlignment="1">
      <alignment wrapText="1" readingOrder="1"/>
    </xf>
    <xf numFmtId="0" fontId="21" fillId="0" borderId="26" xfId="0" applyFont="1" applyBorder="1" applyAlignment="1">
      <alignment wrapText="1" readingOrder="1"/>
    </xf>
    <xf numFmtId="0" fontId="21" fillId="0" borderId="45" xfId="0" applyFont="1" applyBorder="1" applyAlignment="1">
      <alignment wrapText="1" readingOrder="1"/>
    </xf>
    <xf numFmtId="0" fontId="21" fillId="0" borderId="46" xfId="0" applyFont="1" applyBorder="1" applyAlignment="1">
      <alignment wrapText="1" readingOrder="1"/>
    </xf>
    <xf numFmtId="0" fontId="21" fillId="0" borderId="47" xfId="0" applyFont="1" applyBorder="1" applyAlignment="1">
      <alignment wrapText="1" readingOrder="1"/>
    </xf>
    <xf numFmtId="0" fontId="21" fillId="0" borderId="48" xfId="0" applyFont="1" applyBorder="1" applyAlignment="1">
      <alignment wrapText="1" readingOrder="1"/>
    </xf>
    <xf numFmtId="0" fontId="22" fillId="11" borderId="55" xfId="0" applyFont="1" applyFill="1" applyBorder="1" applyAlignment="1">
      <alignment horizontal="center" readingOrder="1"/>
    </xf>
    <xf numFmtId="0" fontId="22" fillId="11" borderId="56" xfId="0" applyFont="1" applyFill="1" applyBorder="1" applyAlignment="1">
      <alignment horizontal="center" readingOrder="1"/>
    </xf>
    <xf numFmtId="0" fontId="22" fillId="11" borderId="43" xfId="0" applyFont="1" applyFill="1" applyBorder="1" applyAlignment="1">
      <alignment horizontal="center" readingOrder="1"/>
    </xf>
    <xf numFmtId="0" fontId="22" fillId="0" borderId="9" xfId="0" applyFont="1" applyBorder="1" applyAlignment="1">
      <alignment horizontal="center" readingOrder="1"/>
    </xf>
    <xf numFmtId="0" fontId="22" fillId="0" borderId="4" xfId="0" applyFont="1" applyBorder="1" applyAlignment="1">
      <alignment horizontal="center" readingOrder="1"/>
    </xf>
    <xf numFmtId="0" fontId="22" fillId="0" borderId="5" xfId="0" applyFont="1" applyBorder="1" applyAlignment="1">
      <alignment horizontal="center" readingOrder="1"/>
    </xf>
    <xf numFmtId="0" fontId="22" fillId="0" borderId="11" xfId="0" applyFont="1" applyBorder="1" applyAlignment="1">
      <alignment horizontal="center" readingOrder="1"/>
    </xf>
    <xf numFmtId="0" fontId="22" fillId="11" borderId="21" xfId="0" applyFont="1" applyFill="1" applyBorder="1" applyAlignment="1">
      <alignment horizontal="center" vertical="center" wrapText="1" readingOrder="1"/>
    </xf>
    <xf numFmtId="0" fontId="22" fillId="11" borderId="22" xfId="0" applyFont="1" applyFill="1" applyBorder="1" applyAlignment="1">
      <alignment horizontal="center" vertical="center" wrapText="1" readingOrder="1"/>
    </xf>
    <xf numFmtId="0" fontId="22" fillId="11" borderId="23" xfId="0" applyFont="1" applyFill="1" applyBorder="1" applyAlignment="1">
      <alignment horizontal="center" vertical="center" wrapText="1" readingOrder="1"/>
    </xf>
    <xf numFmtId="0" fontId="22" fillId="11" borderId="28" xfId="0" applyFont="1" applyFill="1" applyBorder="1" applyAlignment="1">
      <alignment horizontal="center" vertical="center" readingOrder="1"/>
    </xf>
    <xf numFmtId="0" fontId="22" fillId="11" borderId="29" xfId="0" applyFont="1" applyFill="1" applyBorder="1" applyAlignment="1">
      <alignment horizontal="center" vertical="center" readingOrder="1"/>
    </xf>
    <xf numFmtId="0" fontId="22" fillId="11" borderId="30" xfId="0" applyFont="1" applyFill="1" applyBorder="1" applyAlignment="1">
      <alignment horizontal="center" vertical="center" readingOrder="1"/>
    </xf>
    <xf numFmtId="0" fontId="22" fillId="11" borderId="34" xfId="0" applyFont="1" applyFill="1" applyBorder="1" applyAlignment="1">
      <alignment horizontal="center" vertical="center" readingOrder="1"/>
    </xf>
    <xf numFmtId="0" fontId="22" fillId="11" borderId="35" xfId="0" applyFont="1" applyFill="1" applyBorder="1" applyAlignment="1">
      <alignment horizontal="center" vertical="center" readingOrder="1"/>
    </xf>
    <xf numFmtId="0" fontId="22" fillId="11" borderId="36" xfId="0" applyFont="1" applyFill="1" applyBorder="1" applyAlignment="1">
      <alignment horizontal="center" vertical="center" readingOrder="1"/>
    </xf>
    <xf numFmtId="0" fontId="22" fillId="0" borderId="4" xfId="0" applyFont="1" applyBorder="1" applyAlignment="1">
      <alignment horizontal="center" vertical="center" readingOrder="1"/>
    </xf>
    <xf numFmtId="0" fontId="22" fillId="0" borderId="59" xfId="0" applyFont="1" applyBorder="1" applyAlignment="1">
      <alignment horizontal="center" vertical="center" readingOrder="1"/>
    </xf>
    <xf numFmtId="0" fontId="22" fillId="0" borderId="9" xfId="0" applyFont="1" applyBorder="1" applyAlignment="1">
      <alignment horizontal="center" vertical="center" readingOrder="1"/>
    </xf>
    <xf numFmtId="0" fontId="0" fillId="0" borderId="63" xfId="0" applyBorder="1" applyAlignment="1">
      <alignment horizontal="center" vertical="top" wrapText="1"/>
    </xf>
    <xf numFmtId="0" fontId="0" fillId="0" borderId="64" xfId="0" applyBorder="1" applyAlignment="1">
      <alignment horizontal="center" vertical="top" wrapText="1"/>
    </xf>
    <xf numFmtId="0" fontId="22" fillId="10" borderId="38" xfId="0" applyFont="1" applyFill="1" applyBorder="1" applyAlignment="1">
      <alignment horizontal="center" vertical="center" wrapText="1" readingOrder="1"/>
    </xf>
    <xf numFmtId="0" fontId="22" fillId="10" borderId="40" xfId="0" applyFont="1" applyFill="1" applyBorder="1" applyAlignment="1">
      <alignment horizontal="center" vertical="center" wrapText="1" readingOrder="1"/>
    </xf>
    <xf numFmtId="0" fontId="22" fillId="0" borderId="34" xfId="0" applyFont="1" applyBorder="1" applyAlignment="1">
      <alignment horizontal="center" vertical="center" wrapText="1" readingOrder="1"/>
    </xf>
    <xf numFmtId="0" fontId="22" fillId="0" borderId="35" xfId="0" applyFont="1" applyBorder="1" applyAlignment="1">
      <alignment horizontal="center" vertical="center" wrapText="1" readingOrder="1"/>
    </xf>
    <xf numFmtId="0" fontId="22" fillId="0" borderId="43" xfId="0" applyFont="1" applyBorder="1" applyAlignment="1">
      <alignment horizontal="center" vertical="center" wrapText="1" readingOrder="1"/>
    </xf>
    <xf numFmtId="0" fontId="22" fillId="11" borderId="28" xfId="0" applyFont="1" applyFill="1" applyBorder="1" applyAlignment="1">
      <alignment horizontal="center" vertical="center" wrapText="1" readingOrder="1"/>
    </xf>
    <xf numFmtId="0" fontId="22" fillId="11" borderId="29" xfId="0" applyFont="1" applyFill="1" applyBorder="1" applyAlignment="1">
      <alignment horizontal="center" vertical="center" wrapText="1" readingOrder="1"/>
    </xf>
    <xf numFmtId="0" fontId="22" fillId="11" borderId="30" xfId="0" applyFont="1" applyFill="1" applyBorder="1" applyAlignment="1">
      <alignment horizontal="center" vertical="center" wrapText="1" readingOrder="1"/>
    </xf>
    <xf numFmtId="0" fontId="22" fillId="11" borderId="34" xfId="0" applyFont="1" applyFill="1" applyBorder="1" applyAlignment="1">
      <alignment horizontal="center" vertical="center" wrapText="1" readingOrder="1"/>
    </xf>
    <xf numFmtId="0" fontId="22" fillId="11" borderId="35" xfId="0" applyFont="1" applyFill="1" applyBorder="1" applyAlignment="1">
      <alignment horizontal="center" vertical="center" wrapText="1" readingOrder="1"/>
    </xf>
    <xf numFmtId="0" fontId="22" fillId="11" borderId="36" xfId="0" applyFont="1" applyFill="1" applyBorder="1" applyAlignment="1">
      <alignment horizontal="center" vertical="center" wrapText="1" readingOrder="1"/>
    </xf>
    <xf numFmtId="0" fontId="22" fillId="10" borderId="20" xfId="0" applyFont="1" applyFill="1" applyBorder="1" applyAlignment="1">
      <alignment horizontal="center" vertical="center" wrapText="1" readingOrder="1"/>
    </xf>
    <xf numFmtId="0" fontId="22" fillId="10" borderId="3" xfId="0" applyFont="1" applyFill="1" applyBorder="1" applyAlignment="1">
      <alignment horizontal="center" vertical="center" wrapText="1" readingOrder="1"/>
    </xf>
    <xf numFmtId="0" fontId="22" fillId="10" borderId="42" xfId="0" applyFont="1" applyFill="1" applyBorder="1" applyAlignment="1">
      <alignment horizontal="center" vertical="center" wrapText="1" readingOrder="1"/>
    </xf>
    <xf numFmtId="0" fontId="22" fillId="10" borderId="43" xfId="0" applyFont="1" applyFill="1" applyBorder="1" applyAlignment="1">
      <alignment horizontal="center" vertical="center" wrapText="1" readingOrder="1"/>
    </xf>
    <xf numFmtId="0" fontId="2" fillId="0" borderId="15" xfId="0" applyFont="1" applyBorder="1" applyAlignment="1"/>
    <xf numFmtId="0" fontId="2" fillId="0" borderId="14" xfId="0" applyFont="1" applyBorder="1" applyAlignment="1"/>
    <xf numFmtId="0" fontId="2" fillId="0" borderId="12" xfId="0" applyFont="1" applyBorder="1" applyAlignment="1"/>
    <xf numFmtId="0" fontId="2" fillId="0" borderId="2" xfId="0" applyFont="1" applyBorder="1" applyAlignment="1"/>
    <xf numFmtId="0" fontId="3" fillId="0" borderId="2" xfId="0" applyFont="1" applyBorder="1" applyAlignment="1"/>
    <xf numFmtId="0" fontId="0" fillId="0" borderId="2" xfId="0" applyBorder="1" applyAlignment="1"/>
    <xf numFmtId="0" fontId="2" fillId="0" borderId="76" xfId="0" applyFont="1" applyBorder="1" applyAlignment="1"/>
    <xf numFmtId="0" fontId="2" fillId="0" borderId="18" xfId="0" applyFont="1" applyBorder="1" applyAlignment="1"/>
    <xf numFmtId="0" fontId="2" fillId="0" borderId="78" xfId="0" applyFont="1" applyBorder="1" applyAlignment="1"/>
    <xf numFmtId="0" fontId="3" fillId="0" borderId="11" xfId="0" applyFont="1" applyBorder="1" applyAlignment="1"/>
    <xf numFmtId="0" fontId="3" fillId="0" borderId="12" xfId="0" applyFont="1" applyBorder="1" applyAlignment="1"/>
    <xf numFmtId="0" fontId="3" fillId="0" borderId="7" xfId="0" applyFont="1" applyBorder="1" applyAlignment="1"/>
    <xf numFmtId="0" fontId="3" fillId="0" borderId="8" xfId="0" applyFont="1" applyBorder="1" applyAlignment="1"/>
    <xf numFmtId="0" fontId="3" fillId="0" borderId="15" xfId="0" applyFont="1" applyBorder="1" applyAlignment="1"/>
    <xf numFmtId="0" fontId="3" fillId="0" borderId="17" xfId="0" applyFont="1" applyBorder="1" applyAlignment="1"/>
    <xf numFmtId="0" fontId="3" fillId="0" borderId="1" xfId="0" applyFont="1" applyBorder="1" applyAlignment="1"/>
    <xf numFmtId="0" fontId="3" fillId="0" borderId="14" xfId="0" applyFont="1" applyBorder="1" applyAlignment="1"/>
    <xf numFmtId="0" fontId="3" fillId="0" borderId="16" xfId="0" applyFont="1" applyBorder="1" applyAlignment="1"/>
    <xf numFmtId="0" fontId="0" fillId="0" borderId="0" xfId="0" applyAlignment="1"/>
    <xf numFmtId="0" fontId="2" fillId="0" borderId="4" xfId="0" applyFont="1" applyBorder="1" applyAlignment="1"/>
    <xf numFmtId="0" fontId="2" fillId="0" borderId="5" xfId="0" applyFont="1" applyBorder="1" applyAlignment="1"/>
    <xf numFmtId="0" fontId="3" fillId="0" borderId="9" xfId="0" applyFont="1" applyBorder="1" applyAlignment="1"/>
    <xf numFmtId="0" fontId="3" fillId="0" borderId="4" xfId="0" applyFont="1" applyBorder="1" applyAlignment="1"/>
    <xf numFmtId="0" fontId="2" fillId="0" borderId="7" xfId="0" applyFont="1" applyBorder="1" applyAlignment="1"/>
    <xf numFmtId="0" fontId="2" fillId="0" borderId="8" xfId="0" applyFont="1" applyBorder="1" applyAlignment="1"/>
    <xf numFmtId="0" fontId="2" fillId="0" borderId="17" xfId="0" applyFont="1" applyBorder="1" applyAlignment="1"/>
    <xf numFmtId="0" fontId="2" fillId="0" borderId="1" xfId="0" applyFont="1" applyBorder="1" applyAlignment="1"/>
    <xf numFmtId="0" fontId="2" fillId="0" borderId="16" xfId="0" applyFont="1" applyBorder="1" applyAlignment="1"/>
    <xf numFmtId="0" fontId="2" fillId="18" borderId="85" xfId="0" applyFont="1" applyFill="1" applyBorder="1" applyAlignment="1"/>
    <xf numFmtId="0" fontId="2" fillId="18" borderId="86" xfId="0" applyFont="1" applyFill="1" applyBorder="1" applyAlignment="1"/>
    <xf numFmtId="0" fontId="2" fillId="18" borderId="4" xfId="0" applyFont="1" applyFill="1" applyBorder="1" applyAlignment="1"/>
    <xf numFmtId="0" fontId="2" fillId="18" borderId="81" xfId="0" applyFont="1" applyFill="1" applyBorder="1" applyAlignment="1"/>
    <xf numFmtId="0" fontId="3" fillId="0" borderId="80" xfId="0" applyFont="1" applyBorder="1" applyAlignment="1"/>
    <xf numFmtId="0" fontId="2" fillId="0" borderId="81" xfId="0" applyFont="1" applyBorder="1" applyAlignment="1"/>
    <xf numFmtId="0" fontId="0" fillId="0" borderId="15" xfId="0" applyBorder="1" applyAlignment="1"/>
    <xf numFmtId="0" fontId="2" fillId="0" borderId="87" xfId="0" applyFont="1" applyBorder="1" applyAlignment="1"/>
    <xf numFmtId="0" fontId="2" fillId="0" borderId="66" xfId="0" applyFont="1" applyBorder="1" applyAlignment="1"/>
    <xf numFmtId="0" fontId="2" fillId="0" borderId="88" xfId="0" applyFont="1" applyBorder="1" applyAlignment="1"/>
    <xf numFmtId="0" fontId="2" fillId="0" borderId="6" xfId="0" applyFont="1" applyBorder="1" applyAlignment="1"/>
    <xf numFmtId="0" fontId="2" fillId="0" borderId="3" xfId="0" applyFont="1" applyBorder="1" applyAlignment="1"/>
    <xf numFmtId="0" fontId="2" fillId="17" borderId="4" xfId="0" applyFont="1" applyFill="1" applyBorder="1" applyAlignment="1"/>
    <xf numFmtId="0" fontId="2" fillId="17" borderId="5" xfId="0" applyFont="1" applyFill="1" applyBorder="1" applyAlignment="1"/>
    <xf numFmtId="0" fontId="2" fillId="20" borderId="15" xfId="0" applyFont="1" applyFill="1" applyBorder="1" applyAlignment="1"/>
    <xf numFmtId="0" fontId="2" fillId="20" borderId="14" xfId="0" applyFont="1" applyFill="1" applyBorder="1" applyAlignment="1"/>
    <xf numFmtId="0" fontId="2" fillId="19" borderId="4" xfId="0" applyFont="1" applyFill="1" applyBorder="1" applyAlignment="1"/>
    <xf numFmtId="0" fontId="2" fillId="19" borderId="5" xfId="0" applyFont="1" applyFill="1" applyBorder="1" applyAlignment="1"/>
    <xf numFmtId="0" fontId="2" fillId="17" borderId="15" xfId="0" applyFont="1" applyFill="1" applyBorder="1" applyAlignment="1"/>
    <xf numFmtId="0" fontId="2" fillId="17" borderId="17" xfId="0" applyFont="1" applyFill="1" applyBorder="1" applyAlignment="1"/>
  </cellXfs>
  <cellStyles count="1">
    <cellStyle name="Normal" xfId="0" builtinId="0"/>
  </cellStyles>
  <dxfs count="34">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CAB91"/>
      <color rgb="FF833C0B"/>
      <color rgb="FF00B0F0"/>
      <color rgb="FFFFFFFF"/>
      <color rgb="FF305496"/>
      <color rgb="FF3856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Dissolved Oxygen</a:t>
            </a:r>
          </a:p>
        </c:rich>
      </c:tx>
      <c:overlay val="0"/>
    </c:title>
    <c:autoTitleDeleted val="0"/>
    <c:plotArea>
      <c:layout/>
      <c:barChart>
        <c:barDir val="col"/>
        <c:grouping val="clustered"/>
        <c:varyColors val="1"/>
        <c:ser>
          <c:idx val="0"/>
          <c:order val="0"/>
          <c:invertIfNegative val="1"/>
          <c:cat>
            <c:numRef>
              <c:f>'MEYCAUAYAN RIVER'!$F$7:$Q$7</c:f>
              <c:numCache>
                <c:formatCode>#,##0.00</c:formatCode>
                <c:ptCount val="12"/>
                <c:pt idx="0">
                  <c:v>0.1</c:v>
                </c:pt>
                <c:pt idx="1">
                  <c:v>1.03</c:v>
                </c:pt>
                <c:pt idx="2">
                  <c:v>1.05</c:v>
                </c:pt>
                <c:pt idx="3">
                  <c:v>2.39</c:v>
                </c:pt>
                <c:pt idx="4">
                  <c:v>3.21</c:v>
                </c:pt>
                <c:pt idx="5">
                  <c:v>3.99</c:v>
                </c:pt>
                <c:pt idx="6">
                  <c:v>4.25</c:v>
                </c:pt>
                <c:pt idx="7">
                  <c:v>4.0999999999999996</c:v>
                </c:pt>
                <c:pt idx="8">
                  <c:v>4.01</c:v>
                </c:pt>
                <c:pt idx="9">
                  <c:v>3.05</c:v>
                </c:pt>
                <c:pt idx="10">
                  <c:v>3.9</c:v>
                </c:pt>
                <c:pt idx="11">
                  <c:v>3.202</c:v>
                </c:pt>
              </c:numCache>
            </c:numRef>
          </c:cat>
          <c:val>
            <c:numRef>
              <c:f>'MEYCAUAYAN RIVER'!$F$8:$Q$8</c:f>
              <c:numCache>
                <c:formatCode>#,##0.00</c:formatCode>
                <c:ptCount val="12"/>
                <c:pt idx="0">
                  <c:v>0.1</c:v>
                </c:pt>
                <c:pt idx="1">
                  <c:v>0.9</c:v>
                </c:pt>
                <c:pt idx="2">
                  <c:v>1.01</c:v>
                </c:pt>
                <c:pt idx="3">
                  <c:v>1.32</c:v>
                </c:pt>
                <c:pt idx="4">
                  <c:v>1.1499999999999999</c:v>
                </c:pt>
                <c:pt idx="5">
                  <c:v>3.12</c:v>
                </c:pt>
                <c:pt idx="6">
                  <c:v>4.09</c:v>
                </c:pt>
                <c:pt idx="7">
                  <c:v>3.01</c:v>
                </c:pt>
                <c:pt idx="8">
                  <c:v>0.8</c:v>
                </c:pt>
                <c:pt idx="9">
                  <c:v>3.08</c:v>
                </c:pt>
                <c:pt idx="10">
                  <c:v>2.7</c:v>
                </c:pt>
                <c:pt idx="11">
                  <c:v>2.99</c:v>
                </c:pt>
              </c:numCache>
            </c:numRef>
          </c:val>
          <c:extLst>
            <c:ext xmlns:c16="http://schemas.microsoft.com/office/drawing/2014/chart" uri="{C3380CC4-5D6E-409C-BE32-E72D297353CC}">
              <c16:uniqueId val="{00000000-9C8F-44E5-AA9C-ECD15CC0882F}"/>
            </c:ext>
          </c:extLst>
        </c:ser>
        <c:ser>
          <c:idx val="1"/>
          <c:order val="1"/>
          <c:invertIfNegative val="1"/>
          <c:cat>
            <c:numRef>
              <c:f>'MEYCAUAYAN RIVER'!$F$7:$Q$7</c:f>
              <c:numCache>
                <c:formatCode>#,##0.00</c:formatCode>
                <c:ptCount val="12"/>
                <c:pt idx="0">
                  <c:v>0.1</c:v>
                </c:pt>
                <c:pt idx="1">
                  <c:v>1.03</c:v>
                </c:pt>
                <c:pt idx="2">
                  <c:v>1.05</c:v>
                </c:pt>
                <c:pt idx="3">
                  <c:v>2.39</c:v>
                </c:pt>
                <c:pt idx="4">
                  <c:v>3.21</c:v>
                </c:pt>
                <c:pt idx="5">
                  <c:v>3.99</c:v>
                </c:pt>
                <c:pt idx="6">
                  <c:v>4.25</c:v>
                </c:pt>
                <c:pt idx="7">
                  <c:v>4.0999999999999996</c:v>
                </c:pt>
                <c:pt idx="8">
                  <c:v>4.01</c:v>
                </c:pt>
                <c:pt idx="9">
                  <c:v>3.05</c:v>
                </c:pt>
                <c:pt idx="10">
                  <c:v>3.9</c:v>
                </c:pt>
                <c:pt idx="11">
                  <c:v>3.202</c:v>
                </c:pt>
              </c:numCache>
            </c:numRef>
          </c:cat>
          <c:val>
            <c:numRef>
              <c:f>'MEYCAUAYAN RIVER'!$F$9:$Q$9</c:f>
              <c:numCache>
                <c:formatCode>#,##0.00</c:formatCode>
                <c:ptCount val="12"/>
                <c:pt idx="0">
                  <c:v>0.1</c:v>
                </c:pt>
                <c:pt idx="1">
                  <c:v>1.02</c:v>
                </c:pt>
                <c:pt idx="2">
                  <c:v>2.2999999999999998</c:v>
                </c:pt>
                <c:pt idx="3">
                  <c:v>1.71</c:v>
                </c:pt>
                <c:pt idx="4">
                  <c:v>3.05</c:v>
                </c:pt>
                <c:pt idx="5">
                  <c:v>3.11</c:v>
                </c:pt>
                <c:pt idx="6">
                  <c:v>4.1500000000000004</c:v>
                </c:pt>
                <c:pt idx="7">
                  <c:v>3.9</c:v>
                </c:pt>
                <c:pt idx="8">
                  <c:v>0.5</c:v>
                </c:pt>
                <c:pt idx="9">
                  <c:v>3.81</c:v>
                </c:pt>
                <c:pt idx="10">
                  <c:v>4.95</c:v>
                </c:pt>
                <c:pt idx="11">
                  <c:v>4.53</c:v>
                </c:pt>
              </c:numCache>
            </c:numRef>
          </c:val>
          <c:extLst>
            <c:ext xmlns:c16="http://schemas.microsoft.com/office/drawing/2014/chart" uri="{C3380CC4-5D6E-409C-BE32-E72D297353CC}">
              <c16:uniqueId val="{00000001-9C8F-44E5-AA9C-ECD15CC0882F}"/>
            </c:ext>
          </c:extLst>
        </c:ser>
        <c:ser>
          <c:idx val="2"/>
          <c:order val="2"/>
          <c:invertIfNegative val="1"/>
          <c:cat>
            <c:numRef>
              <c:f>'MEYCAUAYAN RIVER'!$F$7:$Q$7</c:f>
              <c:numCache>
                <c:formatCode>#,##0.00</c:formatCode>
                <c:ptCount val="12"/>
                <c:pt idx="0">
                  <c:v>0.1</c:v>
                </c:pt>
                <c:pt idx="1">
                  <c:v>1.03</c:v>
                </c:pt>
                <c:pt idx="2">
                  <c:v>1.05</c:v>
                </c:pt>
                <c:pt idx="3">
                  <c:v>2.39</c:v>
                </c:pt>
                <c:pt idx="4">
                  <c:v>3.21</c:v>
                </c:pt>
                <c:pt idx="5">
                  <c:v>3.99</c:v>
                </c:pt>
                <c:pt idx="6">
                  <c:v>4.25</c:v>
                </c:pt>
                <c:pt idx="7">
                  <c:v>4.0999999999999996</c:v>
                </c:pt>
                <c:pt idx="8">
                  <c:v>4.01</c:v>
                </c:pt>
                <c:pt idx="9">
                  <c:v>3.05</c:v>
                </c:pt>
                <c:pt idx="10">
                  <c:v>3.9</c:v>
                </c:pt>
                <c:pt idx="11">
                  <c:v>3.202</c:v>
                </c:pt>
              </c:numCache>
            </c:numRef>
          </c:cat>
          <c:val>
            <c:numRef>
              <c:f>'MEYCAUAYAN RIVER'!$F$10:$Q$10</c:f>
              <c:numCache>
                <c:formatCode>#,##0.00</c:formatCode>
                <c:ptCount val="12"/>
                <c:pt idx="0">
                  <c:v>0.1</c:v>
                </c:pt>
                <c:pt idx="1">
                  <c:v>1</c:v>
                </c:pt>
                <c:pt idx="2">
                  <c:v>0.68</c:v>
                </c:pt>
                <c:pt idx="3">
                  <c:v>1.0900000000000001</c:v>
                </c:pt>
                <c:pt idx="4">
                  <c:v>1.69</c:v>
                </c:pt>
                <c:pt idx="5">
                  <c:v>2.2799999999999998</c:v>
                </c:pt>
                <c:pt idx="6">
                  <c:v>3.61</c:v>
                </c:pt>
                <c:pt idx="7">
                  <c:v>2.93</c:v>
                </c:pt>
                <c:pt idx="8">
                  <c:v>0.9</c:v>
                </c:pt>
                <c:pt idx="9">
                  <c:v>2.85</c:v>
                </c:pt>
                <c:pt idx="10">
                  <c:v>2.6</c:v>
                </c:pt>
                <c:pt idx="11">
                  <c:v>2.11</c:v>
                </c:pt>
              </c:numCache>
            </c:numRef>
          </c:val>
          <c:extLst>
            <c:ext xmlns:c16="http://schemas.microsoft.com/office/drawing/2014/chart" uri="{C3380CC4-5D6E-409C-BE32-E72D297353CC}">
              <c16:uniqueId val="{00000002-9C8F-44E5-AA9C-ECD15CC0882F}"/>
            </c:ext>
          </c:extLst>
        </c:ser>
        <c:ser>
          <c:idx val="3"/>
          <c:order val="3"/>
          <c:invertIfNegative val="1"/>
          <c:cat>
            <c:numRef>
              <c:f>'MEYCAUAYAN RIVER'!$F$7:$Q$7</c:f>
              <c:numCache>
                <c:formatCode>#,##0.00</c:formatCode>
                <c:ptCount val="12"/>
                <c:pt idx="0">
                  <c:v>0.1</c:v>
                </c:pt>
                <c:pt idx="1">
                  <c:v>1.03</c:v>
                </c:pt>
                <c:pt idx="2">
                  <c:v>1.05</c:v>
                </c:pt>
                <c:pt idx="3">
                  <c:v>2.39</c:v>
                </c:pt>
                <c:pt idx="4">
                  <c:v>3.21</c:v>
                </c:pt>
                <c:pt idx="5">
                  <c:v>3.99</c:v>
                </c:pt>
                <c:pt idx="6">
                  <c:v>4.25</c:v>
                </c:pt>
                <c:pt idx="7">
                  <c:v>4.0999999999999996</c:v>
                </c:pt>
                <c:pt idx="8">
                  <c:v>4.01</c:v>
                </c:pt>
                <c:pt idx="9">
                  <c:v>3.05</c:v>
                </c:pt>
                <c:pt idx="10">
                  <c:v>3.9</c:v>
                </c:pt>
                <c:pt idx="11">
                  <c:v>3.202</c:v>
                </c:pt>
              </c:numCache>
            </c:numRef>
          </c:cat>
          <c:val>
            <c:numRef>
              <c:f>'MEYCAUAYAN RIVER'!$F$11:$Q$11</c:f>
              <c:numCache>
                <c:formatCode>#,##0.00</c:formatCode>
                <c:ptCount val="12"/>
                <c:pt idx="0">
                  <c:v>0.1</c:v>
                </c:pt>
                <c:pt idx="1">
                  <c:v>0.89</c:v>
                </c:pt>
                <c:pt idx="2">
                  <c:v>0.67</c:v>
                </c:pt>
                <c:pt idx="3">
                  <c:v>1.1100000000000001</c:v>
                </c:pt>
                <c:pt idx="4">
                  <c:v>1.71</c:v>
                </c:pt>
                <c:pt idx="5">
                  <c:v>2.1800000000000002</c:v>
                </c:pt>
                <c:pt idx="6">
                  <c:v>3.59</c:v>
                </c:pt>
                <c:pt idx="7">
                  <c:v>2.91</c:v>
                </c:pt>
                <c:pt idx="8">
                  <c:v>1.01</c:v>
                </c:pt>
                <c:pt idx="9">
                  <c:v>4.05</c:v>
                </c:pt>
                <c:pt idx="10">
                  <c:v>2.99</c:v>
                </c:pt>
                <c:pt idx="11">
                  <c:v>4.6500000000000004</c:v>
                </c:pt>
              </c:numCache>
            </c:numRef>
          </c:val>
          <c:extLst>
            <c:ext xmlns:c16="http://schemas.microsoft.com/office/drawing/2014/chart" uri="{C3380CC4-5D6E-409C-BE32-E72D297353CC}">
              <c16:uniqueId val="{00000003-9C8F-44E5-AA9C-ECD15CC0882F}"/>
            </c:ext>
          </c:extLst>
        </c:ser>
        <c:dLbls>
          <c:showLegendKey val="0"/>
          <c:showVal val="0"/>
          <c:showCatName val="0"/>
          <c:showSerName val="0"/>
          <c:showPercent val="0"/>
          <c:showBubbleSize val="0"/>
        </c:dLbls>
        <c:gapWidth val="150"/>
        <c:axId val="1753521025"/>
        <c:axId val="178522836"/>
      </c:barChart>
      <c:catAx>
        <c:axId val="1753521025"/>
        <c:scaling>
          <c:orientation val="minMax"/>
        </c:scaling>
        <c:delete val="0"/>
        <c:axPos val="b"/>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txPr>
          <a:bodyPr/>
          <a:lstStyle/>
          <a:p>
            <a:pPr lvl="0">
              <a:defRPr sz="900" b="0" i="0">
                <a:solidFill>
                  <a:srgbClr val="000000"/>
                </a:solidFill>
                <a:latin typeface="+mn-lt"/>
              </a:defRPr>
            </a:pPr>
            <a:endParaRPr lang="en-US"/>
          </a:p>
        </c:txPr>
        <c:crossAx val="178522836"/>
        <c:crosses val="autoZero"/>
        <c:auto val="1"/>
        <c:lblAlgn val="ctr"/>
        <c:lblOffset val="100"/>
        <c:noMultiLvlLbl val="1"/>
      </c:catAx>
      <c:valAx>
        <c:axId val="178522836"/>
        <c:scaling>
          <c:orientation val="minMax"/>
        </c:scaling>
        <c:delete val="0"/>
        <c:axPos val="l"/>
        <c:numFmt formatCode="#,##0.00" sourceLinked="1"/>
        <c:majorTickMark val="cross"/>
        <c:minorTickMark val="cross"/>
        <c:tickLblPos val="nextTo"/>
        <c:spPr>
          <a:ln>
            <a:noFill/>
          </a:ln>
        </c:spPr>
        <c:crossAx val="175352102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BOD</a:t>
            </a:r>
          </a:p>
        </c:rich>
      </c:tx>
      <c:overlay val="0"/>
    </c:title>
    <c:autoTitleDeleted val="0"/>
    <c:plotArea>
      <c:layout/>
      <c:barChart>
        <c:barDir val="col"/>
        <c:grouping val="clustered"/>
        <c:varyColors val="1"/>
        <c:ser>
          <c:idx val="0"/>
          <c:order val="0"/>
          <c:invertIfNegative val="1"/>
          <c:cat>
            <c:numRef>
              <c:f>'MEYCAUAYAN RIVER'!$F$12:$Q$12</c:f>
              <c:numCache>
                <c:formatCode>#,##0</c:formatCode>
                <c:ptCount val="12"/>
                <c:pt idx="0">
                  <c:v>33</c:v>
                </c:pt>
                <c:pt idx="1">
                  <c:v>35</c:v>
                </c:pt>
                <c:pt idx="2">
                  <c:v>44</c:v>
                </c:pt>
                <c:pt idx="3">
                  <c:v>28</c:v>
                </c:pt>
                <c:pt idx="4">
                  <c:v>34</c:v>
                </c:pt>
                <c:pt idx="5">
                  <c:v>15</c:v>
                </c:pt>
                <c:pt idx="6">
                  <c:v>11</c:v>
                </c:pt>
                <c:pt idx="7">
                  <c:v>13</c:v>
                </c:pt>
                <c:pt idx="8" formatCode="General">
                  <c:v>29</c:v>
                </c:pt>
                <c:pt idx="9" formatCode="#,##0.00">
                  <c:v>27</c:v>
                </c:pt>
                <c:pt idx="10" formatCode="#,##0.00">
                  <c:v>28</c:v>
                </c:pt>
                <c:pt idx="11" formatCode="#,##0.00">
                  <c:v>31</c:v>
                </c:pt>
              </c:numCache>
            </c:numRef>
          </c:cat>
          <c:val>
            <c:numRef>
              <c:f>'MEYCAUAYAN RIVER'!$F$13:$Q$13</c:f>
              <c:numCache>
                <c:formatCode>#,##0</c:formatCode>
                <c:ptCount val="12"/>
                <c:pt idx="0">
                  <c:v>96</c:v>
                </c:pt>
                <c:pt idx="1">
                  <c:v>96</c:v>
                </c:pt>
                <c:pt idx="2">
                  <c:v>108</c:v>
                </c:pt>
                <c:pt idx="3">
                  <c:v>86</c:v>
                </c:pt>
                <c:pt idx="4">
                  <c:v>112</c:v>
                </c:pt>
                <c:pt idx="5">
                  <c:v>61</c:v>
                </c:pt>
                <c:pt idx="6">
                  <c:v>9</c:v>
                </c:pt>
                <c:pt idx="7">
                  <c:v>20</c:v>
                </c:pt>
                <c:pt idx="8" formatCode="General">
                  <c:v>33</c:v>
                </c:pt>
                <c:pt idx="9" formatCode="#,##0.00">
                  <c:v>56</c:v>
                </c:pt>
                <c:pt idx="10" formatCode="#,##0.00">
                  <c:v>25</c:v>
                </c:pt>
                <c:pt idx="11" formatCode="#,##0.00">
                  <c:v>118</c:v>
                </c:pt>
              </c:numCache>
            </c:numRef>
          </c:val>
          <c:extLst>
            <c:ext xmlns:c16="http://schemas.microsoft.com/office/drawing/2014/chart" uri="{C3380CC4-5D6E-409C-BE32-E72D297353CC}">
              <c16:uniqueId val="{00000000-73EC-4308-98E5-881174863CBE}"/>
            </c:ext>
          </c:extLst>
        </c:ser>
        <c:ser>
          <c:idx val="1"/>
          <c:order val="1"/>
          <c:invertIfNegative val="1"/>
          <c:cat>
            <c:numRef>
              <c:f>'MEYCAUAYAN RIVER'!$F$12:$Q$12</c:f>
              <c:numCache>
                <c:formatCode>#,##0</c:formatCode>
                <c:ptCount val="12"/>
                <c:pt idx="0">
                  <c:v>33</c:v>
                </c:pt>
                <c:pt idx="1">
                  <c:v>35</c:v>
                </c:pt>
                <c:pt idx="2">
                  <c:v>44</c:v>
                </c:pt>
                <c:pt idx="3">
                  <c:v>28</c:v>
                </c:pt>
                <c:pt idx="4">
                  <c:v>34</c:v>
                </c:pt>
                <c:pt idx="5">
                  <c:v>15</c:v>
                </c:pt>
                <c:pt idx="6">
                  <c:v>11</c:v>
                </c:pt>
                <c:pt idx="7">
                  <c:v>13</c:v>
                </c:pt>
                <c:pt idx="8" formatCode="General">
                  <c:v>29</c:v>
                </c:pt>
                <c:pt idx="9" formatCode="#,##0.00">
                  <c:v>27</c:v>
                </c:pt>
                <c:pt idx="10" formatCode="#,##0.00">
                  <c:v>28</c:v>
                </c:pt>
                <c:pt idx="11" formatCode="#,##0.00">
                  <c:v>31</c:v>
                </c:pt>
              </c:numCache>
            </c:numRef>
          </c:cat>
          <c:val>
            <c:numRef>
              <c:f>'MEYCAUAYAN RIVER'!$F$14:$Q$14</c:f>
              <c:numCache>
                <c:formatCode>#,##0</c:formatCode>
                <c:ptCount val="12"/>
                <c:pt idx="0">
                  <c:v>85</c:v>
                </c:pt>
                <c:pt idx="1">
                  <c:v>86</c:v>
                </c:pt>
                <c:pt idx="2">
                  <c:v>41</c:v>
                </c:pt>
                <c:pt idx="3">
                  <c:v>184</c:v>
                </c:pt>
                <c:pt idx="4">
                  <c:v>14</c:v>
                </c:pt>
                <c:pt idx="5">
                  <c:v>47</c:v>
                </c:pt>
                <c:pt idx="6">
                  <c:v>17</c:v>
                </c:pt>
                <c:pt idx="7">
                  <c:v>17</c:v>
                </c:pt>
                <c:pt idx="8" formatCode="General">
                  <c:v>31</c:v>
                </c:pt>
                <c:pt idx="9" formatCode="#,##0.00">
                  <c:v>7</c:v>
                </c:pt>
                <c:pt idx="10" formatCode="#,##0.00">
                  <c:v>18</c:v>
                </c:pt>
                <c:pt idx="11" formatCode="#,##0.00">
                  <c:v>73</c:v>
                </c:pt>
              </c:numCache>
            </c:numRef>
          </c:val>
          <c:extLst>
            <c:ext xmlns:c16="http://schemas.microsoft.com/office/drawing/2014/chart" uri="{C3380CC4-5D6E-409C-BE32-E72D297353CC}">
              <c16:uniqueId val="{00000001-73EC-4308-98E5-881174863CBE}"/>
            </c:ext>
          </c:extLst>
        </c:ser>
        <c:ser>
          <c:idx val="2"/>
          <c:order val="2"/>
          <c:invertIfNegative val="1"/>
          <c:cat>
            <c:numRef>
              <c:f>'MEYCAUAYAN RIVER'!$F$12:$Q$12</c:f>
              <c:numCache>
                <c:formatCode>#,##0</c:formatCode>
                <c:ptCount val="12"/>
                <c:pt idx="0">
                  <c:v>33</c:v>
                </c:pt>
                <c:pt idx="1">
                  <c:v>35</c:v>
                </c:pt>
                <c:pt idx="2">
                  <c:v>44</c:v>
                </c:pt>
                <c:pt idx="3">
                  <c:v>28</c:v>
                </c:pt>
                <c:pt idx="4">
                  <c:v>34</c:v>
                </c:pt>
                <c:pt idx="5">
                  <c:v>15</c:v>
                </c:pt>
                <c:pt idx="6">
                  <c:v>11</c:v>
                </c:pt>
                <c:pt idx="7">
                  <c:v>13</c:v>
                </c:pt>
                <c:pt idx="8" formatCode="General">
                  <c:v>29</c:v>
                </c:pt>
                <c:pt idx="9" formatCode="#,##0.00">
                  <c:v>27</c:v>
                </c:pt>
                <c:pt idx="10" formatCode="#,##0.00">
                  <c:v>28</c:v>
                </c:pt>
                <c:pt idx="11" formatCode="#,##0.00">
                  <c:v>31</c:v>
                </c:pt>
              </c:numCache>
            </c:numRef>
          </c:cat>
          <c:val>
            <c:numRef>
              <c:f>'MEYCAUAYAN RIVER'!$F$15:$Q$15</c:f>
              <c:numCache>
                <c:formatCode>#,##0</c:formatCode>
                <c:ptCount val="12"/>
                <c:pt idx="0">
                  <c:v>75</c:v>
                </c:pt>
                <c:pt idx="1">
                  <c:v>58</c:v>
                </c:pt>
                <c:pt idx="2">
                  <c:v>72</c:v>
                </c:pt>
                <c:pt idx="3">
                  <c:v>59</c:v>
                </c:pt>
                <c:pt idx="4">
                  <c:v>19</c:v>
                </c:pt>
                <c:pt idx="5">
                  <c:v>18</c:v>
                </c:pt>
                <c:pt idx="6">
                  <c:v>9</c:v>
                </c:pt>
                <c:pt idx="7">
                  <c:v>10</c:v>
                </c:pt>
                <c:pt idx="8" formatCode="General">
                  <c:v>19</c:v>
                </c:pt>
                <c:pt idx="9" formatCode="#,##0.00">
                  <c:v>44</c:v>
                </c:pt>
                <c:pt idx="10" formatCode="#,##0.00">
                  <c:v>102</c:v>
                </c:pt>
                <c:pt idx="11" formatCode="#,##0.00">
                  <c:v>119</c:v>
                </c:pt>
              </c:numCache>
            </c:numRef>
          </c:val>
          <c:extLst>
            <c:ext xmlns:c16="http://schemas.microsoft.com/office/drawing/2014/chart" uri="{C3380CC4-5D6E-409C-BE32-E72D297353CC}">
              <c16:uniqueId val="{00000002-73EC-4308-98E5-881174863CBE}"/>
            </c:ext>
          </c:extLst>
        </c:ser>
        <c:ser>
          <c:idx val="3"/>
          <c:order val="3"/>
          <c:invertIfNegative val="1"/>
          <c:cat>
            <c:numRef>
              <c:f>'MEYCAUAYAN RIVER'!$F$12:$Q$12</c:f>
              <c:numCache>
                <c:formatCode>#,##0</c:formatCode>
                <c:ptCount val="12"/>
                <c:pt idx="0">
                  <c:v>33</c:v>
                </c:pt>
                <c:pt idx="1">
                  <c:v>35</c:v>
                </c:pt>
                <c:pt idx="2">
                  <c:v>44</c:v>
                </c:pt>
                <c:pt idx="3">
                  <c:v>28</c:v>
                </c:pt>
                <c:pt idx="4">
                  <c:v>34</c:v>
                </c:pt>
                <c:pt idx="5">
                  <c:v>15</c:v>
                </c:pt>
                <c:pt idx="6">
                  <c:v>11</c:v>
                </c:pt>
                <c:pt idx="7">
                  <c:v>13</c:v>
                </c:pt>
                <c:pt idx="8" formatCode="General">
                  <c:v>29</c:v>
                </c:pt>
                <c:pt idx="9" formatCode="#,##0.00">
                  <c:v>27</c:v>
                </c:pt>
                <c:pt idx="10" formatCode="#,##0.00">
                  <c:v>28</c:v>
                </c:pt>
                <c:pt idx="11" formatCode="#,##0.00">
                  <c:v>31</c:v>
                </c:pt>
              </c:numCache>
            </c:numRef>
          </c:cat>
          <c:val>
            <c:numRef>
              <c:f>'MEYCAUAYAN RIVER'!$F$16:$Q$16</c:f>
              <c:numCache>
                <c:formatCode>#,##0</c:formatCode>
                <c:ptCount val="12"/>
                <c:pt idx="0">
                  <c:v>45</c:v>
                </c:pt>
                <c:pt idx="1">
                  <c:v>48</c:v>
                </c:pt>
                <c:pt idx="2">
                  <c:v>54</c:v>
                </c:pt>
                <c:pt idx="3">
                  <c:v>39</c:v>
                </c:pt>
                <c:pt idx="4">
                  <c:v>23</c:v>
                </c:pt>
                <c:pt idx="5">
                  <c:v>31</c:v>
                </c:pt>
                <c:pt idx="6">
                  <c:v>13</c:v>
                </c:pt>
                <c:pt idx="7">
                  <c:v>27</c:v>
                </c:pt>
                <c:pt idx="8" formatCode="General">
                  <c:v>28</c:v>
                </c:pt>
                <c:pt idx="9" formatCode="#,##0.00">
                  <c:v>63</c:v>
                </c:pt>
                <c:pt idx="10" formatCode="#,##0.00">
                  <c:v>19</c:v>
                </c:pt>
                <c:pt idx="11" formatCode="#,##0.00">
                  <c:v>97</c:v>
                </c:pt>
              </c:numCache>
            </c:numRef>
          </c:val>
          <c:extLst>
            <c:ext xmlns:c16="http://schemas.microsoft.com/office/drawing/2014/chart" uri="{C3380CC4-5D6E-409C-BE32-E72D297353CC}">
              <c16:uniqueId val="{00000003-73EC-4308-98E5-881174863CBE}"/>
            </c:ext>
          </c:extLst>
        </c:ser>
        <c:dLbls>
          <c:showLegendKey val="0"/>
          <c:showVal val="0"/>
          <c:showCatName val="0"/>
          <c:showSerName val="0"/>
          <c:showPercent val="0"/>
          <c:showBubbleSize val="0"/>
        </c:dLbls>
        <c:gapWidth val="150"/>
        <c:axId val="2054261460"/>
        <c:axId val="31440521"/>
      </c:barChart>
      <c:catAx>
        <c:axId val="2054261460"/>
        <c:scaling>
          <c:orientation val="minMax"/>
        </c:scaling>
        <c:delete val="0"/>
        <c:axPos val="b"/>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txPr>
          <a:bodyPr/>
          <a:lstStyle/>
          <a:p>
            <a:pPr lvl="0">
              <a:defRPr sz="900" b="0" i="0">
                <a:solidFill>
                  <a:srgbClr val="000000"/>
                </a:solidFill>
                <a:latin typeface="+mn-lt"/>
              </a:defRPr>
            </a:pPr>
            <a:endParaRPr lang="en-US"/>
          </a:p>
        </c:txPr>
        <c:crossAx val="31440521"/>
        <c:crosses val="autoZero"/>
        <c:auto val="1"/>
        <c:lblAlgn val="ctr"/>
        <c:lblOffset val="100"/>
        <c:noMultiLvlLbl val="1"/>
      </c:catAx>
      <c:valAx>
        <c:axId val="31440521"/>
        <c:scaling>
          <c:orientation val="minMax"/>
        </c:scaling>
        <c:delete val="0"/>
        <c:axPos val="l"/>
        <c:numFmt formatCode="#,##0" sourceLinked="1"/>
        <c:majorTickMark val="cross"/>
        <c:minorTickMark val="cross"/>
        <c:tickLblPos val="nextTo"/>
        <c:spPr>
          <a:ln>
            <a:noFill/>
          </a:ln>
        </c:spPr>
        <c:crossAx val="205426146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Total Suspended Solids</a:t>
            </a:r>
          </a:p>
        </c:rich>
      </c:tx>
      <c:overlay val="0"/>
    </c:title>
    <c:autoTitleDeleted val="0"/>
    <c:plotArea>
      <c:layout/>
      <c:barChart>
        <c:barDir val="col"/>
        <c:grouping val="clustered"/>
        <c:varyColors val="1"/>
        <c:ser>
          <c:idx val="0"/>
          <c:order val="0"/>
          <c:invertIfNegative val="1"/>
          <c:cat>
            <c:numRef>
              <c:f>'MEYCAUAYAN RIVER'!$F$17:$Q$17</c:f>
              <c:numCache>
                <c:formatCode>#,##0</c:formatCode>
                <c:ptCount val="12"/>
                <c:pt idx="0">
                  <c:v>13</c:v>
                </c:pt>
                <c:pt idx="1">
                  <c:v>12</c:v>
                </c:pt>
                <c:pt idx="2">
                  <c:v>24</c:v>
                </c:pt>
                <c:pt idx="3">
                  <c:v>13</c:v>
                </c:pt>
                <c:pt idx="4">
                  <c:v>70</c:v>
                </c:pt>
                <c:pt idx="5">
                  <c:v>37</c:v>
                </c:pt>
                <c:pt idx="6">
                  <c:v>18</c:v>
                </c:pt>
                <c:pt idx="7">
                  <c:v>29</c:v>
                </c:pt>
                <c:pt idx="8" formatCode="General">
                  <c:v>29</c:v>
                </c:pt>
                <c:pt idx="9" formatCode="#,##0.00">
                  <c:v>26</c:v>
                </c:pt>
                <c:pt idx="10" formatCode="#,##0.00">
                  <c:v>39</c:v>
                </c:pt>
                <c:pt idx="11" formatCode="#,##0.00">
                  <c:v>54</c:v>
                </c:pt>
              </c:numCache>
            </c:numRef>
          </c:cat>
          <c:val>
            <c:numRef>
              <c:f>'MEYCAUAYAN RIVER'!$F$18:$Q$18</c:f>
              <c:numCache>
                <c:formatCode>#,##0</c:formatCode>
                <c:ptCount val="12"/>
                <c:pt idx="0">
                  <c:v>35</c:v>
                </c:pt>
                <c:pt idx="1">
                  <c:v>100</c:v>
                </c:pt>
                <c:pt idx="2">
                  <c:v>42</c:v>
                </c:pt>
                <c:pt idx="3">
                  <c:v>18</c:v>
                </c:pt>
                <c:pt idx="4">
                  <c:v>60</c:v>
                </c:pt>
                <c:pt idx="5">
                  <c:v>51</c:v>
                </c:pt>
                <c:pt idx="6">
                  <c:v>16</c:v>
                </c:pt>
                <c:pt idx="7">
                  <c:v>31</c:v>
                </c:pt>
                <c:pt idx="8" formatCode="General">
                  <c:v>31</c:v>
                </c:pt>
                <c:pt idx="9" formatCode="#,##0.00">
                  <c:v>25</c:v>
                </c:pt>
                <c:pt idx="10" formatCode="#,##0.00">
                  <c:v>37</c:v>
                </c:pt>
                <c:pt idx="11" formatCode="#,##0.00">
                  <c:v>59</c:v>
                </c:pt>
              </c:numCache>
            </c:numRef>
          </c:val>
          <c:extLst>
            <c:ext xmlns:c16="http://schemas.microsoft.com/office/drawing/2014/chart" uri="{C3380CC4-5D6E-409C-BE32-E72D297353CC}">
              <c16:uniqueId val="{00000000-7B41-456E-9C1F-B93BDF8AD11C}"/>
            </c:ext>
          </c:extLst>
        </c:ser>
        <c:ser>
          <c:idx val="1"/>
          <c:order val="1"/>
          <c:invertIfNegative val="1"/>
          <c:cat>
            <c:numRef>
              <c:f>'MEYCAUAYAN RIVER'!$F$17:$Q$17</c:f>
              <c:numCache>
                <c:formatCode>#,##0</c:formatCode>
                <c:ptCount val="12"/>
                <c:pt idx="0">
                  <c:v>13</c:v>
                </c:pt>
                <c:pt idx="1">
                  <c:v>12</c:v>
                </c:pt>
                <c:pt idx="2">
                  <c:v>24</c:v>
                </c:pt>
                <c:pt idx="3">
                  <c:v>13</c:v>
                </c:pt>
                <c:pt idx="4">
                  <c:v>70</c:v>
                </c:pt>
                <c:pt idx="5">
                  <c:v>37</c:v>
                </c:pt>
                <c:pt idx="6">
                  <c:v>18</c:v>
                </c:pt>
                <c:pt idx="7">
                  <c:v>29</c:v>
                </c:pt>
                <c:pt idx="8" formatCode="General">
                  <c:v>29</c:v>
                </c:pt>
                <c:pt idx="9" formatCode="#,##0.00">
                  <c:v>26</c:v>
                </c:pt>
                <c:pt idx="10" formatCode="#,##0.00">
                  <c:v>39</c:v>
                </c:pt>
                <c:pt idx="11" formatCode="#,##0.00">
                  <c:v>54</c:v>
                </c:pt>
              </c:numCache>
            </c:numRef>
          </c:cat>
          <c:val>
            <c:numRef>
              <c:f>'MEYCAUAYAN RIVER'!$F$19:$Q$19</c:f>
              <c:numCache>
                <c:formatCode>#,##0</c:formatCode>
                <c:ptCount val="12"/>
                <c:pt idx="0">
                  <c:v>21</c:v>
                </c:pt>
                <c:pt idx="1">
                  <c:v>30</c:v>
                </c:pt>
                <c:pt idx="2">
                  <c:v>25</c:v>
                </c:pt>
                <c:pt idx="3">
                  <c:v>62</c:v>
                </c:pt>
                <c:pt idx="4">
                  <c:v>37</c:v>
                </c:pt>
                <c:pt idx="5">
                  <c:v>57</c:v>
                </c:pt>
                <c:pt idx="6">
                  <c:v>29</c:v>
                </c:pt>
                <c:pt idx="7">
                  <c:v>36</c:v>
                </c:pt>
                <c:pt idx="8" formatCode="General">
                  <c:v>44</c:v>
                </c:pt>
                <c:pt idx="9" formatCode="#,##0.00">
                  <c:v>32</c:v>
                </c:pt>
                <c:pt idx="10" formatCode="#,##0.00">
                  <c:v>44</c:v>
                </c:pt>
                <c:pt idx="11" formatCode="#,##0.00">
                  <c:v>46</c:v>
                </c:pt>
              </c:numCache>
            </c:numRef>
          </c:val>
          <c:extLst>
            <c:ext xmlns:c16="http://schemas.microsoft.com/office/drawing/2014/chart" uri="{C3380CC4-5D6E-409C-BE32-E72D297353CC}">
              <c16:uniqueId val="{00000001-7B41-456E-9C1F-B93BDF8AD11C}"/>
            </c:ext>
          </c:extLst>
        </c:ser>
        <c:ser>
          <c:idx val="2"/>
          <c:order val="2"/>
          <c:invertIfNegative val="1"/>
          <c:cat>
            <c:numRef>
              <c:f>'MEYCAUAYAN RIVER'!$F$17:$Q$17</c:f>
              <c:numCache>
                <c:formatCode>#,##0</c:formatCode>
                <c:ptCount val="12"/>
                <c:pt idx="0">
                  <c:v>13</c:v>
                </c:pt>
                <c:pt idx="1">
                  <c:v>12</c:v>
                </c:pt>
                <c:pt idx="2">
                  <c:v>24</c:v>
                </c:pt>
                <c:pt idx="3">
                  <c:v>13</c:v>
                </c:pt>
                <c:pt idx="4">
                  <c:v>70</c:v>
                </c:pt>
                <c:pt idx="5">
                  <c:v>37</c:v>
                </c:pt>
                <c:pt idx="6">
                  <c:v>18</c:v>
                </c:pt>
                <c:pt idx="7">
                  <c:v>29</c:v>
                </c:pt>
                <c:pt idx="8" formatCode="General">
                  <c:v>29</c:v>
                </c:pt>
                <c:pt idx="9" formatCode="#,##0.00">
                  <c:v>26</c:v>
                </c:pt>
                <c:pt idx="10" formatCode="#,##0.00">
                  <c:v>39</c:v>
                </c:pt>
                <c:pt idx="11" formatCode="#,##0.00">
                  <c:v>54</c:v>
                </c:pt>
              </c:numCache>
            </c:numRef>
          </c:cat>
          <c:val>
            <c:numRef>
              <c:f>'MEYCAUAYAN RIVER'!$F$20:$Q$20</c:f>
              <c:numCache>
                <c:formatCode>#,##0</c:formatCode>
                <c:ptCount val="12"/>
                <c:pt idx="0">
                  <c:v>20</c:v>
                </c:pt>
                <c:pt idx="1">
                  <c:v>236</c:v>
                </c:pt>
                <c:pt idx="2">
                  <c:v>66</c:v>
                </c:pt>
                <c:pt idx="3">
                  <c:v>24</c:v>
                </c:pt>
                <c:pt idx="4">
                  <c:v>41</c:v>
                </c:pt>
                <c:pt idx="5">
                  <c:v>42</c:v>
                </c:pt>
                <c:pt idx="6">
                  <c:v>24</c:v>
                </c:pt>
                <c:pt idx="7">
                  <c:v>31</c:v>
                </c:pt>
                <c:pt idx="8" formatCode="General">
                  <c:v>40</c:v>
                </c:pt>
                <c:pt idx="9" formatCode="#,##0.00">
                  <c:v>29</c:v>
                </c:pt>
                <c:pt idx="10" formatCode="#,##0.00">
                  <c:v>46</c:v>
                </c:pt>
                <c:pt idx="11" formatCode="#,##0.00">
                  <c:v>42</c:v>
                </c:pt>
              </c:numCache>
            </c:numRef>
          </c:val>
          <c:extLst>
            <c:ext xmlns:c16="http://schemas.microsoft.com/office/drawing/2014/chart" uri="{C3380CC4-5D6E-409C-BE32-E72D297353CC}">
              <c16:uniqueId val="{00000002-7B41-456E-9C1F-B93BDF8AD11C}"/>
            </c:ext>
          </c:extLst>
        </c:ser>
        <c:ser>
          <c:idx val="3"/>
          <c:order val="3"/>
          <c:invertIfNegative val="1"/>
          <c:cat>
            <c:numRef>
              <c:f>'MEYCAUAYAN RIVER'!$F$17:$Q$17</c:f>
              <c:numCache>
                <c:formatCode>#,##0</c:formatCode>
                <c:ptCount val="12"/>
                <c:pt idx="0">
                  <c:v>13</c:v>
                </c:pt>
                <c:pt idx="1">
                  <c:v>12</c:v>
                </c:pt>
                <c:pt idx="2">
                  <c:v>24</c:v>
                </c:pt>
                <c:pt idx="3">
                  <c:v>13</c:v>
                </c:pt>
                <c:pt idx="4">
                  <c:v>70</c:v>
                </c:pt>
                <c:pt idx="5">
                  <c:v>37</c:v>
                </c:pt>
                <c:pt idx="6">
                  <c:v>18</c:v>
                </c:pt>
                <c:pt idx="7">
                  <c:v>29</c:v>
                </c:pt>
                <c:pt idx="8" formatCode="General">
                  <c:v>29</c:v>
                </c:pt>
                <c:pt idx="9" formatCode="#,##0.00">
                  <c:v>26</c:v>
                </c:pt>
                <c:pt idx="10" formatCode="#,##0.00">
                  <c:v>39</c:v>
                </c:pt>
                <c:pt idx="11" formatCode="#,##0.00">
                  <c:v>54</c:v>
                </c:pt>
              </c:numCache>
            </c:numRef>
          </c:cat>
          <c:val>
            <c:numRef>
              <c:f>'MEYCAUAYAN RIVER'!$F$21:$Q$21</c:f>
              <c:numCache>
                <c:formatCode>#,##0</c:formatCode>
                <c:ptCount val="12"/>
                <c:pt idx="0">
                  <c:v>30</c:v>
                </c:pt>
                <c:pt idx="1">
                  <c:v>17</c:v>
                </c:pt>
                <c:pt idx="2">
                  <c:v>36</c:v>
                </c:pt>
                <c:pt idx="3">
                  <c:v>30</c:v>
                </c:pt>
                <c:pt idx="4">
                  <c:v>63</c:v>
                </c:pt>
                <c:pt idx="5">
                  <c:v>48</c:v>
                </c:pt>
                <c:pt idx="6">
                  <c:v>32</c:v>
                </c:pt>
                <c:pt idx="7">
                  <c:v>27</c:v>
                </c:pt>
                <c:pt idx="8" formatCode="General">
                  <c:v>43</c:v>
                </c:pt>
                <c:pt idx="9" formatCode="#,##0.00">
                  <c:v>26</c:v>
                </c:pt>
                <c:pt idx="10" formatCode="#,##0.00">
                  <c:v>41</c:v>
                </c:pt>
                <c:pt idx="11" formatCode="#,##0.00">
                  <c:v>36</c:v>
                </c:pt>
              </c:numCache>
            </c:numRef>
          </c:val>
          <c:extLst>
            <c:ext xmlns:c16="http://schemas.microsoft.com/office/drawing/2014/chart" uri="{C3380CC4-5D6E-409C-BE32-E72D297353CC}">
              <c16:uniqueId val="{00000003-7B41-456E-9C1F-B93BDF8AD11C}"/>
            </c:ext>
          </c:extLst>
        </c:ser>
        <c:dLbls>
          <c:showLegendKey val="0"/>
          <c:showVal val="0"/>
          <c:showCatName val="0"/>
          <c:showSerName val="0"/>
          <c:showPercent val="0"/>
          <c:showBubbleSize val="0"/>
        </c:dLbls>
        <c:gapWidth val="150"/>
        <c:axId val="296019185"/>
        <c:axId val="38281191"/>
      </c:barChart>
      <c:catAx>
        <c:axId val="296019185"/>
        <c:scaling>
          <c:orientation val="minMax"/>
        </c:scaling>
        <c:delete val="0"/>
        <c:axPos val="b"/>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txPr>
          <a:bodyPr/>
          <a:lstStyle/>
          <a:p>
            <a:pPr lvl="0">
              <a:defRPr sz="900" b="0" i="0">
                <a:solidFill>
                  <a:srgbClr val="000000"/>
                </a:solidFill>
                <a:latin typeface="+mn-lt"/>
              </a:defRPr>
            </a:pPr>
            <a:endParaRPr lang="en-US"/>
          </a:p>
        </c:txPr>
        <c:crossAx val="38281191"/>
        <c:crosses val="autoZero"/>
        <c:auto val="1"/>
        <c:lblAlgn val="ctr"/>
        <c:lblOffset val="100"/>
        <c:noMultiLvlLbl val="1"/>
      </c:catAx>
      <c:valAx>
        <c:axId val="38281191"/>
        <c:scaling>
          <c:orientation val="minMax"/>
        </c:scaling>
        <c:delete val="0"/>
        <c:axPos val="l"/>
        <c:numFmt formatCode="#,##0" sourceLinked="1"/>
        <c:majorTickMark val="cross"/>
        <c:minorTickMark val="cross"/>
        <c:tickLblPos val="nextTo"/>
        <c:spPr>
          <a:ln>
            <a:noFill/>
          </a:ln>
        </c:spPr>
        <c:crossAx val="29601918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PH</a:t>
            </a:r>
          </a:p>
        </c:rich>
      </c:tx>
      <c:overlay val="0"/>
    </c:title>
    <c:autoTitleDeleted val="0"/>
    <c:plotArea>
      <c:layout/>
      <c:barChart>
        <c:barDir val="col"/>
        <c:grouping val="clustered"/>
        <c:varyColors val="1"/>
        <c:ser>
          <c:idx val="0"/>
          <c:order val="0"/>
          <c:invertIfNegative val="1"/>
          <c:cat>
            <c:numRef>
              <c:f>'MEYCAUAYAN RIVER'!$F$22:$Q$22</c:f>
              <c:numCache>
                <c:formatCode>#,##0.00</c:formatCode>
                <c:ptCount val="12"/>
                <c:pt idx="0">
                  <c:v>7.1</c:v>
                </c:pt>
                <c:pt idx="1">
                  <c:v>7.05</c:v>
                </c:pt>
                <c:pt idx="2">
                  <c:v>7.1</c:v>
                </c:pt>
                <c:pt idx="3">
                  <c:v>6.96</c:v>
                </c:pt>
                <c:pt idx="4">
                  <c:v>7.01</c:v>
                </c:pt>
                <c:pt idx="5">
                  <c:v>7.1</c:v>
                </c:pt>
                <c:pt idx="6">
                  <c:v>7.11</c:v>
                </c:pt>
                <c:pt idx="7">
                  <c:v>7.55</c:v>
                </c:pt>
                <c:pt idx="8">
                  <c:v>7.93</c:v>
                </c:pt>
                <c:pt idx="9">
                  <c:v>7.15</c:v>
                </c:pt>
                <c:pt idx="10">
                  <c:v>7.31</c:v>
                </c:pt>
                <c:pt idx="11">
                  <c:v>7.09</c:v>
                </c:pt>
              </c:numCache>
            </c:numRef>
          </c:cat>
          <c:val>
            <c:numRef>
              <c:f>'MEYCAUAYAN RIVER'!$F$23:$Q$23</c:f>
              <c:numCache>
                <c:formatCode>#,##0.00</c:formatCode>
                <c:ptCount val="12"/>
                <c:pt idx="0">
                  <c:v>6.98</c:v>
                </c:pt>
                <c:pt idx="1">
                  <c:v>6.97</c:v>
                </c:pt>
                <c:pt idx="2">
                  <c:v>6.99</c:v>
                </c:pt>
                <c:pt idx="3">
                  <c:v>7.1</c:v>
                </c:pt>
                <c:pt idx="4">
                  <c:v>6.89</c:v>
                </c:pt>
                <c:pt idx="5">
                  <c:v>7.03</c:v>
                </c:pt>
                <c:pt idx="6">
                  <c:v>7.11</c:v>
                </c:pt>
                <c:pt idx="7">
                  <c:v>7.65</c:v>
                </c:pt>
                <c:pt idx="8">
                  <c:v>7.85</c:v>
                </c:pt>
                <c:pt idx="9">
                  <c:v>7.2</c:v>
                </c:pt>
                <c:pt idx="10">
                  <c:v>7.1</c:v>
                </c:pt>
                <c:pt idx="11">
                  <c:v>7.13</c:v>
                </c:pt>
              </c:numCache>
            </c:numRef>
          </c:val>
          <c:extLst>
            <c:ext xmlns:c16="http://schemas.microsoft.com/office/drawing/2014/chart" uri="{C3380CC4-5D6E-409C-BE32-E72D297353CC}">
              <c16:uniqueId val="{00000000-D5CF-4EA2-BFFE-77A47B321E7B}"/>
            </c:ext>
          </c:extLst>
        </c:ser>
        <c:ser>
          <c:idx val="1"/>
          <c:order val="1"/>
          <c:invertIfNegative val="1"/>
          <c:cat>
            <c:numRef>
              <c:f>'MEYCAUAYAN RIVER'!$F$22:$Q$22</c:f>
              <c:numCache>
                <c:formatCode>#,##0.00</c:formatCode>
                <c:ptCount val="12"/>
                <c:pt idx="0">
                  <c:v>7.1</c:v>
                </c:pt>
                <c:pt idx="1">
                  <c:v>7.05</c:v>
                </c:pt>
                <c:pt idx="2">
                  <c:v>7.1</c:v>
                </c:pt>
                <c:pt idx="3">
                  <c:v>6.96</c:v>
                </c:pt>
                <c:pt idx="4">
                  <c:v>7.01</c:v>
                </c:pt>
                <c:pt idx="5">
                  <c:v>7.1</c:v>
                </c:pt>
                <c:pt idx="6">
                  <c:v>7.11</c:v>
                </c:pt>
                <c:pt idx="7">
                  <c:v>7.55</c:v>
                </c:pt>
                <c:pt idx="8">
                  <c:v>7.93</c:v>
                </c:pt>
                <c:pt idx="9">
                  <c:v>7.15</c:v>
                </c:pt>
                <c:pt idx="10">
                  <c:v>7.31</c:v>
                </c:pt>
                <c:pt idx="11">
                  <c:v>7.09</c:v>
                </c:pt>
              </c:numCache>
            </c:numRef>
          </c:cat>
          <c:val>
            <c:numRef>
              <c:f>'MEYCAUAYAN RIVER'!$F$24:$Q$24</c:f>
              <c:numCache>
                <c:formatCode>#,##0.00</c:formatCode>
                <c:ptCount val="12"/>
                <c:pt idx="0">
                  <c:v>7</c:v>
                </c:pt>
                <c:pt idx="1">
                  <c:v>7.03</c:v>
                </c:pt>
                <c:pt idx="2">
                  <c:v>7.01</c:v>
                </c:pt>
                <c:pt idx="3">
                  <c:v>6.85</c:v>
                </c:pt>
                <c:pt idx="4">
                  <c:v>7.05</c:v>
                </c:pt>
                <c:pt idx="5">
                  <c:v>7.1</c:v>
                </c:pt>
                <c:pt idx="6">
                  <c:v>7.13</c:v>
                </c:pt>
                <c:pt idx="7">
                  <c:v>7.58</c:v>
                </c:pt>
                <c:pt idx="8">
                  <c:v>7.91</c:v>
                </c:pt>
                <c:pt idx="9">
                  <c:v>7.27</c:v>
                </c:pt>
                <c:pt idx="10">
                  <c:v>7.21</c:v>
                </c:pt>
                <c:pt idx="11">
                  <c:v>7.1</c:v>
                </c:pt>
              </c:numCache>
            </c:numRef>
          </c:val>
          <c:extLst>
            <c:ext xmlns:c16="http://schemas.microsoft.com/office/drawing/2014/chart" uri="{C3380CC4-5D6E-409C-BE32-E72D297353CC}">
              <c16:uniqueId val="{00000001-D5CF-4EA2-BFFE-77A47B321E7B}"/>
            </c:ext>
          </c:extLst>
        </c:ser>
        <c:ser>
          <c:idx val="2"/>
          <c:order val="2"/>
          <c:invertIfNegative val="1"/>
          <c:cat>
            <c:numRef>
              <c:f>'MEYCAUAYAN RIVER'!$F$22:$Q$22</c:f>
              <c:numCache>
                <c:formatCode>#,##0.00</c:formatCode>
                <c:ptCount val="12"/>
                <c:pt idx="0">
                  <c:v>7.1</c:v>
                </c:pt>
                <c:pt idx="1">
                  <c:v>7.05</c:v>
                </c:pt>
                <c:pt idx="2">
                  <c:v>7.1</c:v>
                </c:pt>
                <c:pt idx="3">
                  <c:v>6.96</c:v>
                </c:pt>
                <c:pt idx="4">
                  <c:v>7.01</c:v>
                </c:pt>
                <c:pt idx="5">
                  <c:v>7.1</c:v>
                </c:pt>
                <c:pt idx="6">
                  <c:v>7.11</c:v>
                </c:pt>
                <c:pt idx="7">
                  <c:v>7.55</c:v>
                </c:pt>
                <c:pt idx="8">
                  <c:v>7.93</c:v>
                </c:pt>
                <c:pt idx="9">
                  <c:v>7.15</c:v>
                </c:pt>
                <c:pt idx="10">
                  <c:v>7.31</c:v>
                </c:pt>
                <c:pt idx="11">
                  <c:v>7.09</c:v>
                </c:pt>
              </c:numCache>
            </c:numRef>
          </c:cat>
          <c:val>
            <c:numRef>
              <c:f>'MEYCAUAYAN RIVER'!$F$25:$Q$25</c:f>
              <c:numCache>
                <c:formatCode>#,##0.00</c:formatCode>
                <c:ptCount val="12"/>
                <c:pt idx="0">
                  <c:v>6.9</c:v>
                </c:pt>
                <c:pt idx="1">
                  <c:v>7</c:v>
                </c:pt>
                <c:pt idx="2">
                  <c:v>6.99</c:v>
                </c:pt>
                <c:pt idx="3">
                  <c:v>7.1</c:v>
                </c:pt>
                <c:pt idx="4">
                  <c:v>6.98</c:v>
                </c:pt>
                <c:pt idx="5">
                  <c:v>6.98</c:v>
                </c:pt>
                <c:pt idx="6">
                  <c:v>7.11</c:v>
                </c:pt>
                <c:pt idx="7">
                  <c:v>7.5</c:v>
                </c:pt>
                <c:pt idx="8">
                  <c:v>7.92</c:v>
                </c:pt>
                <c:pt idx="9">
                  <c:v>7.08</c:v>
                </c:pt>
                <c:pt idx="10">
                  <c:v>7.18</c:v>
                </c:pt>
                <c:pt idx="11">
                  <c:v>7.01</c:v>
                </c:pt>
              </c:numCache>
            </c:numRef>
          </c:val>
          <c:extLst>
            <c:ext xmlns:c16="http://schemas.microsoft.com/office/drawing/2014/chart" uri="{C3380CC4-5D6E-409C-BE32-E72D297353CC}">
              <c16:uniqueId val="{00000002-D5CF-4EA2-BFFE-77A47B321E7B}"/>
            </c:ext>
          </c:extLst>
        </c:ser>
        <c:ser>
          <c:idx val="3"/>
          <c:order val="3"/>
          <c:invertIfNegative val="1"/>
          <c:cat>
            <c:numRef>
              <c:f>'MEYCAUAYAN RIVER'!$F$22:$Q$22</c:f>
              <c:numCache>
                <c:formatCode>#,##0.00</c:formatCode>
                <c:ptCount val="12"/>
                <c:pt idx="0">
                  <c:v>7.1</c:v>
                </c:pt>
                <c:pt idx="1">
                  <c:v>7.05</c:v>
                </c:pt>
                <c:pt idx="2">
                  <c:v>7.1</c:v>
                </c:pt>
                <c:pt idx="3">
                  <c:v>6.96</c:v>
                </c:pt>
                <c:pt idx="4">
                  <c:v>7.01</c:v>
                </c:pt>
                <c:pt idx="5">
                  <c:v>7.1</c:v>
                </c:pt>
                <c:pt idx="6">
                  <c:v>7.11</c:v>
                </c:pt>
                <c:pt idx="7">
                  <c:v>7.55</c:v>
                </c:pt>
                <c:pt idx="8">
                  <c:v>7.93</c:v>
                </c:pt>
                <c:pt idx="9">
                  <c:v>7.15</c:v>
                </c:pt>
                <c:pt idx="10">
                  <c:v>7.31</c:v>
                </c:pt>
                <c:pt idx="11">
                  <c:v>7.09</c:v>
                </c:pt>
              </c:numCache>
            </c:numRef>
          </c:cat>
          <c:val>
            <c:numRef>
              <c:f>'MEYCAUAYAN RIVER'!$F$26:$Q$26</c:f>
              <c:numCache>
                <c:formatCode>#,##0.00</c:formatCode>
                <c:ptCount val="12"/>
                <c:pt idx="0">
                  <c:v>6.95</c:v>
                </c:pt>
                <c:pt idx="1">
                  <c:v>6.98</c:v>
                </c:pt>
                <c:pt idx="2">
                  <c:v>6.98</c:v>
                </c:pt>
                <c:pt idx="3">
                  <c:v>6.96</c:v>
                </c:pt>
                <c:pt idx="4">
                  <c:v>6.93</c:v>
                </c:pt>
                <c:pt idx="5">
                  <c:v>6.93</c:v>
                </c:pt>
                <c:pt idx="6">
                  <c:v>7.03</c:v>
                </c:pt>
                <c:pt idx="7">
                  <c:v>7.59</c:v>
                </c:pt>
                <c:pt idx="8">
                  <c:v>7.67</c:v>
                </c:pt>
                <c:pt idx="9">
                  <c:v>7.38</c:v>
                </c:pt>
                <c:pt idx="10">
                  <c:v>7.13</c:v>
                </c:pt>
                <c:pt idx="11">
                  <c:v>7.28</c:v>
                </c:pt>
              </c:numCache>
            </c:numRef>
          </c:val>
          <c:extLst>
            <c:ext xmlns:c16="http://schemas.microsoft.com/office/drawing/2014/chart" uri="{C3380CC4-5D6E-409C-BE32-E72D297353CC}">
              <c16:uniqueId val="{00000003-D5CF-4EA2-BFFE-77A47B321E7B}"/>
            </c:ext>
          </c:extLst>
        </c:ser>
        <c:dLbls>
          <c:showLegendKey val="0"/>
          <c:showVal val="0"/>
          <c:showCatName val="0"/>
          <c:showSerName val="0"/>
          <c:showPercent val="0"/>
          <c:showBubbleSize val="0"/>
        </c:dLbls>
        <c:gapWidth val="150"/>
        <c:axId val="1018881317"/>
        <c:axId val="747018439"/>
      </c:barChart>
      <c:catAx>
        <c:axId val="1018881317"/>
        <c:scaling>
          <c:orientation val="minMax"/>
        </c:scaling>
        <c:delete val="0"/>
        <c:axPos val="b"/>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txPr>
          <a:bodyPr/>
          <a:lstStyle/>
          <a:p>
            <a:pPr lvl="0">
              <a:defRPr sz="900" b="0" i="0">
                <a:solidFill>
                  <a:srgbClr val="000000"/>
                </a:solidFill>
                <a:latin typeface="+mn-lt"/>
              </a:defRPr>
            </a:pPr>
            <a:endParaRPr lang="en-US"/>
          </a:p>
        </c:txPr>
        <c:crossAx val="747018439"/>
        <c:crosses val="autoZero"/>
        <c:auto val="1"/>
        <c:lblAlgn val="ctr"/>
        <c:lblOffset val="100"/>
        <c:noMultiLvlLbl val="1"/>
      </c:catAx>
      <c:valAx>
        <c:axId val="747018439"/>
        <c:scaling>
          <c:orientation val="minMax"/>
        </c:scaling>
        <c:delete val="0"/>
        <c:axPos val="l"/>
        <c:numFmt formatCode="#,##0.00" sourceLinked="1"/>
        <c:majorTickMark val="cross"/>
        <c:minorTickMark val="cross"/>
        <c:tickLblPos val="nextTo"/>
        <c:spPr>
          <a:ln>
            <a:noFill/>
          </a:ln>
        </c:spPr>
        <c:crossAx val="1018881317"/>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Temperature</a:t>
            </a:r>
          </a:p>
        </c:rich>
      </c:tx>
      <c:overlay val="0"/>
    </c:title>
    <c:autoTitleDeleted val="0"/>
    <c:plotArea>
      <c:layout/>
      <c:barChart>
        <c:barDir val="col"/>
        <c:grouping val="clustered"/>
        <c:varyColors val="1"/>
        <c:ser>
          <c:idx val="0"/>
          <c:order val="0"/>
          <c:invertIfNegative val="1"/>
          <c:cat>
            <c:numRef>
              <c:f>'MEYCAUAYAN RIVER'!$F$27:$Q$27</c:f>
              <c:numCache>
                <c:formatCode>#,##0.00</c:formatCode>
                <c:ptCount val="12"/>
                <c:pt idx="0">
                  <c:v>27.1</c:v>
                </c:pt>
                <c:pt idx="1">
                  <c:v>26.1</c:v>
                </c:pt>
                <c:pt idx="2">
                  <c:v>28.1</c:v>
                </c:pt>
                <c:pt idx="3">
                  <c:v>30</c:v>
                </c:pt>
                <c:pt idx="4">
                  <c:v>29.1</c:v>
                </c:pt>
                <c:pt idx="5">
                  <c:v>28</c:v>
                </c:pt>
                <c:pt idx="6">
                  <c:v>26.5</c:v>
                </c:pt>
                <c:pt idx="7">
                  <c:v>28.8</c:v>
                </c:pt>
                <c:pt idx="8">
                  <c:v>28.4</c:v>
                </c:pt>
                <c:pt idx="9">
                  <c:v>26.2</c:v>
                </c:pt>
                <c:pt idx="10">
                  <c:v>30</c:v>
                </c:pt>
                <c:pt idx="11">
                  <c:v>27.1</c:v>
                </c:pt>
              </c:numCache>
            </c:numRef>
          </c:cat>
          <c:val>
            <c:numRef>
              <c:f>'MEYCAUAYAN RIVER'!$F$28:$Q$28</c:f>
              <c:numCache>
                <c:formatCode>#,##0.00</c:formatCode>
                <c:ptCount val="12"/>
                <c:pt idx="0">
                  <c:v>27</c:v>
                </c:pt>
                <c:pt idx="1">
                  <c:v>25.9</c:v>
                </c:pt>
                <c:pt idx="2">
                  <c:v>27.5</c:v>
                </c:pt>
                <c:pt idx="3">
                  <c:v>29.9</c:v>
                </c:pt>
                <c:pt idx="4">
                  <c:v>29</c:v>
                </c:pt>
                <c:pt idx="5">
                  <c:v>27.8</c:v>
                </c:pt>
                <c:pt idx="6">
                  <c:v>26.5</c:v>
                </c:pt>
                <c:pt idx="7">
                  <c:v>28.8</c:v>
                </c:pt>
                <c:pt idx="8">
                  <c:v>28.4</c:v>
                </c:pt>
                <c:pt idx="9">
                  <c:v>26.2</c:v>
                </c:pt>
                <c:pt idx="10">
                  <c:v>29.9</c:v>
                </c:pt>
                <c:pt idx="11">
                  <c:v>27.1</c:v>
                </c:pt>
              </c:numCache>
            </c:numRef>
          </c:val>
          <c:extLst>
            <c:ext xmlns:c16="http://schemas.microsoft.com/office/drawing/2014/chart" uri="{C3380CC4-5D6E-409C-BE32-E72D297353CC}">
              <c16:uniqueId val="{00000000-3524-497F-BDAB-7F270D43CA15}"/>
            </c:ext>
          </c:extLst>
        </c:ser>
        <c:ser>
          <c:idx val="1"/>
          <c:order val="1"/>
          <c:invertIfNegative val="1"/>
          <c:cat>
            <c:numRef>
              <c:f>'MEYCAUAYAN RIVER'!$F$27:$Q$27</c:f>
              <c:numCache>
                <c:formatCode>#,##0.00</c:formatCode>
                <c:ptCount val="12"/>
                <c:pt idx="0">
                  <c:v>27.1</c:v>
                </c:pt>
                <c:pt idx="1">
                  <c:v>26.1</c:v>
                </c:pt>
                <c:pt idx="2">
                  <c:v>28.1</c:v>
                </c:pt>
                <c:pt idx="3">
                  <c:v>30</c:v>
                </c:pt>
                <c:pt idx="4">
                  <c:v>29.1</c:v>
                </c:pt>
                <c:pt idx="5">
                  <c:v>28</c:v>
                </c:pt>
                <c:pt idx="6">
                  <c:v>26.5</c:v>
                </c:pt>
                <c:pt idx="7">
                  <c:v>28.8</c:v>
                </c:pt>
                <c:pt idx="8">
                  <c:v>28.4</c:v>
                </c:pt>
                <c:pt idx="9">
                  <c:v>26.2</c:v>
                </c:pt>
                <c:pt idx="10">
                  <c:v>30</c:v>
                </c:pt>
                <c:pt idx="11">
                  <c:v>27.1</c:v>
                </c:pt>
              </c:numCache>
            </c:numRef>
          </c:cat>
          <c:val>
            <c:numRef>
              <c:f>'MEYCAUAYAN RIVER'!$F$29:$Q$29</c:f>
              <c:numCache>
                <c:formatCode>#,##0.00</c:formatCode>
                <c:ptCount val="12"/>
                <c:pt idx="0">
                  <c:v>27.1</c:v>
                </c:pt>
                <c:pt idx="1">
                  <c:v>26.1</c:v>
                </c:pt>
                <c:pt idx="2">
                  <c:v>27.5</c:v>
                </c:pt>
                <c:pt idx="3">
                  <c:v>29.9</c:v>
                </c:pt>
                <c:pt idx="4">
                  <c:v>29.8</c:v>
                </c:pt>
                <c:pt idx="5">
                  <c:v>27.8</c:v>
                </c:pt>
                <c:pt idx="6">
                  <c:v>26.5</c:v>
                </c:pt>
                <c:pt idx="7">
                  <c:v>28.8</c:v>
                </c:pt>
                <c:pt idx="8">
                  <c:v>28</c:v>
                </c:pt>
                <c:pt idx="9">
                  <c:v>26.8</c:v>
                </c:pt>
                <c:pt idx="10">
                  <c:v>29.8</c:v>
                </c:pt>
                <c:pt idx="11">
                  <c:v>27</c:v>
                </c:pt>
              </c:numCache>
            </c:numRef>
          </c:val>
          <c:extLst>
            <c:ext xmlns:c16="http://schemas.microsoft.com/office/drawing/2014/chart" uri="{C3380CC4-5D6E-409C-BE32-E72D297353CC}">
              <c16:uniqueId val="{00000001-3524-497F-BDAB-7F270D43CA15}"/>
            </c:ext>
          </c:extLst>
        </c:ser>
        <c:ser>
          <c:idx val="2"/>
          <c:order val="2"/>
          <c:invertIfNegative val="1"/>
          <c:cat>
            <c:numRef>
              <c:f>'MEYCAUAYAN RIVER'!$F$27:$Q$27</c:f>
              <c:numCache>
                <c:formatCode>#,##0.00</c:formatCode>
                <c:ptCount val="12"/>
                <c:pt idx="0">
                  <c:v>27.1</c:v>
                </c:pt>
                <c:pt idx="1">
                  <c:v>26.1</c:v>
                </c:pt>
                <c:pt idx="2">
                  <c:v>28.1</c:v>
                </c:pt>
                <c:pt idx="3">
                  <c:v>30</c:v>
                </c:pt>
                <c:pt idx="4">
                  <c:v>29.1</c:v>
                </c:pt>
                <c:pt idx="5">
                  <c:v>28</c:v>
                </c:pt>
                <c:pt idx="6">
                  <c:v>26.5</c:v>
                </c:pt>
                <c:pt idx="7">
                  <c:v>28.8</c:v>
                </c:pt>
                <c:pt idx="8">
                  <c:v>28.4</c:v>
                </c:pt>
                <c:pt idx="9">
                  <c:v>26.2</c:v>
                </c:pt>
                <c:pt idx="10">
                  <c:v>30</c:v>
                </c:pt>
                <c:pt idx="11">
                  <c:v>27.1</c:v>
                </c:pt>
              </c:numCache>
            </c:numRef>
          </c:cat>
          <c:val>
            <c:numRef>
              <c:f>'MEYCAUAYAN RIVER'!$F$30:$Q$30</c:f>
              <c:numCache>
                <c:formatCode>#,##0.00</c:formatCode>
                <c:ptCount val="12"/>
                <c:pt idx="0">
                  <c:v>27.1</c:v>
                </c:pt>
                <c:pt idx="1">
                  <c:v>26</c:v>
                </c:pt>
                <c:pt idx="2">
                  <c:v>27.3</c:v>
                </c:pt>
                <c:pt idx="3">
                  <c:v>30.8</c:v>
                </c:pt>
                <c:pt idx="4">
                  <c:v>29.1</c:v>
                </c:pt>
                <c:pt idx="5">
                  <c:v>27.4</c:v>
                </c:pt>
                <c:pt idx="6">
                  <c:v>26.8</c:v>
                </c:pt>
                <c:pt idx="7">
                  <c:v>30.1</c:v>
                </c:pt>
                <c:pt idx="8">
                  <c:v>27.9</c:v>
                </c:pt>
                <c:pt idx="9">
                  <c:v>26.7</c:v>
                </c:pt>
                <c:pt idx="10">
                  <c:v>29.8</c:v>
                </c:pt>
                <c:pt idx="11">
                  <c:v>27.1</c:v>
                </c:pt>
              </c:numCache>
            </c:numRef>
          </c:val>
          <c:extLst>
            <c:ext xmlns:c16="http://schemas.microsoft.com/office/drawing/2014/chart" uri="{C3380CC4-5D6E-409C-BE32-E72D297353CC}">
              <c16:uniqueId val="{00000002-3524-497F-BDAB-7F270D43CA15}"/>
            </c:ext>
          </c:extLst>
        </c:ser>
        <c:ser>
          <c:idx val="3"/>
          <c:order val="3"/>
          <c:invertIfNegative val="1"/>
          <c:cat>
            <c:numRef>
              <c:f>'MEYCAUAYAN RIVER'!$F$27:$Q$27</c:f>
              <c:numCache>
                <c:formatCode>#,##0.00</c:formatCode>
                <c:ptCount val="12"/>
                <c:pt idx="0">
                  <c:v>27.1</c:v>
                </c:pt>
                <c:pt idx="1">
                  <c:v>26.1</c:v>
                </c:pt>
                <c:pt idx="2">
                  <c:v>28.1</c:v>
                </c:pt>
                <c:pt idx="3">
                  <c:v>30</c:v>
                </c:pt>
                <c:pt idx="4">
                  <c:v>29.1</c:v>
                </c:pt>
                <c:pt idx="5">
                  <c:v>28</c:v>
                </c:pt>
                <c:pt idx="6">
                  <c:v>26.5</c:v>
                </c:pt>
                <c:pt idx="7">
                  <c:v>28.8</c:v>
                </c:pt>
                <c:pt idx="8">
                  <c:v>28.4</c:v>
                </c:pt>
                <c:pt idx="9">
                  <c:v>26.2</c:v>
                </c:pt>
                <c:pt idx="10">
                  <c:v>30</c:v>
                </c:pt>
                <c:pt idx="11">
                  <c:v>27.1</c:v>
                </c:pt>
              </c:numCache>
            </c:numRef>
          </c:cat>
          <c:val>
            <c:numRef>
              <c:f>'MEYCAUAYAN RIVER'!$F$31:$Q$31</c:f>
              <c:numCache>
                <c:formatCode>#,##0</c:formatCode>
                <c:ptCount val="12"/>
                <c:pt idx="0">
                  <c:v>27</c:v>
                </c:pt>
                <c:pt idx="1">
                  <c:v>25.9</c:v>
                </c:pt>
                <c:pt idx="2">
                  <c:v>27.1</c:v>
                </c:pt>
                <c:pt idx="3">
                  <c:v>30.9</c:v>
                </c:pt>
                <c:pt idx="4">
                  <c:v>29.1</c:v>
                </c:pt>
                <c:pt idx="5">
                  <c:v>27.4</c:v>
                </c:pt>
                <c:pt idx="6">
                  <c:v>26.8</c:v>
                </c:pt>
                <c:pt idx="7">
                  <c:v>31</c:v>
                </c:pt>
                <c:pt idx="8" formatCode="#,##0.00">
                  <c:v>27.5</c:v>
                </c:pt>
                <c:pt idx="9" formatCode="#,##0.00">
                  <c:v>26.7</c:v>
                </c:pt>
                <c:pt idx="10" formatCode="#,##0.00">
                  <c:v>29.8</c:v>
                </c:pt>
                <c:pt idx="11" formatCode="#,##0.00">
                  <c:v>27.1</c:v>
                </c:pt>
              </c:numCache>
            </c:numRef>
          </c:val>
          <c:extLst>
            <c:ext xmlns:c16="http://schemas.microsoft.com/office/drawing/2014/chart" uri="{C3380CC4-5D6E-409C-BE32-E72D297353CC}">
              <c16:uniqueId val="{00000003-3524-497F-BDAB-7F270D43CA15}"/>
            </c:ext>
          </c:extLst>
        </c:ser>
        <c:dLbls>
          <c:showLegendKey val="0"/>
          <c:showVal val="0"/>
          <c:showCatName val="0"/>
          <c:showSerName val="0"/>
          <c:showPercent val="0"/>
          <c:showBubbleSize val="0"/>
        </c:dLbls>
        <c:gapWidth val="150"/>
        <c:axId val="2000960305"/>
        <c:axId val="684546521"/>
      </c:barChart>
      <c:catAx>
        <c:axId val="2000960305"/>
        <c:scaling>
          <c:orientation val="minMax"/>
        </c:scaling>
        <c:delete val="0"/>
        <c:axPos val="b"/>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txPr>
          <a:bodyPr/>
          <a:lstStyle/>
          <a:p>
            <a:pPr lvl="0">
              <a:defRPr sz="900" b="0" i="0">
                <a:solidFill>
                  <a:srgbClr val="000000"/>
                </a:solidFill>
                <a:latin typeface="+mn-lt"/>
              </a:defRPr>
            </a:pPr>
            <a:endParaRPr lang="en-US"/>
          </a:p>
        </c:txPr>
        <c:crossAx val="684546521"/>
        <c:crosses val="autoZero"/>
        <c:auto val="1"/>
        <c:lblAlgn val="ctr"/>
        <c:lblOffset val="100"/>
        <c:noMultiLvlLbl val="1"/>
      </c:catAx>
      <c:valAx>
        <c:axId val="684546521"/>
        <c:scaling>
          <c:orientation val="minMax"/>
        </c:scaling>
        <c:delete val="0"/>
        <c:axPos val="l"/>
        <c:numFmt formatCode="#,##0.00" sourceLinked="1"/>
        <c:majorTickMark val="cross"/>
        <c:minorTickMark val="cross"/>
        <c:tickLblPos val="nextTo"/>
        <c:spPr>
          <a:ln>
            <a:noFill/>
          </a:ln>
        </c:spPr>
        <c:crossAx val="200096030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Color</a:t>
            </a:r>
          </a:p>
        </c:rich>
      </c:tx>
      <c:overlay val="0"/>
    </c:title>
    <c:autoTitleDeleted val="0"/>
    <c:plotArea>
      <c:layout/>
      <c:barChart>
        <c:barDir val="col"/>
        <c:grouping val="clustered"/>
        <c:varyColors val="1"/>
        <c:ser>
          <c:idx val="0"/>
          <c:order val="0"/>
          <c:invertIfNegative val="1"/>
          <c:cat>
            <c:numRef>
              <c:f>'MEYCAUAYAN RIVER'!$F$32:$Q$32</c:f>
              <c:numCache>
                <c:formatCode>#,##0</c:formatCode>
                <c:ptCount val="12"/>
                <c:pt idx="0">
                  <c:v>50</c:v>
                </c:pt>
                <c:pt idx="1">
                  <c:v>30</c:v>
                </c:pt>
                <c:pt idx="2">
                  <c:v>40</c:v>
                </c:pt>
                <c:pt idx="3">
                  <c:v>30</c:v>
                </c:pt>
                <c:pt idx="4">
                  <c:v>35</c:v>
                </c:pt>
                <c:pt idx="5">
                  <c:v>20</c:v>
                </c:pt>
                <c:pt idx="6">
                  <c:v>10</c:v>
                </c:pt>
                <c:pt idx="7">
                  <c:v>20</c:v>
                </c:pt>
                <c:pt idx="8" formatCode="#,##0.00">
                  <c:v>20</c:v>
                </c:pt>
                <c:pt idx="9" formatCode="#,##0.00">
                  <c:v>25</c:v>
                </c:pt>
                <c:pt idx="10" formatCode="#,##0.00">
                  <c:v>20</c:v>
                </c:pt>
                <c:pt idx="11" formatCode="#,##0.00">
                  <c:v>20</c:v>
                </c:pt>
              </c:numCache>
            </c:numRef>
          </c:cat>
          <c:val>
            <c:numRef>
              <c:f>'MEYCAUAYAN RIVER'!$F$33:$Q$33</c:f>
              <c:numCache>
                <c:formatCode>#,##0</c:formatCode>
                <c:ptCount val="12"/>
                <c:pt idx="0">
                  <c:v>50</c:v>
                </c:pt>
                <c:pt idx="1">
                  <c:v>25</c:v>
                </c:pt>
                <c:pt idx="2">
                  <c:v>30</c:v>
                </c:pt>
                <c:pt idx="3">
                  <c:v>30</c:v>
                </c:pt>
                <c:pt idx="4">
                  <c:v>50</c:v>
                </c:pt>
                <c:pt idx="5">
                  <c:v>35</c:v>
                </c:pt>
                <c:pt idx="6">
                  <c:v>20</c:v>
                </c:pt>
                <c:pt idx="7">
                  <c:v>20</c:v>
                </c:pt>
                <c:pt idx="8" formatCode="#,##0.00">
                  <c:v>15</c:v>
                </c:pt>
                <c:pt idx="9" formatCode="#,##0.00">
                  <c:v>35</c:v>
                </c:pt>
                <c:pt idx="10" formatCode="#,##0.00">
                  <c:v>30</c:v>
                </c:pt>
                <c:pt idx="11" formatCode="#,##0.00">
                  <c:v>40</c:v>
                </c:pt>
              </c:numCache>
            </c:numRef>
          </c:val>
          <c:extLst>
            <c:ext xmlns:c16="http://schemas.microsoft.com/office/drawing/2014/chart" uri="{C3380CC4-5D6E-409C-BE32-E72D297353CC}">
              <c16:uniqueId val="{00000000-A393-4798-8784-CC4D3C3A0C55}"/>
            </c:ext>
          </c:extLst>
        </c:ser>
        <c:ser>
          <c:idx val="1"/>
          <c:order val="1"/>
          <c:invertIfNegative val="1"/>
          <c:cat>
            <c:numRef>
              <c:f>'MEYCAUAYAN RIVER'!$F$32:$Q$32</c:f>
              <c:numCache>
                <c:formatCode>#,##0</c:formatCode>
                <c:ptCount val="12"/>
                <c:pt idx="0">
                  <c:v>50</c:v>
                </c:pt>
                <c:pt idx="1">
                  <c:v>30</c:v>
                </c:pt>
                <c:pt idx="2">
                  <c:v>40</c:v>
                </c:pt>
                <c:pt idx="3">
                  <c:v>30</c:v>
                </c:pt>
                <c:pt idx="4">
                  <c:v>35</c:v>
                </c:pt>
                <c:pt idx="5">
                  <c:v>20</c:v>
                </c:pt>
                <c:pt idx="6">
                  <c:v>10</c:v>
                </c:pt>
                <c:pt idx="7">
                  <c:v>20</c:v>
                </c:pt>
                <c:pt idx="8" formatCode="#,##0.00">
                  <c:v>20</c:v>
                </c:pt>
                <c:pt idx="9" formatCode="#,##0.00">
                  <c:v>25</c:v>
                </c:pt>
                <c:pt idx="10" formatCode="#,##0.00">
                  <c:v>20</c:v>
                </c:pt>
                <c:pt idx="11" formatCode="#,##0.00">
                  <c:v>20</c:v>
                </c:pt>
              </c:numCache>
            </c:numRef>
          </c:cat>
          <c:val>
            <c:numRef>
              <c:f>'MEYCAUAYAN RIVER'!$F$34:$Q$34</c:f>
              <c:numCache>
                <c:formatCode>#,##0</c:formatCode>
                <c:ptCount val="12"/>
                <c:pt idx="0">
                  <c:v>25</c:v>
                </c:pt>
                <c:pt idx="1">
                  <c:v>25</c:v>
                </c:pt>
                <c:pt idx="2">
                  <c:v>10</c:v>
                </c:pt>
                <c:pt idx="3">
                  <c:v>30</c:v>
                </c:pt>
                <c:pt idx="4">
                  <c:v>10</c:v>
                </c:pt>
                <c:pt idx="5">
                  <c:v>20</c:v>
                </c:pt>
                <c:pt idx="6">
                  <c:v>10</c:v>
                </c:pt>
                <c:pt idx="7">
                  <c:v>10</c:v>
                </c:pt>
                <c:pt idx="8" formatCode="#,##0.00">
                  <c:v>15</c:v>
                </c:pt>
                <c:pt idx="9" formatCode="#,##0.00">
                  <c:v>5</c:v>
                </c:pt>
                <c:pt idx="10" formatCode="#,##0.00">
                  <c:v>5</c:v>
                </c:pt>
                <c:pt idx="11" formatCode="#,##0.00">
                  <c:v>10</c:v>
                </c:pt>
              </c:numCache>
            </c:numRef>
          </c:val>
          <c:extLst>
            <c:ext xmlns:c16="http://schemas.microsoft.com/office/drawing/2014/chart" uri="{C3380CC4-5D6E-409C-BE32-E72D297353CC}">
              <c16:uniqueId val="{00000001-A393-4798-8784-CC4D3C3A0C55}"/>
            </c:ext>
          </c:extLst>
        </c:ser>
        <c:ser>
          <c:idx val="2"/>
          <c:order val="2"/>
          <c:invertIfNegative val="1"/>
          <c:cat>
            <c:numRef>
              <c:f>'MEYCAUAYAN RIVER'!$F$32:$Q$32</c:f>
              <c:numCache>
                <c:formatCode>#,##0</c:formatCode>
                <c:ptCount val="12"/>
                <c:pt idx="0">
                  <c:v>50</c:v>
                </c:pt>
                <c:pt idx="1">
                  <c:v>30</c:v>
                </c:pt>
                <c:pt idx="2">
                  <c:v>40</c:v>
                </c:pt>
                <c:pt idx="3">
                  <c:v>30</c:v>
                </c:pt>
                <c:pt idx="4">
                  <c:v>35</c:v>
                </c:pt>
                <c:pt idx="5">
                  <c:v>20</c:v>
                </c:pt>
                <c:pt idx="6">
                  <c:v>10</c:v>
                </c:pt>
                <c:pt idx="7">
                  <c:v>20</c:v>
                </c:pt>
                <c:pt idx="8" formatCode="#,##0.00">
                  <c:v>20</c:v>
                </c:pt>
                <c:pt idx="9" formatCode="#,##0.00">
                  <c:v>25</c:v>
                </c:pt>
                <c:pt idx="10" formatCode="#,##0.00">
                  <c:v>20</c:v>
                </c:pt>
                <c:pt idx="11" formatCode="#,##0.00">
                  <c:v>20</c:v>
                </c:pt>
              </c:numCache>
            </c:numRef>
          </c:cat>
          <c:val>
            <c:numRef>
              <c:f>'MEYCAUAYAN RIVER'!$F$35:$Q$35</c:f>
              <c:numCache>
                <c:formatCode>#,##0</c:formatCode>
                <c:ptCount val="12"/>
                <c:pt idx="0">
                  <c:v>50</c:v>
                </c:pt>
                <c:pt idx="1">
                  <c:v>50</c:v>
                </c:pt>
                <c:pt idx="2">
                  <c:v>30</c:v>
                </c:pt>
                <c:pt idx="3">
                  <c:v>25</c:v>
                </c:pt>
                <c:pt idx="4">
                  <c:v>20</c:v>
                </c:pt>
                <c:pt idx="5">
                  <c:v>15</c:v>
                </c:pt>
                <c:pt idx="6">
                  <c:v>15</c:v>
                </c:pt>
                <c:pt idx="7">
                  <c:v>20</c:v>
                </c:pt>
                <c:pt idx="8" formatCode="#,##0.00">
                  <c:v>15</c:v>
                </c:pt>
                <c:pt idx="9" formatCode="#,##0.00">
                  <c:v>30</c:v>
                </c:pt>
                <c:pt idx="10" formatCode="#,##0.00">
                  <c:v>40</c:v>
                </c:pt>
                <c:pt idx="11" formatCode="#,##0.00">
                  <c:v>30</c:v>
                </c:pt>
              </c:numCache>
            </c:numRef>
          </c:val>
          <c:extLst>
            <c:ext xmlns:c16="http://schemas.microsoft.com/office/drawing/2014/chart" uri="{C3380CC4-5D6E-409C-BE32-E72D297353CC}">
              <c16:uniqueId val="{00000002-A393-4798-8784-CC4D3C3A0C55}"/>
            </c:ext>
          </c:extLst>
        </c:ser>
        <c:ser>
          <c:idx val="3"/>
          <c:order val="3"/>
          <c:invertIfNegative val="1"/>
          <c:cat>
            <c:numRef>
              <c:f>'MEYCAUAYAN RIVER'!$F$32:$Q$32</c:f>
              <c:numCache>
                <c:formatCode>#,##0</c:formatCode>
                <c:ptCount val="12"/>
                <c:pt idx="0">
                  <c:v>50</c:v>
                </c:pt>
                <c:pt idx="1">
                  <c:v>30</c:v>
                </c:pt>
                <c:pt idx="2">
                  <c:v>40</c:v>
                </c:pt>
                <c:pt idx="3">
                  <c:v>30</c:v>
                </c:pt>
                <c:pt idx="4">
                  <c:v>35</c:v>
                </c:pt>
                <c:pt idx="5">
                  <c:v>20</c:v>
                </c:pt>
                <c:pt idx="6">
                  <c:v>10</c:v>
                </c:pt>
                <c:pt idx="7">
                  <c:v>20</c:v>
                </c:pt>
                <c:pt idx="8" formatCode="#,##0.00">
                  <c:v>20</c:v>
                </c:pt>
                <c:pt idx="9" formatCode="#,##0.00">
                  <c:v>25</c:v>
                </c:pt>
                <c:pt idx="10" formatCode="#,##0.00">
                  <c:v>20</c:v>
                </c:pt>
                <c:pt idx="11" formatCode="#,##0.00">
                  <c:v>20</c:v>
                </c:pt>
              </c:numCache>
            </c:numRef>
          </c:cat>
          <c:val>
            <c:numRef>
              <c:f>'MEYCAUAYAN RIVER'!$F$36:$Q$36</c:f>
              <c:numCache>
                <c:formatCode>#,##0</c:formatCode>
                <c:ptCount val="12"/>
                <c:pt idx="0">
                  <c:v>50</c:v>
                </c:pt>
                <c:pt idx="1">
                  <c:v>50</c:v>
                </c:pt>
                <c:pt idx="2">
                  <c:v>30</c:v>
                </c:pt>
                <c:pt idx="3">
                  <c:v>25</c:v>
                </c:pt>
                <c:pt idx="4">
                  <c:v>20</c:v>
                </c:pt>
                <c:pt idx="5">
                  <c:v>15</c:v>
                </c:pt>
                <c:pt idx="6">
                  <c:v>15</c:v>
                </c:pt>
                <c:pt idx="7">
                  <c:v>20</c:v>
                </c:pt>
                <c:pt idx="8" formatCode="#,##0.00">
                  <c:v>20</c:v>
                </c:pt>
                <c:pt idx="9" formatCode="#,##0.00">
                  <c:v>20</c:v>
                </c:pt>
                <c:pt idx="10" formatCode="#,##0.00">
                  <c:v>40</c:v>
                </c:pt>
                <c:pt idx="11" formatCode="#,##0.00">
                  <c:v>40</c:v>
                </c:pt>
              </c:numCache>
            </c:numRef>
          </c:val>
          <c:extLst>
            <c:ext xmlns:c16="http://schemas.microsoft.com/office/drawing/2014/chart" uri="{C3380CC4-5D6E-409C-BE32-E72D297353CC}">
              <c16:uniqueId val="{00000003-A393-4798-8784-CC4D3C3A0C55}"/>
            </c:ext>
          </c:extLst>
        </c:ser>
        <c:dLbls>
          <c:showLegendKey val="0"/>
          <c:showVal val="0"/>
          <c:showCatName val="0"/>
          <c:showSerName val="0"/>
          <c:showPercent val="0"/>
          <c:showBubbleSize val="0"/>
        </c:dLbls>
        <c:gapWidth val="150"/>
        <c:axId val="900357253"/>
        <c:axId val="1133527014"/>
      </c:barChart>
      <c:catAx>
        <c:axId val="900357253"/>
        <c:scaling>
          <c:orientation val="minMax"/>
        </c:scaling>
        <c:delete val="0"/>
        <c:axPos val="b"/>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txPr>
          <a:bodyPr/>
          <a:lstStyle/>
          <a:p>
            <a:pPr lvl="0">
              <a:defRPr sz="900" b="0" i="0">
                <a:solidFill>
                  <a:srgbClr val="000000"/>
                </a:solidFill>
                <a:latin typeface="+mn-lt"/>
              </a:defRPr>
            </a:pPr>
            <a:endParaRPr lang="en-US"/>
          </a:p>
        </c:txPr>
        <c:crossAx val="1133527014"/>
        <c:crosses val="autoZero"/>
        <c:auto val="1"/>
        <c:lblAlgn val="ctr"/>
        <c:lblOffset val="100"/>
        <c:noMultiLvlLbl val="1"/>
      </c:catAx>
      <c:valAx>
        <c:axId val="1133527014"/>
        <c:scaling>
          <c:orientation val="minMax"/>
        </c:scaling>
        <c:delete val="0"/>
        <c:axPos val="l"/>
        <c:numFmt formatCode="#,##0" sourceLinked="1"/>
        <c:majorTickMark val="cross"/>
        <c:minorTickMark val="cross"/>
        <c:tickLblPos val="nextTo"/>
        <c:spPr>
          <a:ln>
            <a:noFill/>
          </a:ln>
        </c:spPr>
        <c:crossAx val="90035725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Fecal Coliform</a:t>
            </a:r>
          </a:p>
        </c:rich>
      </c:tx>
      <c:overlay val="0"/>
    </c:title>
    <c:autoTitleDeleted val="0"/>
    <c:plotArea>
      <c:layout/>
      <c:barChart>
        <c:barDir val="col"/>
        <c:grouping val="clustered"/>
        <c:varyColors val="1"/>
        <c:ser>
          <c:idx val="0"/>
          <c:order val="0"/>
          <c:invertIfNegative val="1"/>
          <c:cat>
            <c:numRef>
              <c:f>'MEYCAUAYAN RIVER'!$F$37:$Q$37</c:f>
              <c:numCache>
                <c:formatCode>#,##0</c:formatCode>
                <c:ptCount val="12"/>
                <c:pt idx="0">
                  <c:v>7900000</c:v>
                </c:pt>
                <c:pt idx="1">
                  <c:v>9200000</c:v>
                </c:pt>
                <c:pt idx="2">
                  <c:v>16000000</c:v>
                </c:pt>
                <c:pt idx="3">
                  <c:v>17000000</c:v>
                </c:pt>
                <c:pt idx="4">
                  <c:v>920000000</c:v>
                </c:pt>
                <c:pt idx="5">
                  <c:v>460000</c:v>
                </c:pt>
                <c:pt idx="6">
                  <c:v>1100000</c:v>
                </c:pt>
                <c:pt idx="7">
                  <c:v>9200000</c:v>
                </c:pt>
                <c:pt idx="8">
                  <c:v>1300000</c:v>
                </c:pt>
                <c:pt idx="9">
                  <c:v>35000000</c:v>
                </c:pt>
                <c:pt idx="10">
                  <c:v>11000000</c:v>
                </c:pt>
                <c:pt idx="11">
                  <c:v>3500000</c:v>
                </c:pt>
              </c:numCache>
            </c:numRef>
          </c:cat>
          <c:val>
            <c:numRef>
              <c:f>'MEYCAUAYAN RIVER'!$F$38:$Q$38</c:f>
              <c:numCache>
                <c:formatCode>#,##0</c:formatCode>
                <c:ptCount val="12"/>
                <c:pt idx="0">
                  <c:v>13000000</c:v>
                </c:pt>
                <c:pt idx="1">
                  <c:v>54000000</c:v>
                </c:pt>
                <c:pt idx="2">
                  <c:v>5400000</c:v>
                </c:pt>
                <c:pt idx="3">
                  <c:v>11000000</c:v>
                </c:pt>
                <c:pt idx="4">
                  <c:v>490000</c:v>
                </c:pt>
                <c:pt idx="5">
                  <c:v>1700000</c:v>
                </c:pt>
                <c:pt idx="6">
                  <c:v>3500000</c:v>
                </c:pt>
                <c:pt idx="7">
                  <c:v>5400000</c:v>
                </c:pt>
                <c:pt idx="8">
                  <c:v>16000000</c:v>
                </c:pt>
                <c:pt idx="9">
                  <c:v>16000000</c:v>
                </c:pt>
                <c:pt idx="10">
                  <c:v>1700000</c:v>
                </c:pt>
                <c:pt idx="11">
                  <c:v>16000000</c:v>
                </c:pt>
              </c:numCache>
            </c:numRef>
          </c:val>
          <c:extLst>
            <c:ext xmlns:c16="http://schemas.microsoft.com/office/drawing/2014/chart" uri="{C3380CC4-5D6E-409C-BE32-E72D297353CC}">
              <c16:uniqueId val="{00000000-23E3-49FE-A3BC-4E7EAA9B565C}"/>
            </c:ext>
          </c:extLst>
        </c:ser>
        <c:ser>
          <c:idx val="1"/>
          <c:order val="1"/>
          <c:invertIfNegative val="1"/>
          <c:cat>
            <c:numRef>
              <c:f>'MEYCAUAYAN RIVER'!$F$37:$Q$37</c:f>
              <c:numCache>
                <c:formatCode>#,##0</c:formatCode>
                <c:ptCount val="12"/>
                <c:pt idx="0">
                  <c:v>7900000</c:v>
                </c:pt>
                <c:pt idx="1">
                  <c:v>9200000</c:v>
                </c:pt>
                <c:pt idx="2">
                  <c:v>16000000</c:v>
                </c:pt>
                <c:pt idx="3">
                  <c:v>17000000</c:v>
                </c:pt>
                <c:pt idx="4">
                  <c:v>920000000</c:v>
                </c:pt>
                <c:pt idx="5">
                  <c:v>460000</c:v>
                </c:pt>
                <c:pt idx="6">
                  <c:v>1100000</c:v>
                </c:pt>
                <c:pt idx="7">
                  <c:v>9200000</c:v>
                </c:pt>
                <c:pt idx="8">
                  <c:v>1300000</c:v>
                </c:pt>
                <c:pt idx="9">
                  <c:v>35000000</c:v>
                </c:pt>
                <c:pt idx="10">
                  <c:v>11000000</c:v>
                </c:pt>
                <c:pt idx="11">
                  <c:v>3500000</c:v>
                </c:pt>
              </c:numCache>
            </c:numRef>
          </c:cat>
          <c:val>
            <c:numRef>
              <c:f>'MEYCAUAYAN RIVER'!$F$39:$Q$39</c:f>
              <c:numCache>
                <c:formatCode>#,##0</c:formatCode>
                <c:ptCount val="12"/>
                <c:pt idx="0">
                  <c:v>3300000</c:v>
                </c:pt>
                <c:pt idx="1">
                  <c:v>54000000</c:v>
                </c:pt>
                <c:pt idx="2">
                  <c:v>35000000</c:v>
                </c:pt>
                <c:pt idx="3">
                  <c:v>35000000</c:v>
                </c:pt>
                <c:pt idx="4">
                  <c:v>5400000</c:v>
                </c:pt>
                <c:pt idx="5">
                  <c:v>9200000</c:v>
                </c:pt>
                <c:pt idx="6">
                  <c:v>3500000</c:v>
                </c:pt>
                <c:pt idx="7">
                  <c:v>1300000</c:v>
                </c:pt>
                <c:pt idx="8">
                  <c:v>230000</c:v>
                </c:pt>
                <c:pt idx="9">
                  <c:v>1700000</c:v>
                </c:pt>
                <c:pt idx="10">
                  <c:v>3500000</c:v>
                </c:pt>
                <c:pt idx="11">
                  <c:v>16000000</c:v>
                </c:pt>
              </c:numCache>
            </c:numRef>
          </c:val>
          <c:extLst>
            <c:ext xmlns:c16="http://schemas.microsoft.com/office/drawing/2014/chart" uri="{C3380CC4-5D6E-409C-BE32-E72D297353CC}">
              <c16:uniqueId val="{00000001-23E3-49FE-A3BC-4E7EAA9B565C}"/>
            </c:ext>
          </c:extLst>
        </c:ser>
        <c:ser>
          <c:idx val="2"/>
          <c:order val="2"/>
          <c:invertIfNegative val="1"/>
          <c:cat>
            <c:numRef>
              <c:f>'MEYCAUAYAN RIVER'!$F$37:$Q$37</c:f>
              <c:numCache>
                <c:formatCode>#,##0</c:formatCode>
                <c:ptCount val="12"/>
                <c:pt idx="0">
                  <c:v>7900000</c:v>
                </c:pt>
                <c:pt idx="1">
                  <c:v>9200000</c:v>
                </c:pt>
                <c:pt idx="2">
                  <c:v>16000000</c:v>
                </c:pt>
                <c:pt idx="3">
                  <c:v>17000000</c:v>
                </c:pt>
                <c:pt idx="4">
                  <c:v>920000000</c:v>
                </c:pt>
                <c:pt idx="5">
                  <c:v>460000</c:v>
                </c:pt>
                <c:pt idx="6">
                  <c:v>1100000</c:v>
                </c:pt>
                <c:pt idx="7">
                  <c:v>9200000</c:v>
                </c:pt>
                <c:pt idx="8">
                  <c:v>1300000</c:v>
                </c:pt>
                <c:pt idx="9">
                  <c:v>35000000</c:v>
                </c:pt>
                <c:pt idx="10">
                  <c:v>11000000</c:v>
                </c:pt>
                <c:pt idx="11">
                  <c:v>3500000</c:v>
                </c:pt>
              </c:numCache>
            </c:numRef>
          </c:cat>
          <c:val>
            <c:numRef>
              <c:f>'MEYCAUAYAN RIVER'!$F$40:$Q$40</c:f>
              <c:numCache>
                <c:formatCode>#,##0</c:formatCode>
                <c:ptCount val="12"/>
                <c:pt idx="0">
                  <c:v>11000000</c:v>
                </c:pt>
                <c:pt idx="1">
                  <c:v>9200000</c:v>
                </c:pt>
                <c:pt idx="2">
                  <c:v>5400000</c:v>
                </c:pt>
                <c:pt idx="3">
                  <c:v>3500000</c:v>
                </c:pt>
                <c:pt idx="4">
                  <c:v>940000</c:v>
                </c:pt>
                <c:pt idx="5">
                  <c:v>490000</c:v>
                </c:pt>
                <c:pt idx="6">
                  <c:v>790000</c:v>
                </c:pt>
                <c:pt idx="7">
                  <c:v>3500000</c:v>
                </c:pt>
                <c:pt idx="8">
                  <c:v>1700000</c:v>
                </c:pt>
                <c:pt idx="9">
                  <c:v>2500000</c:v>
                </c:pt>
                <c:pt idx="10">
                  <c:v>9200000</c:v>
                </c:pt>
                <c:pt idx="11">
                  <c:v>2400000</c:v>
                </c:pt>
              </c:numCache>
            </c:numRef>
          </c:val>
          <c:extLst>
            <c:ext xmlns:c16="http://schemas.microsoft.com/office/drawing/2014/chart" uri="{C3380CC4-5D6E-409C-BE32-E72D297353CC}">
              <c16:uniqueId val="{00000002-23E3-49FE-A3BC-4E7EAA9B565C}"/>
            </c:ext>
          </c:extLst>
        </c:ser>
        <c:ser>
          <c:idx val="3"/>
          <c:order val="3"/>
          <c:invertIfNegative val="1"/>
          <c:cat>
            <c:numRef>
              <c:f>'MEYCAUAYAN RIVER'!$F$37:$Q$37</c:f>
              <c:numCache>
                <c:formatCode>#,##0</c:formatCode>
                <c:ptCount val="12"/>
                <c:pt idx="0">
                  <c:v>7900000</c:v>
                </c:pt>
                <c:pt idx="1">
                  <c:v>9200000</c:v>
                </c:pt>
                <c:pt idx="2">
                  <c:v>16000000</c:v>
                </c:pt>
                <c:pt idx="3">
                  <c:v>17000000</c:v>
                </c:pt>
                <c:pt idx="4">
                  <c:v>920000000</c:v>
                </c:pt>
                <c:pt idx="5">
                  <c:v>460000</c:v>
                </c:pt>
                <c:pt idx="6">
                  <c:v>1100000</c:v>
                </c:pt>
                <c:pt idx="7">
                  <c:v>9200000</c:v>
                </c:pt>
                <c:pt idx="8">
                  <c:v>1300000</c:v>
                </c:pt>
                <c:pt idx="9">
                  <c:v>35000000</c:v>
                </c:pt>
                <c:pt idx="10">
                  <c:v>11000000</c:v>
                </c:pt>
                <c:pt idx="11">
                  <c:v>3500000</c:v>
                </c:pt>
              </c:numCache>
            </c:numRef>
          </c:cat>
          <c:val>
            <c:numRef>
              <c:f>'MEYCAUAYAN RIVER'!$F$41:$Q$41</c:f>
              <c:numCache>
                <c:formatCode>#,##0</c:formatCode>
                <c:ptCount val="12"/>
                <c:pt idx="0">
                  <c:v>4600000</c:v>
                </c:pt>
                <c:pt idx="1">
                  <c:v>35000000</c:v>
                </c:pt>
                <c:pt idx="2">
                  <c:v>3500000</c:v>
                </c:pt>
                <c:pt idx="3">
                  <c:v>490000</c:v>
                </c:pt>
                <c:pt idx="4">
                  <c:v>230000</c:v>
                </c:pt>
                <c:pt idx="5">
                  <c:v>3300000</c:v>
                </c:pt>
                <c:pt idx="6">
                  <c:v>1100000</c:v>
                </c:pt>
                <c:pt idx="7">
                  <c:v>1200000</c:v>
                </c:pt>
                <c:pt idx="8">
                  <c:v>11000000</c:v>
                </c:pt>
                <c:pt idx="9">
                  <c:v>5400000</c:v>
                </c:pt>
                <c:pt idx="10">
                  <c:v>3500000</c:v>
                </c:pt>
                <c:pt idx="11">
                  <c:v>2400000</c:v>
                </c:pt>
              </c:numCache>
            </c:numRef>
          </c:val>
          <c:extLst>
            <c:ext xmlns:c16="http://schemas.microsoft.com/office/drawing/2014/chart" uri="{C3380CC4-5D6E-409C-BE32-E72D297353CC}">
              <c16:uniqueId val="{00000003-23E3-49FE-A3BC-4E7EAA9B565C}"/>
            </c:ext>
          </c:extLst>
        </c:ser>
        <c:dLbls>
          <c:showLegendKey val="0"/>
          <c:showVal val="0"/>
          <c:showCatName val="0"/>
          <c:showSerName val="0"/>
          <c:showPercent val="0"/>
          <c:showBubbleSize val="0"/>
        </c:dLbls>
        <c:gapWidth val="150"/>
        <c:axId val="2103022437"/>
        <c:axId val="240690222"/>
      </c:barChart>
      <c:catAx>
        <c:axId val="2103022437"/>
        <c:scaling>
          <c:orientation val="minMax"/>
        </c:scaling>
        <c:delete val="0"/>
        <c:axPos val="b"/>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txPr>
          <a:bodyPr/>
          <a:lstStyle/>
          <a:p>
            <a:pPr lvl="0">
              <a:defRPr sz="900" b="0" i="0">
                <a:solidFill>
                  <a:srgbClr val="000000"/>
                </a:solidFill>
                <a:latin typeface="+mn-lt"/>
              </a:defRPr>
            </a:pPr>
            <a:endParaRPr lang="en-US"/>
          </a:p>
        </c:txPr>
        <c:crossAx val="240690222"/>
        <c:crosses val="autoZero"/>
        <c:auto val="1"/>
        <c:lblAlgn val="ctr"/>
        <c:lblOffset val="100"/>
        <c:noMultiLvlLbl val="1"/>
      </c:catAx>
      <c:valAx>
        <c:axId val="240690222"/>
        <c:scaling>
          <c:orientation val="minMax"/>
        </c:scaling>
        <c:delete val="0"/>
        <c:axPos val="l"/>
        <c:numFmt formatCode="#,##0" sourceLinked="1"/>
        <c:majorTickMark val="cross"/>
        <c:minorTickMark val="cross"/>
        <c:tickLblPos val="nextTo"/>
        <c:spPr>
          <a:ln>
            <a:noFill/>
          </a:ln>
        </c:spPr>
        <c:crossAx val="2103022437"/>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Nitrate</a:t>
            </a:r>
          </a:p>
        </c:rich>
      </c:tx>
      <c:overlay val="0"/>
    </c:title>
    <c:autoTitleDeleted val="0"/>
    <c:plotArea>
      <c:layout/>
      <c:barChart>
        <c:barDir val="col"/>
        <c:grouping val="clustered"/>
        <c:varyColors val="1"/>
        <c:ser>
          <c:idx val="0"/>
          <c:order val="0"/>
          <c:invertIfNegative val="1"/>
          <c:cat>
            <c:numRef>
              <c:f>'MEYCAUAYAN RIVER'!$F$42:$Q$42</c:f>
              <c:numCache>
                <c:formatCode>#,##0.000</c:formatCode>
                <c:ptCount val="12"/>
                <c:pt idx="0">
                  <c:v>0.17100000000000001</c:v>
                </c:pt>
                <c:pt idx="1">
                  <c:v>0.56100000000000005</c:v>
                </c:pt>
                <c:pt idx="2">
                  <c:v>0.79400000000000004</c:v>
                </c:pt>
                <c:pt idx="3">
                  <c:v>0.61599999999999999</c:v>
                </c:pt>
                <c:pt idx="4">
                  <c:v>0.151</c:v>
                </c:pt>
                <c:pt idx="5">
                  <c:v>0.14299999999999999</c:v>
                </c:pt>
                <c:pt idx="6">
                  <c:v>0.22800000000000001</c:v>
                </c:pt>
                <c:pt idx="7">
                  <c:v>0.14099999999999999</c:v>
                </c:pt>
                <c:pt idx="8" formatCode="0.000">
                  <c:v>0.06</c:v>
                </c:pt>
                <c:pt idx="9">
                  <c:v>0.14899999999999999</c:v>
                </c:pt>
                <c:pt idx="10">
                  <c:v>0.155</c:v>
                </c:pt>
                <c:pt idx="11">
                  <c:v>9.6000000000000002E-2</c:v>
                </c:pt>
              </c:numCache>
            </c:numRef>
          </c:cat>
          <c:val>
            <c:numRef>
              <c:f>'MEYCAUAYAN RIVER'!$F$43:$Q$43</c:f>
              <c:numCache>
                <c:formatCode>#,##0.000</c:formatCode>
                <c:ptCount val="12"/>
                <c:pt idx="0">
                  <c:v>0.54700000000000004</c:v>
                </c:pt>
                <c:pt idx="1">
                  <c:v>0.40100000000000002</c:v>
                </c:pt>
                <c:pt idx="2">
                  <c:v>0.57999999999999996</c:v>
                </c:pt>
                <c:pt idx="3">
                  <c:v>0.68200000000000005</c:v>
                </c:pt>
                <c:pt idx="4">
                  <c:v>0.42199999999999999</c:v>
                </c:pt>
                <c:pt idx="5">
                  <c:v>0.35</c:v>
                </c:pt>
                <c:pt idx="6">
                  <c:v>1.952</c:v>
                </c:pt>
                <c:pt idx="7">
                  <c:v>4.4999999999999998E-2</c:v>
                </c:pt>
                <c:pt idx="8" formatCode="0.000">
                  <c:v>0.19</c:v>
                </c:pt>
                <c:pt idx="9">
                  <c:v>0.20499999999999999</c:v>
                </c:pt>
                <c:pt idx="10">
                  <c:v>6.3E-2</c:v>
                </c:pt>
                <c:pt idx="11">
                  <c:v>0.11</c:v>
                </c:pt>
              </c:numCache>
            </c:numRef>
          </c:val>
          <c:extLst>
            <c:ext xmlns:c16="http://schemas.microsoft.com/office/drawing/2014/chart" uri="{C3380CC4-5D6E-409C-BE32-E72D297353CC}">
              <c16:uniqueId val="{00000000-E39B-4F49-A983-1E8F2C97B464}"/>
            </c:ext>
          </c:extLst>
        </c:ser>
        <c:ser>
          <c:idx val="1"/>
          <c:order val="1"/>
          <c:invertIfNegative val="1"/>
          <c:cat>
            <c:numRef>
              <c:f>'MEYCAUAYAN RIVER'!$F$42:$Q$42</c:f>
              <c:numCache>
                <c:formatCode>#,##0.000</c:formatCode>
                <c:ptCount val="12"/>
                <c:pt idx="0">
                  <c:v>0.17100000000000001</c:v>
                </c:pt>
                <c:pt idx="1">
                  <c:v>0.56100000000000005</c:v>
                </c:pt>
                <c:pt idx="2">
                  <c:v>0.79400000000000004</c:v>
                </c:pt>
                <c:pt idx="3">
                  <c:v>0.61599999999999999</c:v>
                </c:pt>
                <c:pt idx="4">
                  <c:v>0.151</c:v>
                </c:pt>
                <c:pt idx="5">
                  <c:v>0.14299999999999999</c:v>
                </c:pt>
                <c:pt idx="6">
                  <c:v>0.22800000000000001</c:v>
                </c:pt>
                <c:pt idx="7">
                  <c:v>0.14099999999999999</c:v>
                </c:pt>
                <c:pt idx="8" formatCode="0.000">
                  <c:v>0.06</c:v>
                </c:pt>
                <c:pt idx="9">
                  <c:v>0.14899999999999999</c:v>
                </c:pt>
                <c:pt idx="10">
                  <c:v>0.155</c:v>
                </c:pt>
                <c:pt idx="11">
                  <c:v>9.6000000000000002E-2</c:v>
                </c:pt>
              </c:numCache>
            </c:numRef>
          </c:cat>
          <c:val>
            <c:numRef>
              <c:f>'MEYCAUAYAN RIVER'!$F$44:$Q$44</c:f>
              <c:numCache>
                <c:formatCode>#,##0.000</c:formatCode>
                <c:ptCount val="12"/>
                <c:pt idx="0">
                  <c:v>0.23599999999999999</c:v>
                </c:pt>
                <c:pt idx="1">
                  <c:v>0.68799999999999994</c:v>
                </c:pt>
                <c:pt idx="2">
                  <c:v>0.85399999999999998</c:v>
                </c:pt>
                <c:pt idx="3">
                  <c:v>0.92900000000000005</c:v>
                </c:pt>
                <c:pt idx="4">
                  <c:v>0.185</c:v>
                </c:pt>
                <c:pt idx="5">
                  <c:v>7.2999999999999995E-2</c:v>
                </c:pt>
                <c:pt idx="6">
                  <c:v>0.17799999999999999</c:v>
                </c:pt>
                <c:pt idx="7">
                  <c:v>0.05</c:v>
                </c:pt>
                <c:pt idx="8" formatCode="0.000">
                  <c:v>0.14000000000000001</c:v>
                </c:pt>
                <c:pt idx="9">
                  <c:v>0.17699999999999999</c:v>
                </c:pt>
                <c:pt idx="10">
                  <c:v>4.2999999999999997E-2</c:v>
                </c:pt>
                <c:pt idx="11">
                  <c:v>9.4E-2</c:v>
                </c:pt>
              </c:numCache>
            </c:numRef>
          </c:val>
          <c:extLst>
            <c:ext xmlns:c16="http://schemas.microsoft.com/office/drawing/2014/chart" uri="{C3380CC4-5D6E-409C-BE32-E72D297353CC}">
              <c16:uniqueId val="{00000001-E39B-4F49-A983-1E8F2C97B464}"/>
            </c:ext>
          </c:extLst>
        </c:ser>
        <c:ser>
          <c:idx val="2"/>
          <c:order val="2"/>
          <c:invertIfNegative val="1"/>
          <c:cat>
            <c:numRef>
              <c:f>'MEYCAUAYAN RIVER'!$F$42:$Q$42</c:f>
              <c:numCache>
                <c:formatCode>#,##0.000</c:formatCode>
                <c:ptCount val="12"/>
                <c:pt idx="0">
                  <c:v>0.17100000000000001</c:v>
                </c:pt>
                <c:pt idx="1">
                  <c:v>0.56100000000000005</c:v>
                </c:pt>
                <c:pt idx="2">
                  <c:v>0.79400000000000004</c:v>
                </c:pt>
                <c:pt idx="3">
                  <c:v>0.61599999999999999</c:v>
                </c:pt>
                <c:pt idx="4">
                  <c:v>0.151</c:v>
                </c:pt>
                <c:pt idx="5">
                  <c:v>0.14299999999999999</c:v>
                </c:pt>
                <c:pt idx="6">
                  <c:v>0.22800000000000001</c:v>
                </c:pt>
                <c:pt idx="7">
                  <c:v>0.14099999999999999</c:v>
                </c:pt>
                <c:pt idx="8" formatCode="0.000">
                  <c:v>0.06</c:v>
                </c:pt>
                <c:pt idx="9">
                  <c:v>0.14899999999999999</c:v>
                </c:pt>
                <c:pt idx="10">
                  <c:v>0.155</c:v>
                </c:pt>
                <c:pt idx="11">
                  <c:v>9.6000000000000002E-2</c:v>
                </c:pt>
              </c:numCache>
            </c:numRef>
          </c:cat>
          <c:val>
            <c:numRef>
              <c:f>'MEYCAUAYAN RIVER'!$F$45:$Q$45</c:f>
              <c:numCache>
                <c:formatCode>#,##0.000</c:formatCode>
                <c:ptCount val="12"/>
                <c:pt idx="0">
                  <c:v>0.75800000000000001</c:v>
                </c:pt>
                <c:pt idx="1">
                  <c:v>1.5740000000000001</c:v>
                </c:pt>
                <c:pt idx="2">
                  <c:v>0.57099999999999995</c:v>
                </c:pt>
                <c:pt idx="3">
                  <c:v>0.57099999999999995</c:v>
                </c:pt>
                <c:pt idx="4">
                  <c:v>0.318</c:v>
                </c:pt>
                <c:pt idx="5">
                  <c:v>0.16700000000000001</c:v>
                </c:pt>
                <c:pt idx="6">
                  <c:v>1.331</c:v>
                </c:pt>
                <c:pt idx="7">
                  <c:v>0.96199999999999997</c:v>
                </c:pt>
                <c:pt idx="8" formatCode="0.000">
                  <c:v>0.82</c:v>
                </c:pt>
                <c:pt idx="9">
                  <c:v>0.183</c:v>
                </c:pt>
                <c:pt idx="10">
                  <c:v>6.9000000000000006E-2</c:v>
                </c:pt>
                <c:pt idx="11">
                  <c:v>0.124</c:v>
                </c:pt>
              </c:numCache>
            </c:numRef>
          </c:val>
          <c:extLst>
            <c:ext xmlns:c16="http://schemas.microsoft.com/office/drawing/2014/chart" uri="{C3380CC4-5D6E-409C-BE32-E72D297353CC}">
              <c16:uniqueId val="{00000002-E39B-4F49-A983-1E8F2C97B464}"/>
            </c:ext>
          </c:extLst>
        </c:ser>
        <c:ser>
          <c:idx val="3"/>
          <c:order val="3"/>
          <c:invertIfNegative val="1"/>
          <c:cat>
            <c:numRef>
              <c:f>'MEYCAUAYAN RIVER'!$F$42:$Q$42</c:f>
              <c:numCache>
                <c:formatCode>#,##0.000</c:formatCode>
                <c:ptCount val="12"/>
                <c:pt idx="0">
                  <c:v>0.17100000000000001</c:v>
                </c:pt>
                <c:pt idx="1">
                  <c:v>0.56100000000000005</c:v>
                </c:pt>
                <c:pt idx="2">
                  <c:v>0.79400000000000004</c:v>
                </c:pt>
                <c:pt idx="3">
                  <c:v>0.61599999999999999</c:v>
                </c:pt>
                <c:pt idx="4">
                  <c:v>0.151</c:v>
                </c:pt>
                <c:pt idx="5">
                  <c:v>0.14299999999999999</c:v>
                </c:pt>
                <c:pt idx="6">
                  <c:v>0.22800000000000001</c:v>
                </c:pt>
                <c:pt idx="7">
                  <c:v>0.14099999999999999</c:v>
                </c:pt>
                <c:pt idx="8" formatCode="0.000">
                  <c:v>0.06</c:v>
                </c:pt>
                <c:pt idx="9">
                  <c:v>0.14899999999999999</c:v>
                </c:pt>
                <c:pt idx="10">
                  <c:v>0.155</c:v>
                </c:pt>
                <c:pt idx="11">
                  <c:v>9.6000000000000002E-2</c:v>
                </c:pt>
              </c:numCache>
            </c:numRef>
          </c:cat>
          <c:val>
            <c:numRef>
              <c:f>'MEYCAUAYAN RIVER'!$F$46:$Q$46</c:f>
              <c:numCache>
                <c:formatCode>#,##0.000</c:formatCode>
                <c:ptCount val="12"/>
                <c:pt idx="0">
                  <c:v>0.997</c:v>
                </c:pt>
                <c:pt idx="1">
                  <c:v>0.86699999999999999</c:v>
                </c:pt>
                <c:pt idx="2">
                  <c:v>0.503</c:v>
                </c:pt>
                <c:pt idx="3">
                  <c:v>0.66100000000000003</c:v>
                </c:pt>
                <c:pt idx="4">
                  <c:v>0.20300000000000001</c:v>
                </c:pt>
                <c:pt idx="5">
                  <c:v>1.9490000000000001</c:v>
                </c:pt>
                <c:pt idx="6">
                  <c:v>1.2270000000000001</c:v>
                </c:pt>
                <c:pt idx="7">
                  <c:v>7.0999999999999994E-2</c:v>
                </c:pt>
                <c:pt idx="8" formatCode="0.000">
                  <c:v>0.16</c:v>
                </c:pt>
                <c:pt idx="9">
                  <c:v>0.20300000000000001</c:v>
                </c:pt>
                <c:pt idx="10">
                  <c:v>0.19900000000000001</c:v>
                </c:pt>
                <c:pt idx="11">
                  <c:v>0.17599999999999999</c:v>
                </c:pt>
              </c:numCache>
            </c:numRef>
          </c:val>
          <c:extLst>
            <c:ext xmlns:c16="http://schemas.microsoft.com/office/drawing/2014/chart" uri="{C3380CC4-5D6E-409C-BE32-E72D297353CC}">
              <c16:uniqueId val="{00000003-E39B-4F49-A983-1E8F2C97B464}"/>
            </c:ext>
          </c:extLst>
        </c:ser>
        <c:dLbls>
          <c:showLegendKey val="0"/>
          <c:showVal val="0"/>
          <c:showCatName val="0"/>
          <c:showSerName val="0"/>
          <c:showPercent val="0"/>
          <c:showBubbleSize val="0"/>
        </c:dLbls>
        <c:gapWidth val="150"/>
        <c:axId val="497316155"/>
        <c:axId val="69309429"/>
      </c:barChart>
      <c:catAx>
        <c:axId val="497316155"/>
        <c:scaling>
          <c:orientation val="minMax"/>
        </c:scaling>
        <c:delete val="0"/>
        <c:axPos val="b"/>
        <c:title>
          <c:tx>
            <c:rich>
              <a:bodyPr/>
              <a:lstStyle/>
              <a:p>
                <a:pPr lvl="0">
                  <a:defRPr b="0">
                    <a:solidFill>
                      <a:srgbClr val="000000"/>
                    </a:solidFill>
                    <a:latin typeface="+mn-lt"/>
                  </a:defRPr>
                </a:pPr>
                <a:endParaRPr lang="en-US"/>
              </a:p>
            </c:rich>
          </c:tx>
          <c:overlay val="0"/>
        </c:title>
        <c:numFmt formatCode="#,##0.000" sourceLinked="1"/>
        <c:majorTickMark val="none"/>
        <c:minorTickMark val="none"/>
        <c:tickLblPos val="nextTo"/>
        <c:txPr>
          <a:bodyPr/>
          <a:lstStyle/>
          <a:p>
            <a:pPr lvl="0">
              <a:defRPr sz="900" b="0" i="0">
                <a:solidFill>
                  <a:srgbClr val="000000"/>
                </a:solidFill>
                <a:latin typeface="+mn-lt"/>
              </a:defRPr>
            </a:pPr>
            <a:endParaRPr lang="en-US"/>
          </a:p>
        </c:txPr>
        <c:crossAx val="69309429"/>
        <c:crosses val="autoZero"/>
        <c:auto val="1"/>
        <c:lblAlgn val="ctr"/>
        <c:lblOffset val="100"/>
        <c:noMultiLvlLbl val="1"/>
      </c:catAx>
      <c:valAx>
        <c:axId val="69309429"/>
        <c:scaling>
          <c:orientation val="minMax"/>
        </c:scaling>
        <c:delete val="0"/>
        <c:axPos val="l"/>
        <c:numFmt formatCode="#,##0.000" sourceLinked="1"/>
        <c:majorTickMark val="cross"/>
        <c:minorTickMark val="cross"/>
        <c:tickLblPos val="nextTo"/>
        <c:spPr>
          <a:ln>
            <a:noFill/>
          </a:ln>
        </c:spPr>
        <c:crossAx val="49731615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Phosphate</a:t>
            </a:r>
          </a:p>
        </c:rich>
      </c:tx>
      <c:overlay val="0"/>
    </c:title>
    <c:autoTitleDeleted val="0"/>
    <c:plotArea>
      <c:layout/>
      <c:barChart>
        <c:barDir val="col"/>
        <c:grouping val="clustered"/>
        <c:varyColors val="1"/>
        <c:ser>
          <c:idx val="0"/>
          <c:order val="0"/>
          <c:invertIfNegative val="1"/>
          <c:cat>
            <c:numRef>
              <c:f>'MEYCAUAYAN RIVER'!$F$47:$Q$47</c:f>
              <c:numCache>
                <c:formatCode>#,##0.000</c:formatCode>
                <c:ptCount val="12"/>
                <c:pt idx="0">
                  <c:v>0.16400000000000001</c:v>
                </c:pt>
                <c:pt idx="1">
                  <c:v>0.51</c:v>
                </c:pt>
                <c:pt idx="2">
                  <c:v>0.80100000000000005</c:v>
                </c:pt>
                <c:pt idx="3">
                  <c:v>2.2829999999999999</c:v>
                </c:pt>
                <c:pt idx="4">
                  <c:v>1.5109999999999999</c:v>
                </c:pt>
                <c:pt idx="5">
                  <c:v>0.36199999999999999</c:v>
                </c:pt>
                <c:pt idx="6">
                  <c:v>0.371</c:v>
                </c:pt>
                <c:pt idx="7">
                  <c:v>1.02</c:v>
                </c:pt>
                <c:pt idx="8" formatCode="0.000">
                  <c:v>0.502</c:v>
                </c:pt>
                <c:pt idx="9">
                  <c:v>1.6579999999999999</c:v>
                </c:pt>
                <c:pt idx="10">
                  <c:v>9.0999999999999998E-2</c:v>
                </c:pt>
                <c:pt idx="11">
                  <c:v>1.6259999999999999</c:v>
                </c:pt>
              </c:numCache>
            </c:numRef>
          </c:cat>
          <c:val>
            <c:numRef>
              <c:f>'MEYCAUAYAN RIVER'!$F$48:$Q$48</c:f>
              <c:numCache>
                <c:formatCode>#,##0.000</c:formatCode>
                <c:ptCount val="12"/>
                <c:pt idx="0">
                  <c:v>0.22700000000000001</c:v>
                </c:pt>
                <c:pt idx="1">
                  <c:v>1.569</c:v>
                </c:pt>
                <c:pt idx="2">
                  <c:v>0.108</c:v>
                </c:pt>
                <c:pt idx="3">
                  <c:v>2.0760000000000001</c:v>
                </c:pt>
                <c:pt idx="4">
                  <c:v>1.5940000000000001</c:v>
                </c:pt>
                <c:pt idx="5">
                  <c:v>0.60499999999999998</c:v>
                </c:pt>
                <c:pt idx="6">
                  <c:v>0.32600000000000001</c:v>
                </c:pt>
                <c:pt idx="7">
                  <c:v>0.46700000000000003</c:v>
                </c:pt>
                <c:pt idx="8" formatCode="0.000">
                  <c:v>0.45800000000000002</c:v>
                </c:pt>
                <c:pt idx="9">
                  <c:v>0.76300000000000001</c:v>
                </c:pt>
                <c:pt idx="10">
                  <c:v>7.0000000000000007E-2</c:v>
                </c:pt>
                <c:pt idx="11">
                  <c:v>1.78</c:v>
                </c:pt>
              </c:numCache>
            </c:numRef>
          </c:val>
          <c:extLst>
            <c:ext xmlns:c16="http://schemas.microsoft.com/office/drawing/2014/chart" uri="{C3380CC4-5D6E-409C-BE32-E72D297353CC}">
              <c16:uniqueId val="{00000000-761A-483A-9258-E2B1CE409C0D}"/>
            </c:ext>
          </c:extLst>
        </c:ser>
        <c:ser>
          <c:idx val="1"/>
          <c:order val="1"/>
          <c:invertIfNegative val="1"/>
          <c:cat>
            <c:numRef>
              <c:f>'MEYCAUAYAN RIVER'!$F$47:$Q$47</c:f>
              <c:numCache>
                <c:formatCode>#,##0.000</c:formatCode>
                <c:ptCount val="12"/>
                <c:pt idx="0">
                  <c:v>0.16400000000000001</c:v>
                </c:pt>
                <c:pt idx="1">
                  <c:v>0.51</c:v>
                </c:pt>
                <c:pt idx="2">
                  <c:v>0.80100000000000005</c:v>
                </c:pt>
                <c:pt idx="3">
                  <c:v>2.2829999999999999</c:v>
                </c:pt>
                <c:pt idx="4">
                  <c:v>1.5109999999999999</c:v>
                </c:pt>
                <c:pt idx="5">
                  <c:v>0.36199999999999999</c:v>
                </c:pt>
                <c:pt idx="6">
                  <c:v>0.371</c:v>
                </c:pt>
                <c:pt idx="7">
                  <c:v>1.02</c:v>
                </c:pt>
                <c:pt idx="8" formatCode="0.000">
                  <c:v>0.502</c:v>
                </c:pt>
                <c:pt idx="9">
                  <c:v>1.6579999999999999</c:v>
                </c:pt>
                <c:pt idx="10">
                  <c:v>9.0999999999999998E-2</c:v>
                </c:pt>
                <c:pt idx="11">
                  <c:v>1.6259999999999999</c:v>
                </c:pt>
              </c:numCache>
            </c:numRef>
          </c:cat>
          <c:val>
            <c:numRef>
              <c:f>'MEYCAUAYAN RIVER'!$F$49:$Q$49</c:f>
              <c:numCache>
                <c:formatCode>#,##0.000</c:formatCode>
                <c:ptCount val="12"/>
                <c:pt idx="0">
                  <c:v>0.183</c:v>
                </c:pt>
                <c:pt idx="1">
                  <c:v>0.41099999999999998</c:v>
                </c:pt>
                <c:pt idx="2">
                  <c:v>0.182</c:v>
                </c:pt>
                <c:pt idx="3">
                  <c:v>2.052</c:v>
                </c:pt>
                <c:pt idx="4">
                  <c:v>0.26</c:v>
                </c:pt>
                <c:pt idx="5">
                  <c:v>0.51400000000000001</c:v>
                </c:pt>
                <c:pt idx="6">
                  <c:v>0.23100000000000001</c:v>
                </c:pt>
                <c:pt idx="7">
                  <c:v>0.41599999999999998</c:v>
                </c:pt>
                <c:pt idx="8" formatCode="0.000">
                  <c:v>0.53300000000000003</c:v>
                </c:pt>
                <c:pt idx="9">
                  <c:v>0.29399999999999998</c:v>
                </c:pt>
                <c:pt idx="10">
                  <c:v>0.123</c:v>
                </c:pt>
                <c:pt idx="11">
                  <c:v>0.35</c:v>
                </c:pt>
              </c:numCache>
            </c:numRef>
          </c:val>
          <c:extLst>
            <c:ext xmlns:c16="http://schemas.microsoft.com/office/drawing/2014/chart" uri="{C3380CC4-5D6E-409C-BE32-E72D297353CC}">
              <c16:uniqueId val="{00000001-761A-483A-9258-E2B1CE409C0D}"/>
            </c:ext>
          </c:extLst>
        </c:ser>
        <c:ser>
          <c:idx val="2"/>
          <c:order val="2"/>
          <c:invertIfNegative val="1"/>
          <c:cat>
            <c:numRef>
              <c:f>'MEYCAUAYAN RIVER'!$F$47:$Q$47</c:f>
              <c:numCache>
                <c:formatCode>#,##0.000</c:formatCode>
                <c:ptCount val="12"/>
                <c:pt idx="0">
                  <c:v>0.16400000000000001</c:v>
                </c:pt>
                <c:pt idx="1">
                  <c:v>0.51</c:v>
                </c:pt>
                <c:pt idx="2">
                  <c:v>0.80100000000000005</c:v>
                </c:pt>
                <c:pt idx="3">
                  <c:v>2.2829999999999999</c:v>
                </c:pt>
                <c:pt idx="4">
                  <c:v>1.5109999999999999</c:v>
                </c:pt>
                <c:pt idx="5">
                  <c:v>0.36199999999999999</c:v>
                </c:pt>
                <c:pt idx="6">
                  <c:v>0.371</c:v>
                </c:pt>
                <c:pt idx="7">
                  <c:v>1.02</c:v>
                </c:pt>
                <c:pt idx="8" formatCode="0.000">
                  <c:v>0.502</c:v>
                </c:pt>
                <c:pt idx="9">
                  <c:v>1.6579999999999999</c:v>
                </c:pt>
                <c:pt idx="10">
                  <c:v>9.0999999999999998E-2</c:v>
                </c:pt>
                <c:pt idx="11">
                  <c:v>1.6259999999999999</c:v>
                </c:pt>
              </c:numCache>
            </c:numRef>
          </c:cat>
          <c:val>
            <c:numRef>
              <c:f>'MEYCAUAYAN RIVER'!$F$50:$Q$50</c:f>
              <c:numCache>
                <c:formatCode>#,##0.000</c:formatCode>
                <c:ptCount val="12"/>
                <c:pt idx="0">
                  <c:v>0.221</c:v>
                </c:pt>
                <c:pt idx="1">
                  <c:v>1.919</c:v>
                </c:pt>
                <c:pt idx="2">
                  <c:v>0.108</c:v>
                </c:pt>
                <c:pt idx="3">
                  <c:v>1.613</c:v>
                </c:pt>
                <c:pt idx="4" formatCode="#,##0.00">
                  <c:v>6.98</c:v>
                </c:pt>
                <c:pt idx="5">
                  <c:v>0.35799999999999998</c:v>
                </c:pt>
                <c:pt idx="6">
                  <c:v>0.36199999999999999</c:v>
                </c:pt>
                <c:pt idx="7">
                  <c:v>0.432</c:v>
                </c:pt>
                <c:pt idx="8" formatCode="0.000">
                  <c:v>0.432</c:v>
                </c:pt>
                <c:pt idx="9">
                  <c:v>0.55900000000000005</c:v>
                </c:pt>
                <c:pt idx="10">
                  <c:v>0.878</c:v>
                </c:pt>
                <c:pt idx="11">
                  <c:v>1.6950000000000001</c:v>
                </c:pt>
              </c:numCache>
            </c:numRef>
          </c:val>
          <c:extLst>
            <c:ext xmlns:c16="http://schemas.microsoft.com/office/drawing/2014/chart" uri="{C3380CC4-5D6E-409C-BE32-E72D297353CC}">
              <c16:uniqueId val="{00000002-761A-483A-9258-E2B1CE409C0D}"/>
            </c:ext>
          </c:extLst>
        </c:ser>
        <c:ser>
          <c:idx val="3"/>
          <c:order val="3"/>
          <c:invertIfNegative val="1"/>
          <c:cat>
            <c:numRef>
              <c:f>'MEYCAUAYAN RIVER'!$F$47:$Q$47</c:f>
              <c:numCache>
                <c:formatCode>#,##0.000</c:formatCode>
                <c:ptCount val="12"/>
                <c:pt idx="0">
                  <c:v>0.16400000000000001</c:v>
                </c:pt>
                <c:pt idx="1">
                  <c:v>0.51</c:v>
                </c:pt>
                <c:pt idx="2">
                  <c:v>0.80100000000000005</c:v>
                </c:pt>
                <c:pt idx="3">
                  <c:v>2.2829999999999999</c:v>
                </c:pt>
                <c:pt idx="4">
                  <c:v>1.5109999999999999</c:v>
                </c:pt>
                <c:pt idx="5">
                  <c:v>0.36199999999999999</c:v>
                </c:pt>
                <c:pt idx="6">
                  <c:v>0.371</c:v>
                </c:pt>
                <c:pt idx="7">
                  <c:v>1.02</c:v>
                </c:pt>
                <c:pt idx="8" formatCode="0.000">
                  <c:v>0.502</c:v>
                </c:pt>
                <c:pt idx="9">
                  <c:v>1.6579999999999999</c:v>
                </c:pt>
                <c:pt idx="10">
                  <c:v>9.0999999999999998E-2</c:v>
                </c:pt>
                <c:pt idx="11">
                  <c:v>1.6259999999999999</c:v>
                </c:pt>
              </c:numCache>
            </c:numRef>
          </c:cat>
          <c:val>
            <c:numRef>
              <c:f>'MEYCAUAYAN RIVER'!$F$51:$Q$51</c:f>
              <c:numCache>
                <c:formatCode>#,##0.000</c:formatCode>
                <c:ptCount val="12"/>
                <c:pt idx="0">
                  <c:v>0.46100000000000002</c:v>
                </c:pt>
                <c:pt idx="1">
                  <c:v>1.633</c:v>
                </c:pt>
                <c:pt idx="2">
                  <c:v>0.80100000000000005</c:v>
                </c:pt>
                <c:pt idx="3">
                  <c:v>1.6419999999999999</c:v>
                </c:pt>
                <c:pt idx="4">
                  <c:v>1.482</c:v>
                </c:pt>
                <c:pt idx="5">
                  <c:v>0.433</c:v>
                </c:pt>
                <c:pt idx="6">
                  <c:v>0.315</c:v>
                </c:pt>
                <c:pt idx="7">
                  <c:v>0.56200000000000006</c:v>
                </c:pt>
                <c:pt idx="8" formatCode="0.000">
                  <c:v>0.49399999999999999</c:v>
                </c:pt>
                <c:pt idx="9">
                  <c:v>0.64300000000000002</c:v>
                </c:pt>
                <c:pt idx="10">
                  <c:v>0.63300000000000001</c:v>
                </c:pt>
                <c:pt idx="11">
                  <c:v>1.51</c:v>
                </c:pt>
              </c:numCache>
            </c:numRef>
          </c:val>
          <c:extLst>
            <c:ext xmlns:c16="http://schemas.microsoft.com/office/drawing/2014/chart" uri="{C3380CC4-5D6E-409C-BE32-E72D297353CC}">
              <c16:uniqueId val="{00000003-761A-483A-9258-E2B1CE409C0D}"/>
            </c:ext>
          </c:extLst>
        </c:ser>
        <c:dLbls>
          <c:showLegendKey val="0"/>
          <c:showVal val="0"/>
          <c:showCatName val="0"/>
          <c:showSerName val="0"/>
          <c:showPercent val="0"/>
          <c:showBubbleSize val="0"/>
        </c:dLbls>
        <c:gapWidth val="150"/>
        <c:axId val="639396556"/>
        <c:axId val="1899496384"/>
      </c:barChart>
      <c:catAx>
        <c:axId val="639396556"/>
        <c:scaling>
          <c:orientation val="minMax"/>
        </c:scaling>
        <c:delete val="0"/>
        <c:axPos val="b"/>
        <c:title>
          <c:tx>
            <c:rich>
              <a:bodyPr/>
              <a:lstStyle/>
              <a:p>
                <a:pPr lvl="0">
                  <a:defRPr b="0">
                    <a:solidFill>
                      <a:srgbClr val="000000"/>
                    </a:solidFill>
                    <a:latin typeface="+mn-lt"/>
                  </a:defRPr>
                </a:pPr>
                <a:endParaRPr lang="en-US"/>
              </a:p>
            </c:rich>
          </c:tx>
          <c:overlay val="0"/>
        </c:title>
        <c:numFmt formatCode="#,##0.000" sourceLinked="1"/>
        <c:majorTickMark val="none"/>
        <c:minorTickMark val="none"/>
        <c:tickLblPos val="nextTo"/>
        <c:txPr>
          <a:bodyPr/>
          <a:lstStyle/>
          <a:p>
            <a:pPr lvl="0">
              <a:defRPr sz="900" b="0" i="0">
                <a:solidFill>
                  <a:srgbClr val="000000"/>
                </a:solidFill>
                <a:latin typeface="+mn-lt"/>
              </a:defRPr>
            </a:pPr>
            <a:endParaRPr lang="en-US"/>
          </a:p>
        </c:txPr>
        <c:crossAx val="1899496384"/>
        <c:crosses val="autoZero"/>
        <c:auto val="1"/>
        <c:lblAlgn val="ctr"/>
        <c:lblOffset val="100"/>
        <c:noMultiLvlLbl val="1"/>
      </c:catAx>
      <c:valAx>
        <c:axId val="1899496384"/>
        <c:scaling>
          <c:orientation val="minMax"/>
        </c:scaling>
        <c:delete val="0"/>
        <c:axPos val="l"/>
        <c:numFmt formatCode="#,##0.000" sourceLinked="1"/>
        <c:majorTickMark val="cross"/>
        <c:minorTickMark val="cross"/>
        <c:tickLblPos val="nextTo"/>
        <c:spPr>
          <a:ln>
            <a:noFill/>
          </a:ln>
        </c:spPr>
        <c:crossAx val="63939655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Chloride</a:t>
            </a:r>
          </a:p>
        </c:rich>
      </c:tx>
      <c:overlay val="0"/>
    </c:title>
    <c:autoTitleDeleted val="0"/>
    <c:plotArea>
      <c:layout/>
      <c:barChart>
        <c:barDir val="col"/>
        <c:grouping val="clustered"/>
        <c:varyColors val="1"/>
        <c:ser>
          <c:idx val="0"/>
          <c:order val="0"/>
          <c:tx>
            <c:v>Perez Bridge</c:v>
          </c:tx>
          <c:spPr>
            <a:solidFill>
              <a:srgbClr val="5B9BD5"/>
            </a:solidFill>
            <a:ln cmpd="sng">
              <a:solidFill>
                <a:srgbClr val="000000"/>
              </a:solidFill>
            </a:ln>
          </c:spPr>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RIVER'!$F$53:$Q$53</c:f>
              <c:numCache>
                <c:formatCode>0.00</c:formatCode>
                <c:ptCount val="12"/>
                <c:pt idx="0">
                  <c:v>337</c:v>
                </c:pt>
                <c:pt idx="1">
                  <c:v>120</c:v>
                </c:pt>
                <c:pt idx="2">
                  <c:v>85</c:v>
                </c:pt>
                <c:pt idx="3">
                  <c:v>410</c:v>
                </c:pt>
                <c:pt idx="4">
                  <c:v>79</c:v>
                </c:pt>
                <c:pt idx="5">
                  <c:v>42</c:v>
                </c:pt>
                <c:pt idx="6">
                  <c:v>20</c:v>
                </c:pt>
                <c:pt idx="7">
                  <c:v>27</c:v>
                </c:pt>
                <c:pt idx="8" formatCode="#,##0.00">
                  <c:v>27</c:v>
                </c:pt>
                <c:pt idx="9" formatCode="#,##0.00">
                  <c:v>63</c:v>
                </c:pt>
                <c:pt idx="10" formatCode="#,##0.00">
                  <c:v>85</c:v>
                </c:pt>
                <c:pt idx="11" formatCode="#,##0.00">
                  <c:v>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71C-485E-8264-CE2047188D23}"/>
            </c:ext>
          </c:extLst>
        </c:ser>
        <c:ser>
          <c:idx val="1"/>
          <c:order val="1"/>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RIVER'!$F$54:$Q$54</c:f>
              <c:numCache>
                <c:formatCode>0.00</c:formatCode>
                <c:ptCount val="12"/>
                <c:pt idx="0">
                  <c:v>312</c:v>
                </c:pt>
                <c:pt idx="1">
                  <c:v>107</c:v>
                </c:pt>
                <c:pt idx="2">
                  <c:v>265</c:v>
                </c:pt>
                <c:pt idx="3">
                  <c:v>387</c:v>
                </c:pt>
                <c:pt idx="4">
                  <c:v>62</c:v>
                </c:pt>
                <c:pt idx="5">
                  <c:v>37</c:v>
                </c:pt>
                <c:pt idx="6">
                  <c:v>10</c:v>
                </c:pt>
                <c:pt idx="7">
                  <c:v>25</c:v>
                </c:pt>
                <c:pt idx="8" formatCode="#,##0.00">
                  <c:v>25</c:v>
                </c:pt>
                <c:pt idx="9" formatCode="#,##0.00">
                  <c:v>26</c:v>
                </c:pt>
                <c:pt idx="10" formatCode="#,##0.00">
                  <c:v>93</c:v>
                </c:pt>
                <c:pt idx="11" formatCode="#,##0.00">
                  <c:v>4</c:v>
                </c:pt>
              </c:numCache>
            </c:numRef>
          </c:val>
          <c:extLst>
            <c:ext xmlns:c16="http://schemas.microsoft.com/office/drawing/2014/chart" uri="{C3380CC4-5D6E-409C-BE32-E72D297353CC}">
              <c16:uniqueId val="{00000001-D71C-485E-8264-CE2047188D23}"/>
            </c:ext>
          </c:extLst>
        </c:ser>
        <c:ser>
          <c:idx val="2"/>
          <c:order val="2"/>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RIVER'!$F$55:$Q$55</c:f>
              <c:numCache>
                <c:formatCode>0.00</c:formatCode>
                <c:ptCount val="12"/>
                <c:pt idx="0">
                  <c:v>178</c:v>
                </c:pt>
                <c:pt idx="1">
                  <c:v>377</c:v>
                </c:pt>
                <c:pt idx="2">
                  <c:v>248</c:v>
                </c:pt>
                <c:pt idx="3">
                  <c:v>207</c:v>
                </c:pt>
                <c:pt idx="4">
                  <c:v>47</c:v>
                </c:pt>
                <c:pt idx="5">
                  <c:v>79</c:v>
                </c:pt>
                <c:pt idx="6">
                  <c:v>15</c:v>
                </c:pt>
                <c:pt idx="7">
                  <c:v>107</c:v>
                </c:pt>
                <c:pt idx="8" formatCode="#,##0.00">
                  <c:v>127</c:v>
                </c:pt>
                <c:pt idx="9" formatCode="#,##0.00">
                  <c:v>123</c:v>
                </c:pt>
                <c:pt idx="10" formatCode="#,##0.00">
                  <c:v>51</c:v>
                </c:pt>
                <c:pt idx="11" formatCode="#,##0.00">
                  <c:v>15</c:v>
                </c:pt>
              </c:numCache>
            </c:numRef>
          </c:val>
          <c:extLst>
            <c:ext xmlns:c16="http://schemas.microsoft.com/office/drawing/2014/chart" uri="{C3380CC4-5D6E-409C-BE32-E72D297353CC}">
              <c16:uniqueId val="{00000002-D71C-485E-8264-CE2047188D23}"/>
            </c:ext>
          </c:extLst>
        </c:ser>
        <c:ser>
          <c:idx val="3"/>
          <c:order val="3"/>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RIVER'!$F$56:$Q$56</c:f>
              <c:numCache>
                <c:formatCode>0.00</c:formatCode>
                <c:ptCount val="12"/>
                <c:pt idx="0">
                  <c:v>74</c:v>
                </c:pt>
                <c:pt idx="1">
                  <c:v>340</c:v>
                </c:pt>
                <c:pt idx="2">
                  <c:v>95</c:v>
                </c:pt>
                <c:pt idx="3">
                  <c:v>227</c:v>
                </c:pt>
                <c:pt idx="4">
                  <c:v>59</c:v>
                </c:pt>
                <c:pt idx="5">
                  <c:v>111</c:v>
                </c:pt>
                <c:pt idx="6">
                  <c:v>15</c:v>
                </c:pt>
                <c:pt idx="7">
                  <c:v>57</c:v>
                </c:pt>
                <c:pt idx="8" formatCode="#,##0.00">
                  <c:v>57</c:v>
                </c:pt>
                <c:pt idx="9" formatCode="#,##0.00">
                  <c:v>140</c:v>
                </c:pt>
                <c:pt idx="10" formatCode="#,##0.00">
                  <c:v>50</c:v>
                </c:pt>
                <c:pt idx="11" formatCode="#,##0.00">
                  <c:v>25</c:v>
                </c:pt>
              </c:numCache>
            </c:numRef>
          </c:val>
          <c:extLst>
            <c:ext xmlns:c16="http://schemas.microsoft.com/office/drawing/2014/chart" uri="{C3380CC4-5D6E-409C-BE32-E72D297353CC}">
              <c16:uniqueId val="{00000003-D71C-485E-8264-CE2047188D23}"/>
            </c:ext>
          </c:extLst>
        </c:ser>
        <c:ser>
          <c:idx val="4"/>
          <c:order val="4"/>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RIVER'!$F$57:$Q$57</c:f>
              <c:numCache>
                <c:formatCode>#,##0.00</c:formatCode>
                <c:ptCount val="12"/>
                <c:pt idx="0">
                  <c:v>0</c:v>
                </c:pt>
                <c:pt idx="1">
                  <c:v>0</c:v>
                </c:pt>
                <c:pt idx="2">
                  <c:v>7.4</c:v>
                </c:pt>
                <c:pt idx="3">
                  <c:v>0</c:v>
                </c:pt>
                <c:pt idx="4">
                  <c:v>4.9000000000000004</c:v>
                </c:pt>
                <c:pt idx="5">
                  <c:v>0</c:v>
                </c:pt>
                <c:pt idx="6">
                  <c:v>3</c:v>
                </c:pt>
                <c:pt idx="7">
                  <c:v>0</c:v>
                </c:pt>
                <c:pt idx="8">
                  <c:v>0</c:v>
                </c:pt>
                <c:pt idx="9">
                  <c:v>0</c:v>
                </c:pt>
                <c:pt idx="10">
                  <c:v>0</c:v>
                </c:pt>
                <c:pt idx="11">
                  <c:v>0.8</c:v>
                </c:pt>
              </c:numCache>
            </c:numRef>
          </c:val>
          <c:extLst>
            <c:ext xmlns:c16="http://schemas.microsoft.com/office/drawing/2014/chart" uri="{C3380CC4-5D6E-409C-BE32-E72D297353CC}">
              <c16:uniqueId val="{00000004-D71C-485E-8264-CE2047188D23}"/>
            </c:ext>
          </c:extLst>
        </c:ser>
        <c:ser>
          <c:idx val="5"/>
          <c:order val="5"/>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RIVER'!$F$58:$Q$58</c:f>
              <c:numCache>
                <c:formatCode>#,##0.00</c:formatCode>
                <c:ptCount val="12"/>
                <c:pt idx="0">
                  <c:v>0</c:v>
                </c:pt>
                <c:pt idx="1">
                  <c:v>0</c:v>
                </c:pt>
                <c:pt idx="2">
                  <c:v>13.8</c:v>
                </c:pt>
                <c:pt idx="3">
                  <c:v>0</c:v>
                </c:pt>
                <c:pt idx="4">
                  <c:v>1.3</c:v>
                </c:pt>
                <c:pt idx="5">
                  <c:v>0</c:v>
                </c:pt>
                <c:pt idx="6">
                  <c:v>2.8</c:v>
                </c:pt>
                <c:pt idx="7">
                  <c:v>0</c:v>
                </c:pt>
                <c:pt idx="8">
                  <c:v>0</c:v>
                </c:pt>
                <c:pt idx="9">
                  <c:v>0</c:v>
                </c:pt>
                <c:pt idx="10">
                  <c:v>0</c:v>
                </c:pt>
                <c:pt idx="11">
                  <c:v>1.8</c:v>
                </c:pt>
              </c:numCache>
            </c:numRef>
          </c:val>
          <c:extLst>
            <c:ext xmlns:c16="http://schemas.microsoft.com/office/drawing/2014/chart" uri="{C3380CC4-5D6E-409C-BE32-E72D297353CC}">
              <c16:uniqueId val="{00000005-D71C-485E-8264-CE2047188D23}"/>
            </c:ext>
          </c:extLst>
        </c:ser>
        <c:ser>
          <c:idx val="6"/>
          <c:order val="6"/>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RIVER'!$F$59:$Q$59</c:f>
              <c:numCache>
                <c:formatCode>#,##0.00</c:formatCode>
                <c:ptCount val="12"/>
                <c:pt idx="0">
                  <c:v>0</c:v>
                </c:pt>
                <c:pt idx="1">
                  <c:v>0</c:v>
                </c:pt>
                <c:pt idx="2">
                  <c:v>4.5</c:v>
                </c:pt>
                <c:pt idx="3">
                  <c:v>0</c:v>
                </c:pt>
                <c:pt idx="4">
                  <c:v>2</c:v>
                </c:pt>
                <c:pt idx="5">
                  <c:v>0</c:v>
                </c:pt>
                <c:pt idx="6">
                  <c:v>2.6</c:v>
                </c:pt>
                <c:pt idx="7">
                  <c:v>0</c:v>
                </c:pt>
                <c:pt idx="8">
                  <c:v>0</c:v>
                </c:pt>
                <c:pt idx="9">
                  <c:v>0</c:v>
                </c:pt>
                <c:pt idx="10">
                  <c:v>0</c:v>
                </c:pt>
                <c:pt idx="11">
                  <c:v>1</c:v>
                </c:pt>
              </c:numCache>
            </c:numRef>
          </c:val>
          <c:extLst>
            <c:ext xmlns:c16="http://schemas.microsoft.com/office/drawing/2014/chart" uri="{C3380CC4-5D6E-409C-BE32-E72D297353CC}">
              <c16:uniqueId val="{00000006-D71C-485E-8264-CE2047188D23}"/>
            </c:ext>
          </c:extLst>
        </c:ser>
        <c:ser>
          <c:idx val="7"/>
          <c:order val="7"/>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RIVER'!$F$60:$Q$60</c:f>
              <c:numCache>
                <c:formatCode>#,##0.00</c:formatCode>
                <c:ptCount val="12"/>
                <c:pt idx="0">
                  <c:v>0</c:v>
                </c:pt>
                <c:pt idx="1">
                  <c:v>0</c:v>
                </c:pt>
                <c:pt idx="2">
                  <c:v>19.8</c:v>
                </c:pt>
                <c:pt idx="3">
                  <c:v>0</c:v>
                </c:pt>
                <c:pt idx="4">
                  <c:v>1.9</c:v>
                </c:pt>
                <c:pt idx="5">
                  <c:v>0</c:v>
                </c:pt>
                <c:pt idx="6">
                  <c:v>2</c:v>
                </c:pt>
                <c:pt idx="7">
                  <c:v>0</c:v>
                </c:pt>
                <c:pt idx="8">
                  <c:v>0</c:v>
                </c:pt>
                <c:pt idx="9">
                  <c:v>0</c:v>
                </c:pt>
                <c:pt idx="10">
                  <c:v>0</c:v>
                </c:pt>
                <c:pt idx="11">
                  <c:v>1.9</c:v>
                </c:pt>
              </c:numCache>
            </c:numRef>
          </c:val>
          <c:extLst>
            <c:ext xmlns:c16="http://schemas.microsoft.com/office/drawing/2014/chart" uri="{C3380CC4-5D6E-409C-BE32-E72D297353CC}">
              <c16:uniqueId val="{00000007-D71C-485E-8264-CE2047188D23}"/>
            </c:ext>
          </c:extLst>
        </c:ser>
        <c:ser>
          <c:idx val="8"/>
          <c:order val="8"/>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RIVER'!$F$61:$Q$61</c:f>
              <c:numCache>
                <c:formatCode>#,##0.00</c:formatCode>
                <c:ptCount val="12"/>
                <c:pt idx="0">
                  <c:v>0</c:v>
                </c:pt>
                <c:pt idx="1">
                  <c:v>0</c:v>
                </c:pt>
                <c:pt idx="2">
                  <c:v>16</c:v>
                </c:pt>
                <c:pt idx="3">
                  <c:v>0</c:v>
                </c:pt>
                <c:pt idx="4">
                  <c:v>1.5</c:v>
                </c:pt>
                <c:pt idx="5">
                  <c:v>0</c:v>
                </c:pt>
                <c:pt idx="6">
                  <c:v>3.2</c:v>
                </c:pt>
                <c:pt idx="7">
                  <c:v>0</c:v>
                </c:pt>
                <c:pt idx="8">
                  <c:v>0</c:v>
                </c:pt>
                <c:pt idx="9">
                  <c:v>0</c:v>
                </c:pt>
                <c:pt idx="10">
                  <c:v>0</c:v>
                </c:pt>
                <c:pt idx="11">
                  <c:v>1.5</c:v>
                </c:pt>
              </c:numCache>
            </c:numRef>
          </c:val>
          <c:extLst>
            <c:ext xmlns:c16="http://schemas.microsoft.com/office/drawing/2014/chart" uri="{C3380CC4-5D6E-409C-BE32-E72D297353CC}">
              <c16:uniqueId val="{00000008-D71C-485E-8264-CE2047188D23}"/>
            </c:ext>
          </c:extLst>
        </c:ser>
        <c:ser>
          <c:idx val="9"/>
          <c:order val="9"/>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RIVER'!$F$62:$Q$62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9-D71C-485E-8264-CE2047188D23}"/>
            </c:ext>
          </c:extLst>
        </c:ser>
        <c:ser>
          <c:idx val="10"/>
          <c:order val="10"/>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RIVER'!$F$63:$Q$63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A-D71C-485E-8264-CE2047188D23}"/>
            </c:ext>
          </c:extLst>
        </c:ser>
        <c:ser>
          <c:idx val="11"/>
          <c:order val="11"/>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RIVER'!$F$64:$Q$64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D71C-485E-8264-CE2047188D23}"/>
            </c:ext>
          </c:extLst>
        </c:ser>
        <c:ser>
          <c:idx val="12"/>
          <c:order val="12"/>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RIVER'!$F$65:$Q$65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C-D71C-485E-8264-CE2047188D23}"/>
            </c:ext>
          </c:extLst>
        </c:ser>
        <c:ser>
          <c:idx val="13"/>
          <c:order val="13"/>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RIVER'!$F$66:$Q$66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D71C-485E-8264-CE2047188D23}"/>
            </c:ext>
          </c:extLst>
        </c:ser>
        <c:ser>
          <c:idx val="14"/>
          <c:order val="14"/>
          <c:invertIfNegative val="1"/>
          <c:cat>
            <c:numRef>
              <c:f>'MEYCAUAYAN RIVER'!$F$52:$Q$52</c:f>
              <c:numCache>
                <c:formatCode>0.00</c:formatCode>
                <c:ptCount val="12"/>
                <c:pt idx="0">
                  <c:v>74</c:v>
                </c:pt>
                <c:pt idx="1">
                  <c:v>73</c:v>
                </c:pt>
                <c:pt idx="2">
                  <c:v>262</c:v>
                </c:pt>
                <c:pt idx="3">
                  <c:v>260</c:v>
                </c:pt>
                <c:pt idx="4">
                  <c:v>59</c:v>
                </c:pt>
                <c:pt idx="5">
                  <c:v>40</c:v>
                </c:pt>
                <c:pt idx="6">
                  <c:v>10</c:v>
                </c:pt>
                <c:pt idx="7">
                  <c:v>35</c:v>
                </c:pt>
                <c:pt idx="8" formatCode="#,##0.00">
                  <c:v>35</c:v>
                </c:pt>
                <c:pt idx="9" formatCode="#,##0.00">
                  <c:v>53</c:v>
                </c:pt>
                <c:pt idx="10" formatCode="#,##0.00">
                  <c:v>75</c:v>
                </c:pt>
                <c:pt idx="11" formatCode="#,##0.00">
                  <c:v>24</c:v>
                </c:pt>
              </c:numCache>
            </c:numRef>
          </c:cat>
          <c:val>
            <c:numRef>
              <c:f>'MEYCAUAYAN RIVER'!$F$67:$Q$67</c:f>
              <c:numCache>
                <c:formatCode>General</c:formatCode>
                <c:ptCount val="12"/>
                <c:pt idx="0">
                  <c:v>15</c:v>
                </c:pt>
                <c:pt idx="1">
                  <c:v>21</c:v>
                </c:pt>
                <c:pt idx="2">
                  <c:v>12</c:v>
                </c:pt>
                <c:pt idx="3">
                  <c:v>25</c:v>
                </c:pt>
                <c:pt idx="4">
                  <c:v>27</c:v>
                </c:pt>
                <c:pt idx="5">
                  <c:v>19</c:v>
                </c:pt>
                <c:pt idx="6">
                  <c:v>28</c:v>
                </c:pt>
                <c:pt idx="7">
                  <c:v>27</c:v>
                </c:pt>
                <c:pt idx="8">
                  <c:v>17</c:v>
                </c:pt>
                <c:pt idx="9">
                  <c:v>15</c:v>
                </c:pt>
                <c:pt idx="10">
                  <c:v>19</c:v>
                </c:pt>
              </c:numCache>
            </c:numRef>
          </c:val>
          <c:extLst>
            <c:ext xmlns:c16="http://schemas.microsoft.com/office/drawing/2014/chart" uri="{C3380CC4-5D6E-409C-BE32-E72D297353CC}">
              <c16:uniqueId val="{0000000E-D71C-485E-8264-CE2047188D23}"/>
            </c:ext>
          </c:extLst>
        </c:ser>
        <c:dLbls>
          <c:showLegendKey val="0"/>
          <c:showVal val="0"/>
          <c:showCatName val="0"/>
          <c:showSerName val="0"/>
          <c:showPercent val="0"/>
          <c:showBubbleSize val="0"/>
        </c:dLbls>
        <c:gapWidth val="150"/>
        <c:axId val="1880831566"/>
        <c:axId val="1563229940"/>
      </c:barChart>
      <c:catAx>
        <c:axId val="1880831566"/>
        <c:scaling>
          <c:orientation val="minMax"/>
        </c:scaling>
        <c:delete val="0"/>
        <c:axPos val="b"/>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txPr>
          <a:bodyPr/>
          <a:lstStyle/>
          <a:p>
            <a:pPr lvl="0">
              <a:defRPr sz="900" b="0" i="0">
                <a:solidFill>
                  <a:srgbClr val="000000"/>
                </a:solidFill>
                <a:latin typeface="+mn-lt"/>
              </a:defRPr>
            </a:pPr>
            <a:endParaRPr lang="en-US"/>
          </a:p>
        </c:txPr>
        <c:crossAx val="1563229940"/>
        <c:crosses val="autoZero"/>
        <c:auto val="1"/>
        <c:lblAlgn val="ctr"/>
        <c:lblOffset val="100"/>
        <c:noMultiLvlLbl val="1"/>
      </c:catAx>
      <c:valAx>
        <c:axId val="15632299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188083156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20</xdr:col>
      <xdr:colOff>542925</xdr:colOff>
      <xdr:row>6</xdr:row>
      <xdr:rowOff>66675</xdr:rowOff>
    </xdr:from>
    <xdr:ext cx="4552950" cy="2857500"/>
    <xdr:graphicFrame macro="">
      <xdr:nvGraphicFramePr>
        <xdr:cNvPr id="1337159253" name="Chart 1">
          <a:extLst>
            <a:ext uri="{FF2B5EF4-FFF2-40B4-BE49-F238E27FC236}">
              <a16:creationId xmlns:a16="http://schemas.microsoft.com/office/drawing/2014/main" id="{00000000-0008-0000-0100-0000556EB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447675</xdr:colOff>
      <xdr:row>22</xdr:row>
      <xdr:rowOff>38100</xdr:rowOff>
    </xdr:from>
    <xdr:ext cx="4552950" cy="2876550"/>
    <xdr:graphicFrame macro="">
      <xdr:nvGraphicFramePr>
        <xdr:cNvPr id="50759546" name="Chart 2">
          <a:extLst>
            <a:ext uri="{FF2B5EF4-FFF2-40B4-BE49-F238E27FC236}">
              <a16:creationId xmlns:a16="http://schemas.microsoft.com/office/drawing/2014/main" id="{00000000-0008-0000-0100-00007A870603}"/>
            </a:ext>
            <a:ext uri="{147F2762-F138-4A5C-976F-8EAC2B608ADB}">
              <a16:predDERef xmlns:a16="http://schemas.microsoft.com/office/drawing/2014/main" pred="{00000000-0008-0000-0100-0000556EB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20</xdr:col>
      <xdr:colOff>581025</xdr:colOff>
      <xdr:row>37</xdr:row>
      <xdr:rowOff>104775</xdr:rowOff>
    </xdr:from>
    <xdr:ext cx="4552950" cy="2876550"/>
    <xdr:graphicFrame macro="">
      <xdr:nvGraphicFramePr>
        <xdr:cNvPr id="230216635" name="Chart 3">
          <a:extLst>
            <a:ext uri="{FF2B5EF4-FFF2-40B4-BE49-F238E27FC236}">
              <a16:creationId xmlns:a16="http://schemas.microsoft.com/office/drawing/2014/main" id="{00000000-0008-0000-0100-0000BBD3B80D}"/>
            </a:ext>
            <a:ext uri="{147F2762-F138-4A5C-976F-8EAC2B608ADB}">
              <a16:predDERef xmlns:a16="http://schemas.microsoft.com/office/drawing/2014/main" pred="{00000000-0008-0000-0100-00007A870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29</xdr:col>
      <xdr:colOff>114300</xdr:colOff>
      <xdr:row>6</xdr:row>
      <xdr:rowOff>57150</xdr:rowOff>
    </xdr:from>
    <xdr:ext cx="4467225" cy="2876550"/>
    <xdr:graphicFrame macro="">
      <xdr:nvGraphicFramePr>
        <xdr:cNvPr id="569281023" name="Chart 4">
          <a:extLst>
            <a:ext uri="{FF2B5EF4-FFF2-40B4-BE49-F238E27FC236}">
              <a16:creationId xmlns:a16="http://schemas.microsoft.com/office/drawing/2014/main" id="{00000000-0008-0000-0100-0000FF89EE21}"/>
            </a:ext>
            <a:ext uri="{147F2762-F138-4A5C-976F-8EAC2B608ADB}">
              <a16:predDERef xmlns:a16="http://schemas.microsoft.com/office/drawing/2014/main" pred="{00000000-0008-0000-0100-0000BBD3B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29</xdr:col>
      <xdr:colOff>47625</xdr:colOff>
      <xdr:row>22</xdr:row>
      <xdr:rowOff>9525</xdr:rowOff>
    </xdr:from>
    <xdr:ext cx="4467225" cy="2876550"/>
    <xdr:graphicFrame macro="">
      <xdr:nvGraphicFramePr>
        <xdr:cNvPr id="1298406225" name="Chart 5">
          <a:extLst>
            <a:ext uri="{FF2B5EF4-FFF2-40B4-BE49-F238E27FC236}">
              <a16:creationId xmlns:a16="http://schemas.microsoft.com/office/drawing/2014/main" id="{00000000-0008-0000-0100-0000511B644D}"/>
            </a:ext>
            <a:ext uri="{147F2762-F138-4A5C-976F-8EAC2B608ADB}">
              <a16:predDERef xmlns:a16="http://schemas.microsoft.com/office/drawing/2014/main" pred="{00000000-0008-0000-0100-0000FF89E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43</xdr:col>
      <xdr:colOff>695325</xdr:colOff>
      <xdr:row>63</xdr:row>
      <xdr:rowOff>504825</xdr:rowOff>
    </xdr:from>
    <xdr:ext cx="4467225" cy="2886075"/>
    <xdr:graphicFrame macro="">
      <xdr:nvGraphicFramePr>
        <xdr:cNvPr id="2094920193" name="Chart 6">
          <a:extLst>
            <a:ext uri="{FF2B5EF4-FFF2-40B4-BE49-F238E27FC236}">
              <a16:creationId xmlns:a16="http://schemas.microsoft.com/office/drawing/2014/main" id="{00000000-0008-0000-0100-000001F2DD7C}"/>
            </a:ext>
            <a:ext uri="{147F2762-F138-4A5C-976F-8EAC2B608ADB}">
              <a16:predDERef xmlns:a16="http://schemas.microsoft.com/office/drawing/2014/main" pred="{00000000-0008-0000-0100-0000511B6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21</xdr:col>
      <xdr:colOff>19050</xdr:colOff>
      <xdr:row>53</xdr:row>
      <xdr:rowOff>9525</xdr:rowOff>
    </xdr:from>
    <xdr:ext cx="4552950" cy="2876550"/>
    <xdr:graphicFrame macro="">
      <xdr:nvGraphicFramePr>
        <xdr:cNvPr id="919272372" name="Chart 7">
          <a:extLst>
            <a:ext uri="{FF2B5EF4-FFF2-40B4-BE49-F238E27FC236}">
              <a16:creationId xmlns:a16="http://schemas.microsoft.com/office/drawing/2014/main" id="{00000000-0008-0000-0100-0000B4FBCA36}"/>
            </a:ext>
            <a:ext uri="{147F2762-F138-4A5C-976F-8EAC2B608ADB}">
              <a16:predDERef xmlns:a16="http://schemas.microsoft.com/office/drawing/2014/main" pred="{00000000-0008-0000-0100-000001F2D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29</xdr:col>
      <xdr:colOff>114300</xdr:colOff>
      <xdr:row>53</xdr:row>
      <xdr:rowOff>0</xdr:rowOff>
    </xdr:from>
    <xdr:ext cx="4467225" cy="2876550"/>
    <xdr:graphicFrame macro="">
      <xdr:nvGraphicFramePr>
        <xdr:cNvPr id="346100524" name="Chart 8">
          <a:extLst>
            <a:ext uri="{FF2B5EF4-FFF2-40B4-BE49-F238E27FC236}">
              <a16:creationId xmlns:a16="http://schemas.microsoft.com/office/drawing/2014/main" id="{00000000-0008-0000-0100-00002C13A114}"/>
            </a:ext>
            <a:ext uri="{147F2762-F138-4A5C-976F-8EAC2B608ADB}">
              <a16:predDERef xmlns:a16="http://schemas.microsoft.com/office/drawing/2014/main" pred="{00000000-0008-0000-0100-0000B4FBC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21</xdr:col>
      <xdr:colOff>38100</xdr:colOff>
      <xdr:row>68</xdr:row>
      <xdr:rowOff>66675</xdr:rowOff>
    </xdr:from>
    <xdr:ext cx="4552950" cy="2876550"/>
    <xdr:graphicFrame macro="">
      <xdr:nvGraphicFramePr>
        <xdr:cNvPr id="1234713889" name="Chart 9">
          <a:extLst>
            <a:ext uri="{FF2B5EF4-FFF2-40B4-BE49-F238E27FC236}">
              <a16:creationId xmlns:a16="http://schemas.microsoft.com/office/drawing/2014/main" id="{00000000-0008-0000-0100-0000213D9849}"/>
            </a:ext>
            <a:ext uri="{147F2762-F138-4A5C-976F-8EAC2B608ADB}">
              <a16:predDERef xmlns:a16="http://schemas.microsoft.com/office/drawing/2014/main" pred="{00000000-0008-0000-0100-00002C13A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29</xdr:col>
      <xdr:colOff>133350</xdr:colOff>
      <xdr:row>68</xdr:row>
      <xdr:rowOff>123825</xdr:rowOff>
    </xdr:from>
    <xdr:ext cx="4467225" cy="2886075"/>
    <xdr:graphicFrame macro="">
      <xdr:nvGraphicFramePr>
        <xdr:cNvPr id="2004580209" name="Chart 10">
          <a:extLst>
            <a:ext uri="{FF2B5EF4-FFF2-40B4-BE49-F238E27FC236}">
              <a16:creationId xmlns:a16="http://schemas.microsoft.com/office/drawing/2014/main" id="{00000000-0008-0000-0100-000071777B77}"/>
            </a:ext>
            <a:ext uri="{147F2762-F138-4A5C-976F-8EAC2B608ADB}">
              <a16:predDERef xmlns:a16="http://schemas.microsoft.com/office/drawing/2014/main" pred="{00000000-0008-0000-0100-0000213D9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3CE56-4D99-4B04-BE62-F42122615554}">
  <dimension ref="A1:AA1002"/>
  <sheetViews>
    <sheetView workbookViewId="0">
      <selection activeCell="A23" sqref="A23"/>
    </sheetView>
  </sheetViews>
  <sheetFormatPr defaultRowHeight="15"/>
  <cols>
    <col min="1" max="1" width="24" customWidth="1"/>
    <col min="2" max="2" width="12.85546875" customWidth="1"/>
    <col min="3" max="3" width="5.85546875" customWidth="1"/>
    <col min="4" max="4" width="5.5703125" customWidth="1"/>
    <col min="5" max="5" width="10.5703125" customWidth="1"/>
    <col min="6" max="6" width="5.5703125" customWidth="1"/>
    <col min="7" max="8" width="6.42578125" customWidth="1"/>
    <col min="9" max="9" width="11.28515625" customWidth="1"/>
    <col min="10" max="10" width="9.5703125" customWidth="1"/>
    <col min="11" max="11" width="13.42578125" customWidth="1"/>
    <col min="12" max="12" width="11.140625" customWidth="1"/>
  </cols>
  <sheetData>
    <row r="1" spans="1:27">
      <c r="A1" s="836" t="s">
        <v>0</v>
      </c>
      <c r="B1" s="837"/>
      <c r="C1" s="837"/>
      <c r="D1" s="837"/>
      <c r="E1" s="837"/>
      <c r="F1" s="837"/>
      <c r="G1" s="837"/>
      <c r="H1" s="837"/>
      <c r="I1" s="837"/>
      <c r="J1" s="837"/>
      <c r="K1" s="837"/>
      <c r="L1" s="838"/>
      <c r="M1" s="298"/>
      <c r="N1" s="298"/>
      <c r="O1" s="298"/>
      <c r="P1" s="298"/>
      <c r="Q1" s="298"/>
      <c r="R1" s="298"/>
      <c r="S1" s="298"/>
      <c r="T1" s="298"/>
      <c r="U1" s="298"/>
      <c r="V1" s="298"/>
      <c r="W1" s="298"/>
      <c r="X1" s="298"/>
      <c r="Y1" s="298"/>
      <c r="Z1" s="298"/>
      <c r="AA1" s="299"/>
    </row>
    <row r="2" spans="1:27" ht="15" customHeight="1">
      <c r="A2" s="841" t="s">
        <v>1</v>
      </c>
      <c r="B2" s="834" t="s">
        <v>2</v>
      </c>
      <c r="C2" s="839" t="s">
        <v>3</v>
      </c>
      <c r="D2" s="839"/>
      <c r="E2" s="839"/>
      <c r="F2" s="839"/>
      <c r="G2" s="839"/>
      <c r="H2" s="839"/>
      <c r="I2" s="839"/>
      <c r="J2" s="839"/>
      <c r="K2" s="839"/>
      <c r="L2" s="840"/>
      <c r="M2" s="774"/>
      <c r="N2" s="627"/>
      <c r="O2" s="627"/>
      <c r="P2" s="627"/>
      <c r="Q2" s="627"/>
      <c r="R2" s="627"/>
      <c r="S2" s="627"/>
      <c r="T2" s="627"/>
      <c r="U2" s="627"/>
      <c r="V2" s="627"/>
      <c r="W2" s="627"/>
      <c r="X2" s="627"/>
      <c r="Y2" s="627"/>
      <c r="Z2" s="627"/>
      <c r="AA2" s="773"/>
    </row>
    <row r="3" spans="1:27" ht="30" customHeight="1">
      <c r="A3" s="842"/>
      <c r="B3" s="835"/>
      <c r="C3" s="794" t="s">
        <v>4</v>
      </c>
      <c r="D3" s="794" t="s">
        <v>5</v>
      </c>
      <c r="E3" s="794" t="s">
        <v>6</v>
      </c>
      <c r="F3" s="794" t="s">
        <v>7</v>
      </c>
      <c r="G3" s="794" t="s">
        <v>8</v>
      </c>
      <c r="H3" s="794" t="s">
        <v>9</v>
      </c>
      <c r="I3" s="795" t="s">
        <v>10</v>
      </c>
      <c r="J3" s="794" t="s">
        <v>11</v>
      </c>
      <c r="K3" s="794" t="s">
        <v>12</v>
      </c>
      <c r="L3" s="796" t="s">
        <v>13</v>
      </c>
      <c r="M3" s="774"/>
      <c r="N3" s="627"/>
      <c r="O3" s="627"/>
      <c r="P3" s="627"/>
      <c r="Q3" s="627"/>
      <c r="R3" s="627"/>
      <c r="S3" s="627"/>
      <c r="T3" s="627"/>
      <c r="U3" s="627"/>
      <c r="V3" s="627"/>
      <c r="W3" s="627"/>
      <c r="X3" s="627"/>
      <c r="Y3" s="627"/>
      <c r="Z3" s="627"/>
      <c r="AA3" s="773"/>
    </row>
    <row r="4" spans="1:27">
      <c r="A4" s="797" t="s">
        <v>14</v>
      </c>
      <c r="B4" s="798"/>
      <c r="C4" s="799"/>
      <c r="D4" s="799"/>
      <c r="E4" s="799"/>
      <c r="F4" s="799"/>
      <c r="G4" s="799"/>
      <c r="H4" s="799"/>
      <c r="I4" s="800"/>
      <c r="J4" s="799"/>
      <c r="K4" s="799"/>
      <c r="L4" s="801"/>
      <c r="M4" s="623"/>
      <c r="N4" s="300"/>
      <c r="O4" s="300"/>
      <c r="P4" s="300"/>
      <c r="Q4" s="300"/>
      <c r="R4" s="300"/>
      <c r="S4" s="300"/>
      <c r="T4" s="300"/>
      <c r="U4" s="300"/>
      <c r="V4" s="300"/>
      <c r="W4" s="300"/>
      <c r="X4" s="300"/>
      <c r="Y4" s="300"/>
      <c r="Z4" s="300"/>
      <c r="AA4" s="301"/>
    </row>
    <row r="5" spans="1:27">
      <c r="A5" s="777" t="s">
        <v>15</v>
      </c>
      <c r="B5" s="778" t="s">
        <v>16</v>
      </c>
      <c r="C5" s="779">
        <f>'BOCAUE RIVER'!AC29</f>
        <v>3.5875000000000004</v>
      </c>
      <c r="D5" s="779">
        <f>'BOCAUE RIVER'!AD29</f>
        <v>7.9444444444444455</v>
      </c>
      <c r="E5" s="779">
        <f>'BOCAUE RIVER'!AE29</f>
        <v>26.972222222222218</v>
      </c>
      <c r="F5" s="779">
        <f>'BOCAUE RIVER'!AF29</f>
        <v>7.3097222222222209</v>
      </c>
      <c r="G5" s="779">
        <f>'BOCAUE RIVER'!AG29</f>
        <v>28.405555555555555</v>
      </c>
      <c r="H5" s="779">
        <f>'BOCAUE RIVER'!AH29</f>
        <v>21.805555555555557</v>
      </c>
      <c r="I5" s="779">
        <f>'BOCAUE RIVER'!AI29</f>
        <v>210340.1446458367</v>
      </c>
      <c r="J5" s="779">
        <f>'BOCAUE RIVER'!AJ29</f>
        <v>0.91210000000000002</v>
      </c>
      <c r="K5" s="779">
        <f>'BOCAUE RIVER'!AK29</f>
        <v>0.71991666666666676</v>
      </c>
      <c r="L5" s="780">
        <f>'BOCAUE RIVER'!AL29</f>
        <v>118.8611111111111</v>
      </c>
      <c r="M5" s="623"/>
      <c r="N5" s="300"/>
      <c r="O5" s="300"/>
      <c r="P5" s="300"/>
      <c r="Q5" s="300"/>
      <c r="R5" s="300"/>
      <c r="S5" s="300"/>
      <c r="T5" s="300"/>
      <c r="U5" s="300"/>
      <c r="V5" s="300"/>
      <c r="W5" s="300"/>
      <c r="X5" s="300"/>
      <c r="Y5" s="300"/>
      <c r="Z5" s="300"/>
      <c r="AA5" s="301"/>
    </row>
    <row r="6" spans="1:27">
      <c r="A6" s="777" t="s">
        <v>17</v>
      </c>
      <c r="B6" s="778" t="s">
        <v>16</v>
      </c>
      <c r="C6" s="781">
        <f>'STA. MARIA RIVER'!AC29</f>
        <v>3.2158333333333338</v>
      </c>
      <c r="D6" s="781">
        <f>'STA. MARIA RIVER'!AD29</f>
        <v>12.888888888888888</v>
      </c>
      <c r="E6" s="781">
        <f>'STA. MARIA RIVER'!AE29</f>
        <v>44.55555555555555</v>
      </c>
      <c r="F6" s="781">
        <f>'STA. MARIA RIVER'!AF29</f>
        <v>7.2141666666666673</v>
      </c>
      <c r="G6" s="781">
        <f>'STA. MARIA RIVER'!AG29</f>
        <v>28.516666666666666</v>
      </c>
      <c r="H6" s="781">
        <f>'STA. MARIA RIVER'!AH29</f>
        <v>24.833333333333332</v>
      </c>
      <c r="I6" s="781">
        <f>'STA. MARIA RIVER'!AI29</f>
        <v>272433.36005050247</v>
      </c>
      <c r="J6" s="781">
        <f>'STA. MARIA RIVER'!AJ29</f>
        <v>0.88311111111111107</v>
      </c>
      <c r="K6" s="781">
        <f>'STA. MARIA RIVER'!AK29</f>
        <v>0.98494444444444429</v>
      </c>
      <c r="L6" s="782">
        <f>'STA. MARIA RIVER'!AL29</f>
        <v>81.6388888888889</v>
      </c>
      <c r="M6" s="623"/>
      <c r="N6" s="300"/>
      <c r="O6" s="300"/>
      <c r="P6" s="300"/>
      <c r="Q6" s="300"/>
      <c r="R6" s="300"/>
      <c r="S6" s="300"/>
      <c r="T6" s="300"/>
      <c r="U6" s="300"/>
      <c r="V6" s="300"/>
      <c r="W6" s="300"/>
      <c r="X6" s="300"/>
      <c r="Y6" s="300"/>
      <c r="Z6" s="300"/>
      <c r="AA6" s="301"/>
    </row>
    <row r="7" spans="1:27">
      <c r="A7" s="777" t="s">
        <v>18</v>
      </c>
      <c r="B7" s="778"/>
      <c r="C7" s="783"/>
      <c r="D7" s="783"/>
      <c r="E7" s="783"/>
      <c r="F7" s="783"/>
      <c r="G7" s="783"/>
      <c r="H7" s="783"/>
      <c r="I7" s="783"/>
      <c r="J7" s="783"/>
      <c r="K7" s="783"/>
      <c r="L7" s="784"/>
      <c r="M7" s="623"/>
      <c r="N7" s="300"/>
      <c r="O7" s="300"/>
      <c r="P7" s="300"/>
      <c r="Q7" s="300"/>
      <c r="R7" s="300"/>
      <c r="S7" s="300"/>
      <c r="T7" s="300"/>
      <c r="U7" s="300"/>
      <c r="V7" s="300"/>
      <c r="W7" s="300"/>
      <c r="X7" s="300"/>
      <c r="Y7" s="300"/>
      <c r="Z7" s="300"/>
      <c r="AA7" s="301"/>
    </row>
    <row r="8" spans="1:27">
      <c r="A8" s="777" t="s">
        <v>19</v>
      </c>
      <c r="B8" s="778" t="s">
        <v>16</v>
      </c>
      <c r="C8" s="781">
        <f>'PAMPANGA RIVER'!U35</f>
        <v>4.4829999999999997</v>
      </c>
      <c r="D8" s="781">
        <f>'PAMPANGA RIVER'!V35</f>
        <v>4.2</v>
      </c>
      <c r="E8" s="781">
        <f>'PAMPANGA RIVER'!W35</f>
        <v>52.15</v>
      </c>
      <c r="F8" s="781">
        <f>'PAMPANGA RIVER'!X35</f>
        <v>7.2379999999999995</v>
      </c>
      <c r="G8" s="781">
        <f>'PAMPANGA RIVER'!Y35</f>
        <v>28.814999999999998</v>
      </c>
      <c r="H8" s="781">
        <f>'PAMPANGA RIVER'!Z35</f>
        <v>20.5</v>
      </c>
      <c r="I8" s="781">
        <f>'PAMPANGA RIVER'!AA35</f>
        <v>7998.5883304187546</v>
      </c>
      <c r="J8" s="781">
        <f>'PAMPANGA RIVER'!AB35</f>
        <v>0.79744999999999999</v>
      </c>
      <c r="K8" s="781">
        <f>'PAMPANGA RIVER'!AC35</f>
        <v>0.18495</v>
      </c>
      <c r="L8" s="782">
        <f>'PAMPANGA RIVER'!AD35</f>
        <v>79.599999999999994</v>
      </c>
      <c r="M8" s="623"/>
      <c r="N8" s="300"/>
      <c r="O8" s="300"/>
      <c r="P8" s="300"/>
      <c r="Q8" s="300"/>
      <c r="R8" s="300"/>
      <c r="S8" s="300"/>
      <c r="T8" s="300"/>
      <c r="U8" s="300"/>
      <c r="V8" s="300"/>
      <c r="W8" s="300"/>
      <c r="X8" s="300"/>
      <c r="Y8" s="300"/>
      <c r="Z8" s="300"/>
      <c r="AA8" s="301"/>
    </row>
    <row r="9" spans="1:27">
      <c r="A9" s="777" t="s">
        <v>20</v>
      </c>
      <c r="B9" s="778" t="s">
        <v>16</v>
      </c>
      <c r="C9" s="781">
        <f>'LABANGAN RIVER'!X33</f>
        <v>3.9666666666666668</v>
      </c>
      <c r="D9" s="781">
        <f>'LABANGAN RIVER'!Y33</f>
        <v>4.5250000000000004</v>
      </c>
      <c r="E9" s="781">
        <f>'LABANGAN RIVER'!Z33</f>
        <v>33.5</v>
      </c>
      <c r="F9" s="781">
        <f>'LABANGAN RIVER'!AA33</f>
        <v>7.5441666666666665</v>
      </c>
      <c r="G9" s="781">
        <f>'LABANGAN RIVER'!AB33</f>
        <v>28.641666666666666</v>
      </c>
      <c r="H9" s="781">
        <f>'LABANGAN RIVER'!AC33</f>
        <v>15.416666666666666</v>
      </c>
      <c r="I9" s="781">
        <f>'LABANGAN RIVER'!AD33</f>
        <v>20732.980339458143</v>
      </c>
      <c r="J9" s="781">
        <f>'LABANGAN RIVER'!AE33</f>
        <v>0.21283333333333335</v>
      </c>
      <c r="K9" s="781">
        <f>'LABANGAN RIVER'!AF33</f>
        <v>0.43458333333333332</v>
      </c>
      <c r="L9" s="782">
        <f>'LABANGAN RIVER'!AG33</f>
        <v>94.333333333333329</v>
      </c>
      <c r="M9" s="623"/>
      <c r="N9" s="300"/>
      <c r="O9" s="300"/>
      <c r="P9" s="300"/>
      <c r="Q9" s="300"/>
      <c r="R9" s="300"/>
      <c r="S9" s="300"/>
      <c r="T9" s="300"/>
      <c r="U9" s="300"/>
      <c r="V9" s="300"/>
      <c r="W9" s="300"/>
      <c r="X9" s="300"/>
      <c r="Y9" s="300"/>
      <c r="Z9" s="300"/>
      <c r="AA9" s="301"/>
    </row>
    <row r="10" spans="1:27">
      <c r="A10" s="777" t="s">
        <v>21</v>
      </c>
      <c r="B10" s="778" t="s">
        <v>22</v>
      </c>
      <c r="C10" s="781">
        <f>'ANGAT RIVERS 4L'!AD29</f>
        <v>5.9974999999999996</v>
      </c>
      <c r="D10" s="781">
        <f>'ANGAT RIVERS 4L'!AE29</f>
        <v>2.5</v>
      </c>
      <c r="E10" s="781">
        <f>'ANGAT RIVERS 4L'!AF29</f>
        <v>15.208333333333334</v>
      </c>
      <c r="F10" s="781">
        <f>'ANGAT RIVERS 4L'!AG29</f>
        <v>7.5091666666666663</v>
      </c>
      <c r="G10" s="781">
        <f>'ANGAT RIVERS 4L'!AH29</f>
        <v>27.958333333333332</v>
      </c>
      <c r="H10" s="781">
        <f>'ANGAT RIVERS 4L'!AI29</f>
        <v>3.7988333333333331</v>
      </c>
      <c r="I10" s="781">
        <f>'ANGAT RIVERS 4L'!AJ29</f>
        <v>14943.039738544356</v>
      </c>
      <c r="J10" s="781">
        <f>'ANGAT RIVERS 4L'!AK29</f>
        <v>0.26066666666666666</v>
      </c>
      <c r="K10" s="781">
        <f>'ANGAT RIVERS 4L'!AL29</f>
        <v>0.25833333333333336</v>
      </c>
      <c r="L10" s="782">
        <f>'ANGAT RIVERS 4L'!AM29</f>
        <v>21.5</v>
      </c>
      <c r="M10" s="623"/>
      <c r="N10" s="300"/>
      <c r="O10" s="300"/>
      <c r="P10" s="300"/>
      <c r="Q10" s="300"/>
      <c r="R10" s="300"/>
      <c r="S10" s="300"/>
      <c r="T10" s="300"/>
      <c r="U10" s="300"/>
      <c r="V10" s="300"/>
      <c r="W10" s="300"/>
      <c r="X10" s="300"/>
      <c r="Y10" s="300"/>
      <c r="Z10" s="300"/>
      <c r="AA10" s="301"/>
    </row>
    <row r="11" spans="1:27">
      <c r="A11" s="777" t="s">
        <v>23</v>
      </c>
      <c r="B11" s="778" t="s">
        <v>22</v>
      </c>
      <c r="C11" s="781">
        <f>'TALAVERA RIVER'!J64</f>
        <v>6.1258333333333326</v>
      </c>
      <c r="D11" s="781">
        <f>'TALAVERA RIVER'!K64</f>
        <v>2.8333333333333335</v>
      </c>
      <c r="E11" s="781">
        <f>'TALAVERA RIVER'!L64</f>
        <v>63.583333333333336</v>
      </c>
      <c r="F11" s="781">
        <f>'TALAVERA RIVER'!M64</f>
        <v>7.4591666666666656</v>
      </c>
      <c r="G11" s="781">
        <f>'TALAVERA RIVER'!N64</f>
        <v>27.758333333333336</v>
      </c>
      <c r="H11" s="781">
        <f>'TALAVERA RIVER'!O64</f>
        <v>5.416666666666667</v>
      </c>
      <c r="I11" s="781">
        <f>'TALAVERA RIVER'!P64</f>
        <v>5805.9142117831261</v>
      </c>
      <c r="J11" s="781">
        <f>'TALAVERA RIVER'!Q64</f>
        <v>0.49658333333333332</v>
      </c>
      <c r="K11" s="781">
        <f>'TALAVERA RIVER'!R64</f>
        <v>5.7999999999999996E-2</v>
      </c>
      <c r="L11" s="782">
        <f>'TALAVERA RIVER'!S64</f>
        <v>11</v>
      </c>
      <c r="M11" s="623"/>
      <c r="N11" s="300"/>
      <c r="O11" s="300"/>
      <c r="P11" s="300"/>
      <c r="Q11" s="300"/>
      <c r="R11" s="300"/>
      <c r="S11" s="300"/>
      <c r="T11" s="300"/>
      <c r="U11" s="300"/>
      <c r="V11" s="300"/>
      <c r="W11" s="300"/>
      <c r="X11" s="300"/>
      <c r="Y11" s="300"/>
      <c r="Z11" s="300"/>
      <c r="AA11" s="301"/>
    </row>
    <row r="12" spans="1:27">
      <c r="A12" s="777" t="s">
        <v>24</v>
      </c>
      <c r="B12" s="778" t="s">
        <v>22</v>
      </c>
      <c r="C12" s="781">
        <f>'BAGSIT RIVER'!X30</f>
        <v>5.934166666666667</v>
      </c>
      <c r="D12" s="781">
        <f>'BAGSIT RIVER'!Y30</f>
        <v>2.4166666666666665</v>
      </c>
      <c r="E12" s="781">
        <f>'BAGSIT RIVER'!Z30</f>
        <v>17.75</v>
      </c>
      <c r="F12" s="781">
        <f>'BAGSIT RIVER'!AA30</f>
        <v>7.581666666666667</v>
      </c>
      <c r="G12" s="781">
        <f>'BAGSIT RIVER'!AB30</f>
        <v>27.908333333333331</v>
      </c>
      <c r="H12" s="781">
        <f>'BAGSIT RIVER'!AC30</f>
        <v>5.833333333333333</v>
      </c>
      <c r="I12" s="781">
        <f>'BAGSIT RIVER'!AD30</f>
        <v>3090.1975571166513</v>
      </c>
      <c r="J12" s="781">
        <f>'BAGSIT RIVER'!AE30</f>
        <v>0.16866666666666666</v>
      </c>
      <c r="K12" s="781">
        <f>'BAGSIT RIVER'!AF30</f>
        <v>2.9249999999999998E-2</v>
      </c>
      <c r="L12" s="782">
        <f>'BAGSIT RIVER'!AG30</f>
        <v>54.916666666666664</v>
      </c>
      <c r="M12" s="623"/>
      <c r="N12" s="300"/>
      <c r="O12" s="300"/>
      <c r="P12" s="300"/>
      <c r="Q12" s="300"/>
      <c r="R12" s="300"/>
      <c r="S12" s="300"/>
      <c r="T12" s="300"/>
      <c r="U12" s="300"/>
      <c r="V12" s="300"/>
      <c r="W12" s="300"/>
      <c r="X12" s="300"/>
      <c r="Y12" s="300"/>
      <c r="Z12" s="300"/>
      <c r="AA12" s="301"/>
    </row>
    <row r="13" spans="1:27">
      <c r="A13" s="777" t="s">
        <v>25</v>
      </c>
      <c r="B13" s="778" t="s">
        <v>22</v>
      </c>
      <c r="C13" s="779">
        <f>'PUDOC RIVER (R4L)'!AC16</f>
        <v>4.8224999999999998</v>
      </c>
      <c r="D13" s="779">
        <f>'PUDOC RIVER (R4L)'!AD16</f>
        <v>2.1875</v>
      </c>
      <c r="E13" s="779">
        <f>'PUDOC RIVER (R4L)'!AE16</f>
        <v>14.25</v>
      </c>
      <c r="F13" s="779">
        <f>'PUDOC RIVER (R4L)'!AF16</f>
        <v>7.194375</v>
      </c>
      <c r="G13" s="779">
        <f>'PUDOC RIVER (R4L)'!AG16</f>
        <v>26.793750000000003</v>
      </c>
      <c r="H13" s="779">
        <f>'PUDOC RIVER (R4L)'!AH16</f>
        <v>14.375</v>
      </c>
      <c r="I13" s="779">
        <f>'PUDOC RIVER (R4L)'!AI16</f>
        <v>30478.526351350039</v>
      </c>
      <c r="J13" s="779">
        <f>'PUDOC RIVER (R4L)'!AJ16</f>
        <v>0.30774999999999997</v>
      </c>
      <c r="K13" s="779">
        <f>'PUDOC RIVER (R4L)'!AK16</f>
        <v>0.238125</v>
      </c>
      <c r="L13" s="780">
        <f>'PUDOC RIVER (R4L)'!AL16</f>
        <v>75.8125</v>
      </c>
      <c r="M13" s="623"/>
      <c r="N13" s="300"/>
      <c r="O13" s="300"/>
      <c r="P13" s="300"/>
      <c r="Q13" s="300"/>
      <c r="R13" s="300"/>
      <c r="S13" s="300"/>
      <c r="T13" s="300"/>
      <c r="U13" s="300"/>
      <c r="V13" s="300"/>
      <c r="W13" s="300"/>
      <c r="X13" s="300"/>
      <c r="Y13" s="300"/>
      <c r="Z13" s="300"/>
      <c r="AA13" s="301"/>
    </row>
    <row r="14" spans="1:27">
      <c r="A14" s="777" t="s">
        <v>26</v>
      </c>
      <c r="B14" s="778" t="s">
        <v>22</v>
      </c>
      <c r="C14" s="781">
        <f>'PALAKOL RIVER (R4L)'!S29</f>
        <v>6.083333333333333</v>
      </c>
      <c r="D14" s="781">
        <f>'PALAKOL RIVER (R4L)'!T29</f>
        <v>2.75</v>
      </c>
      <c r="E14" s="781">
        <f>'PALAKOL RIVER (R4L)'!U29</f>
        <v>31</v>
      </c>
      <c r="F14" s="781">
        <f>'PALAKOL RIVER (R4L)'!V29</f>
        <v>7.4549999999999992</v>
      </c>
      <c r="G14" s="781">
        <f>'PALAKOL RIVER (R4L)'!W29</f>
        <v>29.091666666666669</v>
      </c>
      <c r="H14" s="781">
        <f>'PALAKOL RIVER (R4L)'!X29</f>
        <v>19.25</v>
      </c>
      <c r="I14" s="781">
        <f>'PALAKOL RIVER (R4L)'!Y29</f>
        <v>14424.817111810475</v>
      </c>
      <c r="J14" s="781">
        <f>'PALAKOL RIVER (R4L)'!Z29</f>
        <v>0.126</v>
      </c>
      <c r="K14" s="781">
        <f>'PALAKOL RIVER (R4L)'!AA29</f>
        <v>0.10916666666666668</v>
      </c>
      <c r="L14" s="782">
        <f>'PALAKOL RIVER (R4L)'!AB29</f>
        <v>19.25</v>
      </c>
      <c r="M14" s="623"/>
      <c r="N14" s="300"/>
      <c r="O14" s="300"/>
      <c r="P14" s="300"/>
      <c r="Q14" s="300"/>
      <c r="R14" s="300"/>
      <c r="S14" s="300"/>
      <c r="T14" s="300"/>
      <c r="U14" s="300"/>
      <c r="V14" s="300"/>
      <c r="W14" s="300"/>
      <c r="X14" s="300"/>
      <c r="Y14" s="300"/>
      <c r="Z14" s="300"/>
      <c r="AA14" s="301"/>
    </row>
    <row r="15" spans="1:27">
      <c r="A15" s="777" t="s">
        <v>27</v>
      </c>
      <c r="B15" s="778"/>
      <c r="C15" s="783"/>
      <c r="D15" s="783"/>
      <c r="E15" s="783"/>
      <c r="F15" s="783"/>
      <c r="G15" s="783"/>
      <c r="H15" s="783"/>
      <c r="I15" s="783"/>
      <c r="J15" s="783"/>
      <c r="K15" s="783"/>
      <c r="L15" s="784"/>
      <c r="M15" s="623"/>
      <c r="N15" s="300"/>
      <c r="O15" s="300"/>
      <c r="P15" s="300"/>
      <c r="Q15" s="300"/>
      <c r="R15" s="300"/>
      <c r="S15" s="300"/>
      <c r="T15" s="300"/>
      <c r="U15" s="300"/>
      <c r="V15" s="300"/>
      <c r="W15" s="300"/>
      <c r="X15" s="300"/>
      <c r="Y15" s="300"/>
      <c r="Z15" s="300"/>
      <c r="AA15" s="301"/>
    </row>
    <row r="16" spans="1:27">
      <c r="A16" s="777" t="s">
        <v>28</v>
      </c>
      <c r="B16" s="778" t="s">
        <v>29</v>
      </c>
      <c r="C16" s="781">
        <f>'MONTEMAR BEACH CLUB'!L59</f>
        <v>5.8805555555555555</v>
      </c>
      <c r="D16" s="785" t="str">
        <f>'MONTEMAR BEACH CLUB'!M59</f>
        <v>N/A</v>
      </c>
      <c r="E16" s="781">
        <f>'MONTEMAR BEACH CLUB'!N59</f>
        <v>45.027777777777771</v>
      </c>
      <c r="F16" s="781">
        <f>'MONTEMAR BEACH CLUB'!O59</f>
        <v>7.4355555555555553</v>
      </c>
      <c r="G16" s="781">
        <f>'MONTEMAR BEACH CLUB'!P59</f>
        <v>28.816666666666663</v>
      </c>
      <c r="H16" s="781">
        <f>'MONTEMAR BEACH CLUB'!Q59</f>
        <v>5.1388888888888893</v>
      </c>
      <c r="I16" s="781">
        <f>'MONTEMAR BEACH CLUB'!R59</f>
        <v>69.627869762232208</v>
      </c>
      <c r="J16" s="781">
        <f>'MONTEMAR BEACH CLUB'!S59</f>
        <v>0.1236111111111111</v>
      </c>
      <c r="K16" s="781">
        <f>'MONTEMAR BEACH CLUB'!T59</f>
        <v>2.5583333333333333E-2</v>
      </c>
      <c r="L16" s="786" t="str">
        <f>'MONTEMAR BEACH CLUB'!U59</f>
        <v>N/A</v>
      </c>
      <c r="M16" s="623"/>
      <c r="N16" s="300"/>
      <c r="O16" s="300"/>
      <c r="P16" s="300"/>
      <c r="Q16" s="300"/>
      <c r="R16" s="300"/>
      <c r="S16" s="300"/>
      <c r="T16" s="300"/>
      <c r="U16" s="300"/>
      <c r="V16" s="300"/>
      <c r="W16" s="300"/>
      <c r="X16" s="300"/>
      <c r="Y16" s="300"/>
      <c r="Z16" s="300"/>
      <c r="AA16" s="301"/>
    </row>
    <row r="17" spans="1:27">
      <c r="A17" s="777" t="s">
        <v>30</v>
      </c>
      <c r="B17" s="778" t="s">
        <v>29</v>
      </c>
      <c r="C17" s="781">
        <f>'BALER BAY'!J95</f>
        <v>5.7741666666666669</v>
      </c>
      <c r="D17" s="785" t="str">
        <f>'BALER BAY'!K95</f>
        <v>N/A</v>
      </c>
      <c r="E17" s="781">
        <f>'BALER BAY'!L95</f>
        <v>30.375</v>
      </c>
      <c r="F17" s="781">
        <f>'BALER BAY'!M95</f>
        <v>7.3808333333333342</v>
      </c>
      <c r="G17" s="781">
        <f>'BALER BAY'!N95</f>
        <v>27.56805555555556</v>
      </c>
      <c r="H17" s="781">
        <f>'BALER BAY'!O95</f>
        <v>5</v>
      </c>
      <c r="I17" s="781">
        <f>'BALER BAY'!P95</f>
        <v>791.68386764455283</v>
      </c>
      <c r="J17" s="781">
        <f>'BALER BAY'!Q95</f>
        <v>0.15261111111111111</v>
      </c>
      <c r="K17" s="781">
        <f>'BALER BAY'!R95</f>
        <v>4.0611111111111119E-2</v>
      </c>
      <c r="L17" s="786" t="str">
        <f>'BALER BAY'!S95</f>
        <v>N/A</v>
      </c>
      <c r="M17" s="623"/>
      <c r="N17" s="300"/>
      <c r="O17" s="300"/>
      <c r="P17" s="300"/>
      <c r="Q17" s="300"/>
      <c r="R17" s="300"/>
      <c r="S17" s="300"/>
      <c r="T17" s="300"/>
      <c r="U17" s="300"/>
      <c r="V17" s="300"/>
      <c r="W17" s="300"/>
      <c r="X17" s="300"/>
      <c r="Y17" s="300"/>
      <c r="Z17" s="300"/>
      <c r="AA17" s="301"/>
    </row>
    <row r="18" spans="1:27">
      <c r="A18" s="777" t="s">
        <v>31</v>
      </c>
      <c r="B18" s="778" t="s">
        <v>29</v>
      </c>
      <c r="C18" s="781">
        <f>'JUNESS BEACH RESORT'!AG30</f>
        <v>5.7983333333333329</v>
      </c>
      <c r="D18" s="785" t="str">
        <f>'JUNESS BEACH RESORT'!AH30</f>
        <v>N/A</v>
      </c>
      <c r="E18" s="781">
        <f>'JUNESS BEACH RESORT'!AI30</f>
        <v>23.194444444444446</v>
      </c>
      <c r="F18" s="781">
        <f>'JUNESS BEACH RESORT'!AJ30</f>
        <v>7.4780555555555566</v>
      </c>
      <c r="G18" s="781">
        <f>'JUNESS BEACH RESORT'!AK30</f>
        <v>29.227777777777778</v>
      </c>
      <c r="H18" s="781">
        <f>'JUNESS BEACH RESORT'!AL30</f>
        <v>5</v>
      </c>
      <c r="I18" s="781">
        <f>'JUNESS BEACH RESORT'!AM30</f>
        <v>223.72150569856748</v>
      </c>
      <c r="J18" s="781">
        <f>'JUNESS BEACH RESORT'!AN30</f>
        <v>0.10983333333333334</v>
      </c>
      <c r="K18" s="781">
        <f>'JUNESS BEACH RESORT'!AO30</f>
        <v>3.177777777777778E-2</v>
      </c>
      <c r="L18" s="786" t="str">
        <f>'JUNESS BEACH RESORT'!AP30</f>
        <v>N/A</v>
      </c>
      <c r="M18" s="623"/>
      <c r="N18" s="300"/>
      <c r="O18" s="300"/>
      <c r="P18" s="300"/>
      <c r="Q18" s="300"/>
      <c r="R18" s="300"/>
      <c r="S18" s="300"/>
      <c r="T18" s="300"/>
      <c r="U18" s="300"/>
      <c r="V18" s="300"/>
      <c r="W18" s="300"/>
      <c r="X18" s="300"/>
      <c r="Y18" s="300"/>
      <c r="Z18" s="300"/>
      <c r="AA18" s="301"/>
    </row>
    <row r="19" spans="1:27">
      <c r="A19" s="777" t="s">
        <v>32</v>
      </c>
      <c r="B19" s="778" t="s">
        <v>29</v>
      </c>
      <c r="C19" s="781">
        <f>'SUBIC BAY'!J69</f>
        <v>5.9262500000000005</v>
      </c>
      <c r="D19" s="785" t="str">
        <f>'SUBIC BAY'!K69</f>
        <v>N/A</v>
      </c>
      <c r="E19" s="781">
        <f>'SUBIC BAY'!L69</f>
        <v>31.6875</v>
      </c>
      <c r="F19" s="781">
        <f>'SUBIC BAY'!M69</f>
        <v>7.4945833333333329</v>
      </c>
      <c r="G19" s="781">
        <f>'SUBIC BAY'!N69</f>
        <v>29.622916666666669</v>
      </c>
      <c r="H19" s="781">
        <f>'SUBIC BAY'!O69</f>
        <v>5</v>
      </c>
      <c r="I19" s="781">
        <f>'SUBIC BAY'!P69</f>
        <v>627.07393048941969</v>
      </c>
      <c r="J19" s="781">
        <f>'SUBIC BAY'!Q69</f>
        <v>3.5837520833333332</v>
      </c>
      <c r="K19" s="781">
        <f>'SUBIC BAY'!R69</f>
        <v>4.6125000000000013E-2</v>
      </c>
      <c r="L19" s="786" t="str">
        <f>'SUBIC BAY'!S69</f>
        <v>N/A</v>
      </c>
      <c r="M19" s="623"/>
      <c r="N19" s="300"/>
      <c r="O19" s="300"/>
      <c r="P19" s="300"/>
      <c r="Q19" s="300"/>
      <c r="R19" s="300"/>
      <c r="S19" s="300"/>
      <c r="T19" s="300"/>
      <c r="U19" s="300"/>
      <c r="V19" s="300"/>
      <c r="W19" s="300"/>
      <c r="X19" s="300"/>
      <c r="Y19" s="300"/>
      <c r="Z19" s="300"/>
      <c r="AA19" s="301"/>
    </row>
    <row r="20" spans="1:27">
      <c r="A20" s="777" t="s">
        <v>33</v>
      </c>
      <c r="B20" s="778"/>
      <c r="C20" s="783"/>
      <c r="D20" s="787"/>
      <c r="E20" s="783"/>
      <c r="F20" s="783"/>
      <c r="G20" s="783"/>
      <c r="H20" s="783"/>
      <c r="I20" s="783"/>
      <c r="J20" s="783"/>
      <c r="K20" s="783"/>
      <c r="L20" s="788"/>
      <c r="M20" s="623"/>
      <c r="N20" s="300"/>
      <c r="O20" s="300"/>
      <c r="P20" s="300"/>
      <c r="Q20" s="300"/>
      <c r="R20" s="300"/>
      <c r="S20" s="300"/>
      <c r="T20" s="300"/>
      <c r="U20" s="300"/>
      <c r="V20" s="300"/>
      <c r="W20" s="300"/>
      <c r="X20" s="300"/>
      <c r="Y20" s="300"/>
      <c r="Z20" s="300"/>
      <c r="AA20" s="301"/>
    </row>
    <row r="21" spans="1:27">
      <c r="A21" s="789" t="s">
        <v>34</v>
      </c>
      <c r="B21" s="790" t="s">
        <v>29</v>
      </c>
      <c r="C21" s="791">
        <f>'ZAMBALES BAY'!J69</f>
        <v>5.879783333333334</v>
      </c>
      <c r="D21" s="792" t="str">
        <f>'ZAMBALES BAY'!K69</f>
        <v>N/A</v>
      </c>
      <c r="E21" s="791">
        <f>'ZAMBALES BAY'!L69</f>
        <v>33.104166666666664</v>
      </c>
      <c r="F21" s="791">
        <f>'ZAMBALES BAY'!M69</f>
        <v>7.3687689393939388</v>
      </c>
      <c r="G21" s="791">
        <f>'ZAMBALES BAY'!N69</f>
        <v>29.216666666666669</v>
      </c>
      <c r="H21" s="791">
        <f>'ZAMBALES BAY'!O69</f>
        <v>5</v>
      </c>
      <c r="I21" s="791">
        <f>'ZAMBALES BAY'!P69</f>
        <v>207.91589699503291</v>
      </c>
      <c r="J21" s="791">
        <f>'ZAMBALES BAY'!Q69</f>
        <v>0.12235416666666668</v>
      </c>
      <c r="K21" s="791">
        <f>'ZAMBALES BAY'!R69</f>
        <v>3.4229166666666672E-2</v>
      </c>
      <c r="L21" s="793" t="str">
        <f>'ZAMBALES BAY'!S69</f>
        <v>N/A</v>
      </c>
      <c r="M21" s="623"/>
      <c r="N21" s="300"/>
      <c r="O21" s="300"/>
      <c r="P21" s="300"/>
      <c r="Q21" s="300"/>
      <c r="R21" s="300"/>
      <c r="S21" s="300"/>
      <c r="T21" s="300"/>
      <c r="U21" s="300"/>
      <c r="V21" s="300"/>
      <c r="W21" s="300"/>
      <c r="X21" s="300"/>
      <c r="Y21" s="300"/>
      <c r="Z21" s="300"/>
      <c r="AA21" s="301"/>
    </row>
    <row r="22" spans="1:27">
      <c r="A22" s="802"/>
      <c r="B22" s="803"/>
      <c r="C22" s="804"/>
      <c r="D22" s="804"/>
      <c r="E22" s="804"/>
      <c r="F22" s="804"/>
      <c r="G22" s="804"/>
      <c r="H22" s="804"/>
      <c r="I22" s="804"/>
      <c r="J22" s="804"/>
      <c r="K22" s="804"/>
      <c r="L22" s="804"/>
      <c r="M22" s="300"/>
      <c r="N22" s="300"/>
      <c r="O22" s="300"/>
      <c r="P22" s="300"/>
      <c r="Q22" s="300"/>
      <c r="R22" s="300"/>
      <c r="S22" s="300"/>
      <c r="T22" s="300"/>
      <c r="U22" s="300"/>
      <c r="V22" s="300"/>
      <c r="W22" s="300"/>
      <c r="X22" s="300"/>
      <c r="Y22" s="300"/>
      <c r="Z22" s="300"/>
      <c r="AA22" s="301"/>
    </row>
    <row r="23" spans="1:27">
      <c r="A23" s="805" t="s">
        <v>35</v>
      </c>
      <c r="B23" s="806"/>
      <c r="C23" s="806"/>
      <c r="D23" s="806"/>
      <c r="E23" s="806"/>
      <c r="F23" s="806"/>
      <c r="G23" s="806"/>
      <c r="H23" s="806"/>
      <c r="I23" s="806"/>
      <c r="J23" s="806"/>
      <c r="K23" s="806"/>
      <c r="L23" s="807"/>
      <c r="M23" s="623"/>
      <c r="N23" s="300"/>
      <c r="O23" s="300"/>
      <c r="P23" s="300"/>
      <c r="Q23" s="300"/>
      <c r="R23" s="300"/>
      <c r="S23" s="300"/>
      <c r="T23" s="300"/>
      <c r="U23" s="300"/>
      <c r="V23" s="300"/>
      <c r="W23" s="300"/>
      <c r="X23" s="300"/>
      <c r="Y23" s="300"/>
      <c r="Z23" s="300"/>
      <c r="AA23" s="301"/>
    </row>
    <row r="24" spans="1:27">
      <c r="A24" s="777" t="s">
        <v>36</v>
      </c>
      <c r="B24" s="778" t="s">
        <v>37</v>
      </c>
      <c r="C24" s="781">
        <f>'MARILAO RIVER'!AE33</f>
        <v>2.7673333333333332</v>
      </c>
      <c r="D24" s="781">
        <f>'MARILAO RIVER'!AF33</f>
        <v>22.383333333333333</v>
      </c>
      <c r="E24" s="781">
        <f>'MARILAO RIVER'!AG33</f>
        <v>28.916666666666668</v>
      </c>
      <c r="F24" s="781">
        <f>'MARILAO RIVER'!AH33</f>
        <v>7.246666666666667</v>
      </c>
      <c r="G24" s="781">
        <f>'MARILAO RIVER'!AI33</f>
        <v>29.172833333333337</v>
      </c>
      <c r="H24" s="781">
        <f>'MARILAO RIVER'!AJ33</f>
        <v>17.250999999999998</v>
      </c>
      <c r="I24" s="781">
        <f>'MARILAO RIVER'!AK33</f>
        <v>4717494.0406257669</v>
      </c>
      <c r="J24" s="781">
        <f>'MARILAO RIVER'!AL33</f>
        <v>0.47841666666666666</v>
      </c>
      <c r="K24" s="781">
        <f>'MARILAO RIVER'!AM33</f>
        <v>0.88678333333333337</v>
      </c>
      <c r="L24" s="782">
        <f>'MARILAO RIVER'!AN33</f>
        <v>242.8</v>
      </c>
      <c r="M24" s="623"/>
      <c r="N24" s="300"/>
      <c r="O24" s="300"/>
      <c r="P24" s="300"/>
      <c r="Q24" s="300"/>
      <c r="R24" s="300"/>
      <c r="S24" s="300"/>
      <c r="T24" s="300"/>
      <c r="U24" s="300"/>
      <c r="V24" s="300"/>
      <c r="W24" s="300"/>
      <c r="X24" s="300"/>
      <c r="Y24" s="300"/>
      <c r="Z24" s="300"/>
      <c r="AA24" s="301"/>
    </row>
    <row r="25" spans="1:27">
      <c r="A25" s="777" t="s">
        <v>38</v>
      </c>
      <c r="B25" s="778" t="s">
        <v>16</v>
      </c>
      <c r="C25" s="781">
        <f>'MEYCAUAYAN RIVER'!AA114</f>
        <v>2.3230333333333331</v>
      </c>
      <c r="D25" s="781">
        <f>'MEYCAUAYAN RIVER'!AB114</f>
        <v>47.65</v>
      </c>
      <c r="E25" s="781">
        <f>'MEYCAUAYAN RIVER'!AC114</f>
        <v>40.033333333333331</v>
      </c>
      <c r="F25" s="781">
        <f>'MEYCAUAYAN RIVER'!AD114</f>
        <v>7.1709999999999994</v>
      </c>
      <c r="G25" s="781">
        <f>'MEYCAUAYAN RIVER'!AE114</f>
        <v>27.948333333333334</v>
      </c>
      <c r="H25" s="781">
        <f>'MEYCAUAYAN RIVER'!AF114</f>
        <v>26</v>
      </c>
      <c r="I25" s="781">
        <f>'MEYCAUAYAN RIVER'!AG114</f>
        <v>5209933.4748827713</v>
      </c>
      <c r="J25" s="781">
        <f>'MEYCAUAYAN RIVER'!AH114</f>
        <v>0.45205000000000001</v>
      </c>
      <c r="K25" s="781">
        <f>'MEYCAUAYAN RIVER'!AI114</f>
        <v>0.87761666666666649</v>
      </c>
      <c r="L25" s="782">
        <f>'MEYCAUAYAN RIVER'!AJ114</f>
        <v>108.59999999999998</v>
      </c>
      <c r="M25" s="623"/>
      <c r="N25" s="300"/>
      <c r="O25" s="300"/>
      <c r="P25" s="300"/>
      <c r="Q25" s="300"/>
      <c r="R25" s="300"/>
      <c r="S25" s="300"/>
      <c r="T25" s="300"/>
      <c r="U25" s="300"/>
      <c r="V25" s="300"/>
      <c r="W25" s="300"/>
      <c r="X25" s="300"/>
      <c r="Y25" s="300"/>
      <c r="Z25" s="300"/>
      <c r="AA25" s="301"/>
    </row>
    <row r="26" spans="1:27">
      <c r="A26" s="789" t="s">
        <v>39</v>
      </c>
      <c r="B26" s="790" t="s">
        <v>16</v>
      </c>
      <c r="C26" s="791">
        <f>'OBANDO RIVER'!AC29</f>
        <v>3.8513888888888892</v>
      </c>
      <c r="D26" s="791">
        <f>'OBANDO RIVER'!AD29</f>
        <v>17.638888888888889</v>
      </c>
      <c r="E26" s="791">
        <f>'OBANDO RIVER'!AE29</f>
        <v>39.791666666666664</v>
      </c>
      <c r="F26" s="791">
        <f>'OBANDO RIVER'!AF29</f>
        <v>7.2633333333333319</v>
      </c>
      <c r="G26" s="791">
        <f>'OBANDO RIVER'!AG29</f>
        <v>29.124166666666671</v>
      </c>
      <c r="H26" s="791">
        <f>'OBANDO RIVER'!AH29</f>
        <v>16.805555555555554</v>
      </c>
      <c r="I26" s="791">
        <f>'OBANDO RIVER'!AI29</f>
        <v>115196.41884841931</v>
      </c>
      <c r="J26" s="791">
        <f>'OBANDO RIVER'!AJ29</f>
        <v>0.36672222222222217</v>
      </c>
      <c r="K26" s="791">
        <f>'OBANDO RIVER'!AK29</f>
        <v>0.58380555555555558</v>
      </c>
      <c r="L26" s="808">
        <f>'OBANDO RIVER'!AL29</f>
        <v>975.80555555555566</v>
      </c>
      <c r="M26" s="623"/>
      <c r="N26" s="300"/>
      <c r="O26" s="300"/>
      <c r="P26" s="300"/>
      <c r="Q26" s="300"/>
      <c r="R26" s="300"/>
      <c r="S26" s="300"/>
      <c r="T26" s="300"/>
      <c r="U26" s="300"/>
      <c r="V26" s="300"/>
      <c r="W26" s="300"/>
      <c r="X26" s="300"/>
      <c r="Y26" s="300"/>
      <c r="Z26" s="300"/>
      <c r="AA26" s="301"/>
    </row>
    <row r="27" spans="1:27">
      <c r="A27" s="776"/>
      <c r="B27" s="774"/>
      <c r="C27" s="627"/>
      <c r="D27" s="627"/>
      <c r="E27" s="627"/>
      <c r="F27" s="627"/>
      <c r="G27" s="627"/>
      <c r="H27" s="627"/>
      <c r="I27" s="627"/>
      <c r="J27" s="627"/>
      <c r="K27" s="627"/>
      <c r="L27" s="627"/>
      <c r="M27" s="300"/>
      <c r="N27" s="300"/>
      <c r="O27" s="300"/>
      <c r="P27" s="300"/>
      <c r="Q27" s="300"/>
      <c r="R27" s="300"/>
      <c r="S27" s="300"/>
      <c r="T27" s="300"/>
      <c r="U27" s="300"/>
      <c r="V27" s="300"/>
      <c r="W27" s="300"/>
      <c r="X27" s="300"/>
      <c r="Y27" s="300"/>
      <c r="Z27" s="300"/>
      <c r="AA27" s="301"/>
    </row>
    <row r="28" spans="1:27">
      <c r="A28" s="319"/>
      <c r="B28" s="623"/>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c r="AA28" s="301"/>
    </row>
    <row r="29" spans="1:27">
      <c r="A29" s="319"/>
      <c r="B29" s="623"/>
      <c r="C29" s="300"/>
      <c r="D29" s="300"/>
      <c r="E29" s="300"/>
      <c r="F29" s="300"/>
      <c r="G29" s="300"/>
      <c r="H29" s="300"/>
      <c r="I29" s="300"/>
      <c r="J29" s="300"/>
      <c r="K29" s="300"/>
      <c r="L29" s="300"/>
      <c r="M29" s="300"/>
      <c r="N29" s="300"/>
      <c r="O29" s="300"/>
      <c r="P29" s="300"/>
      <c r="Q29" s="300"/>
      <c r="R29" s="300"/>
      <c r="S29" s="300"/>
      <c r="T29" s="300"/>
      <c r="U29" s="300"/>
      <c r="V29" s="300"/>
      <c r="W29" s="300"/>
      <c r="X29" s="300"/>
      <c r="Y29" s="300"/>
      <c r="Z29" s="300"/>
      <c r="AA29" s="301"/>
    </row>
    <row r="30" spans="1:27">
      <c r="A30" s="319"/>
      <c r="B30" s="623"/>
      <c r="C30" s="300"/>
      <c r="D30" s="300"/>
      <c r="E30" s="300"/>
      <c r="F30" s="300"/>
      <c r="G30" s="300"/>
      <c r="H30" s="300"/>
      <c r="I30" s="300"/>
      <c r="J30" s="300"/>
      <c r="K30" s="300"/>
      <c r="L30" s="300"/>
      <c r="M30" s="300"/>
      <c r="N30" s="300"/>
      <c r="O30" s="300"/>
      <c r="P30" s="300"/>
      <c r="Q30" s="300"/>
      <c r="R30" s="300"/>
      <c r="S30" s="300"/>
      <c r="T30" s="300"/>
      <c r="U30" s="300"/>
      <c r="V30" s="300"/>
      <c r="W30" s="300"/>
      <c r="X30" s="300"/>
      <c r="Y30" s="300"/>
      <c r="Z30" s="300"/>
      <c r="AA30" s="301"/>
    </row>
    <row r="31" spans="1:27">
      <c r="A31" s="319"/>
      <c r="B31" s="623"/>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c r="AA31" s="301"/>
    </row>
    <row r="32" spans="1:27">
      <c r="A32" s="319"/>
      <c r="B32" s="623"/>
      <c r="C32" s="300"/>
      <c r="D32" s="300"/>
      <c r="E32" s="300"/>
      <c r="F32" s="300"/>
      <c r="G32" s="300"/>
      <c r="H32" s="300"/>
      <c r="I32" s="300"/>
      <c r="J32" s="300"/>
      <c r="K32" s="300"/>
      <c r="L32" s="300"/>
      <c r="M32" s="300"/>
      <c r="N32" s="300"/>
      <c r="O32" s="300"/>
      <c r="P32" s="300"/>
      <c r="Q32" s="300"/>
      <c r="R32" s="300"/>
      <c r="S32" s="300"/>
      <c r="T32" s="300"/>
      <c r="U32" s="300"/>
      <c r="V32" s="300"/>
      <c r="W32" s="300"/>
      <c r="X32" s="300"/>
      <c r="Y32" s="300"/>
      <c r="Z32" s="300"/>
      <c r="AA32" s="301"/>
    </row>
    <row r="33" spans="1:27">
      <c r="A33" s="319"/>
      <c r="B33" s="623"/>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c r="AA33" s="301"/>
    </row>
    <row r="34" spans="1:27">
      <c r="A34" s="319"/>
      <c r="B34" s="623"/>
      <c r="C34" s="300"/>
      <c r="D34" s="300"/>
      <c r="E34" s="300"/>
      <c r="F34" s="300"/>
      <c r="G34" s="300"/>
      <c r="H34" s="300"/>
      <c r="I34" s="300"/>
      <c r="J34" s="300"/>
      <c r="K34" s="300"/>
      <c r="L34" s="300"/>
      <c r="M34" s="300"/>
      <c r="N34" s="300"/>
      <c r="O34" s="300"/>
      <c r="P34" s="300"/>
      <c r="Q34" s="300"/>
      <c r="R34" s="300"/>
      <c r="S34" s="300"/>
      <c r="T34" s="300"/>
      <c r="U34" s="300"/>
      <c r="V34" s="300"/>
      <c r="W34" s="300"/>
      <c r="X34" s="300"/>
      <c r="Y34" s="300"/>
      <c r="Z34" s="300"/>
      <c r="AA34" s="301"/>
    </row>
    <row r="35" spans="1:27">
      <c r="A35" s="319"/>
      <c r="B35" s="623"/>
      <c r="C35" s="300"/>
      <c r="D35" s="300"/>
      <c r="E35" s="300"/>
      <c r="F35" s="300"/>
      <c r="G35" s="300"/>
      <c r="H35" s="300"/>
      <c r="I35" s="300"/>
      <c r="J35" s="300"/>
      <c r="K35" s="300"/>
      <c r="L35" s="300"/>
      <c r="M35" s="300"/>
      <c r="N35" s="300"/>
      <c r="O35" s="300"/>
      <c r="P35" s="300"/>
      <c r="Q35" s="300"/>
      <c r="R35" s="300"/>
      <c r="S35" s="300"/>
      <c r="T35" s="300"/>
      <c r="U35" s="300"/>
      <c r="V35" s="300"/>
      <c r="W35" s="300"/>
      <c r="X35" s="300"/>
      <c r="Y35" s="300"/>
      <c r="Z35" s="300"/>
      <c r="AA35" s="301"/>
    </row>
    <row r="36" spans="1:27">
      <c r="A36" s="319"/>
      <c r="B36" s="623"/>
      <c r="C36" s="300"/>
      <c r="D36" s="300"/>
      <c r="E36" s="300"/>
      <c r="F36" s="300"/>
      <c r="G36" s="300"/>
      <c r="H36" s="300"/>
      <c r="I36" s="300"/>
      <c r="J36" s="300"/>
      <c r="K36" s="300"/>
      <c r="L36" s="300"/>
      <c r="M36" s="300"/>
      <c r="N36" s="300"/>
      <c r="O36" s="300"/>
      <c r="P36" s="300"/>
      <c r="Q36" s="300"/>
      <c r="R36" s="300"/>
      <c r="S36" s="300"/>
      <c r="T36" s="300"/>
      <c r="U36" s="300"/>
      <c r="V36" s="300"/>
      <c r="W36" s="300"/>
      <c r="X36" s="300"/>
      <c r="Y36" s="300"/>
      <c r="Z36" s="300"/>
      <c r="AA36" s="301"/>
    </row>
    <row r="37" spans="1:27">
      <c r="A37" s="319"/>
      <c r="B37" s="623"/>
      <c r="C37" s="300"/>
      <c r="D37" s="300"/>
      <c r="E37" s="300"/>
      <c r="F37" s="300"/>
      <c r="G37" s="300"/>
      <c r="H37" s="300"/>
      <c r="I37" s="300"/>
      <c r="J37" s="300"/>
      <c r="K37" s="300"/>
      <c r="L37" s="300"/>
      <c r="M37" s="300"/>
      <c r="N37" s="300"/>
      <c r="O37" s="300"/>
      <c r="P37" s="300"/>
      <c r="Q37" s="300"/>
      <c r="R37" s="300"/>
      <c r="S37" s="300"/>
      <c r="T37" s="300"/>
      <c r="U37" s="300"/>
      <c r="V37" s="300"/>
      <c r="W37" s="300"/>
      <c r="X37" s="300"/>
      <c r="Y37" s="300"/>
      <c r="Z37" s="300"/>
      <c r="AA37" s="301"/>
    </row>
    <row r="38" spans="1:27">
      <c r="A38" s="319"/>
      <c r="B38" s="623"/>
      <c r="C38" s="300"/>
      <c r="D38" s="300"/>
      <c r="E38" s="300"/>
      <c r="F38" s="300"/>
      <c r="G38" s="300"/>
      <c r="H38" s="300"/>
      <c r="I38" s="300"/>
      <c r="J38" s="300"/>
      <c r="K38" s="300"/>
      <c r="L38" s="300"/>
      <c r="M38" s="300"/>
      <c r="N38" s="300"/>
      <c r="O38" s="300"/>
      <c r="P38" s="300"/>
      <c r="Q38" s="300"/>
      <c r="R38" s="300"/>
      <c r="S38" s="300"/>
      <c r="T38" s="300"/>
      <c r="U38" s="300"/>
      <c r="V38" s="300"/>
      <c r="W38" s="300"/>
      <c r="X38" s="300"/>
      <c r="Y38" s="300"/>
      <c r="Z38" s="300"/>
      <c r="AA38" s="301"/>
    </row>
    <row r="39" spans="1:27">
      <c r="A39" s="319"/>
      <c r="B39" s="623"/>
      <c r="C39" s="300"/>
      <c r="D39" s="300"/>
      <c r="E39" s="300"/>
      <c r="F39" s="300"/>
      <c r="G39" s="300"/>
      <c r="H39" s="300"/>
      <c r="I39" s="300"/>
      <c r="J39" s="300"/>
      <c r="K39" s="300"/>
      <c r="L39" s="300"/>
      <c r="M39" s="300"/>
      <c r="N39" s="300"/>
      <c r="O39" s="300"/>
      <c r="P39" s="300"/>
      <c r="Q39" s="300"/>
      <c r="R39" s="300"/>
      <c r="S39" s="300"/>
      <c r="T39" s="300"/>
      <c r="U39" s="300"/>
      <c r="V39" s="300"/>
      <c r="W39" s="300"/>
      <c r="X39" s="300"/>
      <c r="Y39" s="300"/>
      <c r="Z39" s="300"/>
      <c r="AA39" s="301"/>
    </row>
    <row r="40" spans="1:27">
      <c r="A40" s="319"/>
      <c r="B40" s="623"/>
      <c r="C40" s="300"/>
      <c r="D40" s="300"/>
      <c r="E40" s="300"/>
      <c r="F40" s="300"/>
      <c r="G40" s="300"/>
      <c r="H40" s="300"/>
      <c r="I40" s="300"/>
      <c r="J40" s="300"/>
      <c r="K40" s="300"/>
      <c r="L40" s="300"/>
      <c r="M40" s="300"/>
      <c r="N40" s="300"/>
      <c r="O40" s="300"/>
      <c r="P40" s="300"/>
      <c r="Q40" s="300"/>
      <c r="R40" s="300"/>
      <c r="S40" s="300"/>
      <c r="T40" s="300"/>
      <c r="U40" s="300"/>
      <c r="V40" s="300"/>
      <c r="W40" s="300"/>
      <c r="X40" s="300"/>
      <c r="Y40" s="300"/>
      <c r="Z40" s="300"/>
      <c r="AA40" s="301"/>
    </row>
    <row r="41" spans="1:27">
      <c r="A41" s="319"/>
      <c r="B41" s="623"/>
      <c r="C41" s="300"/>
      <c r="D41" s="300"/>
      <c r="E41" s="300"/>
      <c r="F41" s="300"/>
      <c r="G41" s="300"/>
      <c r="H41" s="300"/>
      <c r="I41" s="300"/>
      <c r="J41" s="300"/>
      <c r="K41" s="300"/>
      <c r="L41" s="300"/>
      <c r="M41" s="300"/>
      <c r="N41" s="300"/>
      <c r="O41" s="300"/>
      <c r="P41" s="300"/>
      <c r="Q41" s="300"/>
      <c r="R41" s="300"/>
      <c r="S41" s="300"/>
      <c r="T41" s="300"/>
      <c r="U41" s="300"/>
      <c r="V41" s="300"/>
      <c r="W41" s="300"/>
      <c r="X41" s="300"/>
      <c r="Y41" s="300"/>
      <c r="Z41" s="300"/>
      <c r="AA41" s="301"/>
    </row>
    <row r="42" spans="1:27">
      <c r="A42" s="319"/>
      <c r="B42" s="623"/>
      <c r="C42" s="300"/>
      <c r="D42" s="300"/>
      <c r="E42" s="300"/>
      <c r="F42" s="300"/>
      <c r="G42" s="300"/>
      <c r="H42" s="300"/>
      <c r="I42" s="300"/>
      <c r="J42" s="300"/>
      <c r="K42" s="300"/>
      <c r="L42" s="300"/>
      <c r="M42" s="300"/>
      <c r="N42" s="300"/>
      <c r="O42" s="300"/>
      <c r="P42" s="300"/>
      <c r="Q42" s="300"/>
      <c r="R42" s="300"/>
      <c r="S42" s="300"/>
      <c r="T42" s="300"/>
      <c r="U42" s="300"/>
      <c r="V42" s="300"/>
      <c r="W42" s="300"/>
      <c r="X42" s="300"/>
      <c r="Y42" s="300"/>
      <c r="Z42" s="300"/>
      <c r="AA42" s="301"/>
    </row>
    <row r="43" spans="1:27">
      <c r="A43" s="319"/>
      <c r="B43" s="623"/>
      <c r="C43" s="300"/>
      <c r="D43" s="300"/>
      <c r="E43" s="300"/>
      <c r="F43" s="300"/>
      <c r="G43" s="300"/>
      <c r="H43" s="300"/>
      <c r="I43" s="300"/>
      <c r="J43" s="300"/>
      <c r="K43" s="300"/>
      <c r="L43" s="300"/>
      <c r="M43" s="300"/>
      <c r="N43" s="300"/>
      <c r="O43" s="300"/>
      <c r="P43" s="300"/>
      <c r="Q43" s="300"/>
      <c r="R43" s="300"/>
      <c r="S43" s="300"/>
      <c r="T43" s="300"/>
      <c r="U43" s="300"/>
      <c r="V43" s="300"/>
      <c r="W43" s="300"/>
      <c r="X43" s="300"/>
      <c r="Y43" s="300"/>
      <c r="Z43" s="300"/>
      <c r="AA43" s="301"/>
    </row>
    <row r="44" spans="1:27">
      <c r="A44" s="319"/>
      <c r="B44" s="623"/>
      <c r="C44" s="300"/>
      <c r="D44" s="300"/>
      <c r="E44" s="300"/>
      <c r="F44" s="300"/>
      <c r="G44" s="300"/>
      <c r="H44" s="300"/>
      <c r="I44" s="300"/>
      <c r="J44" s="300"/>
      <c r="K44" s="300"/>
      <c r="L44" s="300"/>
      <c r="M44" s="300"/>
      <c r="N44" s="300"/>
      <c r="O44" s="300"/>
      <c r="P44" s="300"/>
      <c r="Q44" s="300"/>
      <c r="R44" s="300"/>
      <c r="S44" s="300"/>
      <c r="T44" s="300"/>
      <c r="U44" s="300"/>
      <c r="V44" s="300"/>
      <c r="W44" s="300"/>
      <c r="X44" s="300"/>
      <c r="Y44" s="300"/>
      <c r="Z44" s="300"/>
      <c r="AA44" s="301"/>
    </row>
    <row r="45" spans="1:27">
      <c r="A45" s="319"/>
      <c r="B45" s="623"/>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c r="AA45" s="301"/>
    </row>
    <row r="46" spans="1:27">
      <c r="A46" s="319"/>
      <c r="B46" s="623"/>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c r="AA46" s="301"/>
    </row>
    <row r="47" spans="1:27">
      <c r="A47" s="319"/>
      <c r="B47" s="623"/>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c r="AA47" s="301"/>
    </row>
    <row r="48" spans="1:27">
      <c r="A48" s="319"/>
      <c r="B48" s="623"/>
      <c r="C48" s="300"/>
      <c r="D48" s="300"/>
      <c r="E48" s="300"/>
      <c r="F48" s="300"/>
      <c r="G48" s="300"/>
      <c r="H48" s="300"/>
      <c r="I48" s="300"/>
      <c r="J48" s="300"/>
      <c r="K48" s="300"/>
      <c r="L48" s="300"/>
      <c r="M48" s="300"/>
      <c r="N48" s="300"/>
      <c r="O48" s="300"/>
      <c r="P48" s="300"/>
      <c r="Q48" s="300"/>
      <c r="R48" s="300"/>
      <c r="S48" s="300"/>
      <c r="T48" s="300"/>
      <c r="U48" s="300"/>
      <c r="V48" s="300"/>
      <c r="W48" s="300"/>
      <c r="X48" s="300"/>
      <c r="Y48" s="300"/>
      <c r="Z48" s="300"/>
      <c r="AA48" s="301"/>
    </row>
    <row r="49" spans="1:27">
      <c r="A49" s="319"/>
      <c r="B49" s="623"/>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1"/>
    </row>
    <row r="50" spans="1:27">
      <c r="A50" s="319"/>
      <c r="B50" s="623"/>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1"/>
    </row>
    <row r="51" spans="1:27">
      <c r="A51" s="319"/>
      <c r="B51" s="623"/>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1"/>
    </row>
    <row r="52" spans="1:27">
      <c r="A52" s="319"/>
      <c r="B52" s="623"/>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1"/>
    </row>
    <row r="53" spans="1:27">
      <c r="A53" s="319"/>
      <c r="B53" s="623"/>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1"/>
    </row>
    <row r="54" spans="1:27">
      <c r="A54" s="319"/>
      <c r="B54" s="623"/>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1"/>
    </row>
    <row r="55" spans="1:27">
      <c r="A55" s="319"/>
      <c r="B55" s="623"/>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1"/>
    </row>
    <row r="56" spans="1:27">
      <c r="A56" s="319"/>
      <c r="B56" s="623"/>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c r="AA56" s="301"/>
    </row>
    <row r="57" spans="1:27">
      <c r="A57" s="319"/>
      <c r="B57" s="623"/>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1"/>
    </row>
    <row r="58" spans="1:27">
      <c r="A58" s="319"/>
      <c r="B58" s="623"/>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1"/>
    </row>
    <row r="59" spans="1:27">
      <c r="A59" s="319"/>
      <c r="B59" s="623"/>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1"/>
    </row>
    <row r="60" spans="1:27">
      <c r="A60" s="319"/>
      <c r="B60" s="623"/>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1"/>
    </row>
    <row r="61" spans="1:27">
      <c r="A61" s="319"/>
      <c r="B61" s="623"/>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1"/>
    </row>
    <row r="62" spans="1:27">
      <c r="A62" s="319"/>
      <c r="B62" s="623"/>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1"/>
    </row>
    <row r="63" spans="1:27">
      <c r="A63" s="319"/>
      <c r="B63" s="623"/>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c r="AA63" s="301"/>
    </row>
    <row r="64" spans="1:27">
      <c r="A64" s="319"/>
      <c r="B64" s="623"/>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1"/>
    </row>
    <row r="65" spans="1:27">
      <c r="A65" s="319"/>
      <c r="B65" s="623"/>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c r="AA65" s="301"/>
    </row>
    <row r="66" spans="1:27">
      <c r="A66" s="319"/>
      <c r="B66" s="623"/>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c r="AA66" s="301"/>
    </row>
    <row r="67" spans="1:27">
      <c r="A67" s="319"/>
      <c r="B67" s="623"/>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1"/>
    </row>
    <row r="68" spans="1:27">
      <c r="A68" s="319"/>
      <c r="B68" s="623"/>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1"/>
    </row>
    <row r="69" spans="1:27">
      <c r="A69" s="319"/>
      <c r="B69" s="623"/>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1"/>
    </row>
    <row r="70" spans="1:27">
      <c r="A70" s="319"/>
      <c r="B70" s="623"/>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1"/>
    </row>
    <row r="71" spans="1:27">
      <c r="A71" s="319"/>
      <c r="B71" s="623"/>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1"/>
    </row>
    <row r="72" spans="1:27">
      <c r="A72" s="319"/>
      <c r="B72" s="623"/>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1"/>
    </row>
    <row r="73" spans="1:27">
      <c r="A73" s="319"/>
      <c r="B73" s="623"/>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1"/>
    </row>
    <row r="74" spans="1:27">
      <c r="A74" s="319"/>
      <c r="B74" s="623"/>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1"/>
    </row>
    <row r="75" spans="1:27">
      <c r="A75" s="319"/>
      <c r="B75" s="623"/>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1"/>
    </row>
    <row r="76" spans="1:27">
      <c r="A76" s="319"/>
      <c r="B76" s="623"/>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1"/>
    </row>
    <row r="77" spans="1:27">
      <c r="A77" s="319"/>
      <c r="B77" s="623"/>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1"/>
    </row>
    <row r="78" spans="1:27">
      <c r="A78" s="319"/>
      <c r="B78" s="623"/>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1"/>
    </row>
    <row r="79" spans="1:27">
      <c r="A79" s="319"/>
      <c r="B79" s="623"/>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1"/>
    </row>
    <row r="80" spans="1:27">
      <c r="A80" s="319"/>
      <c r="B80" s="623"/>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1"/>
    </row>
    <row r="81" spans="1:27">
      <c r="A81" s="319"/>
      <c r="B81" s="623"/>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1"/>
    </row>
    <row r="82" spans="1:27">
      <c r="A82" s="319"/>
      <c r="B82" s="623"/>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1"/>
    </row>
    <row r="83" spans="1:27">
      <c r="A83" s="319"/>
      <c r="B83" s="623"/>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1"/>
    </row>
    <row r="84" spans="1:27">
      <c r="A84" s="319"/>
      <c r="B84" s="623"/>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1"/>
    </row>
    <row r="85" spans="1:27">
      <c r="A85" s="319"/>
      <c r="B85" s="623"/>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1"/>
    </row>
    <row r="86" spans="1:27">
      <c r="A86" s="319"/>
      <c r="B86" s="623"/>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1"/>
    </row>
    <row r="87" spans="1:27">
      <c r="A87" s="319"/>
      <c r="B87" s="623"/>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1"/>
    </row>
    <row r="88" spans="1:27">
      <c r="A88" s="319"/>
      <c r="B88" s="623"/>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1"/>
    </row>
    <row r="89" spans="1:27">
      <c r="A89" s="319"/>
      <c r="B89" s="623"/>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1"/>
    </row>
    <row r="90" spans="1:27">
      <c r="A90" s="319"/>
      <c r="B90" s="623"/>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1"/>
    </row>
    <row r="91" spans="1:27">
      <c r="A91" s="319"/>
      <c r="B91" s="623"/>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1"/>
    </row>
    <row r="92" spans="1:27">
      <c r="A92" s="319"/>
      <c r="B92" s="623"/>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1"/>
    </row>
    <row r="93" spans="1:27">
      <c r="A93" s="319"/>
      <c r="B93" s="623"/>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1"/>
    </row>
    <row r="94" spans="1:27">
      <c r="A94" s="319"/>
      <c r="B94" s="623"/>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1"/>
    </row>
    <row r="95" spans="1:27">
      <c r="A95" s="319"/>
      <c r="B95" s="623"/>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1"/>
    </row>
    <row r="96" spans="1:27">
      <c r="A96" s="319"/>
      <c r="B96" s="623"/>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1"/>
    </row>
    <row r="97" spans="1:27">
      <c r="A97" s="319"/>
      <c r="B97" s="623"/>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1"/>
    </row>
    <row r="98" spans="1:27">
      <c r="A98" s="319"/>
      <c r="B98" s="623"/>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1"/>
    </row>
    <row r="99" spans="1:27">
      <c r="A99" s="319"/>
      <c r="B99" s="623"/>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1"/>
    </row>
    <row r="100" spans="1:27">
      <c r="A100" s="319"/>
      <c r="B100" s="623"/>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1"/>
    </row>
    <row r="101" spans="1:27">
      <c r="A101" s="319"/>
      <c r="B101" s="623"/>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1"/>
    </row>
    <row r="102" spans="1:27">
      <c r="A102" s="319"/>
      <c r="B102" s="623"/>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1"/>
    </row>
    <row r="103" spans="1:27">
      <c r="A103" s="319"/>
      <c r="B103" s="623"/>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1"/>
    </row>
    <row r="104" spans="1:27">
      <c r="A104" s="319"/>
      <c r="B104" s="623"/>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1"/>
    </row>
    <row r="105" spans="1:27">
      <c r="A105" s="319"/>
      <c r="B105" s="623"/>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1"/>
    </row>
    <row r="106" spans="1:27">
      <c r="A106" s="319"/>
      <c r="B106" s="623"/>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1"/>
    </row>
    <row r="107" spans="1:27">
      <c r="A107" s="319"/>
      <c r="B107" s="623"/>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1"/>
    </row>
    <row r="108" spans="1:27">
      <c r="A108" s="319"/>
      <c r="B108" s="623"/>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1"/>
    </row>
    <row r="109" spans="1:27">
      <c r="A109" s="319"/>
      <c r="B109" s="623"/>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1"/>
    </row>
    <row r="110" spans="1:27">
      <c r="A110" s="319"/>
      <c r="B110" s="623"/>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1"/>
    </row>
    <row r="111" spans="1:27">
      <c r="A111" s="319"/>
      <c r="B111" s="623"/>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1"/>
    </row>
    <row r="112" spans="1:27">
      <c r="A112" s="319"/>
      <c r="B112" s="623"/>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1"/>
    </row>
    <row r="113" spans="1:27">
      <c r="A113" s="319"/>
      <c r="B113" s="623"/>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1"/>
    </row>
    <row r="114" spans="1:27">
      <c r="A114" s="319"/>
      <c r="B114" s="623"/>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1"/>
    </row>
    <row r="115" spans="1:27">
      <c r="A115" s="319"/>
      <c r="B115" s="623"/>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1"/>
    </row>
    <row r="116" spans="1:27">
      <c r="A116" s="319"/>
      <c r="B116" s="623"/>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1"/>
    </row>
    <row r="117" spans="1:27">
      <c r="A117" s="319"/>
      <c r="B117" s="623"/>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1"/>
    </row>
    <row r="118" spans="1:27">
      <c r="A118" s="319"/>
      <c r="B118" s="623"/>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1"/>
    </row>
    <row r="119" spans="1:27">
      <c r="A119" s="319"/>
      <c r="B119" s="623"/>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1"/>
    </row>
    <row r="120" spans="1:27">
      <c r="A120" s="319"/>
      <c r="B120" s="623"/>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1"/>
    </row>
    <row r="121" spans="1:27">
      <c r="A121" s="319"/>
      <c r="B121" s="623"/>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1"/>
    </row>
    <row r="122" spans="1:27">
      <c r="A122" s="319"/>
      <c r="B122" s="623"/>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1"/>
    </row>
    <row r="123" spans="1:27">
      <c r="A123" s="319"/>
      <c r="B123" s="623"/>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1"/>
    </row>
    <row r="124" spans="1:27">
      <c r="A124" s="319"/>
      <c r="B124" s="623"/>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1"/>
    </row>
    <row r="125" spans="1:27">
      <c r="A125" s="319"/>
      <c r="B125" s="623"/>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1"/>
    </row>
    <row r="126" spans="1:27">
      <c r="A126" s="319"/>
      <c r="B126" s="623"/>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1"/>
    </row>
    <row r="127" spans="1:27">
      <c r="A127" s="319"/>
      <c r="B127" s="623"/>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1"/>
    </row>
    <row r="128" spans="1:27">
      <c r="A128" s="319"/>
      <c r="B128" s="623"/>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1"/>
    </row>
    <row r="129" spans="1:27">
      <c r="A129" s="319"/>
      <c r="B129" s="623"/>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1"/>
    </row>
    <row r="130" spans="1:27">
      <c r="A130" s="319"/>
      <c r="B130" s="623"/>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1"/>
    </row>
    <row r="131" spans="1:27">
      <c r="A131" s="319"/>
      <c r="B131" s="623"/>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1"/>
    </row>
    <row r="132" spans="1:27">
      <c r="A132" s="319"/>
      <c r="B132" s="623"/>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1"/>
    </row>
    <row r="133" spans="1:27">
      <c r="A133" s="319"/>
      <c r="B133" s="623"/>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1"/>
    </row>
    <row r="134" spans="1:27">
      <c r="A134" s="319"/>
      <c r="B134" s="623"/>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1"/>
    </row>
    <row r="135" spans="1:27">
      <c r="A135" s="319"/>
      <c r="B135" s="623"/>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1"/>
    </row>
    <row r="136" spans="1:27">
      <c r="A136" s="319"/>
      <c r="B136" s="623"/>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1"/>
    </row>
    <row r="137" spans="1:27">
      <c r="A137" s="319"/>
      <c r="B137" s="623"/>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1"/>
    </row>
    <row r="138" spans="1:27">
      <c r="A138" s="319"/>
      <c r="B138" s="623"/>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1"/>
    </row>
    <row r="139" spans="1:27">
      <c r="A139" s="319"/>
      <c r="B139" s="623"/>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1"/>
    </row>
    <row r="140" spans="1:27">
      <c r="A140" s="319"/>
      <c r="B140" s="623"/>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1"/>
    </row>
    <row r="141" spans="1:27">
      <c r="A141" s="319"/>
      <c r="B141" s="623"/>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1"/>
    </row>
    <row r="142" spans="1:27">
      <c r="A142" s="319"/>
      <c r="B142" s="623"/>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1"/>
    </row>
    <row r="143" spans="1:27">
      <c r="A143" s="319"/>
      <c r="B143" s="623"/>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1"/>
    </row>
    <row r="144" spans="1:27">
      <c r="A144" s="319"/>
      <c r="B144" s="623"/>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1"/>
    </row>
    <row r="145" spans="1:27">
      <c r="A145" s="319"/>
      <c r="B145" s="623"/>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1"/>
    </row>
    <row r="146" spans="1:27">
      <c r="A146" s="319"/>
      <c r="B146" s="623"/>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1"/>
    </row>
    <row r="147" spans="1:27">
      <c r="A147" s="319"/>
      <c r="B147" s="623"/>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1"/>
    </row>
    <row r="148" spans="1:27">
      <c r="A148" s="319"/>
      <c r="B148" s="623"/>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1"/>
    </row>
    <row r="149" spans="1:27">
      <c r="A149" s="319"/>
      <c r="B149" s="623"/>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1"/>
    </row>
    <row r="150" spans="1:27">
      <c r="A150" s="319"/>
      <c r="B150" s="623"/>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1"/>
    </row>
    <row r="151" spans="1:27">
      <c r="A151" s="319"/>
      <c r="B151" s="623"/>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1"/>
    </row>
    <row r="152" spans="1:27">
      <c r="A152" s="319"/>
      <c r="B152" s="623"/>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1"/>
    </row>
    <row r="153" spans="1:27">
      <c r="A153" s="319"/>
      <c r="B153" s="623"/>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1"/>
    </row>
    <row r="154" spans="1:27">
      <c r="A154" s="319"/>
      <c r="B154" s="623"/>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1"/>
    </row>
    <row r="155" spans="1:27">
      <c r="A155" s="319"/>
      <c r="B155" s="623"/>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1"/>
    </row>
    <row r="156" spans="1:27">
      <c r="A156" s="319"/>
      <c r="B156" s="623"/>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1"/>
    </row>
    <row r="157" spans="1:27">
      <c r="A157" s="319"/>
      <c r="B157" s="623"/>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1"/>
    </row>
    <row r="158" spans="1:27">
      <c r="A158" s="319"/>
      <c r="B158" s="623"/>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1"/>
    </row>
    <row r="159" spans="1:27">
      <c r="A159" s="319"/>
      <c r="B159" s="623"/>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1"/>
    </row>
    <row r="160" spans="1:27">
      <c r="A160" s="319"/>
      <c r="B160" s="623"/>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1"/>
    </row>
    <row r="161" spans="1:27">
      <c r="A161" s="319"/>
      <c r="B161" s="623"/>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1"/>
    </row>
    <row r="162" spans="1:27">
      <c r="A162" s="319"/>
      <c r="B162" s="623"/>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1"/>
    </row>
    <row r="163" spans="1:27">
      <c r="A163" s="319"/>
      <c r="B163" s="623"/>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c r="AA163" s="301"/>
    </row>
    <row r="164" spans="1:27">
      <c r="A164" s="319"/>
      <c r="B164" s="623"/>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c r="AA164" s="301"/>
    </row>
    <row r="165" spans="1:27">
      <c r="A165" s="319"/>
      <c r="B165" s="623"/>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c r="AA165" s="301"/>
    </row>
    <row r="166" spans="1:27">
      <c r="A166" s="319"/>
      <c r="B166" s="623"/>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c r="AA166" s="301"/>
    </row>
    <row r="167" spans="1:27">
      <c r="A167" s="319"/>
      <c r="B167" s="623"/>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1"/>
    </row>
    <row r="168" spans="1:27">
      <c r="A168" s="319"/>
      <c r="B168" s="623"/>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c r="AA168" s="301"/>
    </row>
    <row r="169" spans="1:27">
      <c r="A169" s="319"/>
      <c r="B169" s="623"/>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c r="AA169" s="301"/>
    </row>
    <row r="170" spans="1:27">
      <c r="A170" s="319"/>
      <c r="B170" s="623"/>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c r="AA170" s="301"/>
    </row>
    <row r="171" spans="1:27">
      <c r="A171" s="319"/>
      <c r="B171" s="623"/>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c r="AA171" s="301"/>
    </row>
    <row r="172" spans="1:27">
      <c r="A172" s="319"/>
      <c r="B172" s="623"/>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c r="AA172" s="301"/>
    </row>
    <row r="173" spans="1:27">
      <c r="A173" s="319"/>
      <c r="B173" s="623"/>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c r="AA173" s="301"/>
    </row>
    <row r="174" spans="1:27">
      <c r="A174" s="319"/>
      <c r="B174" s="623"/>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c r="AA174" s="301"/>
    </row>
    <row r="175" spans="1:27">
      <c r="A175" s="319"/>
      <c r="B175" s="623"/>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c r="AA175" s="301"/>
    </row>
    <row r="176" spans="1:27">
      <c r="A176" s="319"/>
      <c r="B176" s="623"/>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c r="AA176" s="301"/>
    </row>
    <row r="177" spans="1:27">
      <c r="A177" s="319"/>
      <c r="B177" s="623"/>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c r="AA177" s="301"/>
    </row>
    <row r="178" spans="1:27">
      <c r="A178" s="319"/>
      <c r="B178" s="623"/>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1"/>
    </row>
    <row r="179" spans="1:27">
      <c r="A179" s="319"/>
      <c r="B179" s="623"/>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c r="AA179" s="301"/>
    </row>
    <row r="180" spans="1:27">
      <c r="A180" s="319"/>
      <c r="B180" s="623"/>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c r="AA180" s="301"/>
    </row>
    <row r="181" spans="1:27">
      <c r="A181" s="319"/>
      <c r="B181" s="623"/>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c r="AA181" s="301"/>
    </row>
    <row r="182" spans="1:27">
      <c r="A182" s="319"/>
      <c r="B182" s="623"/>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c r="AA182" s="301"/>
    </row>
    <row r="183" spans="1:27">
      <c r="A183" s="319"/>
      <c r="B183" s="623"/>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c r="AA183" s="301"/>
    </row>
    <row r="184" spans="1:27">
      <c r="A184" s="319"/>
      <c r="B184" s="623"/>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c r="AA184" s="301"/>
    </row>
    <row r="185" spans="1:27">
      <c r="A185" s="319"/>
      <c r="B185" s="623"/>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c r="AA185" s="301"/>
    </row>
    <row r="186" spans="1:27">
      <c r="A186" s="319"/>
      <c r="B186" s="623"/>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c r="AA186" s="301"/>
    </row>
    <row r="187" spans="1:27">
      <c r="A187" s="319"/>
      <c r="B187" s="623"/>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c r="AA187" s="301"/>
    </row>
    <row r="188" spans="1:27">
      <c r="A188" s="319"/>
      <c r="B188" s="623"/>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c r="AA188" s="301"/>
    </row>
    <row r="189" spans="1:27">
      <c r="A189" s="319"/>
      <c r="B189" s="623"/>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c r="AA189" s="301"/>
    </row>
    <row r="190" spans="1:27">
      <c r="A190" s="319"/>
      <c r="B190" s="623"/>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c r="AA190" s="301"/>
    </row>
    <row r="191" spans="1:27">
      <c r="A191" s="319"/>
      <c r="B191" s="623"/>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c r="AA191" s="301"/>
    </row>
    <row r="192" spans="1:27">
      <c r="A192" s="319"/>
      <c r="B192" s="623"/>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c r="AA192" s="301"/>
    </row>
    <row r="193" spans="1:27">
      <c r="A193" s="319"/>
      <c r="B193" s="623"/>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c r="AA193" s="301"/>
    </row>
    <row r="194" spans="1:27">
      <c r="A194" s="319"/>
      <c r="B194" s="623"/>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c r="AA194" s="301"/>
    </row>
    <row r="195" spans="1:27">
      <c r="A195" s="319"/>
      <c r="B195" s="623"/>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c r="AA195" s="301"/>
    </row>
    <row r="196" spans="1:27">
      <c r="A196" s="319"/>
      <c r="B196" s="623"/>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c r="AA196" s="301"/>
    </row>
    <row r="197" spans="1:27">
      <c r="A197" s="319"/>
      <c r="B197" s="623"/>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c r="AA197" s="301"/>
    </row>
    <row r="198" spans="1:27">
      <c r="A198" s="319"/>
      <c r="B198" s="623"/>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c r="AA198" s="301"/>
    </row>
    <row r="199" spans="1:27">
      <c r="A199" s="319"/>
      <c r="B199" s="623"/>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c r="AA199" s="301"/>
    </row>
    <row r="200" spans="1:27">
      <c r="A200" s="319"/>
      <c r="B200" s="623"/>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c r="AA200" s="301"/>
    </row>
    <row r="201" spans="1:27">
      <c r="A201" s="319"/>
      <c r="B201" s="623"/>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c r="AA201" s="301"/>
    </row>
    <row r="202" spans="1:27">
      <c r="A202" s="319"/>
      <c r="B202" s="623"/>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c r="AA202" s="301"/>
    </row>
    <row r="203" spans="1:27">
      <c r="A203" s="319"/>
      <c r="B203" s="623"/>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c r="AA203" s="301"/>
    </row>
    <row r="204" spans="1:27">
      <c r="A204" s="319"/>
      <c r="B204" s="623"/>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1"/>
    </row>
    <row r="205" spans="1:27">
      <c r="A205" s="319"/>
      <c r="B205" s="623"/>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c r="AA205" s="301"/>
    </row>
    <row r="206" spans="1:27">
      <c r="A206" s="319"/>
      <c r="B206" s="623"/>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c r="AA206" s="301"/>
    </row>
    <row r="207" spans="1:27">
      <c r="A207" s="319"/>
      <c r="B207" s="623"/>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c r="AA207" s="301"/>
    </row>
    <row r="208" spans="1:27">
      <c r="A208" s="319"/>
      <c r="B208" s="623"/>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c r="AA208" s="301"/>
    </row>
    <row r="209" spans="1:27">
      <c r="A209" s="319"/>
      <c r="B209" s="623"/>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c r="AA209" s="301"/>
    </row>
    <row r="210" spans="1:27">
      <c r="A210" s="319"/>
      <c r="B210" s="623"/>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c r="AA210" s="301"/>
    </row>
    <row r="211" spans="1:27">
      <c r="A211" s="319"/>
      <c r="B211" s="623"/>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c r="AA211" s="301"/>
    </row>
    <row r="212" spans="1:27">
      <c r="A212" s="319"/>
      <c r="B212" s="623"/>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c r="AA212" s="301"/>
    </row>
    <row r="213" spans="1:27">
      <c r="A213" s="319"/>
      <c r="B213" s="623"/>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c r="AA213" s="301"/>
    </row>
    <row r="214" spans="1:27">
      <c r="A214" s="319"/>
      <c r="B214" s="623"/>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c r="AA214" s="301"/>
    </row>
    <row r="215" spans="1:27">
      <c r="A215" s="319"/>
      <c r="B215" s="623"/>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c r="AA215" s="301"/>
    </row>
    <row r="216" spans="1:27">
      <c r="A216" s="319"/>
      <c r="B216" s="623"/>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c r="AA216" s="301"/>
    </row>
    <row r="217" spans="1:27">
      <c r="A217" s="319"/>
      <c r="B217" s="623"/>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c r="AA217" s="301"/>
    </row>
    <row r="218" spans="1:27">
      <c r="A218" s="319"/>
      <c r="B218" s="623"/>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c r="AA218" s="301"/>
    </row>
    <row r="219" spans="1:27">
      <c r="A219" s="319"/>
      <c r="B219" s="623"/>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c r="AA219" s="301"/>
    </row>
    <row r="220" spans="1:27">
      <c r="A220" s="319"/>
      <c r="B220" s="623"/>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c r="AA220" s="301"/>
    </row>
    <row r="221" spans="1:27">
      <c r="A221" s="319"/>
      <c r="B221" s="623"/>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c r="AA221" s="301"/>
    </row>
    <row r="222" spans="1:27">
      <c r="A222" s="319"/>
      <c r="B222" s="623"/>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c r="AA222" s="301"/>
    </row>
    <row r="223" spans="1:27">
      <c r="A223" s="319"/>
      <c r="B223" s="623"/>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c r="AA223" s="301"/>
    </row>
    <row r="224" spans="1:27">
      <c r="A224" s="319"/>
      <c r="B224" s="623"/>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c r="AA224" s="301"/>
    </row>
    <row r="225" spans="1:27">
      <c r="A225" s="319"/>
      <c r="B225" s="623"/>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c r="AA225" s="301"/>
    </row>
    <row r="226" spans="1:27">
      <c r="A226" s="319"/>
      <c r="B226" s="623"/>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c r="AA226" s="301"/>
    </row>
    <row r="227" spans="1:27">
      <c r="A227" s="319"/>
      <c r="B227" s="623"/>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c r="AA227" s="301"/>
    </row>
    <row r="228" spans="1:27">
      <c r="A228" s="319"/>
      <c r="B228" s="623"/>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c r="AA228" s="301"/>
    </row>
    <row r="229" spans="1:27">
      <c r="A229" s="319"/>
      <c r="B229" s="623"/>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c r="AA229" s="301"/>
    </row>
    <row r="230" spans="1:27">
      <c r="A230" s="319"/>
      <c r="B230" s="623"/>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c r="AA230" s="301"/>
    </row>
    <row r="231" spans="1:27">
      <c r="A231" s="319"/>
      <c r="B231" s="623"/>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c r="AA231" s="301"/>
    </row>
    <row r="232" spans="1:27">
      <c r="A232" s="319"/>
      <c r="B232" s="623"/>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c r="AA232" s="301"/>
    </row>
    <row r="233" spans="1:27">
      <c r="A233" s="319"/>
      <c r="B233" s="623"/>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c r="AA233" s="301"/>
    </row>
    <row r="234" spans="1:27">
      <c r="A234" s="319"/>
      <c r="B234" s="623"/>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1"/>
    </row>
    <row r="235" spans="1:27">
      <c r="A235" s="319"/>
      <c r="B235" s="623"/>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c r="AA235" s="301"/>
    </row>
    <row r="236" spans="1:27">
      <c r="A236" s="319"/>
      <c r="B236" s="623"/>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c r="AA236" s="301"/>
    </row>
    <row r="237" spans="1:27">
      <c r="A237" s="319"/>
      <c r="B237" s="623"/>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c r="AA237" s="301"/>
    </row>
    <row r="238" spans="1:27">
      <c r="A238" s="319"/>
      <c r="B238" s="623"/>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c r="AA238" s="301"/>
    </row>
    <row r="239" spans="1:27">
      <c r="A239" s="319"/>
      <c r="B239" s="623"/>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c r="AA239" s="301"/>
    </row>
    <row r="240" spans="1:27">
      <c r="A240" s="319"/>
      <c r="B240" s="623"/>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c r="AA240" s="301"/>
    </row>
    <row r="241" spans="1:27">
      <c r="A241" s="319"/>
      <c r="B241" s="623"/>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c r="AA241" s="301"/>
    </row>
    <row r="242" spans="1:27">
      <c r="A242" s="319"/>
      <c r="B242" s="623"/>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c r="AA242" s="301"/>
    </row>
    <row r="243" spans="1:27">
      <c r="A243" s="319"/>
      <c r="B243" s="623"/>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c r="AA243" s="301"/>
    </row>
    <row r="244" spans="1:27">
      <c r="A244" s="319"/>
      <c r="B244" s="623"/>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c r="AA244" s="301"/>
    </row>
    <row r="245" spans="1:27">
      <c r="A245" s="319"/>
      <c r="B245" s="623"/>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c r="AA245" s="301"/>
    </row>
    <row r="246" spans="1:27">
      <c r="A246" s="319"/>
      <c r="B246" s="623"/>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c r="AA246" s="301"/>
    </row>
    <row r="247" spans="1:27">
      <c r="A247" s="319"/>
      <c r="B247" s="623"/>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c r="AA247" s="301"/>
    </row>
    <row r="248" spans="1:27">
      <c r="A248" s="319"/>
      <c r="B248" s="623"/>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c r="AA248" s="301"/>
    </row>
    <row r="249" spans="1:27">
      <c r="A249" s="319"/>
      <c r="B249" s="623"/>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c r="AA249" s="301"/>
    </row>
    <row r="250" spans="1:27">
      <c r="A250" s="319"/>
      <c r="B250" s="623"/>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c r="AA250" s="301"/>
    </row>
    <row r="251" spans="1:27">
      <c r="A251" s="319"/>
      <c r="B251" s="623"/>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c r="AA251" s="301"/>
    </row>
    <row r="252" spans="1:27">
      <c r="A252" s="319"/>
      <c r="B252" s="623"/>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c r="AA252" s="301"/>
    </row>
    <row r="253" spans="1:27">
      <c r="A253" s="319"/>
      <c r="B253" s="623"/>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c r="AA253" s="301"/>
    </row>
    <row r="254" spans="1:27">
      <c r="A254" s="319"/>
      <c r="B254" s="623"/>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c r="AA254" s="301"/>
    </row>
    <row r="255" spans="1:27">
      <c r="A255" s="319"/>
      <c r="B255" s="623"/>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c r="AA255" s="301"/>
    </row>
    <row r="256" spans="1:27">
      <c r="A256" s="319"/>
      <c r="B256" s="623"/>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c r="AA256" s="301"/>
    </row>
    <row r="257" spans="1:27">
      <c r="A257" s="319"/>
      <c r="B257" s="623"/>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c r="AA257" s="301"/>
    </row>
    <row r="258" spans="1:27">
      <c r="A258" s="319"/>
      <c r="B258" s="623"/>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c r="AA258" s="301"/>
    </row>
    <row r="259" spans="1:27">
      <c r="A259" s="319"/>
      <c r="B259" s="623"/>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c r="AA259" s="301"/>
    </row>
    <row r="260" spans="1:27">
      <c r="A260" s="319"/>
      <c r="B260" s="623"/>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c r="AA260" s="301"/>
    </row>
    <row r="261" spans="1:27">
      <c r="A261" s="319"/>
      <c r="B261" s="623"/>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c r="AA261" s="301"/>
    </row>
    <row r="262" spans="1:27">
      <c r="A262" s="319"/>
      <c r="B262" s="623"/>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c r="AA262" s="301"/>
    </row>
    <row r="263" spans="1:27">
      <c r="A263" s="319"/>
      <c r="B263" s="623"/>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c r="AA263" s="301"/>
    </row>
    <row r="264" spans="1:27">
      <c r="A264" s="319"/>
      <c r="B264" s="623"/>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c r="AA264" s="301"/>
    </row>
    <row r="265" spans="1:27">
      <c r="A265" s="319"/>
      <c r="B265" s="623"/>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c r="AA265" s="301"/>
    </row>
    <row r="266" spans="1:27">
      <c r="A266" s="319"/>
      <c r="B266" s="623"/>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c r="AA266" s="301"/>
    </row>
    <row r="267" spans="1:27">
      <c r="A267" s="319"/>
      <c r="B267" s="623"/>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c r="AA267" s="301"/>
    </row>
    <row r="268" spans="1:27">
      <c r="A268" s="319"/>
      <c r="B268" s="623"/>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c r="AA268" s="301"/>
    </row>
    <row r="269" spans="1:27">
      <c r="A269" s="319"/>
      <c r="B269" s="623"/>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c r="AA269" s="301"/>
    </row>
    <row r="270" spans="1:27">
      <c r="A270" s="319"/>
      <c r="B270" s="623"/>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c r="AA270" s="301"/>
    </row>
    <row r="271" spans="1:27">
      <c r="A271" s="319"/>
      <c r="B271" s="623"/>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c r="AA271" s="301"/>
    </row>
    <row r="272" spans="1:27">
      <c r="A272" s="319"/>
      <c r="B272" s="623"/>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c r="AA272" s="301"/>
    </row>
    <row r="273" spans="1:27">
      <c r="A273" s="319"/>
      <c r="B273" s="623"/>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c r="AA273" s="301"/>
    </row>
    <row r="274" spans="1:27">
      <c r="A274" s="319"/>
      <c r="B274" s="623"/>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c r="AA274" s="301"/>
    </row>
    <row r="275" spans="1:27">
      <c r="A275" s="319"/>
      <c r="B275" s="623"/>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c r="AA275" s="301"/>
    </row>
    <row r="276" spans="1:27">
      <c r="A276" s="319"/>
      <c r="B276" s="623"/>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c r="AA276" s="301"/>
    </row>
    <row r="277" spans="1:27">
      <c r="A277" s="319"/>
      <c r="B277" s="623"/>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c r="AA277" s="301"/>
    </row>
    <row r="278" spans="1:27">
      <c r="A278" s="319"/>
      <c r="B278" s="623"/>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c r="AA278" s="301"/>
    </row>
    <row r="279" spans="1:27">
      <c r="A279" s="319"/>
      <c r="B279" s="623"/>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c r="AA279" s="301"/>
    </row>
    <row r="280" spans="1:27">
      <c r="A280" s="319"/>
      <c r="B280" s="623"/>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c r="AA280" s="301"/>
    </row>
    <row r="281" spans="1:27">
      <c r="A281" s="319"/>
      <c r="B281" s="623"/>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c r="AA281" s="301"/>
    </row>
    <row r="282" spans="1:27">
      <c r="A282" s="319"/>
      <c r="B282" s="623"/>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c r="AA282" s="301"/>
    </row>
    <row r="283" spans="1:27">
      <c r="A283" s="319"/>
      <c r="B283" s="623"/>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c r="AA283" s="301"/>
    </row>
    <row r="284" spans="1:27">
      <c r="A284" s="319"/>
      <c r="B284" s="623"/>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c r="AA284" s="301"/>
    </row>
    <row r="285" spans="1:27">
      <c r="A285" s="319"/>
      <c r="B285" s="623"/>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c r="AA285" s="301"/>
    </row>
    <row r="286" spans="1:27">
      <c r="A286" s="319"/>
      <c r="B286" s="623"/>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c r="AA286" s="301"/>
    </row>
    <row r="287" spans="1:27">
      <c r="A287" s="319"/>
      <c r="B287" s="623"/>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c r="AA287" s="301"/>
    </row>
    <row r="288" spans="1:27">
      <c r="A288" s="319"/>
      <c r="B288" s="623"/>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c r="AA288" s="301"/>
    </row>
    <row r="289" spans="1:27">
      <c r="A289" s="319"/>
      <c r="B289" s="623"/>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c r="AA289" s="301"/>
    </row>
    <row r="290" spans="1:27">
      <c r="A290" s="319"/>
      <c r="B290" s="623"/>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c r="AA290" s="301"/>
    </row>
    <row r="291" spans="1:27">
      <c r="A291" s="319"/>
      <c r="B291" s="623"/>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c r="AA291" s="301"/>
    </row>
    <row r="292" spans="1:27">
      <c r="A292" s="319"/>
      <c r="B292" s="623"/>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c r="AA292" s="301"/>
    </row>
    <row r="293" spans="1:27">
      <c r="A293" s="319"/>
      <c r="B293" s="623"/>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c r="AA293" s="301"/>
    </row>
    <row r="294" spans="1:27">
      <c r="A294" s="319"/>
      <c r="B294" s="623"/>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c r="AA294" s="301"/>
    </row>
    <row r="295" spans="1:27">
      <c r="A295" s="319"/>
      <c r="B295" s="623"/>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c r="AA295" s="301"/>
    </row>
    <row r="296" spans="1:27">
      <c r="A296" s="319"/>
      <c r="B296" s="623"/>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c r="AA296" s="301"/>
    </row>
    <row r="297" spans="1:27">
      <c r="A297" s="319"/>
      <c r="B297" s="623"/>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c r="AA297" s="301"/>
    </row>
    <row r="298" spans="1:27">
      <c r="A298" s="319"/>
      <c r="B298" s="623"/>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c r="AA298" s="301"/>
    </row>
    <row r="299" spans="1:27">
      <c r="A299" s="319"/>
      <c r="B299" s="623"/>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c r="AA299" s="301"/>
    </row>
    <row r="300" spans="1:27">
      <c r="A300" s="319"/>
      <c r="B300" s="623"/>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c r="AA300" s="301"/>
    </row>
    <row r="301" spans="1:27">
      <c r="A301" s="319"/>
      <c r="B301" s="623"/>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c r="AA301" s="301"/>
    </row>
    <row r="302" spans="1:27">
      <c r="A302" s="319"/>
      <c r="B302" s="623"/>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c r="AA302" s="301"/>
    </row>
    <row r="303" spans="1:27">
      <c r="A303" s="319"/>
      <c r="B303" s="623"/>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c r="AA303" s="301"/>
    </row>
    <row r="304" spans="1:27">
      <c r="A304" s="319"/>
      <c r="B304" s="623"/>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c r="AA304" s="301"/>
    </row>
    <row r="305" spans="1:27">
      <c r="A305" s="319"/>
      <c r="B305" s="623"/>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c r="AA305" s="301"/>
    </row>
    <row r="306" spans="1:27">
      <c r="A306" s="319"/>
      <c r="B306" s="623"/>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c r="AA306" s="301"/>
    </row>
    <row r="307" spans="1:27">
      <c r="A307" s="319"/>
      <c r="B307" s="623"/>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c r="AA307" s="301"/>
    </row>
    <row r="308" spans="1:27">
      <c r="A308" s="319"/>
      <c r="B308" s="623"/>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c r="AA308" s="301"/>
    </row>
    <row r="309" spans="1:27">
      <c r="A309" s="319"/>
      <c r="B309" s="623"/>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c r="AA309" s="301"/>
    </row>
    <row r="310" spans="1:27">
      <c r="A310" s="319"/>
      <c r="B310" s="623"/>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c r="AA310" s="301"/>
    </row>
    <row r="311" spans="1:27">
      <c r="A311" s="319"/>
      <c r="B311" s="623"/>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c r="AA311" s="301"/>
    </row>
    <row r="312" spans="1:27">
      <c r="A312" s="319"/>
      <c r="B312" s="623"/>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c r="AA312" s="301"/>
    </row>
    <row r="313" spans="1:27">
      <c r="A313" s="319"/>
      <c r="B313" s="623"/>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c r="AA313" s="301"/>
    </row>
    <row r="314" spans="1:27">
      <c r="A314" s="319"/>
      <c r="B314" s="623"/>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c r="AA314" s="301"/>
    </row>
    <row r="315" spans="1:27">
      <c r="A315" s="319"/>
      <c r="B315" s="623"/>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c r="AA315" s="301"/>
    </row>
    <row r="316" spans="1:27">
      <c r="A316" s="319"/>
      <c r="B316" s="623"/>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c r="AA316" s="301"/>
    </row>
    <row r="317" spans="1:27">
      <c r="A317" s="319"/>
      <c r="B317" s="623"/>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c r="AA317" s="301"/>
    </row>
    <row r="318" spans="1:27">
      <c r="A318" s="319"/>
      <c r="B318" s="623"/>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c r="AA318" s="301"/>
    </row>
    <row r="319" spans="1:27">
      <c r="A319" s="319"/>
      <c r="B319" s="623"/>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c r="AA319" s="301"/>
    </row>
    <row r="320" spans="1:27">
      <c r="A320" s="319"/>
      <c r="B320" s="623"/>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c r="AA320" s="301"/>
    </row>
    <row r="321" spans="1:27">
      <c r="A321" s="319"/>
      <c r="B321" s="623"/>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c r="AA321" s="301"/>
    </row>
    <row r="322" spans="1:27">
      <c r="A322" s="319"/>
      <c r="B322" s="623"/>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c r="AA322" s="301"/>
    </row>
    <row r="323" spans="1:27">
      <c r="A323" s="319"/>
      <c r="B323" s="623"/>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c r="AA323" s="301"/>
    </row>
    <row r="324" spans="1:27">
      <c r="A324" s="319"/>
      <c r="B324" s="623"/>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c r="AA324" s="301"/>
    </row>
    <row r="325" spans="1:27">
      <c r="A325" s="319"/>
      <c r="B325" s="623"/>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c r="AA325" s="301"/>
    </row>
    <row r="326" spans="1:27">
      <c r="A326" s="319"/>
      <c r="B326" s="623"/>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c r="AA326" s="301"/>
    </row>
    <row r="327" spans="1:27">
      <c r="A327" s="319"/>
      <c r="B327" s="623"/>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1"/>
    </row>
    <row r="328" spans="1:27">
      <c r="A328" s="319"/>
      <c r="B328" s="623"/>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c r="AA328" s="301"/>
    </row>
    <row r="329" spans="1:27">
      <c r="A329" s="319"/>
      <c r="B329" s="623"/>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c r="AA329" s="301"/>
    </row>
    <row r="330" spans="1:27">
      <c r="A330" s="319"/>
      <c r="B330" s="623"/>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c r="AA330" s="301"/>
    </row>
    <row r="331" spans="1:27">
      <c r="A331" s="319"/>
      <c r="B331" s="623"/>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c r="AA331" s="301"/>
    </row>
    <row r="332" spans="1:27">
      <c r="A332" s="319"/>
      <c r="B332" s="623"/>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c r="AA332" s="301"/>
    </row>
    <row r="333" spans="1:27">
      <c r="A333" s="319"/>
      <c r="B333" s="623"/>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c r="AA333" s="301"/>
    </row>
    <row r="334" spans="1:27">
      <c r="A334" s="319"/>
      <c r="B334" s="623"/>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c r="AA334" s="301"/>
    </row>
    <row r="335" spans="1:27">
      <c r="A335" s="319"/>
      <c r="B335" s="623"/>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c r="AA335" s="301"/>
    </row>
    <row r="336" spans="1:27">
      <c r="A336" s="319"/>
      <c r="B336" s="623"/>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c r="AA336" s="301"/>
    </row>
    <row r="337" spans="1:27">
      <c r="A337" s="319"/>
      <c r="B337" s="623"/>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c r="AA337" s="301"/>
    </row>
    <row r="338" spans="1:27">
      <c r="A338" s="319"/>
      <c r="B338" s="623"/>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c r="AA338" s="301"/>
    </row>
    <row r="339" spans="1:27">
      <c r="A339" s="319"/>
      <c r="B339" s="623"/>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c r="AA339" s="301"/>
    </row>
    <row r="340" spans="1:27">
      <c r="A340" s="319"/>
      <c r="B340" s="623"/>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c r="AA340" s="301"/>
    </row>
    <row r="341" spans="1:27">
      <c r="A341" s="319"/>
      <c r="B341" s="623"/>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c r="AA341" s="301"/>
    </row>
    <row r="342" spans="1:27">
      <c r="A342" s="319"/>
      <c r="B342" s="623"/>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c r="AA342" s="301"/>
    </row>
    <row r="343" spans="1:27">
      <c r="A343" s="319"/>
      <c r="B343" s="623"/>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c r="AA343" s="301"/>
    </row>
    <row r="344" spans="1:27">
      <c r="A344" s="319"/>
      <c r="B344" s="623"/>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c r="AA344" s="301"/>
    </row>
    <row r="345" spans="1:27">
      <c r="A345" s="319"/>
      <c r="B345" s="623"/>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c r="AA345" s="301"/>
    </row>
    <row r="346" spans="1:27">
      <c r="A346" s="319"/>
      <c r="B346" s="623"/>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c r="AA346" s="301"/>
    </row>
    <row r="347" spans="1:27">
      <c r="A347" s="319"/>
      <c r="B347" s="623"/>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c r="AA347" s="301"/>
    </row>
    <row r="348" spans="1:27">
      <c r="A348" s="319"/>
      <c r="B348" s="623"/>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c r="AA348" s="301"/>
    </row>
    <row r="349" spans="1:27">
      <c r="A349" s="319"/>
      <c r="B349" s="623"/>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c r="AA349" s="301"/>
    </row>
    <row r="350" spans="1:27">
      <c r="A350" s="319"/>
      <c r="B350" s="623"/>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c r="AA350" s="301"/>
    </row>
    <row r="351" spans="1:27">
      <c r="A351" s="319"/>
      <c r="B351" s="623"/>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c r="AA351" s="301"/>
    </row>
    <row r="352" spans="1:27">
      <c r="A352" s="319"/>
      <c r="B352" s="623"/>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c r="AA352" s="301"/>
    </row>
    <row r="353" spans="1:27">
      <c r="A353" s="319"/>
      <c r="B353" s="623"/>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c r="AA353" s="301"/>
    </row>
    <row r="354" spans="1:27">
      <c r="A354" s="319"/>
      <c r="B354" s="623"/>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c r="AA354" s="301"/>
    </row>
    <row r="355" spans="1:27">
      <c r="A355" s="319"/>
      <c r="B355" s="623"/>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c r="AA355" s="301"/>
    </row>
    <row r="356" spans="1:27">
      <c r="A356" s="319"/>
      <c r="B356" s="623"/>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c r="AA356" s="301"/>
    </row>
    <row r="357" spans="1:27">
      <c r="A357" s="319"/>
      <c r="B357" s="623"/>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c r="AA357" s="301"/>
    </row>
    <row r="358" spans="1:27">
      <c r="A358" s="319"/>
      <c r="B358" s="623"/>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c r="AA358" s="301"/>
    </row>
    <row r="359" spans="1:27">
      <c r="A359" s="319"/>
      <c r="B359" s="623"/>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c r="AA359" s="301"/>
    </row>
    <row r="360" spans="1:27">
      <c r="A360" s="319"/>
      <c r="B360" s="623"/>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c r="AA360" s="301"/>
    </row>
    <row r="361" spans="1:27">
      <c r="A361" s="319"/>
      <c r="B361" s="623"/>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c r="AA361" s="301"/>
    </row>
    <row r="362" spans="1:27">
      <c r="A362" s="319"/>
      <c r="B362" s="623"/>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c r="AA362" s="301"/>
    </row>
    <row r="363" spans="1:27">
      <c r="A363" s="319"/>
      <c r="B363" s="623"/>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c r="AA363" s="301"/>
    </row>
    <row r="364" spans="1:27">
      <c r="A364" s="319"/>
      <c r="B364" s="623"/>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c r="AA364" s="301"/>
    </row>
    <row r="365" spans="1:27">
      <c r="A365" s="319"/>
      <c r="B365" s="623"/>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c r="AA365" s="301"/>
    </row>
    <row r="366" spans="1:27">
      <c r="A366" s="319"/>
      <c r="B366" s="623"/>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c r="AA366" s="301"/>
    </row>
    <row r="367" spans="1:27">
      <c r="A367" s="319"/>
      <c r="B367" s="623"/>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c r="AA367" s="301"/>
    </row>
    <row r="368" spans="1:27">
      <c r="A368" s="319"/>
      <c r="B368" s="623"/>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c r="AA368" s="301"/>
    </row>
    <row r="369" spans="1:27">
      <c r="A369" s="319"/>
      <c r="B369" s="623"/>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c r="AA369" s="301"/>
    </row>
    <row r="370" spans="1:27">
      <c r="A370" s="319"/>
      <c r="B370" s="623"/>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c r="AA370" s="301"/>
    </row>
    <row r="371" spans="1:27">
      <c r="A371" s="319"/>
      <c r="B371" s="623"/>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c r="AA371" s="301"/>
    </row>
    <row r="372" spans="1:27">
      <c r="A372" s="319"/>
      <c r="B372" s="623"/>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c r="AA372" s="301"/>
    </row>
    <row r="373" spans="1:27">
      <c r="A373" s="319"/>
      <c r="B373" s="623"/>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c r="AA373" s="301"/>
    </row>
    <row r="374" spans="1:27">
      <c r="A374" s="319"/>
      <c r="B374" s="623"/>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c r="AA374" s="301"/>
    </row>
    <row r="375" spans="1:27">
      <c r="A375" s="319"/>
      <c r="B375" s="623"/>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c r="AA375" s="301"/>
    </row>
    <row r="376" spans="1:27">
      <c r="A376" s="319"/>
      <c r="B376" s="623"/>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c r="AA376" s="301"/>
    </row>
    <row r="377" spans="1:27">
      <c r="A377" s="319"/>
      <c r="B377" s="623"/>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c r="AA377" s="301"/>
    </row>
    <row r="378" spans="1:27">
      <c r="A378" s="319"/>
      <c r="B378" s="623"/>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c r="AA378" s="301"/>
    </row>
    <row r="379" spans="1:27">
      <c r="A379" s="319"/>
      <c r="B379" s="623"/>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c r="AA379" s="301"/>
    </row>
    <row r="380" spans="1:27">
      <c r="A380" s="319"/>
      <c r="B380" s="623"/>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c r="AA380" s="301"/>
    </row>
    <row r="381" spans="1:27">
      <c r="A381" s="319"/>
      <c r="B381" s="623"/>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c r="AA381" s="301"/>
    </row>
    <row r="382" spans="1:27">
      <c r="A382" s="319"/>
      <c r="B382" s="623"/>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c r="AA382" s="301"/>
    </row>
    <row r="383" spans="1:27">
      <c r="A383" s="319"/>
      <c r="B383" s="623"/>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c r="AA383" s="301"/>
    </row>
    <row r="384" spans="1:27">
      <c r="A384" s="319"/>
      <c r="B384" s="623"/>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c r="AA384" s="301"/>
    </row>
    <row r="385" spans="1:27">
      <c r="A385" s="319"/>
      <c r="B385" s="623"/>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c r="AA385" s="301"/>
    </row>
    <row r="386" spans="1:27">
      <c r="A386" s="319"/>
      <c r="B386" s="623"/>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c r="AA386" s="301"/>
    </row>
    <row r="387" spans="1:27">
      <c r="A387" s="319"/>
      <c r="B387" s="623"/>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c r="AA387" s="301"/>
    </row>
    <row r="388" spans="1:27">
      <c r="A388" s="319"/>
      <c r="B388" s="623"/>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c r="AA388" s="301"/>
    </row>
    <row r="389" spans="1:27">
      <c r="A389" s="319"/>
      <c r="B389" s="623"/>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c r="AA389" s="301"/>
    </row>
    <row r="390" spans="1:27">
      <c r="A390" s="319"/>
      <c r="B390" s="623"/>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c r="AA390" s="301"/>
    </row>
    <row r="391" spans="1:27">
      <c r="A391" s="319"/>
      <c r="B391" s="623"/>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c r="AA391" s="301"/>
    </row>
    <row r="392" spans="1:27">
      <c r="A392" s="319"/>
      <c r="B392" s="623"/>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c r="AA392" s="301"/>
    </row>
    <row r="393" spans="1:27">
      <c r="A393" s="319"/>
      <c r="B393" s="623"/>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c r="AA393" s="301"/>
    </row>
    <row r="394" spans="1:27">
      <c r="A394" s="319"/>
      <c r="B394" s="623"/>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c r="AA394" s="301"/>
    </row>
    <row r="395" spans="1:27">
      <c r="A395" s="319"/>
      <c r="B395" s="623"/>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c r="AA395" s="301"/>
    </row>
    <row r="396" spans="1:27">
      <c r="A396" s="319"/>
      <c r="B396" s="623"/>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c r="AA396" s="301"/>
    </row>
    <row r="397" spans="1:27">
      <c r="A397" s="319"/>
      <c r="B397" s="623"/>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c r="AA397" s="301"/>
    </row>
    <row r="398" spans="1:27">
      <c r="A398" s="319"/>
      <c r="B398" s="623"/>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c r="AA398" s="301"/>
    </row>
    <row r="399" spans="1:27">
      <c r="A399" s="319"/>
      <c r="B399" s="623"/>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c r="AA399" s="301"/>
    </row>
    <row r="400" spans="1:27">
      <c r="A400" s="319"/>
      <c r="B400" s="623"/>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c r="AA400" s="301"/>
    </row>
    <row r="401" spans="1:27">
      <c r="A401" s="319"/>
      <c r="B401" s="623"/>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c r="AA401" s="301"/>
    </row>
    <row r="402" spans="1:27">
      <c r="A402" s="319"/>
      <c r="B402" s="623"/>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c r="AA402" s="301"/>
    </row>
    <row r="403" spans="1:27">
      <c r="A403" s="319"/>
      <c r="B403" s="623"/>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c r="AA403" s="301"/>
    </row>
    <row r="404" spans="1:27">
      <c r="A404" s="319"/>
      <c r="B404" s="623"/>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c r="AA404" s="301"/>
    </row>
    <row r="405" spans="1:27">
      <c r="A405" s="319"/>
      <c r="B405" s="623"/>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c r="AA405" s="301"/>
    </row>
    <row r="406" spans="1:27">
      <c r="A406" s="319"/>
      <c r="B406" s="623"/>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c r="AA406" s="301"/>
    </row>
    <row r="407" spans="1:27">
      <c r="A407" s="319"/>
      <c r="B407" s="623"/>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c r="AA407" s="301"/>
    </row>
    <row r="408" spans="1:27">
      <c r="A408" s="319"/>
      <c r="B408" s="623"/>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c r="AA408" s="301"/>
    </row>
    <row r="409" spans="1:27">
      <c r="A409" s="319"/>
      <c r="B409" s="623"/>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c r="AA409" s="301"/>
    </row>
    <row r="410" spans="1:27">
      <c r="A410" s="319"/>
      <c r="B410" s="623"/>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c r="AA410" s="301"/>
    </row>
    <row r="411" spans="1:27">
      <c r="A411" s="319"/>
      <c r="B411" s="623"/>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c r="AA411" s="301"/>
    </row>
    <row r="412" spans="1:27">
      <c r="A412" s="319"/>
      <c r="B412" s="623"/>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c r="AA412" s="301"/>
    </row>
    <row r="413" spans="1:27">
      <c r="A413" s="319"/>
      <c r="B413" s="623"/>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c r="AA413" s="301"/>
    </row>
    <row r="414" spans="1:27">
      <c r="A414" s="319"/>
      <c r="B414" s="623"/>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c r="AA414" s="301"/>
    </row>
    <row r="415" spans="1:27">
      <c r="A415" s="319"/>
      <c r="B415" s="623"/>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c r="AA415" s="301"/>
    </row>
    <row r="416" spans="1:27">
      <c r="A416" s="319"/>
      <c r="B416" s="623"/>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c r="AA416" s="301"/>
    </row>
    <row r="417" spans="1:27">
      <c r="A417" s="319"/>
      <c r="B417" s="623"/>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c r="AA417" s="301"/>
    </row>
    <row r="418" spans="1:27">
      <c r="A418" s="319"/>
      <c r="B418" s="623"/>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c r="AA418" s="301"/>
    </row>
    <row r="419" spans="1:27">
      <c r="A419" s="319"/>
      <c r="B419" s="623"/>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c r="AA419" s="301"/>
    </row>
    <row r="420" spans="1:27">
      <c r="A420" s="319"/>
      <c r="B420" s="623"/>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c r="AA420" s="301"/>
    </row>
    <row r="421" spans="1:27">
      <c r="A421" s="319"/>
      <c r="B421" s="623"/>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c r="AA421" s="301"/>
    </row>
    <row r="422" spans="1:27">
      <c r="A422" s="319"/>
      <c r="B422" s="623"/>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c r="AA422" s="301"/>
    </row>
    <row r="423" spans="1:27">
      <c r="A423" s="319"/>
      <c r="B423" s="623"/>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c r="AA423" s="301"/>
    </row>
    <row r="424" spans="1:27">
      <c r="A424" s="319"/>
      <c r="B424" s="623"/>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c r="AA424" s="301"/>
    </row>
    <row r="425" spans="1:27">
      <c r="A425" s="319"/>
      <c r="B425" s="623"/>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c r="AA425" s="301"/>
    </row>
    <row r="426" spans="1:27">
      <c r="A426" s="319"/>
      <c r="B426" s="623"/>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c r="AA426" s="301"/>
    </row>
    <row r="427" spans="1:27">
      <c r="A427" s="319"/>
      <c r="B427" s="623"/>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c r="AA427" s="301"/>
    </row>
    <row r="428" spans="1:27">
      <c r="A428" s="319"/>
      <c r="B428" s="623"/>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c r="AA428" s="301"/>
    </row>
    <row r="429" spans="1:27">
      <c r="A429" s="319"/>
      <c r="B429" s="623"/>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c r="AA429" s="301"/>
    </row>
    <row r="430" spans="1:27">
      <c r="A430" s="319"/>
      <c r="B430" s="623"/>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c r="AA430" s="301"/>
    </row>
    <row r="431" spans="1:27">
      <c r="A431" s="319"/>
      <c r="B431" s="623"/>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c r="AA431" s="301"/>
    </row>
    <row r="432" spans="1:27">
      <c r="A432" s="319"/>
      <c r="B432" s="623"/>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c r="AA432" s="301"/>
    </row>
    <row r="433" spans="1:27">
      <c r="A433" s="319"/>
      <c r="B433" s="623"/>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c r="AA433" s="301"/>
    </row>
    <row r="434" spans="1:27">
      <c r="A434" s="319"/>
      <c r="B434" s="623"/>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c r="AA434" s="301"/>
    </row>
    <row r="435" spans="1:27">
      <c r="A435" s="319"/>
      <c r="B435" s="623"/>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c r="AA435" s="301"/>
    </row>
    <row r="436" spans="1:27">
      <c r="A436" s="319"/>
      <c r="B436" s="623"/>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c r="AA436" s="301"/>
    </row>
    <row r="437" spans="1:27">
      <c r="A437" s="319"/>
      <c r="B437" s="623"/>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c r="AA437" s="301"/>
    </row>
    <row r="438" spans="1:27">
      <c r="A438" s="319"/>
      <c r="B438" s="623"/>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c r="AA438" s="301"/>
    </row>
    <row r="439" spans="1:27">
      <c r="A439" s="319"/>
      <c r="B439" s="623"/>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c r="AA439" s="301"/>
    </row>
    <row r="440" spans="1:27">
      <c r="A440" s="319"/>
      <c r="B440" s="623"/>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c r="AA440" s="301"/>
    </row>
    <row r="441" spans="1:27">
      <c r="A441" s="319"/>
      <c r="B441" s="623"/>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c r="AA441" s="301"/>
    </row>
    <row r="442" spans="1:27">
      <c r="A442" s="319"/>
      <c r="B442" s="623"/>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c r="AA442" s="301"/>
    </row>
    <row r="443" spans="1:27">
      <c r="A443" s="319"/>
      <c r="B443" s="623"/>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c r="AA443" s="301"/>
    </row>
    <row r="444" spans="1:27">
      <c r="A444" s="319"/>
      <c r="B444" s="623"/>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c r="AA444" s="301"/>
    </row>
    <row r="445" spans="1:27">
      <c r="A445" s="319"/>
      <c r="B445" s="623"/>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c r="AA445" s="301"/>
    </row>
    <row r="446" spans="1:27">
      <c r="A446" s="319"/>
      <c r="B446" s="623"/>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c r="AA446" s="301"/>
    </row>
    <row r="447" spans="1:27">
      <c r="A447" s="319"/>
      <c r="B447" s="623"/>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c r="AA447" s="301"/>
    </row>
    <row r="448" spans="1:27">
      <c r="A448" s="319"/>
      <c r="B448" s="623"/>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c r="AA448" s="301"/>
    </row>
    <row r="449" spans="1:27">
      <c r="A449" s="319"/>
      <c r="B449" s="623"/>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c r="AA449" s="301"/>
    </row>
    <row r="450" spans="1:27">
      <c r="A450" s="319"/>
      <c r="B450" s="623"/>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c r="AA450" s="301"/>
    </row>
    <row r="451" spans="1:27">
      <c r="A451" s="319"/>
      <c r="B451" s="623"/>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c r="AA451" s="301"/>
    </row>
    <row r="452" spans="1:27">
      <c r="A452" s="319"/>
      <c r="B452" s="623"/>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c r="AA452" s="301"/>
    </row>
    <row r="453" spans="1:27">
      <c r="A453" s="319"/>
      <c r="B453" s="623"/>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c r="AA453" s="301"/>
    </row>
    <row r="454" spans="1:27">
      <c r="A454" s="319"/>
      <c r="B454" s="623"/>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c r="AA454" s="301"/>
    </row>
    <row r="455" spans="1:27">
      <c r="A455" s="319"/>
      <c r="B455" s="623"/>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c r="AA455" s="301"/>
    </row>
    <row r="456" spans="1:27">
      <c r="A456" s="319"/>
      <c r="B456" s="623"/>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c r="AA456" s="301"/>
    </row>
    <row r="457" spans="1:27">
      <c r="A457" s="319"/>
      <c r="B457" s="623"/>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c r="AA457" s="301"/>
    </row>
    <row r="458" spans="1:27">
      <c r="A458" s="319"/>
      <c r="B458" s="623"/>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c r="AA458" s="301"/>
    </row>
    <row r="459" spans="1:27">
      <c r="A459" s="319"/>
      <c r="B459" s="623"/>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c r="AA459" s="301"/>
    </row>
    <row r="460" spans="1:27">
      <c r="A460" s="319"/>
      <c r="B460" s="623"/>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c r="AA460" s="301"/>
    </row>
    <row r="461" spans="1:27">
      <c r="A461" s="319"/>
      <c r="B461" s="623"/>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c r="AA461" s="301"/>
    </row>
    <row r="462" spans="1:27">
      <c r="A462" s="319"/>
      <c r="B462" s="623"/>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c r="AA462" s="301"/>
    </row>
    <row r="463" spans="1:27">
      <c r="A463" s="319"/>
      <c r="B463" s="623"/>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c r="AA463" s="301"/>
    </row>
    <row r="464" spans="1:27">
      <c r="A464" s="319"/>
      <c r="B464" s="623"/>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c r="AA464" s="301"/>
    </row>
    <row r="465" spans="1:27">
      <c r="A465" s="319"/>
      <c r="B465" s="623"/>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c r="AA465" s="301"/>
    </row>
    <row r="466" spans="1:27">
      <c r="A466" s="319"/>
      <c r="B466" s="623"/>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c r="AA466" s="301"/>
    </row>
    <row r="467" spans="1:27">
      <c r="A467" s="319"/>
      <c r="B467" s="623"/>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c r="AA467" s="301"/>
    </row>
    <row r="468" spans="1:27">
      <c r="A468" s="319"/>
      <c r="B468" s="623"/>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c r="AA468" s="301"/>
    </row>
    <row r="469" spans="1:27">
      <c r="A469" s="319"/>
      <c r="B469" s="623"/>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c r="AA469" s="301"/>
    </row>
    <row r="470" spans="1:27">
      <c r="A470" s="319"/>
      <c r="B470" s="623"/>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c r="AA470" s="301"/>
    </row>
    <row r="471" spans="1:27">
      <c r="A471" s="319"/>
      <c r="B471" s="623"/>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c r="AA471" s="301"/>
    </row>
    <row r="472" spans="1:27">
      <c r="A472" s="319"/>
      <c r="B472" s="623"/>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c r="AA472" s="301"/>
    </row>
    <row r="473" spans="1:27">
      <c r="A473" s="319"/>
      <c r="B473" s="623"/>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c r="AA473" s="301"/>
    </row>
    <row r="474" spans="1:27">
      <c r="A474" s="319"/>
      <c r="B474" s="623"/>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c r="AA474" s="301"/>
    </row>
    <row r="475" spans="1:27">
      <c r="A475" s="319"/>
      <c r="B475" s="623"/>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c r="AA475" s="301"/>
    </row>
    <row r="476" spans="1:27">
      <c r="A476" s="319"/>
      <c r="B476" s="623"/>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c r="AA476" s="301"/>
    </row>
    <row r="477" spans="1:27">
      <c r="A477" s="319"/>
      <c r="B477" s="623"/>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c r="AA477" s="301"/>
    </row>
    <row r="478" spans="1:27">
      <c r="A478" s="319"/>
      <c r="B478" s="623"/>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c r="AA478" s="301"/>
    </row>
    <row r="479" spans="1:27">
      <c r="A479" s="319"/>
      <c r="B479" s="623"/>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c r="AA479" s="301"/>
    </row>
    <row r="480" spans="1:27">
      <c r="A480" s="319"/>
      <c r="B480" s="623"/>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c r="AA480" s="301"/>
    </row>
    <row r="481" spans="1:27">
      <c r="A481" s="319"/>
      <c r="B481" s="623"/>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c r="AA481" s="301"/>
    </row>
    <row r="482" spans="1:27">
      <c r="A482" s="319"/>
      <c r="B482" s="623"/>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c r="AA482" s="301"/>
    </row>
    <row r="483" spans="1:27">
      <c r="A483" s="319"/>
      <c r="B483" s="623"/>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c r="AA483" s="301"/>
    </row>
    <row r="484" spans="1:27">
      <c r="A484" s="319"/>
      <c r="B484" s="623"/>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c r="AA484" s="301"/>
    </row>
    <row r="485" spans="1:27">
      <c r="A485" s="319"/>
      <c r="B485" s="623"/>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c r="AA485" s="301"/>
    </row>
    <row r="486" spans="1:27">
      <c r="A486" s="319"/>
      <c r="B486" s="623"/>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c r="AA486" s="301"/>
    </row>
    <row r="487" spans="1:27">
      <c r="A487" s="319"/>
      <c r="B487" s="623"/>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c r="AA487" s="301"/>
    </row>
    <row r="488" spans="1:27">
      <c r="A488" s="319"/>
      <c r="B488" s="623"/>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c r="AA488" s="301"/>
    </row>
    <row r="489" spans="1:27">
      <c r="A489" s="319"/>
      <c r="B489" s="623"/>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c r="AA489" s="301"/>
    </row>
    <row r="490" spans="1:27">
      <c r="A490" s="319"/>
      <c r="B490" s="623"/>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c r="AA490" s="301"/>
    </row>
    <row r="491" spans="1:27">
      <c r="A491" s="319"/>
      <c r="B491" s="623"/>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c r="AA491" s="301"/>
    </row>
    <row r="492" spans="1:27">
      <c r="A492" s="319"/>
      <c r="B492" s="623"/>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c r="AA492" s="301"/>
    </row>
    <row r="493" spans="1:27">
      <c r="A493" s="319"/>
      <c r="B493" s="623"/>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c r="AA493" s="301"/>
    </row>
    <row r="494" spans="1:27">
      <c r="A494" s="319"/>
      <c r="B494" s="623"/>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c r="AA494" s="301"/>
    </row>
    <row r="495" spans="1:27">
      <c r="A495" s="319"/>
      <c r="B495" s="623"/>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c r="AA495" s="301"/>
    </row>
    <row r="496" spans="1:27">
      <c r="A496" s="319"/>
      <c r="B496" s="623"/>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c r="AA496" s="301"/>
    </row>
    <row r="497" spans="1:27">
      <c r="A497" s="319"/>
      <c r="B497" s="623"/>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c r="AA497" s="301"/>
    </row>
    <row r="498" spans="1:27">
      <c r="A498" s="319"/>
      <c r="B498" s="623"/>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c r="AA498" s="301"/>
    </row>
    <row r="499" spans="1:27">
      <c r="A499" s="319"/>
      <c r="B499" s="623"/>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c r="AA499" s="301"/>
    </row>
    <row r="500" spans="1:27">
      <c r="A500" s="319"/>
      <c r="B500" s="623"/>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c r="AA500" s="301"/>
    </row>
    <row r="501" spans="1:27">
      <c r="A501" s="319"/>
      <c r="B501" s="623"/>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c r="AA501" s="301"/>
    </row>
    <row r="502" spans="1:27">
      <c r="A502" s="319"/>
      <c r="B502" s="623"/>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c r="AA502" s="301"/>
    </row>
    <row r="503" spans="1:27">
      <c r="A503" s="319"/>
      <c r="B503" s="623"/>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c r="AA503" s="301"/>
    </row>
    <row r="504" spans="1:27">
      <c r="A504" s="319"/>
      <c r="B504" s="623"/>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c r="AA504" s="301"/>
    </row>
    <row r="505" spans="1:27">
      <c r="A505" s="319"/>
      <c r="B505" s="623"/>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c r="AA505" s="301"/>
    </row>
    <row r="506" spans="1:27">
      <c r="A506" s="319"/>
      <c r="B506" s="623"/>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c r="AA506" s="301"/>
    </row>
    <row r="507" spans="1:27">
      <c r="A507" s="319"/>
      <c r="B507" s="623"/>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c r="AA507" s="301"/>
    </row>
    <row r="508" spans="1:27">
      <c r="A508" s="319"/>
      <c r="B508" s="623"/>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c r="AA508" s="301"/>
    </row>
    <row r="509" spans="1:27">
      <c r="A509" s="319"/>
      <c r="B509" s="623"/>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c r="AA509" s="301"/>
    </row>
    <row r="510" spans="1:27">
      <c r="A510" s="319"/>
      <c r="B510" s="623"/>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c r="AA510" s="301"/>
    </row>
    <row r="511" spans="1:27">
      <c r="A511" s="319"/>
      <c r="B511" s="623"/>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c r="AA511" s="301"/>
    </row>
    <row r="512" spans="1:27">
      <c r="A512" s="319"/>
      <c r="B512" s="623"/>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c r="AA512" s="301"/>
    </row>
    <row r="513" spans="1:27">
      <c r="A513" s="319"/>
      <c r="B513" s="623"/>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c r="AA513" s="301"/>
    </row>
    <row r="514" spans="1:27">
      <c r="A514" s="319"/>
      <c r="B514" s="623"/>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c r="AA514" s="301"/>
    </row>
    <row r="515" spans="1:27">
      <c r="A515" s="319"/>
      <c r="B515" s="623"/>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c r="AA515" s="301"/>
    </row>
    <row r="516" spans="1:27">
      <c r="A516" s="319"/>
      <c r="B516" s="623"/>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c r="AA516" s="301"/>
    </row>
    <row r="517" spans="1:27">
      <c r="A517" s="319"/>
      <c r="B517" s="623"/>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c r="AA517" s="301"/>
    </row>
    <row r="518" spans="1:27">
      <c r="A518" s="319"/>
      <c r="B518" s="623"/>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c r="AA518" s="301"/>
    </row>
    <row r="519" spans="1:27">
      <c r="A519" s="319"/>
      <c r="B519" s="623"/>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c r="AA519" s="301"/>
    </row>
    <row r="520" spans="1:27">
      <c r="A520" s="319"/>
      <c r="B520" s="623"/>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c r="AA520" s="301"/>
    </row>
    <row r="521" spans="1:27">
      <c r="A521" s="319"/>
      <c r="B521" s="623"/>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c r="AA521" s="301"/>
    </row>
    <row r="522" spans="1:27">
      <c r="A522" s="319"/>
      <c r="B522" s="623"/>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c r="AA522" s="301"/>
    </row>
    <row r="523" spans="1:27">
      <c r="A523" s="319"/>
      <c r="B523" s="623"/>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c r="AA523" s="301"/>
    </row>
    <row r="524" spans="1:27">
      <c r="A524" s="319"/>
      <c r="B524" s="623"/>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c r="AA524" s="301"/>
    </row>
    <row r="525" spans="1:27">
      <c r="A525" s="319"/>
      <c r="B525" s="623"/>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c r="AA525" s="301"/>
    </row>
    <row r="526" spans="1:27">
      <c r="A526" s="319"/>
      <c r="B526" s="623"/>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c r="AA526" s="301"/>
    </row>
    <row r="527" spans="1:27">
      <c r="A527" s="319"/>
      <c r="B527" s="623"/>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c r="AA527" s="301"/>
    </row>
    <row r="528" spans="1:27">
      <c r="A528" s="319"/>
      <c r="B528" s="623"/>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c r="AA528" s="301"/>
    </row>
    <row r="529" spans="1:27">
      <c r="A529" s="319"/>
      <c r="B529" s="623"/>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c r="AA529" s="301"/>
    </row>
    <row r="530" spans="1:27">
      <c r="A530" s="319"/>
      <c r="B530" s="623"/>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c r="AA530" s="301"/>
    </row>
    <row r="531" spans="1:27">
      <c r="A531" s="319"/>
      <c r="B531" s="623"/>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c r="AA531" s="301"/>
    </row>
    <row r="532" spans="1:27">
      <c r="A532" s="319"/>
      <c r="B532" s="623"/>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c r="AA532" s="301"/>
    </row>
    <row r="533" spans="1:27">
      <c r="A533" s="319"/>
      <c r="B533" s="623"/>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c r="AA533" s="301"/>
    </row>
    <row r="534" spans="1:27">
      <c r="A534" s="319"/>
      <c r="B534" s="623"/>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c r="AA534" s="301"/>
    </row>
    <row r="535" spans="1:27">
      <c r="A535" s="319"/>
      <c r="B535" s="623"/>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c r="AA535" s="301"/>
    </row>
    <row r="536" spans="1:27">
      <c r="A536" s="319"/>
      <c r="B536" s="623"/>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c r="AA536" s="301"/>
    </row>
    <row r="537" spans="1:27">
      <c r="A537" s="319"/>
      <c r="B537" s="623"/>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c r="AA537" s="301"/>
    </row>
    <row r="538" spans="1:27">
      <c r="A538" s="319"/>
      <c r="B538" s="623"/>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c r="AA538" s="301"/>
    </row>
    <row r="539" spans="1:27">
      <c r="A539" s="319"/>
      <c r="B539" s="623"/>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c r="AA539" s="301"/>
    </row>
    <row r="540" spans="1:27">
      <c r="A540" s="319"/>
      <c r="B540" s="623"/>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c r="AA540" s="301"/>
    </row>
    <row r="541" spans="1:27">
      <c r="A541" s="319"/>
      <c r="B541" s="623"/>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c r="AA541" s="301"/>
    </row>
    <row r="542" spans="1:27">
      <c r="A542" s="319"/>
      <c r="B542" s="623"/>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c r="AA542" s="301"/>
    </row>
    <row r="543" spans="1:27">
      <c r="A543" s="319"/>
      <c r="B543" s="623"/>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c r="AA543" s="301"/>
    </row>
    <row r="544" spans="1:27">
      <c r="A544" s="319"/>
      <c r="B544" s="623"/>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c r="AA544" s="301"/>
    </row>
    <row r="545" spans="1:27">
      <c r="A545" s="319"/>
      <c r="B545" s="623"/>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c r="AA545" s="301"/>
    </row>
    <row r="546" spans="1:27">
      <c r="A546" s="319"/>
      <c r="B546" s="623"/>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c r="AA546" s="301"/>
    </row>
    <row r="547" spans="1:27">
      <c r="A547" s="319"/>
      <c r="B547" s="623"/>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c r="AA547" s="301"/>
    </row>
    <row r="548" spans="1:27">
      <c r="A548" s="319"/>
      <c r="B548" s="623"/>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c r="AA548" s="301"/>
    </row>
    <row r="549" spans="1:27">
      <c r="A549" s="319"/>
      <c r="B549" s="623"/>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c r="AA549" s="301"/>
    </row>
    <row r="550" spans="1:27">
      <c r="A550" s="319"/>
      <c r="B550" s="623"/>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c r="AA550" s="301"/>
    </row>
    <row r="551" spans="1:27">
      <c r="A551" s="319"/>
      <c r="B551" s="623"/>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c r="AA551" s="301"/>
    </row>
    <row r="552" spans="1:27">
      <c r="A552" s="319"/>
      <c r="B552" s="623"/>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c r="AA552" s="301"/>
    </row>
    <row r="553" spans="1:27">
      <c r="A553" s="319"/>
      <c r="B553" s="623"/>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c r="AA553" s="301"/>
    </row>
    <row r="554" spans="1:27">
      <c r="A554" s="319"/>
      <c r="B554" s="623"/>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c r="AA554" s="301"/>
    </row>
    <row r="555" spans="1:27">
      <c r="A555" s="319"/>
      <c r="B555" s="623"/>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c r="AA555" s="301"/>
    </row>
    <row r="556" spans="1:27">
      <c r="A556" s="319"/>
      <c r="B556" s="623"/>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c r="AA556" s="301"/>
    </row>
    <row r="557" spans="1:27">
      <c r="A557" s="319"/>
      <c r="B557" s="623"/>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c r="AA557" s="301"/>
    </row>
    <row r="558" spans="1:27">
      <c r="A558" s="319"/>
      <c r="B558" s="623"/>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c r="AA558" s="301"/>
    </row>
    <row r="559" spans="1:27">
      <c r="A559" s="319"/>
      <c r="B559" s="623"/>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c r="AA559" s="301"/>
    </row>
    <row r="560" spans="1:27">
      <c r="A560" s="319"/>
      <c r="B560" s="623"/>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c r="AA560" s="301"/>
    </row>
    <row r="561" spans="1:27">
      <c r="A561" s="319"/>
      <c r="B561" s="623"/>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c r="AA561" s="301"/>
    </row>
    <row r="562" spans="1:27">
      <c r="A562" s="319"/>
      <c r="B562" s="623"/>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c r="AA562" s="301"/>
    </row>
    <row r="563" spans="1:27">
      <c r="A563" s="319"/>
      <c r="B563" s="623"/>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c r="AA563" s="301"/>
    </row>
    <row r="564" spans="1:27">
      <c r="A564" s="319"/>
      <c r="B564" s="623"/>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c r="AA564" s="301"/>
    </row>
    <row r="565" spans="1:27">
      <c r="A565" s="319"/>
      <c r="B565" s="623"/>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c r="AA565" s="301"/>
    </row>
    <row r="566" spans="1:27">
      <c r="A566" s="319"/>
      <c r="B566" s="623"/>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c r="AA566" s="301"/>
    </row>
    <row r="567" spans="1:27">
      <c r="A567" s="319"/>
      <c r="B567" s="623"/>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c r="AA567" s="301"/>
    </row>
    <row r="568" spans="1:27">
      <c r="A568" s="319"/>
      <c r="B568" s="623"/>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c r="AA568" s="301"/>
    </row>
    <row r="569" spans="1:27">
      <c r="A569" s="319"/>
      <c r="B569" s="623"/>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c r="AA569" s="301"/>
    </row>
    <row r="570" spans="1:27">
      <c r="A570" s="319"/>
      <c r="B570" s="623"/>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c r="AA570" s="301"/>
    </row>
    <row r="571" spans="1:27">
      <c r="A571" s="319"/>
      <c r="B571" s="623"/>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c r="AA571" s="301"/>
    </row>
    <row r="572" spans="1:27">
      <c r="A572" s="319"/>
      <c r="B572" s="623"/>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c r="AA572" s="301"/>
    </row>
    <row r="573" spans="1:27">
      <c r="A573" s="319"/>
      <c r="B573" s="623"/>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c r="AA573" s="301"/>
    </row>
    <row r="574" spans="1:27">
      <c r="A574" s="319"/>
      <c r="B574" s="623"/>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c r="AA574" s="301"/>
    </row>
    <row r="575" spans="1:27">
      <c r="A575" s="319"/>
      <c r="B575" s="623"/>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c r="AA575" s="301"/>
    </row>
    <row r="576" spans="1:27">
      <c r="A576" s="319"/>
      <c r="B576" s="623"/>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c r="AA576" s="301"/>
    </row>
    <row r="577" spans="1:27">
      <c r="A577" s="319"/>
      <c r="B577" s="623"/>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c r="AA577" s="301"/>
    </row>
    <row r="578" spans="1:27">
      <c r="A578" s="319"/>
      <c r="B578" s="623"/>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c r="AA578" s="301"/>
    </row>
    <row r="579" spans="1:27">
      <c r="A579" s="319"/>
      <c r="B579" s="623"/>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c r="AA579" s="301"/>
    </row>
    <row r="580" spans="1:27">
      <c r="A580" s="319"/>
      <c r="B580" s="623"/>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c r="AA580" s="301"/>
    </row>
    <row r="581" spans="1:27">
      <c r="A581" s="319"/>
      <c r="B581" s="623"/>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c r="AA581" s="301"/>
    </row>
    <row r="582" spans="1:27">
      <c r="A582" s="319"/>
      <c r="B582" s="623"/>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c r="AA582" s="301"/>
    </row>
    <row r="583" spans="1:27">
      <c r="A583" s="319"/>
      <c r="B583" s="623"/>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c r="AA583" s="301"/>
    </row>
    <row r="584" spans="1:27">
      <c r="A584" s="319"/>
      <c r="B584" s="623"/>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c r="AA584" s="301"/>
    </row>
    <row r="585" spans="1:27">
      <c r="A585" s="319"/>
      <c r="B585" s="623"/>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c r="AA585" s="301"/>
    </row>
    <row r="586" spans="1:27">
      <c r="A586" s="319"/>
      <c r="B586" s="623"/>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c r="AA586" s="301"/>
    </row>
    <row r="587" spans="1:27">
      <c r="A587" s="319"/>
      <c r="B587" s="623"/>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c r="AA587" s="301"/>
    </row>
    <row r="588" spans="1:27">
      <c r="A588" s="319"/>
      <c r="B588" s="623"/>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c r="AA588" s="301"/>
    </row>
    <row r="589" spans="1:27">
      <c r="A589" s="319"/>
      <c r="B589" s="623"/>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c r="AA589" s="301"/>
    </row>
    <row r="590" spans="1:27">
      <c r="A590" s="319"/>
      <c r="B590" s="623"/>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c r="AA590" s="301"/>
    </row>
    <row r="591" spans="1:27">
      <c r="A591" s="319"/>
      <c r="B591" s="623"/>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c r="AA591" s="301"/>
    </row>
    <row r="592" spans="1:27">
      <c r="A592" s="319"/>
      <c r="B592" s="623"/>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c r="AA592" s="301"/>
    </row>
    <row r="593" spans="1:27">
      <c r="A593" s="319"/>
      <c r="B593" s="623"/>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c r="AA593" s="301"/>
    </row>
    <row r="594" spans="1:27">
      <c r="A594" s="319"/>
      <c r="B594" s="623"/>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c r="AA594" s="301"/>
    </row>
    <row r="595" spans="1:27">
      <c r="A595" s="319"/>
      <c r="B595" s="623"/>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c r="AA595" s="301"/>
    </row>
    <row r="596" spans="1:27">
      <c r="A596" s="319"/>
      <c r="B596" s="623"/>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c r="AA596" s="301"/>
    </row>
    <row r="597" spans="1:27">
      <c r="A597" s="319"/>
      <c r="B597" s="623"/>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c r="AA597" s="301"/>
    </row>
    <row r="598" spans="1:27">
      <c r="A598" s="319"/>
      <c r="B598" s="623"/>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c r="AA598" s="301"/>
    </row>
    <row r="599" spans="1:27">
      <c r="A599" s="319"/>
      <c r="B599" s="623"/>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c r="AA599" s="301"/>
    </row>
    <row r="600" spans="1:27">
      <c r="A600" s="319"/>
      <c r="B600" s="623"/>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c r="AA600" s="301"/>
    </row>
    <row r="601" spans="1:27">
      <c r="A601" s="319"/>
      <c r="B601" s="623"/>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c r="AA601" s="301"/>
    </row>
    <row r="602" spans="1:27">
      <c r="A602" s="319"/>
      <c r="B602" s="623"/>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c r="AA602" s="301"/>
    </row>
    <row r="603" spans="1:27">
      <c r="A603" s="319"/>
      <c r="B603" s="623"/>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c r="AA603" s="301"/>
    </row>
    <row r="604" spans="1:27">
      <c r="A604" s="319"/>
      <c r="B604" s="623"/>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c r="AA604" s="301"/>
    </row>
    <row r="605" spans="1:27">
      <c r="A605" s="319"/>
      <c r="B605" s="623"/>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c r="AA605" s="301"/>
    </row>
    <row r="606" spans="1:27">
      <c r="A606" s="319"/>
      <c r="B606" s="623"/>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c r="AA606" s="301"/>
    </row>
    <row r="607" spans="1:27">
      <c r="A607" s="319"/>
      <c r="B607" s="623"/>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c r="AA607" s="301"/>
    </row>
    <row r="608" spans="1:27">
      <c r="A608" s="319"/>
      <c r="B608" s="623"/>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c r="AA608" s="301"/>
    </row>
    <row r="609" spans="1:27">
      <c r="A609" s="319"/>
      <c r="B609" s="623"/>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c r="AA609" s="301"/>
    </row>
    <row r="610" spans="1:27">
      <c r="A610" s="319"/>
      <c r="B610" s="623"/>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c r="AA610" s="301"/>
    </row>
    <row r="611" spans="1:27">
      <c r="A611" s="319"/>
      <c r="B611" s="623"/>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c r="AA611" s="301"/>
    </row>
    <row r="612" spans="1:27">
      <c r="A612" s="319"/>
      <c r="B612" s="623"/>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c r="AA612" s="301"/>
    </row>
    <row r="613" spans="1:27">
      <c r="A613" s="319"/>
      <c r="B613" s="623"/>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c r="AA613" s="301"/>
    </row>
    <row r="614" spans="1:27">
      <c r="A614" s="319"/>
      <c r="B614" s="623"/>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c r="AA614" s="301"/>
    </row>
    <row r="615" spans="1:27">
      <c r="A615" s="319"/>
      <c r="B615" s="623"/>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c r="AA615" s="301"/>
    </row>
    <row r="616" spans="1:27">
      <c r="A616" s="319"/>
      <c r="B616" s="623"/>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c r="AA616" s="301"/>
    </row>
    <row r="617" spans="1:27">
      <c r="A617" s="319"/>
      <c r="B617" s="623"/>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c r="AA617" s="301"/>
    </row>
    <row r="618" spans="1:27">
      <c r="A618" s="319"/>
      <c r="B618" s="623"/>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c r="AA618" s="301"/>
    </row>
    <row r="619" spans="1:27">
      <c r="A619" s="319"/>
      <c r="B619" s="623"/>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c r="AA619" s="301"/>
    </row>
    <row r="620" spans="1:27">
      <c r="A620" s="319"/>
      <c r="B620" s="623"/>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c r="AA620" s="301"/>
    </row>
    <row r="621" spans="1:27">
      <c r="A621" s="319"/>
      <c r="B621" s="623"/>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c r="AA621" s="301"/>
    </row>
    <row r="622" spans="1:27">
      <c r="A622" s="319"/>
      <c r="B622" s="623"/>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c r="AA622" s="301"/>
    </row>
    <row r="623" spans="1:27">
      <c r="A623" s="319"/>
      <c r="B623" s="623"/>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c r="AA623" s="301"/>
    </row>
    <row r="624" spans="1:27">
      <c r="A624" s="319"/>
      <c r="B624" s="623"/>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c r="AA624" s="301"/>
    </row>
    <row r="625" spans="1:27">
      <c r="A625" s="319"/>
      <c r="B625" s="623"/>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c r="AA625" s="301"/>
    </row>
    <row r="626" spans="1:27">
      <c r="A626" s="319"/>
      <c r="B626" s="623"/>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c r="AA626" s="301"/>
    </row>
    <row r="627" spans="1:27">
      <c r="A627" s="319"/>
      <c r="B627" s="623"/>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c r="AA627" s="301"/>
    </row>
    <row r="628" spans="1:27">
      <c r="A628" s="319"/>
      <c r="B628" s="623"/>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c r="AA628" s="301"/>
    </row>
    <row r="629" spans="1:27">
      <c r="A629" s="319"/>
      <c r="B629" s="623"/>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c r="AA629" s="301"/>
    </row>
    <row r="630" spans="1:27">
      <c r="A630" s="319"/>
      <c r="B630" s="623"/>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c r="AA630" s="301"/>
    </row>
    <row r="631" spans="1:27">
      <c r="A631" s="319"/>
      <c r="B631" s="623"/>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c r="AA631" s="301"/>
    </row>
    <row r="632" spans="1:27">
      <c r="A632" s="319"/>
      <c r="B632" s="623"/>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c r="AA632" s="301"/>
    </row>
    <row r="633" spans="1:27">
      <c r="A633" s="319"/>
      <c r="B633" s="623"/>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c r="AA633" s="301"/>
    </row>
    <row r="634" spans="1:27">
      <c r="A634" s="319"/>
      <c r="B634" s="623"/>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c r="AA634" s="301"/>
    </row>
    <row r="635" spans="1:27">
      <c r="A635" s="319"/>
      <c r="B635" s="623"/>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c r="AA635" s="301"/>
    </row>
    <row r="636" spans="1:27">
      <c r="A636" s="319"/>
      <c r="B636" s="623"/>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c r="AA636" s="301"/>
    </row>
    <row r="637" spans="1:27">
      <c r="A637" s="319"/>
      <c r="B637" s="623"/>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c r="AA637" s="301"/>
    </row>
    <row r="638" spans="1:27">
      <c r="A638" s="319"/>
      <c r="B638" s="623"/>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c r="AA638" s="301"/>
    </row>
    <row r="639" spans="1:27">
      <c r="A639" s="319"/>
      <c r="B639" s="623"/>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c r="AA639" s="301"/>
    </row>
    <row r="640" spans="1:27">
      <c r="A640" s="319"/>
      <c r="B640" s="623"/>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c r="AA640" s="301"/>
    </row>
    <row r="641" spans="1:27">
      <c r="A641" s="319"/>
      <c r="B641" s="623"/>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c r="AA641" s="301"/>
    </row>
    <row r="642" spans="1:27">
      <c r="A642" s="319"/>
      <c r="B642" s="623"/>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c r="AA642" s="301"/>
    </row>
    <row r="643" spans="1:27">
      <c r="A643" s="319"/>
      <c r="B643" s="623"/>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c r="AA643" s="301"/>
    </row>
    <row r="644" spans="1:27">
      <c r="A644" s="319"/>
      <c r="B644" s="623"/>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c r="AA644" s="301"/>
    </row>
    <row r="645" spans="1:27">
      <c r="A645" s="319"/>
      <c r="B645" s="623"/>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c r="AA645" s="301"/>
    </row>
    <row r="646" spans="1:27">
      <c r="A646" s="319"/>
      <c r="B646" s="623"/>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c r="AA646" s="301"/>
    </row>
    <row r="647" spans="1:27">
      <c r="A647" s="319"/>
      <c r="B647" s="623"/>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c r="AA647" s="301"/>
    </row>
    <row r="648" spans="1:27">
      <c r="A648" s="319"/>
      <c r="B648" s="623"/>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c r="AA648" s="301"/>
    </row>
    <row r="649" spans="1:27">
      <c r="A649" s="319"/>
      <c r="B649" s="623"/>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c r="AA649" s="301"/>
    </row>
    <row r="650" spans="1:27">
      <c r="A650" s="319"/>
      <c r="B650" s="623"/>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c r="AA650" s="301"/>
    </row>
    <row r="651" spans="1:27">
      <c r="A651" s="319"/>
      <c r="B651" s="623"/>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c r="AA651" s="301"/>
    </row>
    <row r="652" spans="1:27">
      <c r="A652" s="319"/>
      <c r="B652" s="623"/>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c r="AA652" s="301"/>
    </row>
    <row r="653" spans="1:27">
      <c r="A653" s="319"/>
      <c r="B653" s="623"/>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c r="AA653" s="301"/>
    </row>
    <row r="654" spans="1:27">
      <c r="A654" s="319"/>
      <c r="B654" s="623"/>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c r="AA654" s="301"/>
    </row>
    <row r="655" spans="1:27">
      <c r="A655" s="319"/>
      <c r="B655" s="623"/>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c r="AA655" s="301"/>
    </row>
    <row r="656" spans="1:27">
      <c r="A656" s="319"/>
      <c r="B656" s="623"/>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c r="AA656" s="301"/>
    </row>
    <row r="657" spans="1:27">
      <c r="A657" s="319"/>
      <c r="B657" s="623"/>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c r="AA657" s="301"/>
    </row>
    <row r="658" spans="1:27">
      <c r="A658" s="319"/>
      <c r="B658" s="623"/>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c r="AA658" s="301"/>
    </row>
    <row r="659" spans="1:27">
      <c r="A659" s="319"/>
      <c r="B659" s="623"/>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c r="AA659" s="301"/>
    </row>
    <row r="660" spans="1:27">
      <c r="A660" s="319"/>
      <c r="B660" s="623"/>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c r="AA660" s="301"/>
    </row>
    <row r="661" spans="1:27">
      <c r="A661" s="319"/>
      <c r="B661" s="623"/>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c r="AA661" s="301"/>
    </row>
    <row r="662" spans="1:27">
      <c r="A662" s="319"/>
      <c r="B662" s="623"/>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c r="AA662" s="301"/>
    </row>
    <row r="663" spans="1:27">
      <c r="A663" s="319"/>
      <c r="B663" s="623"/>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c r="AA663" s="301"/>
    </row>
    <row r="664" spans="1:27">
      <c r="A664" s="319"/>
      <c r="B664" s="623"/>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c r="AA664" s="301"/>
    </row>
    <row r="665" spans="1:27">
      <c r="A665" s="319"/>
      <c r="B665" s="623"/>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c r="AA665" s="301"/>
    </row>
    <row r="666" spans="1:27">
      <c r="A666" s="319"/>
      <c r="B666" s="623"/>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c r="AA666" s="301"/>
    </row>
    <row r="667" spans="1:27">
      <c r="A667" s="319"/>
      <c r="B667" s="623"/>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c r="AA667" s="301"/>
    </row>
    <row r="668" spans="1:27">
      <c r="A668" s="319"/>
      <c r="B668" s="623"/>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c r="AA668" s="301"/>
    </row>
    <row r="669" spans="1:27">
      <c r="A669" s="319"/>
      <c r="B669" s="623"/>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c r="AA669" s="301"/>
    </row>
    <row r="670" spans="1:27">
      <c r="A670" s="319"/>
      <c r="B670" s="623"/>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c r="AA670" s="301"/>
    </row>
    <row r="671" spans="1:27">
      <c r="A671" s="319"/>
      <c r="B671" s="623"/>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c r="AA671" s="301"/>
    </row>
    <row r="672" spans="1:27">
      <c r="A672" s="319"/>
      <c r="B672" s="623"/>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c r="AA672" s="301"/>
    </row>
    <row r="673" spans="1:27">
      <c r="A673" s="319"/>
      <c r="B673" s="623"/>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c r="AA673" s="301"/>
    </row>
    <row r="674" spans="1:27">
      <c r="A674" s="319"/>
      <c r="B674" s="623"/>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c r="AA674" s="301"/>
    </row>
    <row r="675" spans="1:27">
      <c r="A675" s="319"/>
      <c r="B675" s="623"/>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c r="AA675" s="301"/>
    </row>
    <row r="676" spans="1:27">
      <c r="A676" s="319"/>
      <c r="B676" s="623"/>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c r="AA676" s="301"/>
    </row>
    <row r="677" spans="1:27">
      <c r="A677" s="319"/>
      <c r="B677" s="623"/>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c r="AA677" s="301"/>
    </row>
    <row r="678" spans="1:27">
      <c r="A678" s="319"/>
      <c r="B678" s="623"/>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c r="AA678" s="301"/>
    </row>
    <row r="679" spans="1:27">
      <c r="A679" s="319"/>
      <c r="B679" s="623"/>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c r="AA679" s="301"/>
    </row>
    <row r="680" spans="1:27">
      <c r="A680" s="319"/>
      <c r="B680" s="623"/>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c r="AA680" s="301"/>
    </row>
    <row r="681" spans="1:27">
      <c r="A681" s="319"/>
      <c r="B681" s="623"/>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c r="AA681" s="301"/>
    </row>
    <row r="682" spans="1:27">
      <c r="A682" s="319"/>
      <c r="B682" s="623"/>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c r="AA682" s="301"/>
    </row>
    <row r="683" spans="1:27">
      <c r="A683" s="319"/>
      <c r="B683" s="623"/>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c r="AA683" s="301"/>
    </row>
    <row r="684" spans="1:27">
      <c r="A684" s="319"/>
      <c r="B684" s="623"/>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c r="AA684" s="301"/>
    </row>
    <row r="685" spans="1:27">
      <c r="A685" s="319"/>
      <c r="B685" s="623"/>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c r="AA685" s="301"/>
    </row>
    <row r="686" spans="1:27">
      <c r="A686" s="319"/>
      <c r="B686" s="623"/>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c r="AA686" s="301"/>
    </row>
    <row r="687" spans="1:27">
      <c r="A687" s="319"/>
      <c r="B687" s="623"/>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c r="AA687" s="301"/>
    </row>
    <row r="688" spans="1:27">
      <c r="A688" s="319"/>
      <c r="B688" s="623"/>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c r="AA688" s="301"/>
    </row>
    <row r="689" spans="1:27">
      <c r="A689" s="319"/>
      <c r="B689" s="623"/>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c r="AA689" s="301"/>
    </row>
    <row r="690" spans="1:27">
      <c r="A690" s="319"/>
      <c r="B690" s="623"/>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c r="AA690" s="301"/>
    </row>
    <row r="691" spans="1:27">
      <c r="A691" s="319"/>
      <c r="B691" s="623"/>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c r="AA691" s="301"/>
    </row>
    <row r="692" spans="1:27">
      <c r="A692" s="319"/>
      <c r="B692" s="623"/>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c r="AA692" s="301"/>
    </row>
    <row r="693" spans="1:27">
      <c r="A693" s="319"/>
      <c r="B693" s="623"/>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c r="AA693" s="301"/>
    </row>
    <row r="694" spans="1:27">
      <c r="A694" s="319"/>
      <c r="B694" s="623"/>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c r="AA694" s="301"/>
    </row>
    <row r="695" spans="1:27">
      <c r="A695" s="319"/>
      <c r="B695" s="623"/>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c r="AA695" s="301"/>
    </row>
    <row r="696" spans="1:27">
      <c r="A696" s="319"/>
      <c r="B696" s="623"/>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c r="AA696" s="301"/>
    </row>
    <row r="697" spans="1:27">
      <c r="A697" s="319"/>
      <c r="B697" s="623"/>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c r="AA697" s="301"/>
    </row>
    <row r="698" spans="1:27">
      <c r="A698" s="319"/>
      <c r="B698" s="623"/>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c r="AA698" s="301"/>
    </row>
    <row r="699" spans="1:27">
      <c r="A699" s="319"/>
      <c r="B699" s="623"/>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c r="AA699" s="301"/>
    </row>
    <row r="700" spans="1:27">
      <c r="A700" s="319"/>
      <c r="B700" s="623"/>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c r="AA700" s="301"/>
    </row>
    <row r="701" spans="1:27">
      <c r="A701" s="319"/>
      <c r="B701" s="623"/>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c r="AA701" s="301"/>
    </row>
    <row r="702" spans="1:27">
      <c r="A702" s="319"/>
      <c r="B702" s="623"/>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c r="AA702" s="301"/>
    </row>
    <row r="703" spans="1:27">
      <c r="A703" s="319"/>
      <c r="B703" s="623"/>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c r="AA703" s="301"/>
    </row>
    <row r="704" spans="1:27">
      <c r="A704" s="319"/>
      <c r="B704" s="623"/>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c r="AA704" s="301"/>
    </row>
    <row r="705" spans="1:27">
      <c r="A705" s="319"/>
      <c r="B705" s="623"/>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c r="AA705" s="301"/>
    </row>
    <row r="706" spans="1:27">
      <c r="A706" s="319"/>
      <c r="B706" s="623"/>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c r="AA706" s="301"/>
    </row>
    <row r="707" spans="1:27">
      <c r="A707" s="319"/>
      <c r="B707" s="623"/>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c r="AA707" s="301"/>
    </row>
    <row r="708" spans="1:27">
      <c r="A708" s="319"/>
      <c r="B708" s="623"/>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c r="AA708" s="301"/>
    </row>
    <row r="709" spans="1:27">
      <c r="A709" s="319"/>
      <c r="B709" s="623"/>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c r="AA709" s="301"/>
    </row>
    <row r="710" spans="1:27">
      <c r="A710" s="319"/>
      <c r="B710" s="623"/>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c r="AA710" s="301"/>
    </row>
    <row r="711" spans="1:27">
      <c r="A711" s="319"/>
      <c r="B711" s="623"/>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c r="AA711" s="301"/>
    </row>
    <row r="712" spans="1:27">
      <c r="A712" s="319"/>
      <c r="B712" s="623"/>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c r="AA712" s="301"/>
    </row>
    <row r="713" spans="1:27">
      <c r="A713" s="319"/>
      <c r="B713" s="623"/>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c r="AA713" s="301"/>
    </row>
    <row r="714" spans="1:27">
      <c r="A714" s="319"/>
      <c r="B714" s="623"/>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c r="AA714" s="301"/>
    </row>
    <row r="715" spans="1:27">
      <c r="A715" s="319"/>
      <c r="B715" s="623"/>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c r="AA715" s="301"/>
    </row>
    <row r="716" spans="1:27">
      <c r="A716" s="319"/>
      <c r="B716" s="623"/>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c r="AA716" s="301"/>
    </row>
    <row r="717" spans="1:27">
      <c r="A717" s="319"/>
      <c r="B717" s="623"/>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c r="AA717" s="301"/>
    </row>
    <row r="718" spans="1:27">
      <c r="A718" s="319"/>
      <c r="B718" s="623"/>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c r="AA718" s="301"/>
    </row>
    <row r="719" spans="1:27">
      <c r="A719" s="319"/>
      <c r="B719" s="623"/>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c r="AA719" s="301"/>
    </row>
    <row r="720" spans="1:27">
      <c r="A720" s="319"/>
      <c r="B720" s="623"/>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c r="AA720" s="301"/>
    </row>
    <row r="721" spans="1:27">
      <c r="A721" s="319"/>
      <c r="B721" s="623"/>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c r="AA721" s="301"/>
    </row>
    <row r="722" spans="1:27">
      <c r="A722" s="319"/>
      <c r="B722" s="623"/>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c r="AA722" s="301"/>
    </row>
    <row r="723" spans="1:27">
      <c r="A723" s="319"/>
      <c r="B723" s="623"/>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c r="AA723" s="301"/>
    </row>
    <row r="724" spans="1:27">
      <c r="A724" s="319"/>
      <c r="B724" s="623"/>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c r="AA724" s="301"/>
    </row>
    <row r="725" spans="1:27">
      <c r="A725" s="319"/>
      <c r="B725" s="623"/>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c r="AA725" s="301"/>
    </row>
    <row r="726" spans="1:27">
      <c r="A726" s="319"/>
      <c r="B726" s="623"/>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c r="AA726" s="301"/>
    </row>
    <row r="727" spans="1:27">
      <c r="A727" s="319"/>
      <c r="B727" s="623"/>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c r="AA727" s="301"/>
    </row>
    <row r="728" spans="1:27">
      <c r="A728" s="319"/>
      <c r="B728" s="623"/>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c r="AA728" s="301"/>
    </row>
    <row r="729" spans="1:27">
      <c r="A729" s="319"/>
      <c r="B729" s="623"/>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c r="AA729" s="301"/>
    </row>
    <row r="730" spans="1:27">
      <c r="A730" s="319"/>
      <c r="B730" s="623"/>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c r="AA730" s="301"/>
    </row>
    <row r="731" spans="1:27">
      <c r="A731" s="319"/>
      <c r="B731" s="623"/>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c r="AA731" s="301"/>
    </row>
    <row r="732" spans="1:27">
      <c r="A732" s="319"/>
      <c r="B732" s="623"/>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c r="AA732" s="301"/>
    </row>
    <row r="733" spans="1:27">
      <c r="A733" s="319"/>
      <c r="B733" s="623"/>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c r="AA733" s="301"/>
    </row>
    <row r="734" spans="1:27">
      <c r="A734" s="319"/>
      <c r="B734" s="623"/>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c r="AA734" s="301"/>
    </row>
    <row r="735" spans="1:27">
      <c r="A735" s="319"/>
      <c r="B735" s="623"/>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c r="AA735" s="301"/>
    </row>
    <row r="736" spans="1:27">
      <c r="A736" s="319"/>
      <c r="B736" s="623"/>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c r="AA736" s="301"/>
    </row>
    <row r="737" spans="1:27">
      <c r="A737" s="319"/>
      <c r="B737" s="623"/>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c r="AA737" s="301"/>
    </row>
    <row r="738" spans="1:27">
      <c r="A738" s="319"/>
      <c r="B738" s="623"/>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c r="AA738" s="301"/>
    </row>
    <row r="739" spans="1:27">
      <c r="A739" s="319"/>
      <c r="B739" s="623"/>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c r="AA739" s="301"/>
    </row>
    <row r="740" spans="1:27">
      <c r="A740" s="319"/>
      <c r="B740" s="623"/>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c r="AA740" s="301"/>
    </row>
    <row r="741" spans="1:27">
      <c r="A741" s="319"/>
      <c r="B741" s="623"/>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c r="AA741" s="301"/>
    </row>
    <row r="742" spans="1:27">
      <c r="A742" s="319"/>
      <c r="B742" s="623"/>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c r="AA742" s="301"/>
    </row>
    <row r="743" spans="1:27">
      <c r="A743" s="319"/>
      <c r="B743" s="623"/>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c r="AA743" s="301"/>
    </row>
    <row r="744" spans="1:27">
      <c r="A744" s="319"/>
      <c r="B744" s="623"/>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c r="AA744" s="301"/>
    </row>
    <row r="745" spans="1:27">
      <c r="A745" s="319"/>
      <c r="B745" s="623"/>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c r="AA745" s="301"/>
    </row>
    <row r="746" spans="1:27">
      <c r="A746" s="319"/>
      <c r="B746" s="623"/>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c r="AA746" s="301"/>
    </row>
    <row r="747" spans="1:27">
      <c r="A747" s="319"/>
      <c r="B747" s="623"/>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c r="AA747" s="301"/>
    </row>
    <row r="748" spans="1:27">
      <c r="A748" s="319"/>
      <c r="B748" s="623"/>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c r="AA748" s="301"/>
    </row>
    <row r="749" spans="1:27">
      <c r="A749" s="319"/>
      <c r="B749" s="623"/>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c r="AA749" s="301"/>
    </row>
    <row r="750" spans="1:27">
      <c r="A750" s="319"/>
      <c r="B750" s="623"/>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c r="AA750" s="301"/>
    </row>
    <row r="751" spans="1:27">
      <c r="A751" s="319"/>
      <c r="B751" s="623"/>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c r="AA751" s="301"/>
    </row>
    <row r="752" spans="1:27">
      <c r="A752" s="319"/>
      <c r="B752" s="623"/>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c r="AA752" s="301"/>
    </row>
    <row r="753" spans="1:27">
      <c r="A753" s="319"/>
      <c r="B753" s="623"/>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c r="AA753" s="301"/>
    </row>
    <row r="754" spans="1:27">
      <c r="A754" s="319"/>
      <c r="B754" s="623"/>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c r="AA754" s="301"/>
    </row>
    <row r="755" spans="1:27">
      <c r="A755" s="319"/>
      <c r="B755" s="623"/>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c r="AA755" s="301"/>
    </row>
    <row r="756" spans="1:27">
      <c r="A756" s="319"/>
      <c r="B756" s="623"/>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c r="AA756" s="301"/>
    </row>
    <row r="757" spans="1:27">
      <c r="A757" s="319"/>
      <c r="B757" s="623"/>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c r="AA757" s="301"/>
    </row>
    <row r="758" spans="1:27">
      <c r="A758" s="319"/>
      <c r="B758" s="623"/>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c r="AA758" s="301"/>
    </row>
    <row r="759" spans="1:27">
      <c r="A759" s="319"/>
      <c r="B759" s="623"/>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c r="AA759" s="301"/>
    </row>
    <row r="760" spans="1:27">
      <c r="A760" s="319"/>
      <c r="B760" s="623"/>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c r="AA760" s="301"/>
    </row>
    <row r="761" spans="1:27">
      <c r="A761" s="319"/>
      <c r="B761" s="623"/>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c r="AA761" s="301"/>
    </row>
    <row r="762" spans="1:27">
      <c r="A762" s="319"/>
      <c r="B762" s="623"/>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c r="AA762" s="301"/>
    </row>
    <row r="763" spans="1:27">
      <c r="A763" s="319"/>
      <c r="B763" s="623"/>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c r="AA763" s="301"/>
    </row>
    <row r="764" spans="1:27">
      <c r="A764" s="319"/>
      <c r="B764" s="623"/>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c r="AA764" s="301"/>
    </row>
    <row r="765" spans="1:27">
      <c r="A765" s="319"/>
      <c r="B765" s="623"/>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c r="AA765" s="301"/>
    </row>
    <row r="766" spans="1:27">
      <c r="A766" s="319"/>
      <c r="B766" s="623"/>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c r="AA766" s="301"/>
    </row>
    <row r="767" spans="1:27">
      <c r="A767" s="319"/>
      <c r="B767" s="623"/>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c r="AA767" s="301"/>
    </row>
    <row r="768" spans="1:27">
      <c r="A768" s="319"/>
      <c r="B768" s="623"/>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c r="AA768" s="301"/>
    </row>
    <row r="769" spans="1:27">
      <c r="A769" s="319"/>
      <c r="B769" s="623"/>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c r="AA769" s="301"/>
    </row>
    <row r="770" spans="1:27">
      <c r="A770" s="319"/>
      <c r="B770" s="623"/>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c r="AA770" s="301"/>
    </row>
    <row r="771" spans="1:27">
      <c r="A771" s="319"/>
      <c r="B771" s="623"/>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c r="AA771" s="301"/>
    </row>
    <row r="772" spans="1:27">
      <c r="A772" s="319"/>
      <c r="B772" s="623"/>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c r="AA772" s="301"/>
    </row>
    <row r="773" spans="1:27">
      <c r="A773" s="319"/>
      <c r="B773" s="623"/>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c r="AA773" s="301"/>
    </row>
    <row r="774" spans="1:27">
      <c r="A774" s="319"/>
      <c r="B774" s="623"/>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c r="AA774" s="301"/>
    </row>
    <row r="775" spans="1:27">
      <c r="A775" s="319"/>
      <c r="B775" s="623"/>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c r="AA775" s="301"/>
    </row>
    <row r="776" spans="1:27">
      <c r="A776" s="319"/>
      <c r="B776" s="623"/>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c r="AA776" s="301"/>
    </row>
    <row r="777" spans="1:27">
      <c r="A777" s="319"/>
      <c r="B777" s="623"/>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c r="AA777" s="301"/>
    </row>
    <row r="778" spans="1:27">
      <c r="A778" s="319"/>
      <c r="B778" s="623"/>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c r="AA778" s="301"/>
    </row>
    <row r="779" spans="1:27">
      <c r="A779" s="319"/>
      <c r="B779" s="623"/>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c r="AA779" s="301"/>
    </row>
    <row r="780" spans="1:27">
      <c r="A780" s="319"/>
      <c r="B780" s="623"/>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c r="AA780" s="301"/>
    </row>
    <row r="781" spans="1:27">
      <c r="A781" s="319"/>
      <c r="B781" s="623"/>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c r="AA781" s="301"/>
    </row>
    <row r="782" spans="1:27">
      <c r="A782" s="319"/>
      <c r="B782" s="623"/>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c r="AA782" s="301"/>
    </row>
    <row r="783" spans="1:27">
      <c r="A783" s="319"/>
      <c r="B783" s="623"/>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c r="AA783" s="301"/>
    </row>
    <row r="784" spans="1:27">
      <c r="A784" s="319"/>
      <c r="B784" s="623"/>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c r="AA784" s="301"/>
    </row>
    <row r="785" spans="1:27">
      <c r="A785" s="319"/>
      <c r="B785" s="623"/>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c r="AA785" s="301"/>
    </row>
    <row r="786" spans="1:27">
      <c r="A786" s="319"/>
      <c r="B786" s="623"/>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c r="AA786" s="301"/>
    </row>
    <row r="787" spans="1:27">
      <c r="A787" s="319"/>
      <c r="B787" s="623"/>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c r="AA787" s="301"/>
    </row>
    <row r="788" spans="1:27">
      <c r="A788" s="319"/>
      <c r="B788" s="623"/>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c r="AA788" s="301"/>
    </row>
    <row r="789" spans="1:27">
      <c r="A789" s="319"/>
      <c r="B789" s="623"/>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c r="AA789" s="301"/>
    </row>
    <row r="790" spans="1:27">
      <c r="A790" s="319"/>
      <c r="B790" s="623"/>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c r="AA790" s="301"/>
    </row>
    <row r="791" spans="1:27">
      <c r="A791" s="319"/>
      <c r="B791" s="623"/>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c r="AA791" s="301"/>
    </row>
    <row r="792" spans="1:27">
      <c r="A792" s="319"/>
      <c r="B792" s="623"/>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c r="AA792" s="301"/>
    </row>
    <row r="793" spans="1:27">
      <c r="A793" s="319"/>
      <c r="B793" s="623"/>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c r="AA793" s="301"/>
    </row>
    <row r="794" spans="1:27">
      <c r="A794" s="319"/>
      <c r="B794" s="623"/>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c r="AA794" s="301"/>
    </row>
    <row r="795" spans="1:27">
      <c r="A795" s="319"/>
      <c r="B795" s="623"/>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c r="AA795" s="301"/>
    </row>
    <row r="796" spans="1:27">
      <c r="A796" s="319"/>
      <c r="B796" s="623"/>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c r="AA796" s="301"/>
    </row>
    <row r="797" spans="1:27">
      <c r="A797" s="319"/>
      <c r="B797" s="623"/>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c r="AA797" s="301"/>
    </row>
    <row r="798" spans="1:27">
      <c r="A798" s="319"/>
      <c r="B798" s="623"/>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c r="AA798" s="301"/>
    </row>
    <row r="799" spans="1:27">
      <c r="A799" s="319"/>
      <c r="B799" s="623"/>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c r="AA799" s="301"/>
    </row>
    <row r="800" spans="1:27">
      <c r="A800" s="319"/>
      <c r="B800" s="623"/>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c r="AA800" s="301"/>
    </row>
    <row r="801" spans="1:27">
      <c r="A801" s="319"/>
      <c r="B801" s="623"/>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c r="AA801" s="301"/>
    </row>
    <row r="802" spans="1:27">
      <c r="A802" s="319"/>
      <c r="B802" s="623"/>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c r="AA802" s="301"/>
    </row>
    <row r="803" spans="1:27">
      <c r="A803" s="319"/>
      <c r="B803" s="623"/>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c r="AA803" s="301"/>
    </row>
    <row r="804" spans="1:27">
      <c r="A804" s="319"/>
      <c r="B804" s="623"/>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c r="AA804" s="301"/>
    </row>
    <row r="805" spans="1:27">
      <c r="A805" s="319"/>
      <c r="B805" s="623"/>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c r="AA805" s="301"/>
    </row>
    <row r="806" spans="1:27">
      <c r="A806" s="319"/>
      <c r="B806" s="623"/>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c r="AA806" s="301"/>
    </row>
    <row r="807" spans="1:27">
      <c r="A807" s="319"/>
      <c r="B807" s="623"/>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c r="AA807" s="301"/>
    </row>
    <row r="808" spans="1:27">
      <c r="A808" s="319"/>
      <c r="B808" s="623"/>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c r="AA808" s="301"/>
    </row>
    <row r="809" spans="1:27">
      <c r="A809" s="319"/>
      <c r="B809" s="623"/>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c r="AA809" s="301"/>
    </row>
    <row r="810" spans="1:27">
      <c r="A810" s="319"/>
      <c r="B810" s="623"/>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c r="AA810" s="301"/>
    </row>
    <row r="811" spans="1:27">
      <c r="A811" s="319"/>
      <c r="B811" s="623"/>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c r="AA811" s="301"/>
    </row>
    <row r="812" spans="1:27">
      <c r="A812" s="319"/>
      <c r="B812" s="623"/>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c r="AA812" s="301"/>
    </row>
    <row r="813" spans="1:27">
      <c r="A813" s="319"/>
      <c r="B813" s="623"/>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c r="AA813" s="301"/>
    </row>
    <row r="814" spans="1:27">
      <c r="A814" s="319"/>
      <c r="B814" s="623"/>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c r="AA814" s="301"/>
    </row>
    <row r="815" spans="1:27">
      <c r="A815" s="319"/>
      <c r="B815" s="623"/>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c r="AA815" s="301"/>
    </row>
    <row r="816" spans="1:27">
      <c r="A816" s="319"/>
      <c r="B816" s="623"/>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c r="AA816" s="301"/>
    </row>
    <row r="817" spans="1:27">
      <c r="A817" s="319"/>
      <c r="B817" s="623"/>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c r="AA817" s="301"/>
    </row>
    <row r="818" spans="1:27">
      <c r="A818" s="319"/>
      <c r="B818" s="623"/>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c r="AA818" s="301"/>
    </row>
    <row r="819" spans="1:27">
      <c r="A819" s="319"/>
      <c r="B819" s="623"/>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c r="AA819" s="301"/>
    </row>
    <row r="820" spans="1:27">
      <c r="A820" s="319"/>
      <c r="B820" s="623"/>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c r="AA820" s="301"/>
    </row>
    <row r="821" spans="1:27">
      <c r="A821" s="319"/>
      <c r="B821" s="623"/>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c r="AA821" s="301"/>
    </row>
    <row r="822" spans="1:27">
      <c r="A822" s="319"/>
      <c r="B822" s="623"/>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c r="AA822" s="301"/>
    </row>
    <row r="823" spans="1:27">
      <c r="A823" s="319"/>
      <c r="B823" s="623"/>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c r="AA823" s="301"/>
    </row>
    <row r="824" spans="1:27">
      <c r="A824" s="319"/>
      <c r="B824" s="623"/>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c r="AA824" s="301"/>
    </row>
    <row r="825" spans="1:27">
      <c r="A825" s="319"/>
      <c r="B825" s="623"/>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c r="AA825" s="301"/>
    </row>
    <row r="826" spans="1:27">
      <c r="A826" s="319"/>
      <c r="B826" s="623"/>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c r="AA826" s="301"/>
    </row>
    <row r="827" spans="1:27">
      <c r="A827" s="319"/>
      <c r="B827" s="623"/>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c r="AA827" s="301"/>
    </row>
    <row r="828" spans="1:27">
      <c r="A828" s="319"/>
      <c r="B828" s="623"/>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c r="AA828" s="301"/>
    </row>
    <row r="829" spans="1:27">
      <c r="A829" s="319"/>
      <c r="B829" s="623"/>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c r="AA829" s="301"/>
    </row>
    <row r="830" spans="1:27">
      <c r="A830" s="319"/>
      <c r="B830" s="623"/>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c r="AA830" s="301"/>
    </row>
    <row r="831" spans="1:27">
      <c r="A831" s="319"/>
      <c r="B831" s="623"/>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c r="AA831" s="301"/>
    </row>
    <row r="832" spans="1:27">
      <c r="A832" s="319"/>
      <c r="B832" s="623"/>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c r="AA832" s="301"/>
    </row>
    <row r="833" spans="1:27">
      <c r="A833" s="319"/>
      <c r="B833" s="623"/>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c r="AA833" s="301"/>
    </row>
    <row r="834" spans="1:27">
      <c r="A834" s="319"/>
      <c r="B834" s="623"/>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c r="AA834" s="301"/>
    </row>
    <row r="835" spans="1:27">
      <c r="A835" s="319"/>
      <c r="B835" s="623"/>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c r="AA835" s="301"/>
    </row>
    <row r="836" spans="1:27">
      <c r="A836" s="319"/>
      <c r="B836" s="623"/>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c r="AA836" s="301"/>
    </row>
    <row r="837" spans="1:27">
      <c r="A837" s="319"/>
      <c r="B837" s="623"/>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c r="AA837" s="301"/>
    </row>
    <row r="838" spans="1:27">
      <c r="A838" s="319"/>
      <c r="B838" s="623"/>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c r="AA838" s="301"/>
    </row>
    <row r="839" spans="1:27">
      <c r="A839" s="319"/>
      <c r="B839" s="623"/>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c r="AA839" s="301"/>
    </row>
    <row r="840" spans="1:27">
      <c r="A840" s="319"/>
      <c r="B840" s="623"/>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c r="AA840" s="301"/>
    </row>
    <row r="841" spans="1:27">
      <c r="A841" s="319"/>
      <c r="B841" s="623"/>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c r="AA841" s="301"/>
    </row>
    <row r="842" spans="1:27">
      <c r="A842" s="319"/>
      <c r="B842" s="623"/>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c r="AA842" s="301"/>
    </row>
    <row r="843" spans="1:27">
      <c r="A843" s="319"/>
      <c r="B843" s="623"/>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c r="AA843" s="301"/>
    </row>
    <row r="844" spans="1:27">
      <c r="A844" s="319"/>
      <c r="B844" s="623"/>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c r="AA844" s="301"/>
    </row>
    <row r="845" spans="1:27">
      <c r="A845" s="319"/>
      <c r="B845" s="623"/>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c r="AA845" s="301"/>
    </row>
    <row r="846" spans="1:27">
      <c r="A846" s="319"/>
      <c r="B846" s="623"/>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c r="AA846" s="301"/>
    </row>
    <row r="847" spans="1:27">
      <c r="A847" s="319"/>
      <c r="B847" s="623"/>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c r="AA847" s="301"/>
    </row>
    <row r="848" spans="1:27">
      <c r="A848" s="319"/>
      <c r="B848" s="623"/>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c r="AA848" s="301"/>
    </row>
    <row r="849" spans="1:27">
      <c r="A849" s="319"/>
      <c r="B849" s="623"/>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c r="AA849" s="301"/>
    </row>
    <row r="850" spans="1:27">
      <c r="A850" s="319"/>
      <c r="B850" s="623"/>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c r="AA850" s="301"/>
    </row>
    <row r="851" spans="1:27">
      <c r="A851" s="319"/>
      <c r="B851" s="623"/>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c r="AA851" s="301"/>
    </row>
    <row r="852" spans="1:27">
      <c r="A852" s="319"/>
      <c r="B852" s="623"/>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c r="AA852" s="301"/>
    </row>
    <row r="853" spans="1:27">
      <c r="A853" s="319"/>
      <c r="B853" s="623"/>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c r="AA853" s="301"/>
    </row>
    <row r="854" spans="1:27">
      <c r="A854" s="319"/>
      <c r="B854" s="623"/>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c r="AA854" s="301"/>
    </row>
    <row r="855" spans="1:27">
      <c r="A855" s="319"/>
      <c r="B855" s="623"/>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c r="AA855" s="301"/>
    </row>
    <row r="856" spans="1:27">
      <c r="A856" s="319"/>
      <c r="B856" s="623"/>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c r="AA856" s="301"/>
    </row>
    <row r="857" spans="1:27">
      <c r="A857" s="319"/>
      <c r="B857" s="623"/>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c r="AA857" s="301"/>
    </row>
    <row r="858" spans="1:27">
      <c r="A858" s="319"/>
      <c r="B858" s="623"/>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c r="AA858" s="301"/>
    </row>
    <row r="859" spans="1:27">
      <c r="A859" s="319"/>
      <c r="B859" s="623"/>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c r="AA859" s="301"/>
    </row>
    <row r="860" spans="1:27">
      <c r="A860" s="319"/>
      <c r="B860" s="623"/>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c r="AA860" s="301"/>
    </row>
    <row r="861" spans="1:27">
      <c r="A861" s="319"/>
      <c r="B861" s="623"/>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c r="AA861" s="301"/>
    </row>
    <row r="862" spans="1:27">
      <c r="A862" s="319"/>
      <c r="B862" s="623"/>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c r="AA862" s="301"/>
    </row>
    <row r="863" spans="1:27">
      <c r="A863" s="319"/>
      <c r="B863" s="623"/>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c r="AA863" s="301"/>
    </row>
    <row r="864" spans="1:27">
      <c r="A864" s="319"/>
      <c r="B864" s="623"/>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c r="AA864" s="301"/>
    </row>
    <row r="865" spans="1:27">
      <c r="A865" s="319"/>
      <c r="B865" s="623"/>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c r="AA865" s="301"/>
    </row>
    <row r="866" spans="1:27">
      <c r="A866" s="319"/>
      <c r="B866" s="623"/>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c r="AA866" s="301"/>
    </row>
    <row r="867" spans="1:27">
      <c r="A867" s="319"/>
      <c r="B867" s="623"/>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c r="AA867" s="301"/>
    </row>
    <row r="868" spans="1:27">
      <c r="A868" s="319"/>
      <c r="B868" s="623"/>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c r="AA868" s="301"/>
    </row>
    <row r="869" spans="1:27">
      <c r="A869" s="319"/>
      <c r="B869" s="623"/>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c r="AA869" s="301"/>
    </row>
    <row r="870" spans="1:27">
      <c r="A870" s="319"/>
      <c r="B870" s="623"/>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c r="AA870" s="301"/>
    </row>
    <row r="871" spans="1:27">
      <c r="A871" s="319"/>
      <c r="B871" s="623"/>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c r="AA871" s="301"/>
    </row>
    <row r="872" spans="1:27">
      <c r="A872" s="319"/>
      <c r="B872" s="623"/>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c r="AA872" s="301"/>
    </row>
    <row r="873" spans="1:27">
      <c r="A873" s="319"/>
      <c r="B873" s="623"/>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c r="AA873" s="301"/>
    </row>
    <row r="874" spans="1:27">
      <c r="A874" s="319"/>
      <c r="B874" s="623"/>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c r="AA874" s="301"/>
    </row>
    <row r="875" spans="1:27">
      <c r="A875" s="319"/>
      <c r="B875" s="623"/>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c r="AA875" s="301"/>
    </row>
    <row r="876" spans="1:27">
      <c r="A876" s="319"/>
      <c r="B876" s="623"/>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c r="AA876" s="301"/>
    </row>
    <row r="877" spans="1:27">
      <c r="A877" s="319"/>
      <c r="B877" s="623"/>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c r="AA877" s="301"/>
    </row>
    <row r="878" spans="1:27">
      <c r="A878" s="319"/>
      <c r="B878" s="623"/>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c r="AA878" s="301"/>
    </row>
    <row r="879" spans="1:27">
      <c r="A879" s="319"/>
      <c r="B879" s="623"/>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c r="AA879" s="301"/>
    </row>
    <row r="880" spans="1:27">
      <c r="A880" s="319"/>
      <c r="B880" s="623"/>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c r="AA880" s="301"/>
    </row>
    <row r="881" spans="1:27">
      <c r="A881" s="319"/>
      <c r="B881" s="623"/>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c r="AA881" s="301"/>
    </row>
    <row r="882" spans="1:27">
      <c r="A882" s="319"/>
      <c r="B882" s="623"/>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c r="AA882" s="301"/>
    </row>
    <row r="883" spans="1:27">
      <c r="A883" s="319"/>
      <c r="B883" s="623"/>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c r="AA883" s="301"/>
    </row>
    <row r="884" spans="1:27">
      <c r="A884" s="319"/>
      <c r="B884" s="623"/>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c r="AA884" s="301"/>
    </row>
    <row r="885" spans="1:27">
      <c r="A885" s="319"/>
      <c r="B885" s="623"/>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c r="AA885" s="301"/>
    </row>
    <row r="886" spans="1:27">
      <c r="A886" s="319"/>
      <c r="B886" s="623"/>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c r="AA886" s="301"/>
    </row>
    <row r="887" spans="1:27">
      <c r="A887" s="319"/>
      <c r="B887" s="623"/>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c r="AA887" s="301"/>
    </row>
    <row r="888" spans="1:27">
      <c r="A888" s="319"/>
      <c r="B888" s="623"/>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c r="AA888" s="301"/>
    </row>
    <row r="889" spans="1:27">
      <c r="A889" s="319"/>
      <c r="B889" s="623"/>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c r="AA889" s="301"/>
    </row>
    <row r="890" spans="1:27">
      <c r="A890" s="319"/>
      <c r="B890" s="623"/>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c r="AA890" s="301"/>
    </row>
    <row r="891" spans="1:27">
      <c r="A891" s="319"/>
      <c r="B891" s="623"/>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c r="AA891" s="301"/>
    </row>
    <row r="892" spans="1:27">
      <c r="A892" s="319"/>
      <c r="B892" s="623"/>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c r="AA892" s="301"/>
    </row>
    <row r="893" spans="1:27">
      <c r="A893" s="319"/>
      <c r="B893" s="623"/>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c r="AA893" s="301"/>
    </row>
    <row r="894" spans="1:27">
      <c r="A894" s="319"/>
      <c r="B894" s="623"/>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c r="AA894" s="301"/>
    </row>
    <row r="895" spans="1:27">
      <c r="A895" s="319"/>
      <c r="B895" s="623"/>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c r="AA895" s="301"/>
    </row>
    <row r="896" spans="1:27">
      <c r="A896" s="319"/>
      <c r="B896" s="623"/>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c r="AA896" s="301"/>
    </row>
    <row r="897" spans="1:27">
      <c r="A897" s="319"/>
      <c r="B897" s="623"/>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c r="AA897" s="301"/>
    </row>
    <row r="898" spans="1:27">
      <c r="A898" s="319"/>
      <c r="B898" s="623"/>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c r="AA898" s="301"/>
    </row>
    <row r="899" spans="1:27">
      <c r="A899" s="319"/>
      <c r="B899" s="623"/>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c r="AA899" s="301"/>
    </row>
    <row r="900" spans="1:27">
      <c r="A900" s="319"/>
      <c r="B900" s="623"/>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c r="AA900" s="301"/>
    </row>
    <row r="901" spans="1:27">
      <c r="A901" s="319"/>
      <c r="B901" s="623"/>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c r="AA901" s="301"/>
    </row>
    <row r="902" spans="1:27">
      <c r="A902" s="319"/>
      <c r="B902" s="623"/>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c r="AA902" s="301"/>
    </row>
    <row r="903" spans="1:27">
      <c r="A903" s="319"/>
      <c r="B903" s="623"/>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c r="AA903" s="301"/>
    </row>
    <row r="904" spans="1:27">
      <c r="A904" s="319"/>
      <c r="B904" s="623"/>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c r="AA904" s="301"/>
    </row>
    <row r="905" spans="1:27">
      <c r="A905" s="319"/>
      <c r="B905" s="623"/>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c r="AA905" s="301"/>
    </row>
    <row r="906" spans="1:27">
      <c r="A906" s="319"/>
      <c r="B906" s="623"/>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c r="AA906" s="301"/>
    </row>
    <row r="907" spans="1:27">
      <c r="A907" s="319"/>
      <c r="B907" s="623"/>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c r="AA907" s="301"/>
    </row>
    <row r="908" spans="1:27">
      <c r="A908" s="319"/>
      <c r="B908" s="623"/>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c r="AA908" s="301"/>
    </row>
    <row r="909" spans="1:27">
      <c r="A909" s="319"/>
      <c r="B909" s="623"/>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c r="AA909" s="301"/>
    </row>
    <row r="910" spans="1:27">
      <c r="A910" s="319"/>
      <c r="B910" s="623"/>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c r="AA910" s="301"/>
    </row>
    <row r="911" spans="1:27">
      <c r="A911" s="319"/>
      <c r="B911" s="623"/>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c r="AA911" s="301"/>
    </row>
    <row r="912" spans="1:27">
      <c r="A912" s="319"/>
      <c r="B912" s="623"/>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c r="AA912" s="301"/>
    </row>
    <row r="913" spans="1:27">
      <c r="A913" s="319"/>
      <c r="B913" s="623"/>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c r="AA913" s="301"/>
    </row>
    <row r="914" spans="1:27">
      <c r="A914" s="319"/>
      <c r="B914" s="623"/>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c r="AA914" s="301"/>
    </row>
    <row r="915" spans="1:27">
      <c r="A915" s="319"/>
      <c r="B915" s="623"/>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c r="AA915" s="301"/>
    </row>
    <row r="916" spans="1:27">
      <c r="A916" s="319"/>
      <c r="B916" s="623"/>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c r="AA916" s="301"/>
    </row>
    <row r="917" spans="1:27">
      <c r="A917" s="319"/>
      <c r="B917" s="623"/>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c r="AA917" s="301"/>
    </row>
    <row r="918" spans="1:27">
      <c r="A918" s="319"/>
      <c r="B918" s="623"/>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c r="AA918" s="301"/>
    </row>
    <row r="919" spans="1:27">
      <c r="A919" s="319"/>
      <c r="B919" s="623"/>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c r="AA919" s="301"/>
    </row>
    <row r="920" spans="1:27">
      <c r="A920" s="319"/>
      <c r="B920" s="623"/>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c r="AA920" s="301"/>
    </row>
    <row r="921" spans="1:27">
      <c r="A921" s="319"/>
      <c r="B921" s="623"/>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c r="AA921" s="301"/>
    </row>
    <row r="922" spans="1:27">
      <c r="A922" s="319"/>
      <c r="B922" s="623"/>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c r="AA922" s="301"/>
    </row>
    <row r="923" spans="1:27">
      <c r="A923" s="319"/>
      <c r="B923" s="623"/>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c r="AA923" s="301"/>
    </row>
    <row r="924" spans="1:27">
      <c r="A924" s="319"/>
      <c r="B924" s="623"/>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c r="AA924" s="301"/>
    </row>
    <row r="925" spans="1:27">
      <c r="A925" s="319"/>
      <c r="B925" s="623"/>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c r="AA925" s="301"/>
    </row>
    <row r="926" spans="1:27">
      <c r="A926" s="319"/>
      <c r="B926" s="623"/>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c r="AA926" s="301"/>
    </row>
    <row r="927" spans="1:27">
      <c r="A927" s="319"/>
      <c r="B927" s="623"/>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c r="AA927" s="301"/>
    </row>
    <row r="928" spans="1:27">
      <c r="A928" s="319"/>
      <c r="B928" s="623"/>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c r="AA928" s="301"/>
    </row>
    <row r="929" spans="1:27">
      <c r="A929" s="319"/>
      <c r="B929" s="623"/>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c r="AA929" s="301"/>
    </row>
    <row r="930" spans="1:27">
      <c r="A930" s="319"/>
      <c r="B930" s="623"/>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c r="AA930" s="301"/>
    </row>
    <row r="931" spans="1:27">
      <c r="A931" s="319"/>
      <c r="B931" s="623"/>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c r="AA931" s="301"/>
    </row>
    <row r="932" spans="1:27">
      <c r="A932" s="319"/>
      <c r="B932" s="623"/>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c r="AA932" s="301"/>
    </row>
    <row r="933" spans="1:27">
      <c r="A933" s="319"/>
      <c r="B933" s="623"/>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c r="AA933" s="301"/>
    </row>
    <row r="934" spans="1:27">
      <c r="A934" s="319"/>
      <c r="B934" s="623"/>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c r="AA934" s="301"/>
    </row>
    <row r="935" spans="1:27">
      <c r="A935" s="319"/>
      <c r="B935" s="623"/>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c r="AA935" s="301"/>
    </row>
    <row r="936" spans="1:27">
      <c r="A936" s="319"/>
      <c r="B936" s="623"/>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c r="AA936" s="301"/>
    </row>
    <row r="937" spans="1:27">
      <c r="A937" s="319"/>
      <c r="B937" s="623"/>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c r="AA937" s="301"/>
    </row>
    <row r="938" spans="1:27">
      <c r="A938" s="319"/>
      <c r="B938" s="623"/>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c r="AA938" s="301"/>
    </row>
    <row r="939" spans="1:27">
      <c r="A939" s="319"/>
      <c r="B939" s="623"/>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c r="AA939" s="301"/>
    </row>
    <row r="940" spans="1:27">
      <c r="A940" s="319"/>
      <c r="B940" s="623"/>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c r="AA940" s="301"/>
    </row>
    <row r="941" spans="1:27">
      <c r="A941" s="319"/>
      <c r="B941" s="623"/>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c r="AA941" s="301"/>
    </row>
    <row r="942" spans="1:27">
      <c r="A942" s="319"/>
      <c r="B942" s="623"/>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c r="AA942" s="301"/>
    </row>
    <row r="943" spans="1:27">
      <c r="A943" s="319"/>
      <c r="B943" s="623"/>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c r="AA943" s="301"/>
    </row>
    <row r="944" spans="1:27">
      <c r="A944" s="319"/>
      <c r="B944" s="623"/>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c r="AA944" s="301"/>
    </row>
    <row r="945" spans="1:27">
      <c r="A945" s="319"/>
      <c r="B945" s="623"/>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c r="AA945" s="301"/>
    </row>
    <row r="946" spans="1:27">
      <c r="A946" s="319"/>
      <c r="B946" s="623"/>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c r="AA946" s="301"/>
    </row>
    <row r="947" spans="1:27">
      <c r="A947" s="319"/>
      <c r="B947" s="623"/>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c r="AA947" s="301"/>
    </row>
    <row r="948" spans="1:27">
      <c r="A948" s="319"/>
      <c r="B948" s="623"/>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c r="AA948" s="301"/>
    </row>
    <row r="949" spans="1:27">
      <c r="A949" s="319"/>
      <c r="B949" s="623"/>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c r="AA949" s="301"/>
    </row>
    <row r="950" spans="1:27">
      <c r="A950" s="319"/>
      <c r="B950" s="623"/>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c r="AA950" s="301"/>
    </row>
    <row r="951" spans="1:27">
      <c r="A951" s="319"/>
      <c r="B951" s="623"/>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c r="AA951" s="301"/>
    </row>
    <row r="952" spans="1:27">
      <c r="A952" s="319"/>
      <c r="B952" s="623"/>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c r="AA952" s="301"/>
    </row>
    <row r="953" spans="1:27">
      <c r="A953" s="319"/>
      <c r="B953" s="623"/>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c r="AA953" s="301"/>
    </row>
    <row r="954" spans="1:27">
      <c r="A954" s="319"/>
      <c r="B954" s="623"/>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c r="AA954" s="301"/>
    </row>
    <row r="955" spans="1:27">
      <c r="A955" s="319"/>
      <c r="B955" s="623"/>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c r="AA955" s="301"/>
    </row>
    <row r="956" spans="1:27">
      <c r="A956" s="319"/>
      <c r="B956" s="623"/>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c r="AA956" s="301"/>
    </row>
    <row r="957" spans="1:27">
      <c r="A957" s="319"/>
      <c r="B957" s="623"/>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c r="AA957" s="301"/>
    </row>
    <row r="958" spans="1:27">
      <c r="A958" s="319"/>
      <c r="B958" s="623"/>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c r="AA958" s="301"/>
    </row>
    <row r="959" spans="1:27">
      <c r="A959" s="319"/>
      <c r="B959" s="623"/>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c r="AA959" s="301"/>
    </row>
    <row r="960" spans="1:27">
      <c r="A960" s="319"/>
      <c r="B960" s="623"/>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c r="AA960" s="301"/>
    </row>
    <row r="961" spans="1:27">
      <c r="A961" s="319"/>
      <c r="B961" s="623"/>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c r="AA961" s="301"/>
    </row>
    <row r="962" spans="1:27">
      <c r="A962" s="319"/>
      <c r="B962" s="623"/>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c r="AA962" s="301"/>
    </row>
    <row r="963" spans="1:27">
      <c r="A963" s="319"/>
      <c r="B963" s="623"/>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c r="AA963" s="301"/>
    </row>
    <row r="964" spans="1:27">
      <c r="A964" s="319"/>
      <c r="B964" s="623"/>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c r="AA964" s="301"/>
    </row>
    <row r="965" spans="1:27">
      <c r="A965" s="319"/>
      <c r="B965" s="623"/>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c r="AA965" s="301"/>
    </row>
    <row r="966" spans="1:27">
      <c r="A966" s="319"/>
      <c r="B966" s="623"/>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c r="AA966" s="301"/>
    </row>
    <row r="967" spans="1:27">
      <c r="A967" s="319"/>
      <c r="B967" s="623"/>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c r="AA967" s="301"/>
    </row>
    <row r="968" spans="1:27">
      <c r="A968" s="319"/>
      <c r="B968" s="623"/>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c r="AA968" s="301"/>
    </row>
    <row r="969" spans="1:27">
      <c r="A969" s="319"/>
      <c r="B969" s="623"/>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c r="AA969" s="301"/>
    </row>
    <row r="970" spans="1:27">
      <c r="A970" s="319"/>
      <c r="B970" s="623"/>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c r="AA970" s="301"/>
    </row>
    <row r="971" spans="1:27">
      <c r="A971" s="319"/>
      <c r="B971" s="623"/>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c r="AA971" s="301"/>
    </row>
    <row r="972" spans="1:27">
      <c r="A972" s="319"/>
      <c r="B972" s="623"/>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c r="AA972" s="301"/>
    </row>
    <row r="973" spans="1:27">
      <c r="A973" s="319"/>
      <c r="B973" s="623"/>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c r="AA973" s="301"/>
    </row>
    <row r="974" spans="1:27">
      <c r="A974" s="319"/>
      <c r="B974" s="623"/>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c r="AA974" s="301"/>
    </row>
    <row r="975" spans="1:27">
      <c r="A975" s="319"/>
      <c r="B975" s="623"/>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c r="AA975" s="301"/>
    </row>
    <row r="976" spans="1:27">
      <c r="A976" s="319"/>
      <c r="B976" s="623"/>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c r="AA976" s="301"/>
    </row>
    <row r="977" spans="1:27">
      <c r="A977" s="319"/>
      <c r="B977" s="623"/>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c r="AA977" s="301"/>
    </row>
    <row r="978" spans="1:27">
      <c r="A978" s="319"/>
      <c r="B978" s="623"/>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c r="AA978" s="301"/>
    </row>
    <row r="979" spans="1:27">
      <c r="A979" s="319"/>
      <c r="B979" s="623"/>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c r="AA979" s="301"/>
    </row>
    <row r="980" spans="1:27">
      <c r="A980" s="319"/>
      <c r="B980" s="623"/>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c r="AA980" s="301"/>
    </row>
    <row r="981" spans="1:27">
      <c r="A981" s="319"/>
      <c r="B981" s="623"/>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c r="AA981" s="301"/>
    </row>
    <row r="982" spans="1:27">
      <c r="A982" s="319"/>
      <c r="B982" s="623"/>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c r="AA982" s="301"/>
    </row>
    <row r="983" spans="1:27">
      <c r="A983" s="319"/>
      <c r="B983" s="623"/>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c r="AA983" s="301"/>
    </row>
    <row r="984" spans="1:27">
      <c r="A984" s="319"/>
      <c r="B984" s="623"/>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c r="AA984" s="301"/>
    </row>
    <row r="985" spans="1:27">
      <c r="A985" s="319"/>
      <c r="B985" s="623"/>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c r="AA985" s="301"/>
    </row>
    <row r="986" spans="1:27">
      <c r="A986" s="319"/>
      <c r="B986" s="623"/>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c r="AA986" s="301"/>
    </row>
    <row r="987" spans="1:27">
      <c r="A987" s="319"/>
      <c r="B987" s="623"/>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c r="AA987" s="301"/>
    </row>
    <row r="988" spans="1:27">
      <c r="A988" s="319"/>
      <c r="B988" s="623"/>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c r="AA988" s="301"/>
    </row>
    <row r="989" spans="1:27">
      <c r="A989" s="319"/>
      <c r="B989" s="623"/>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c r="AA989" s="301"/>
    </row>
    <row r="990" spans="1:27">
      <c r="A990" s="319"/>
      <c r="B990" s="623"/>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c r="AA990" s="301"/>
    </row>
    <row r="991" spans="1:27">
      <c r="A991" s="319"/>
      <c r="B991" s="623"/>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c r="AA991" s="301"/>
    </row>
    <row r="992" spans="1:27">
      <c r="A992" s="319"/>
      <c r="B992" s="623"/>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c r="AA992" s="301"/>
    </row>
    <row r="993" spans="1:27">
      <c r="A993" s="319"/>
      <c r="B993" s="623"/>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c r="AA993" s="301"/>
    </row>
    <row r="994" spans="1:27">
      <c r="A994" s="319"/>
      <c r="B994" s="623"/>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c r="AA994" s="301"/>
    </row>
    <row r="995" spans="1:27">
      <c r="A995" s="319"/>
      <c r="B995" s="623"/>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c r="AA995" s="301"/>
    </row>
    <row r="996" spans="1:27">
      <c r="A996" s="319"/>
      <c r="B996" s="623"/>
      <c r="C996" s="300"/>
      <c r="D996" s="300"/>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c r="AA996" s="301"/>
    </row>
    <row r="997" spans="1:27">
      <c r="A997" s="319"/>
      <c r="B997" s="623"/>
      <c r="C997" s="300"/>
      <c r="D997" s="300"/>
      <c r="E997" s="300"/>
      <c r="F997" s="300"/>
      <c r="G997" s="300"/>
      <c r="H997" s="300"/>
      <c r="I997" s="300"/>
      <c r="J997" s="300"/>
      <c r="K997" s="300"/>
      <c r="L997" s="300"/>
      <c r="M997" s="300"/>
      <c r="N997" s="300"/>
      <c r="O997" s="300"/>
      <c r="P997" s="300"/>
      <c r="Q997" s="300"/>
      <c r="R997" s="300"/>
      <c r="S997" s="300"/>
      <c r="T997" s="300"/>
      <c r="U997" s="300"/>
      <c r="V997" s="300"/>
      <c r="W997" s="300"/>
      <c r="X997" s="300"/>
      <c r="Y997" s="300"/>
      <c r="Z997" s="300"/>
      <c r="AA997" s="301"/>
    </row>
    <row r="998" spans="1:27">
      <c r="A998" s="319"/>
      <c r="B998" s="623"/>
      <c r="C998" s="300"/>
      <c r="D998" s="300"/>
      <c r="E998" s="300"/>
      <c r="F998" s="300"/>
      <c r="G998" s="300"/>
      <c r="H998" s="300"/>
      <c r="I998" s="300"/>
      <c r="J998" s="300"/>
      <c r="K998" s="300"/>
      <c r="L998" s="300"/>
      <c r="M998" s="300"/>
      <c r="N998" s="300"/>
      <c r="O998" s="300"/>
      <c r="P998" s="300"/>
      <c r="Q998" s="300"/>
      <c r="R998" s="300"/>
      <c r="S998" s="300"/>
      <c r="T998" s="300"/>
      <c r="U998" s="300"/>
      <c r="V998" s="300"/>
      <c r="W998" s="300"/>
      <c r="X998" s="300"/>
      <c r="Y998" s="300"/>
      <c r="Z998" s="300"/>
      <c r="AA998" s="301"/>
    </row>
    <row r="999" spans="1:27">
      <c r="A999" s="319"/>
      <c r="B999" s="623"/>
      <c r="C999" s="300"/>
      <c r="D999" s="300"/>
      <c r="E999" s="300"/>
      <c r="F999" s="300"/>
      <c r="G999" s="300"/>
      <c r="H999" s="300"/>
      <c r="I999" s="300"/>
      <c r="J999" s="300"/>
      <c r="K999" s="300"/>
      <c r="L999" s="300"/>
      <c r="M999" s="300"/>
      <c r="N999" s="300"/>
      <c r="O999" s="300"/>
      <c r="P999" s="300"/>
      <c r="Q999" s="300"/>
      <c r="R999" s="300"/>
      <c r="S999" s="300"/>
      <c r="T999" s="300"/>
      <c r="U999" s="300"/>
      <c r="V999" s="300"/>
      <c r="W999" s="300"/>
      <c r="X999" s="300"/>
      <c r="Y999" s="300"/>
      <c r="Z999" s="300"/>
      <c r="AA999" s="301"/>
    </row>
    <row r="1000" spans="1:27">
      <c r="A1000" s="319"/>
      <c r="B1000" s="623"/>
      <c r="C1000" s="300"/>
      <c r="D1000" s="300"/>
      <c r="E1000" s="300"/>
      <c r="F1000" s="300"/>
      <c r="G1000" s="300"/>
      <c r="H1000" s="300"/>
      <c r="I1000" s="300"/>
      <c r="J1000" s="300"/>
      <c r="K1000" s="300"/>
      <c r="L1000" s="300"/>
      <c r="M1000" s="300"/>
      <c r="N1000" s="300"/>
      <c r="O1000" s="300"/>
      <c r="P1000" s="300"/>
      <c r="Q1000" s="300"/>
      <c r="R1000" s="300"/>
      <c r="S1000" s="300"/>
      <c r="T1000" s="300"/>
      <c r="U1000" s="300"/>
      <c r="V1000" s="300"/>
      <c r="W1000" s="300"/>
      <c r="X1000" s="300"/>
      <c r="Y1000" s="300"/>
      <c r="Z1000" s="300"/>
      <c r="AA1000" s="301"/>
    </row>
    <row r="1001" spans="1:27">
      <c r="A1001" s="319"/>
      <c r="B1001" s="623"/>
      <c r="C1001" s="300"/>
      <c r="D1001" s="300"/>
      <c r="E1001" s="300"/>
      <c r="F1001" s="300"/>
      <c r="G1001" s="300"/>
      <c r="H1001" s="300"/>
      <c r="I1001" s="300"/>
      <c r="J1001" s="300"/>
      <c r="K1001" s="300"/>
      <c r="L1001" s="300"/>
      <c r="M1001" s="300"/>
      <c r="N1001" s="300"/>
      <c r="O1001" s="300"/>
      <c r="P1001" s="300"/>
      <c r="Q1001" s="300"/>
      <c r="R1001" s="300"/>
      <c r="S1001" s="300"/>
      <c r="T1001" s="300"/>
      <c r="U1001" s="300"/>
      <c r="V1001" s="300"/>
      <c r="W1001" s="300"/>
      <c r="X1001" s="300"/>
      <c r="Y1001" s="300"/>
      <c r="Z1001" s="300"/>
      <c r="AA1001" s="301"/>
    </row>
    <row r="1002" spans="1:27">
      <c r="A1002" s="312"/>
      <c r="B1002" s="775"/>
      <c r="C1002" s="313"/>
      <c r="D1002" s="313"/>
      <c r="E1002" s="313"/>
      <c r="F1002" s="313"/>
      <c r="G1002" s="313"/>
      <c r="H1002" s="313"/>
      <c r="I1002" s="313"/>
      <c r="J1002" s="313"/>
      <c r="K1002" s="313"/>
      <c r="L1002" s="313"/>
      <c r="M1002" s="313"/>
      <c r="N1002" s="313"/>
      <c r="O1002" s="313"/>
      <c r="P1002" s="313"/>
      <c r="Q1002" s="313"/>
      <c r="R1002" s="313"/>
      <c r="S1002" s="313"/>
      <c r="T1002" s="313"/>
      <c r="U1002" s="313"/>
      <c r="V1002" s="313"/>
      <c r="W1002" s="313"/>
      <c r="X1002" s="313"/>
      <c r="Y1002" s="313"/>
      <c r="Z1002" s="313"/>
      <c r="AA1002" s="311"/>
    </row>
  </sheetData>
  <mergeCells count="4">
    <mergeCell ref="B2:B3"/>
    <mergeCell ref="A1:L1"/>
    <mergeCell ref="C2:L2"/>
    <mergeCell ref="A2:A3"/>
  </mergeCells>
  <conditionalFormatting sqref="C5:C6 C8:C14">
    <cfRule type="cellIs" dxfId="33" priority="34" operator="lessThan">
      <formula>5</formula>
    </cfRule>
  </conditionalFormatting>
  <conditionalFormatting sqref="C16:C19 C21">
    <cfRule type="cellIs" dxfId="32" priority="33" operator="lessThan">
      <formula>6</formula>
    </cfRule>
  </conditionalFormatting>
  <conditionalFormatting sqref="D5:D6 D8:D14">
    <cfRule type="cellIs" dxfId="31" priority="32" operator="greaterThan">
      <formula>5</formula>
    </cfRule>
  </conditionalFormatting>
  <conditionalFormatting sqref="E5:E6 E8:E14">
    <cfRule type="cellIs" dxfId="30" priority="31" operator="greaterThan">
      <formula>65</formula>
    </cfRule>
  </conditionalFormatting>
  <conditionalFormatting sqref="E16:E19 E21">
    <cfRule type="cellIs" dxfId="29" priority="30" operator="greaterThan">
      <formula>50</formula>
    </cfRule>
  </conditionalFormatting>
  <conditionalFormatting sqref="F5:F6 F8:F9">
    <cfRule type="cellIs" dxfId="28" priority="29" operator="notBetween">
      <formula>6.5</formula>
      <formula>9</formula>
    </cfRule>
  </conditionalFormatting>
  <conditionalFormatting sqref="F10:F14">
    <cfRule type="cellIs" dxfId="27" priority="28" operator="notBetween">
      <formula>6.5</formula>
      <formula>8.5</formula>
    </cfRule>
  </conditionalFormatting>
  <conditionalFormatting sqref="F16:F19 F21">
    <cfRule type="cellIs" dxfId="26" priority="27" operator="notBetween">
      <formula>7</formula>
      <formula>8.5</formula>
    </cfRule>
  </conditionalFormatting>
  <conditionalFormatting sqref="G5:G6 G8:G9">
    <cfRule type="cellIs" dxfId="25" priority="26" operator="notBetween">
      <formula>25</formula>
      <formula>31</formula>
    </cfRule>
  </conditionalFormatting>
  <conditionalFormatting sqref="G10:G14">
    <cfRule type="cellIs" dxfId="24" priority="25" operator="notBetween">
      <formula>26</formula>
      <formula>30</formula>
    </cfRule>
  </conditionalFormatting>
  <conditionalFormatting sqref="G16:G19 G21">
    <cfRule type="cellIs" dxfId="23" priority="24" operator="notBetween">
      <formula>26</formula>
      <formula>30</formula>
    </cfRule>
  </conditionalFormatting>
  <conditionalFormatting sqref="H5:H6 H8:H9">
    <cfRule type="cellIs" dxfId="22" priority="23" operator="greaterThan">
      <formula>75</formula>
    </cfRule>
  </conditionalFormatting>
  <conditionalFormatting sqref="H10:H14 H16:H19 H21">
    <cfRule type="cellIs" dxfId="21" priority="22" operator="greaterThan">
      <formula>50</formula>
    </cfRule>
  </conditionalFormatting>
  <conditionalFormatting sqref="I5:I6 I8:I9">
    <cfRule type="cellIs" dxfId="20" priority="21" operator="greaterThan">
      <formula>200</formula>
    </cfRule>
  </conditionalFormatting>
  <conditionalFormatting sqref="I10:I14 I16:I19 I21">
    <cfRule type="cellIs" dxfId="19" priority="20" operator="greaterThan">
      <formula>100</formula>
    </cfRule>
  </conditionalFormatting>
  <conditionalFormatting sqref="J5:J6 J8:J14">
    <cfRule type="cellIs" dxfId="18" priority="19" operator="greaterThan">
      <formula>7</formula>
    </cfRule>
  </conditionalFormatting>
  <conditionalFormatting sqref="J16:J19 J21">
    <cfRule type="cellIs" dxfId="17" priority="18" operator="greaterThan">
      <formula>10</formula>
    </cfRule>
  </conditionalFormatting>
  <conditionalFormatting sqref="K5:K6 K8:K14">
    <cfRule type="cellIs" dxfId="16" priority="17" operator="greaterThan">
      <formula>0.025</formula>
    </cfRule>
  </conditionalFormatting>
  <conditionalFormatting sqref="K16:K19 K21">
    <cfRule type="cellIs" dxfId="15" priority="16" operator="greaterThan">
      <formula>0.2</formula>
    </cfRule>
  </conditionalFormatting>
  <conditionalFormatting sqref="L5:L6 L8:L9">
    <cfRule type="cellIs" dxfId="14" priority="15" operator="greaterThan">
      <formula>350</formula>
    </cfRule>
  </conditionalFormatting>
  <conditionalFormatting sqref="L10:L14">
    <cfRule type="cellIs" dxfId="13" priority="14" operator="greaterThan">
      <formula>250</formula>
    </cfRule>
  </conditionalFormatting>
  <conditionalFormatting sqref="E24:E26">
    <cfRule type="cellIs" dxfId="12" priority="10" operator="greaterThan">
      <formula>80</formula>
    </cfRule>
  </conditionalFormatting>
  <conditionalFormatting sqref="C24:C26">
    <cfRule type="cellIs" dxfId="11" priority="9" operator="lessThan">
      <formula>5</formula>
    </cfRule>
  </conditionalFormatting>
  <conditionalFormatting sqref="D24:D26">
    <cfRule type="cellIs" dxfId="10" priority="8" operator="greaterThan">
      <formula>7</formula>
    </cfRule>
  </conditionalFormatting>
  <conditionalFormatting sqref="F24:F26">
    <cfRule type="cellIs" dxfId="9" priority="7" operator="notBetween">
      <formula>6.5</formula>
      <formula>9</formula>
    </cfRule>
  </conditionalFormatting>
  <conditionalFormatting sqref="G24:G26">
    <cfRule type="cellIs" dxfId="8" priority="6" operator="notBetween">
      <formula>25</formula>
      <formula>31</formula>
    </cfRule>
  </conditionalFormatting>
  <conditionalFormatting sqref="H24:H26">
    <cfRule type="cellIs" dxfId="7" priority="5" operator="greaterThan">
      <formula>75</formula>
    </cfRule>
  </conditionalFormatting>
  <conditionalFormatting sqref="I24:I26">
    <cfRule type="cellIs" dxfId="6" priority="4" operator="greaterThan">
      <formula>200</formula>
    </cfRule>
  </conditionalFormatting>
  <conditionalFormatting sqref="J24:J26">
    <cfRule type="cellIs" dxfId="5" priority="3" operator="greaterThan">
      <formula>7</formula>
    </cfRule>
  </conditionalFormatting>
  <conditionalFormatting sqref="K24:K26">
    <cfRule type="cellIs" dxfId="4" priority="2" operator="greaterThan">
      <formula>0.025</formula>
    </cfRule>
  </conditionalFormatting>
  <conditionalFormatting sqref="L24:L26">
    <cfRule type="cellIs" dxfId="3" priority="1" operator="greaterThan">
      <formula>350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85623"/>
    <pageSetUpPr fitToPage="1"/>
  </sheetPr>
  <dimension ref="A1:AO78"/>
  <sheetViews>
    <sheetView tabSelected="1" zoomScale="80" zoomScaleNormal="80" workbookViewId="0">
      <pane xSplit="2" ySplit="6" topLeftCell="Z24" activePane="bottomRight" state="frozen"/>
      <selection pane="bottomRight" activeCell="AK39" sqref="AK39"/>
      <selection pane="bottomLeft" activeCell="A7" sqref="A7"/>
      <selection pane="topRight" activeCell="C1" sqref="C1"/>
    </sheetView>
  </sheetViews>
  <sheetFormatPr defaultColWidth="14.42578125" defaultRowHeight="15" customHeight="1"/>
  <cols>
    <col min="1" max="1" width="9.140625" customWidth="1"/>
    <col min="2" max="2" width="16.28515625" customWidth="1"/>
    <col min="3" max="3" width="9.140625" customWidth="1"/>
    <col min="4" max="4" width="22.7109375" customWidth="1"/>
    <col min="5" max="5" width="24.7109375" customWidth="1"/>
    <col min="6" max="6" width="15.85546875" customWidth="1"/>
    <col min="7" max="7" width="16" customWidth="1"/>
    <col min="8" max="8" width="14.7109375" customWidth="1"/>
    <col min="9" max="9" width="18.5703125" customWidth="1"/>
    <col min="10" max="10" width="15.85546875" customWidth="1"/>
    <col min="11" max="12" width="15" customWidth="1"/>
    <col min="13" max="13" width="16" customWidth="1"/>
    <col min="14" max="14" width="14.7109375" customWidth="1"/>
    <col min="15" max="15" width="16" customWidth="1"/>
    <col min="16" max="16" width="22.7109375" customWidth="1"/>
    <col min="17" max="17" width="13.85546875" customWidth="1"/>
    <col min="18" max="18" width="14.5703125" customWidth="1"/>
    <col min="19" max="19" width="13.140625" bestFit="1" customWidth="1"/>
    <col min="20" max="20" width="8.5703125" bestFit="1" customWidth="1"/>
    <col min="21" max="25" width="9.140625" customWidth="1"/>
    <col min="26" max="26" width="21.85546875" bestFit="1" customWidth="1"/>
    <col min="27" max="31" width="9.140625" customWidth="1"/>
  </cols>
  <sheetData>
    <row r="1" spans="1:40">
      <c r="A1" s="138"/>
      <c r="B1" s="93"/>
      <c r="C1" s="868" t="s">
        <v>40</v>
      </c>
      <c r="D1" s="1158"/>
      <c r="E1" s="1158"/>
      <c r="F1" s="1158"/>
      <c r="G1" s="1158"/>
      <c r="H1" s="1158"/>
      <c r="I1" s="1158"/>
      <c r="J1" s="1158"/>
      <c r="K1" s="1158"/>
      <c r="L1" s="1158"/>
      <c r="M1" s="1158"/>
      <c r="N1" s="1158"/>
      <c r="O1" s="1158"/>
      <c r="P1" s="1158"/>
      <c r="Q1" s="1158"/>
      <c r="R1" s="1158"/>
      <c r="S1" s="1158"/>
    </row>
    <row r="2" spans="1:40">
      <c r="A2" s="138"/>
      <c r="B2" s="93"/>
      <c r="C2" s="868" t="s">
        <v>41</v>
      </c>
      <c r="D2" s="1158"/>
      <c r="E2" s="1158"/>
      <c r="F2" s="1158"/>
      <c r="G2" s="1158"/>
      <c r="H2" s="1158"/>
      <c r="I2" s="1158"/>
      <c r="J2" s="1158"/>
      <c r="K2" s="1158"/>
      <c r="L2" s="1158"/>
      <c r="M2" s="1158"/>
      <c r="N2" s="1158"/>
      <c r="O2" s="1158"/>
      <c r="P2" s="1158"/>
      <c r="Q2" s="1158"/>
      <c r="R2" s="1158"/>
      <c r="S2" s="1158"/>
    </row>
    <row r="3" spans="1:40">
      <c r="A3" s="139"/>
      <c r="B3" s="86"/>
      <c r="C3" s="869" t="s">
        <v>42</v>
      </c>
      <c r="D3" s="1159"/>
      <c r="E3" s="1159"/>
      <c r="F3" s="1159"/>
      <c r="G3" s="1159"/>
      <c r="H3" s="1159"/>
      <c r="I3" s="1159"/>
      <c r="J3" s="1159"/>
      <c r="K3" s="1159"/>
      <c r="L3" s="1159"/>
      <c r="M3" s="1159"/>
      <c r="N3" s="1159"/>
      <c r="O3" s="1159"/>
      <c r="P3" s="1159"/>
      <c r="Q3" s="1159"/>
      <c r="R3" s="1159"/>
      <c r="S3" s="1159"/>
    </row>
    <row r="4" spans="1:40">
      <c r="A4" s="140"/>
      <c r="B4" s="141"/>
      <c r="C4" s="870" t="s">
        <v>43</v>
      </c>
      <c r="D4" s="1160"/>
      <c r="E4" s="1160"/>
      <c r="F4" s="1160"/>
      <c r="G4" s="1160"/>
      <c r="H4" s="1160"/>
      <c r="I4" s="1160"/>
      <c r="J4" s="1160"/>
      <c r="K4" s="1160"/>
      <c r="L4" s="1160"/>
      <c r="M4" s="1160"/>
      <c r="N4" s="1160"/>
      <c r="O4" s="1160"/>
      <c r="P4" s="1160"/>
      <c r="Q4" s="1160"/>
      <c r="R4" s="1160"/>
      <c r="S4" s="1160"/>
    </row>
    <row r="5" spans="1:40">
      <c r="A5" s="2"/>
      <c r="B5" s="142"/>
      <c r="C5" s="871" t="s">
        <v>44</v>
      </c>
      <c r="D5" s="1159"/>
      <c r="E5" s="1159"/>
      <c r="F5" s="1159"/>
      <c r="G5" s="1159"/>
      <c r="H5" s="1159"/>
      <c r="I5" s="1159"/>
      <c r="J5" s="1159"/>
      <c r="K5" s="1159"/>
      <c r="L5" s="1159"/>
      <c r="M5" s="1159"/>
      <c r="N5" s="1159"/>
      <c r="O5" s="1159"/>
      <c r="P5" s="1159"/>
      <c r="Q5" s="1159"/>
      <c r="R5" s="1159"/>
      <c r="S5" s="1159"/>
    </row>
    <row r="6" spans="1:40">
      <c r="A6" s="3" t="s">
        <v>45</v>
      </c>
      <c r="B6" s="4" t="s">
        <v>46</v>
      </c>
      <c r="C6" s="4" t="s">
        <v>47</v>
      </c>
      <c r="D6" s="4" t="s">
        <v>48</v>
      </c>
      <c r="E6" s="4" t="s">
        <v>49</v>
      </c>
      <c r="F6" s="459" t="s">
        <v>50</v>
      </c>
      <c r="G6" s="459" t="s">
        <v>51</v>
      </c>
      <c r="H6" s="460" t="s">
        <v>52</v>
      </c>
      <c r="I6" s="460" t="s">
        <v>53</v>
      </c>
      <c r="J6" s="459" t="s">
        <v>54</v>
      </c>
      <c r="K6" s="460" t="s">
        <v>55</v>
      </c>
      <c r="L6" s="460" t="s">
        <v>56</v>
      </c>
      <c r="M6" s="4" t="s">
        <v>57</v>
      </c>
      <c r="N6" s="4" t="s">
        <v>58</v>
      </c>
      <c r="O6" s="4" t="s">
        <v>59</v>
      </c>
      <c r="P6" s="4" t="s">
        <v>60</v>
      </c>
      <c r="Q6" s="4" t="s">
        <v>61</v>
      </c>
      <c r="R6" s="3" t="s">
        <v>62</v>
      </c>
      <c r="S6" s="143" t="s">
        <v>63</v>
      </c>
      <c r="T6" s="253" t="s">
        <v>64</v>
      </c>
    </row>
    <row r="7" spans="1:40">
      <c r="A7" s="144" t="s">
        <v>65</v>
      </c>
      <c r="B7" s="6" t="s">
        <v>66</v>
      </c>
      <c r="C7" s="145">
        <v>1</v>
      </c>
      <c r="D7" s="146" t="s">
        <v>67</v>
      </c>
      <c r="E7" s="146" t="s">
        <v>68</v>
      </c>
      <c r="F7" s="7">
        <v>3</v>
      </c>
      <c r="G7" s="7">
        <v>1.5</v>
      </c>
      <c r="H7" s="7">
        <v>3.43</v>
      </c>
      <c r="I7" s="7">
        <v>3.41</v>
      </c>
      <c r="J7" s="7">
        <v>4.5</v>
      </c>
      <c r="K7" s="7">
        <v>3.36</v>
      </c>
      <c r="L7" s="7">
        <v>3.8</v>
      </c>
      <c r="M7" s="7">
        <v>4.71</v>
      </c>
      <c r="N7" s="7">
        <v>4.9800000000000004</v>
      </c>
      <c r="O7" s="7">
        <v>4.63</v>
      </c>
      <c r="P7" s="7">
        <v>4.25</v>
      </c>
      <c r="Q7" s="7">
        <v>4.45</v>
      </c>
      <c r="R7" s="147">
        <f>IFERROR(AVERAGE(F7:Q7), 0)</f>
        <v>3.8350000000000004</v>
      </c>
      <c r="S7" s="8">
        <v>5</v>
      </c>
      <c r="T7" s="242" t="s">
        <v>69</v>
      </c>
      <c r="Z7" s="843" t="s">
        <v>70</v>
      </c>
      <c r="AA7" s="843"/>
      <c r="AB7" s="843"/>
      <c r="AC7" s="843"/>
      <c r="AD7" s="843"/>
      <c r="AE7" s="843"/>
      <c r="AF7" s="843"/>
      <c r="AG7" s="843"/>
      <c r="AH7" s="843"/>
      <c r="AI7" s="843"/>
      <c r="AJ7" s="843"/>
      <c r="AK7" s="843"/>
      <c r="AL7" s="843"/>
      <c r="AM7" s="843"/>
      <c r="AN7" s="843"/>
    </row>
    <row r="8" spans="1:40">
      <c r="A8" s="9"/>
      <c r="B8" s="10" t="s">
        <v>66</v>
      </c>
      <c r="C8" s="11">
        <v>2</v>
      </c>
      <c r="D8" s="148" t="s">
        <v>71</v>
      </c>
      <c r="E8" s="148" t="s">
        <v>72</v>
      </c>
      <c r="F8" s="12">
        <v>0.1</v>
      </c>
      <c r="G8" s="12">
        <v>1.68</v>
      </c>
      <c r="H8" s="12">
        <v>3.7</v>
      </c>
      <c r="I8" s="12">
        <v>3.28</v>
      </c>
      <c r="J8" s="12">
        <v>3.6</v>
      </c>
      <c r="K8" s="12">
        <v>3.15</v>
      </c>
      <c r="L8" s="12">
        <v>3.2</v>
      </c>
      <c r="M8" s="12">
        <v>3.89</v>
      </c>
      <c r="N8" s="12">
        <v>4.9000000000000004</v>
      </c>
      <c r="O8" s="12">
        <v>4.53</v>
      </c>
      <c r="P8" s="12">
        <v>4.1100000000000003</v>
      </c>
      <c r="Q8" s="12">
        <v>4.53</v>
      </c>
      <c r="R8" s="137">
        <f>IFERROR(AVERAGE(F8:Q8), 0)</f>
        <v>3.3891666666666667</v>
      </c>
      <c r="S8" s="14">
        <v>5</v>
      </c>
      <c r="T8" s="242" t="s">
        <v>73</v>
      </c>
      <c r="Z8" s="843" t="s">
        <v>74</v>
      </c>
      <c r="AA8" s="843"/>
      <c r="AB8" s="843"/>
      <c r="AC8" s="843"/>
      <c r="AD8" s="843"/>
      <c r="AE8" s="843"/>
      <c r="AF8" s="843"/>
      <c r="AG8" s="843"/>
      <c r="AH8" s="843"/>
      <c r="AI8" s="843"/>
      <c r="AJ8" s="843"/>
      <c r="AK8" s="843"/>
      <c r="AL8" s="843"/>
      <c r="AM8" s="843"/>
      <c r="AN8" s="843"/>
    </row>
    <row r="9" spans="1:40">
      <c r="A9" s="9"/>
      <c r="B9" s="10" t="s">
        <v>66</v>
      </c>
      <c r="C9" s="11">
        <v>3</v>
      </c>
      <c r="D9" s="148" t="s">
        <v>75</v>
      </c>
      <c r="E9" s="148" t="s">
        <v>76</v>
      </c>
      <c r="F9" s="12">
        <v>0.1</v>
      </c>
      <c r="G9" s="12">
        <v>0.45</v>
      </c>
      <c r="H9" s="12">
        <v>0.95</v>
      </c>
      <c r="I9" s="12">
        <v>1.81</v>
      </c>
      <c r="J9" s="12">
        <v>2.1</v>
      </c>
      <c r="K9" s="12">
        <v>1.63</v>
      </c>
      <c r="L9" s="12">
        <v>2.15</v>
      </c>
      <c r="M9" s="12">
        <v>2.46</v>
      </c>
      <c r="N9" s="12">
        <v>2.93</v>
      </c>
      <c r="O9" s="12">
        <v>4.5999999999999996</v>
      </c>
      <c r="P9" s="12">
        <v>3.58</v>
      </c>
      <c r="Q9" s="12">
        <v>2.61</v>
      </c>
      <c r="R9" s="137">
        <f t="shared" ref="R9:R11" si="0">IFERROR(AVERAGE(F9:Q9), 0)</f>
        <v>2.1141666666666663</v>
      </c>
      <c r="S9" s="14">
        <v>5</v>
      </c>
      <c r="T9" s="242" t="s">
        <v>77</v>
      </c>
      <c r="Z9" s="844"/>
      <c r="AA9" s="845"/>
      <c r="AB9" s="845"/>
      <c r="AC9" s="845"/>
      <c r="AD9" s="846"/>
      <c r="AE9" s="848" t="s">
        <v>78</v>
      </c>
      <c r="AF9" s="1161"/>
      <c r="AG9" s="1161"/>
      <c r="AH9" s="1161"/>
      <c r="AI9" s="1161"/>
      <c r="AJ9" s="1161"/>
      <c r="AK9" s="1161"/>
      <c r="AL9" s="1161"/>
      <c r="AM9" s="1161"/>
      <c r="AN9" s="1161"/>
    </row>
    <row r="10" spans="1:40">
      <c r="A10" s="9"/>
      <c r="B10" s="10" t="s">
        <v>66</v>
      </c>
      <c r="C10" s="11">
        <v>4</v>
      </c>
      <c r="D10" s="148" t="s">
        <v>79</v>
      </c>
      <c r="E10" s="148" t="s">
        <v>80</v>
      </c>
      <c r="F10" s="12">
        <v>0.1</v>
      </c>
      <c r="G10" s="12">
        <v>0.74</v>
      </c>
      <c r="H10" s="12">
        <v>1.1000000000000001</v>
      </c>
      <c r="I10" s="12">
        <v>1.89</v>
      </c>
      <c r="J10" s="12">
        <v>2</v>
      </c>
      <c r="K10" s="12">
        <v>1.58</v>
      </c>
      <c r="L10" s="12">
        <v>2.1</v>
      </c>
      <c r="M10" s="12">
        <v>3.24</v>
      </c>
      <c r="N10" s="12">
        <v>3.2</v>
      </c>
      <c r="O10" s="12">
        <v>5.15</v>
      </c>
      <c r="P10" s="12">
        <v>3.38</v>
      </c>
      <c r="Q10" s="12">
        <v>2.61</v>
      </c>
      <c r="R10" s="137">
        <f t="shared" si="0"/>
        <v>2.2574999999999998</v>
      </c>
      <c r="S10" s="14">
        <v>5</v>
      </c>
      <c r="T10" s="242" t="s">
        <v>81</v>
      </c>
      <c r="Z10" s="14" t="s">
        <v>82</v>
      </c>
      <c r="AA10" s="14" t="s">
        <v>83</v>
      </c>
      <c r="AB10" s="14" t="s">
        <v>84</v>
      </c>
      <c r="AC10" s="14" t="s">
        <v>85</v>
      </c>
      <c r="AD10" s="14" t="s">
        <v>86</v>
      </c>
      <c r="AE10" s="14" t="s">
        <v>4</v>
      </c>
      <c r="AF10" s="14" t="s">
        <v>5</v>
      </c>
      <c r="AG10" s="14" t="s">
        <v>6</v>
      </c>
      <c r="AH10" s="14" t="s">
        <v>7</v>
      </c>
      <c r="AI10" s="14" t="s">
        <v>8</v>
      </c>
      <c r="AJ10" s="14" t="s">
        <v>9</v>
      </c>
      <c r="AK10" s="14" t="s">
        <v>10</v>
      </c>
      <c r="AL10" s="14" t="s">
        <v>11</v>
      </c>
      <c r="AM10" s="14" t="s">
        <v>12</v>
      </c>
      <c r="AN10" s="14" t="s">
        <v>13</v>
      </c>
    </row>
    <row r="11" spans="1:40">
      <c r="A11" s="9"/>
      <c r="B11" s="10" t="s">
        <v>66</v>
      </c>
      <c r="C11" s="11">
        <v>5</v>
      </c>
      <c r="D11" s="148" t="s">
        <v>87</v>
      </c>
      <c r="E11" s="148" t="s">
        <v>88</v>
      </c>
      <c r="F11" s="12">
        <v>0.1</v>
      </c>
      <c r="G11" s="12">
        <v>0.57999999999999996</v>
      </c>
      <c r="H11" s="12">
        <v>0.93</v>
      </c>
      <c r="I11" s="12">
        <v>1.93</v>
      </c>
      <c r="J11" s="12">
        <v>1.9</v>
      </c>
      <c r="K11" s="12">
        <v>1.51</v>
      </c>
      <c r="L11" s="12">
        <v>2.13</v>
      </c>
      <c r="M11" s="12">
        <v>3.21</v>
      </c>
      <c r="N11" s="12">
        <v>3.27</v>
      </c>
      <c r="O11" s="12">
        <v>5.3</v>
      </c>
      <c r="P11" s="12">
        <v>3.53</v>
      </c>
      <c r="Q11" s="12">
        <v>2.5</v>
      </c>
      <c r="R11" s="137">
        <f t="shared" si="0"/>
        <v>2.2408333333333332</v>
      </c>
      <c r="S11" s="14">
        <v>5</v>
      </c>
      <c r="T11" s="242" t="s">
        <v>89</v>
      </c>
      <c r="Z11" s="847" t="s">
        <v>90</v>
      </c>
      <c r="AA11" s="847" t="s">
        <v>43</v>
      </c>
      <c r="AB11" s="855" t="s">
        <v>16</v>
      </c>
      <c r="AC11" s="32">
        <v>1</v>
      </c>
      <c r="AD11" s="14" t="s">
        <v>87</v>
      </c>
      <c r="AE11" s="33">
        <f>AVERAGE(F7:K7)</f>
        <v>3.1999999999999997</v>
      </c>
      <c r="AF11" s="33">
        <f>AVERAGE(F12:K12)</f>
        <v>20.666666666666668</v>
      </c>
      <c r="AG11" s="33">
        <f>AVERAGE(F17:K17)</f>
        <v>24.333333333333332</v>
      </c>
      <c r="AH11" s="33">
        <f>AVERAGE(F22:K22)</f>
        <v>7.2233333333333336</v>
      </c>
      <c r="AI11" s="33">
        <f>AVERAGE(F27:K27)</f>
        <v>28.666666666666668</v>
      </c>
      <c r="AJ11" s="33">
        <f>AVERAGE(F32:K32)</f>
        <v>19.166666666666668</v>
      </c>
      <c r="AK11" s="33">
        <f>GEOMEAN(F37:K37)</f>
        <v>5994809.7762491489</v>
      </c>
      <c r="AL11" s="34">
        <f>AVERAGE(F42:K42)</f>
        <v>0.31033333333333329</v>
      </c>
      <c r="AM11" s="34">
        <f>AVERAGE(F47:K47)</f>
        <v>0.99749999999999994</v>
      </c>
      <c r="AN11" s="33">
        <f>AVERAGE(F52:K52)</f>
        <v>123.33333333333333</v>
      </c>
    </row>
    <row r="12" spans="1:40">
      <c r="A12" s="9"/>
      <c r="B12" s="149" t="s">
        <v>91</v>
      </c>
      <c r="C12" s="15">
        <v>1</v>
      </c>
      <c r="D12" s="146" t="s">
        <v>67</v>
      </c>
      <c r="E12" s="146" t="s">
        <v>68</v>
      </c>
      <c r="F12" s="7">
        <v>16</v>
      </c>
      <c r="G12" s="7">
        <v>25</v>
      </c>
      <c r="H12" s="7">
        <v>24</v>
      </c>
      <c r="I12" s="7">
        <v>24</v>
      </c>
      <c r="J12" s="7">
        <v>22</v>
      </c>
      <c r="K12" s="7">
        <v>13</v>
      </c>
      <c r="L12" s="7">
        <v>35</v>
      </c>
      <c r="M12" s="7">
        <v>11</v>
      </c>
      <c r="N12" s="7">
        <v>12</v>
      </c>
      <c r="O12" s="7">
        <v>13</v>
      </c>
      <c r="P12" s="7">
        <v>10</v>
      </c>
      <c r="Q12" s="7">
        <v>10</v>
      </c>
      <c r="R12" s="222">
        <f>IFERROR(AVERAGE(F12:Q12), 0)</f>
        <v>17.916666666666668</v>
      </c>
      <c r="S12" s="8">
        <v>7</v>
      </c>
      <c r="T12" s="242" t="s">
        <v>69</v>
      </c>
      <c r="Z12" s="1161"/>
      <c r="AA12" s="1161"/>
      <c r="AB12" s="1161"/>
      <c r="AC12" s="32">
        <v>2</v>
      </c>
      <c r="AD12" s="14" t="s">
        <v>79</v>
      </c>
      <c r="AE12" s="33">
        <f>AVERAGE(F8:K8)</f>
        <v>2.585</v>
      </c>
      <c r="AF12" s="33">
        <f>AVERAGE(F13:K13)</f>
        <v>24.833333333333332</v>
      </c>
      <c r="AG12" s="33">
        <f>AVERAGE(F18:K18)</f>
        <v>22.5</v>
      </c>
      <c r="AH12" s="33">
        <f>AVERAGE(F23:K23)</f>
        <v>7.12</v>
      </c>
      <c r="AI12" s="33">
        <f>AVERAGE(F28:K28)</f>
        <v>28.783333333333335</v>
      </c>
      <c r="AJ12" s="33">
        <f>AVERAGE(F33:K33)</f>
        <v>20</v>
      </c>
      <c r="AK12" s="33">
        <f>GEOMEAN(F38:K38)</f>
        <v>6315839.625668521</v>
      </c>
      <c r="AL12" s="34">
        <f>AVERAGE(F43:K43)</f>
        <v>0.27</v>
      </c>
      <c r="AM12" s="34">
        <f>AVERAGE(F48:K48)</f>
        <v>0.88700000000000001</v>
      </c>
      <c r="AN12" s="33">
        <f>AVERAGE(F53:K53)</f>
        <v>1001.8333333333334</v>
      </c>
    </row>
    <row r="13" spans="1:40">
      <c r="A13" s="9"/>
      <c r="B13" s="150" t="s">
        <v>91</v>
      </c>
      <c r="C13" s="11">
        <v>2</v>
      </c>
      <c r="D13" s="148" t="s">
        <v>71</v>
      </c>
      <c r="E13" s="148" t="s">
        <v>72</v>
      </c>
      <c r="F13" s="12">
        <v>42</v>
      </c>
      <c r="G13" s="12">
        <v>18</v>
      </c>
      <c r="H13" s="12">
        <v>24</v>
      </c>
      <c r="I13" s="12">
        <v>23</v>
      </c>
      <c r="J13" s="12">
        <v>29</v>
      </c>
      <c r="K13" s="12">
        <v>13</v>
      </c>
      <c r="L13" s="12">
        <v>14</v>
      </c>
      <c r="M13" s="12">
        <v>12</v>
      </c>
      <c r="N13" s="12">
        <v>13</v>
      </c>
      <c r="O13" s="12">
        <v>17</v>
      </c>
      <c r="P13" s="12">
        <v>11</v>
      </c>
      <c r="Q13" s="12">
        <v>10</v>
      </c>
      <c r="R13" s="137">
        <f t="shared" ref="R13:R35" si="1">IFERROR(AVERAGE(F13:Q13), 0)</f>
        <v>18.833333333333332</v>
      </c>
      <c r="S13" s="14">
        <v>7</v>
      </c>
      <c r="T13" s="242" t="s">
        <v>73</v>
      </c>
      <c r="Z13" s="1161"/>
      <c r="AA13" s="1161"/>
      <c r="AB13" s="1161"/>
      <c r="AC13" s="32">
        <v>3</v>
      </c>
      <c r="AD13" s="14" t="s">
        <v>75</v>
      </c>
      <c r="AE13" s="33">
        <f>AVERAGE(F9:K9)</f>
        <v>1.1733333333333333</v>
      </c>
      <c r="AF13" s="33">
        <f>AVERAGE(F14:K14)</f>
        <v>35</v>
      </c>
      <c r="AG13" s="33">
        <f>AVERAGE(F19:K19)</f>
        <v>30</v>
      </c>
      <c r="AH13" s="33">
        <f>AVERAGE(F24:K24)</f>
        <v>7.044999999999999</v>
      </c>
      <c r="AI13" s="33">
        <f>AVERAGE(F29:K29)</f>
        <v>28.848333333333333</v>
      </c>
      <c r="AJ13" s="33">
        <f>AVERAGE(F34:K34)</f>
        <v>24.166666666666668</v>
      </c>
      <c r="AK13" s="33">
        <f>GEOMEAN(F39:K39)</f>
        <v>7712836.0965701034</v>
      </c>
      <c r="AL13" s="34">
        <f>AVERAGE(F44:K44)</f>
        <v>0.52466666666666661</v>
      </c>
      <c r="AM13" s="34">
        <f>AVERAGE(F49:K49)</f>
        <v>1.1998333333333333</v>
      </c>
      <c r="AN13" s="33">
        <f>AVERAGE(F54:K54)</f>
        <v>342.5</v>
      </c>
    </row>
    <row r="14" spans="1:40">
      <c r="A14" s="9"/>
      <c r="B14" s="150" t="s">
        <v>91</v>
      </c>
      <c r="C14" s="11">
        <v>3</v>
      </c>
      <c r="D14" s="148" t="s">
        <v>75</v>
      </c>
      <c r="E14" s="148" t="s">
        <v>76</v>
      </c>
      <c r="F14" s="12">
        <v>19</v>
      </c>
      <c r="G14" s="12">
        <v>36</v>
      </c>
      <c r="H14" s="12">
        <v>51</v>
      </c>
      <c r="I14" s="12">
        <v>59</v>
      </c>
      <c r="J14" s="12">
        <v>29</v>
      </c>
      <c r="K14" s="12">
        <v>16</v>
      </c>
      <c r="L14" s="12">
        <v>14</v>
      </c>
      <c r="M14" s="12">
        <v>19</v>
      </c>
      <c r="N14" s="12">
        <v>16</v>
      </c>
      <c r="O14" s="12">
        <v>23</v>
      </c>
      <c r="P14" s="12">
        <v>12</v>
      </c>
      <c r="Q14" s="12">
        <v>19</v>
      </c>
      <c r="R14" s="137">
        <f t="shared" si="1"/>
        <v>26.083333333333332</v>
      </c>
      <c r="S14" s="14">
        <v>7</v>
      </c>
      <c r="T14" s="242" t="s">
        <v>77</v>
      </c>
      <c r="Z14" s="1161"/>
      <c r="AA14" s="1161"/>
      <c r="AB14" s="1161"/>
      <c r="AC14" s="32">
        <v>4</v>
      </c>
      <c r="AD14" s="14" t="s">
        <v>71</v>
      </c>
      <c r="AE14" s="33">
        <f>AVERAGE(F10:K10)</f>
        <v>1.2350000000000001</v>
      </c>
      <c r="AF14" s="33">
        <f>AVERAGE(F15:K15)</f>
        <v>28.5</v>
      </c>
      <c r="AG14" s="33">
        <f>AVERAGE(F20:K20)</f>
        <v>20.166666666666668</v>
      </c>
      <c r="AH14" s="33">
        <f>AVERAGE(F25:K25)</f>
        <v>7.0516666666666659</v>
      </c>
      <c r="AI14" s="33">
        <f>AVERAGE(F30:K30)</f>
        <v>28.833333333333339</v>
      </c>
      <c r="AJ14" s="33">
        <f>AVERAGE(F35:K35)</f>
        <v>23.333333333333332</v>
      </c>
      <c r="AK14" s="33">
        <f>GEOMEAN(F40:K40)</f>
        <v>5236948.7103414387</v>
      </c>
      <c r="AL14" s="34">
        <f>AVERAGE(F45:K45)</f>
        <v>0.39483333333333337</v>
      </c>
      <c r="AM14" s="34">
        <f>AVERAGE(F50:K50)</f>
        <v>0.92116666666666669</v>
      </c>
      <c r="AN14" s="33">
        <f>AVERAGE(F55:K55)</f>
        <v>359.5</v>
      </c>
    </row>
    <row r="15" spans="1:40">
      <c r="A15" s="9"/>
      <c r="B15" s="150" t="s">
        <v>91</v>
      </c>
      <c r="C15" s="11">
        <v>4</v>
      </c>
      <c r="D15" s="148" t="s">
        <v>79</v>
      </c>
      <c r="E15" s="148" t="s">
        <v>80</v>
      </c>
      <c r="F15" s="12">
        <v>21</v>
      </c>
      <c r="G15" s="12">
        <v>31</v>
      </c>
      <c r="H15" s="12">
        <v>50</v>
      </c>
      <c r="I15" s="12">
        <v>29</v>
      </c>
      <c r="J15" s="12">
        <v>23</v>
      </c>
      <c r="K15" s="12">
        <v>17</v>
      </c>
      <c r="L15" s="12">
        <v>20</v>
      </c>
      <c r="M15" s="12">
        <v>16</v>
      </c>
      <c r="N15" s="12">
        <v>11</v>
      </c>
      <c r="O15" s="12">
        <v>23</v>
      </c>
      <c r="P15" s="12">
        <v>11</v>
      </c>
      <c r="Q15" s="12">
        <v>36</v>
      </c>
      <c r="R15" s="137">
        <f t="shared" si="1"/>
        <v>24</v>
      </c>
      <c r="S15" s="14">
        <v>7</v>
      </c>
      <c r="T15" s="242" t="s">
        <v>81</v>
      </c>
      <c r="Z15" s="1161"/>
      <c r="AA15" s="1161"/>
      <c r="AB15" s="1161"/>
      <c r="AC15" s="32">
        <v>5</v>
      </c>
      <c r="AD15" s="14" t="s">
        <v>67</v>
      </c>
      <c r="AE15" s="33">
        <f>AVERAGE(F11:K11)</f>
        <v>1.1583333333333332</v>
      </c>
      <c r="AF15" s="33">
        <f>AVERAGE(F16:K16)</f>
        <v>29.666666666666668</v>
      </c>
      <c r="AG15" s="33">
        <f>AVERAGE(F21:K21)</f>
        <v>24</v>
      </c>
      <c r="AH15" s="33">
        <f>AVERAGE(F26:K26)</f>
        <v>7.044999999999999</v>
      </c>
      <c r="AI15" s="33">
        <f>AVERAGE(F31:K31)</f>
        <v>28.813333333333333</v>
      </c>
      <c r="AJ15" s="33">
        <f>AVERAGE(F36:K36)</f>
        <v>23.333333333333332</v>
      </c>
      <c r="AK15" s="33">
        <f>GEOMEAN(F41:K41)</f>
        <v>9425296.6029252149</v>
      </c>
      <c r="AL15" s="34">
        <f>AVERAGE(F46:K46)</f>
        <v>0.35133333333333333</v>
      </c>
      <c r="AM15" s="34">
        <f>AVERAGE(F51:K51)</f>
        <v>1.0421666666666667</v>
      </c>
      <c r="AN15" s="33">
        <f>AVERAGE(F56:K56)</f>
        <v>421.5</v>
      </c>
    </row>
    <row r="16" spans="1:40">
      <c r="A16" s="9"/>
      <c r="B16" s="150" t="s">
        <v>91</v>
      </c>
      <c r="C16" s="11">
        <v>5</v>
      </c>
      <c r="D16" s="148" t="s">
        <v>87</v>
      </c>
      <c r="E16" s="148" t="s">
        <v>88</v>
      </c>
      <c r="F16" s="12">
        <v>29</v>
      </c>
      <c r="G16" s="12">
        <v>32</v>
      </c>
      <c r="H16" s="12">
        <v>47</v>
      </c>
      <c r="I16" s="12">
        <v>32</v>
      </c>
      <c r="J16" s="12">
        <v>22</v>
      </c>
      <c r="K16" s="12">
        <v>16</v>
      </c>
      <c r="L16" s="12">
        <v>19</v>
      </c>
      <c r="M16" s="12">
        <v>16</v>
      </c>
      <c r="N16" s="12">
        <v>16</v>
      </c>
      <c r="O16" s="12">
        <v>25</v>
      </c>
      <c r="P16" s="12">
        <v>22</v>
      </c>
      <c r="Q16" s="12">
        <v>25</v>
      </c>
      <c r="R16" s="137">
        <f t="shared" si="1"/>
        <v>25.083333333333332</v>
      </c>
      <c r="S16" s="14">
        <v>7</v>
      </c>
      <c r="T16" s="242" t="s">
        <v>89</v>
      </c>
      <c r="Z16" s="844"/>
      <c r="AA16" s="845"/>
      <c r="AB16" s="845"/>
      <c r="AC16" s="845"/>
      <c r="AD16" s="845"/>
      <c r="AE16" s="845"/>
      <c r="AF16" s="845"/>
      <c r="AG16" s="845"/>
      <c r="AH16" s="845"/>
      <c r="AI16" s="845"/>
      <c r="AJ16" s="845"/>
      <c r="AK16" s="845"/>
      <c r="AL16" s="845"/>
      <c r="AM16" s="845"/>
      <c r="AN16" s="846"/>
    </row>
    <row r="17" spans="1:41">
      <c r="A17" s="9"/>
      <c r="B17" s="149" t="s">
        <v>92</v>
      </c>
      <c r="C17" s="15">
        <v>1</v>
      </c>
      <c r="D17" s="146" t="s">
        <v>67</v>
      </c>
      <c r="E17" s="146" t="s">
        <v>68</v>
      </c>
      <c r="F17" s="7">
        <v>14</v>
      </c>
      <c r="G17" s="7">
        <v>15</v>
      </c>
      <c r="H17" s="7">
        <v>13</v>
      </c>
      <c r="I17" s="7">
        <v>24</v>
      </c>
      <c r="J17" s="7">
        <v>55</v>
      </c>
      <c r="K17" s="7">
        <v>25</v>
      </c>
      <c r="L17" s="7">
        <v>21</v>
      </c>
      <c r="M17" s="7">
        <v>29</v>
      </c>
      <c r="N17" s="7">
        <v>36</v>
      </c>
      <c r="O17" s="7">
        <v>34</v>
      </c>
      <c r="P17" s="7">
        <v>31</v>
      </c>
      <c r="Q17" s="7">
        <v>36</v>
      </c>
      <c r="R17" s="222">
        <f t="shared" si="1"/>
        <v>27.75</v>
      </c>
      <c r="S17" s="8">
        <v>80</v>
      </c>
      <c r="T17" s="242" t="s">
        <v>69</v>
      </c>
      <c r="Z17" s="14" t="s">
        <v>93</v>
      </c>
      <c r="AA17" s="1162"/>
      <c r="AB17" s="1161"/>
      <c r="AC17" s="1161"/>
      <c r="AD17" s="1161"/>
      <c r="AE17" s="33">
        <f t="shared" ref="AE17:AN17" si="2">AVERAGE(AE11:AE15)</f>
        <v>1.8703333333333334</v>
      </c>
      <c r="AF17" s="33">
        <f t="shared" si="2"/>
        <v>27.733333333333331</v>
      </c>
      <c r="AG17" s="33">
        <f t="shared" si="2"/>
        <v>24.2</v>
      </c>
      <c r="AH17" s="33">
        <f t="shared" si="2"/>
        <v>7.0969999999999995</v>
      </c>
      <c r="AI17" s="33">
        <f t="shared" si="2"/>
        <v>28.788999999999998</v>
      </c>
      <c r="AJ17" s="33">
        <f t="shared" si="2"/>
        <v>22</v>
      </c>
      <c r="AK17" s="33">
        <f t="shared" si="2"/>
        <v>6937146.1623508856</v>
      </c>
      <c r="AL17" s="34">
        <f t="shared" si="2"/>
        <v>0.3702333333333333</v>
      </c>
      <c r="AM17" s="34">
        <f t="shared" si="2"/>
        <v>1.0095333333333332</v>
      </c>
      <c r="AN17" s="33">
        <f t="shared" si="2"/>
        <v>449.73333333333341</v>
      </c>
    </row>
    <row r="18" spans="1:41">
      <c r="A18" s="9"/>
      <c r="B18" s="150" t="s">
        <v>92</v>
      </c>
      <c r="C18" s="11">
        <v>2</v>
      </c>
      <c r="D18" s="148" t="s">
        <v>71</v>
      </c>
      <c r="E18" s="148" t="s">
        <v>72</v>
      </c>
      <c r="F18" s="12">
        <v>12</v>
      </c>
      <c r="G18" s="12">
        <v>17</v>
      </c>
      <c r="H18" s="12">
        <v>17</v>
      </c>
      <c r="I18" s="12">
        <v>15</v>
      </c>
      <c r="J18" s="12">
        <v>40</v>
      </c>
      <c r="K18" s="12">
        <v>34</v>
      </c>
      <c r="L18" s="12">
        <v>14</v>
      </c>
      <c r="M18" s="12">
        <v>29</v>
      </c>
      <c r="N18" s="12">
        <v>86</v>
      </c>
      <c r="O18" s="12">
        <v>38</v>
      </c>
      <c r="P18" s="12">
        <v>36</v>
      </c>
      <c r="Q18" s="12">
        <v>31</v>
      </c>
      <c r="R18" s="137">
        <f t="shared" si="1"/>
        <v>30.75</v>
      </c>
      <c r="S18" s="14">
        <v>80</v>
      </c>
      <c r="T18" s="242" t="s">
        <v>73</v>
      </c>
      <c r="Z18" s="14" t="s">
        <v>94</v>
      </c>
      <c r="AA18" s="1161"/>
      <c r="AB18" s="1163"/>
      <c r="AC18" s="1163"/>
      <c r="AD18" s="1161"/>
      <c r="AE18" s="33">
        <f t="shared" ref="AE18:AN18" si="3">MIN(AE11:AE15)</f>
        <v>1.1583333333333332</v>
      </c>
      <c r="AF18" s="33">
        <f t="shared" si="3"/>
        <v>20.666666666666668</v>
      </c>
      <c r="AG18" s="33">
        <f t="shared" si="3"/>
        <v>20.166666666666668</v>
      </c>
      <c r="AH18" s="33">
        <f t="shared" si="3"/>
        <v>7.044999999999999</v>
      </c>
      <c r="AI18" s="33">
        <f t="shared" si="3"/>
        <v>28.666666666666668</v>
      </c>
      <c r="AJ18" s="33">
        <f t="shared" si="3"/>
        <v>19.166666666666668</v>
      </c>
      <c r="AK18" s="33">
        <f t="shared" si="3"/>
        <v>5236948.7103414387</v>
      </c>
      <c r="AL18" s="34">
        <f t="shared" si="3"/>
        <v>0.27</v>
      </c>
      <c r="AM18" s="34">
        <f t="shared" si="3"/>
        <v>0.88700000000000001</v>
      </c>
      <c r="AN18" s="33">
        <f t="shared" si="3"/>
        <v>123.33333333333333</v>
      </c>
    </row>
    <row r="19" spans="1:41">
      <c r="A19" s="9"/>
      <c r="B19" s="150" t="s">
        <v>92</v>
      </c>
      <c r="C19" s="11">
        <v>3</v>
      </c>
      <c r="D19" s="148" t="s">
        <v>75</v>
      </c>
      <c r="E19" s="148" t="s">
        <v>76</v>
      </c>
      <c r="F19" s="12">
        <v>15</v>
      </c>
      <c r="G19" s="12">
        <v>20</v>
      </c>
      <c r="H19" s="12">
        <v>19</v>
      </c>
      <c r="I19" s="12">
        <v>16</v>
      </c>
      <c r="J19" s="12">
        <v>70</v>
      </c>
      <c r="K19" s="12">
        <v>40</v>
      </c>
      <c r="L19" s="12">
        <v>23</v>
      </c>
      <c r="M19" s="12">
        <v>26</v>
      </c>
      <c r="N19" s="12">
        <v>37</v>
      </c>
      <c r="O19" s="12">
        <v>39</v>
      </c>
      <c r="P19" s="12">
        <v>29</v>
      </c>
      <c r="Q19" s="12">
        <v>40</v>
      </c>
      <c r="R19" s="137">
        <f t="shared" si="1"/>
        <v>31.166666666666668</v>
      </c>
      <c r="S19" s="14">
        <v>80</v>
      </c>
      <c r="T19" s="242" t="s">
        <v>77</v>
      </c>
      <c r="Z19" s="14" t="s">
        <v>95</v>
      </c>
      <c r="AA19" s="1161"/>
      <c r="AB19" s="1163"/>
      <c r="AC19" s="1163"/>
      <c r="AD19" s="1161"/>
      <c r="AE19" s="33">
        <f t="shared" ref="AE19:AN19" si="4">MAX(AE11:AE15)</f>
        <v>3.1999999999999997</v>
      </c>
      <c r="AF19" s="33">
        <f t="shared" si="4"/>
        <v>35</v>
      </c>
      <c r="AG19" s="33">
        <f t="shared" si="4"/>
        <v>30</v>
      </c>
      <c r="AH19" s="33">
        <f t="shared" si="4"/>
        <v>7.2233333333333336</v>
      </c>
      <c r="AI19" s="33">
        <f t="shared" si="4"/>
        <v>28.848333333333333</v>
      </c>
      <c r="AJ19" s="33">
        <f t="shared" si="4"/>
        <v>24.166666666666668</v>
      </c>
      <c r="AK19" s="33">
        <f t="shared" si="4"/>
        <v>9425296.6029252149</v>
      </c>
      <c r="AL19" s="34">
        <f t="shared" si="4"/>
        <v>0.52466666666666661</v>
      </c>
      <c r="AM19" s="34">
        <f t="shared" si="4"/>
        <v>1.1998333333333333</v>
      </c>
      <c r="AN19" s="33">
        <f t="shared" si="4"/>
        <v>1001.8333333333334</v>
      </c>
    </row>
    <row r="20" spans="1:41">
      <c r="A20" s="9"/>
      <c r="B20" s="150" t="s">
        <v>92</v>
      </c>
      <c r="C20" s="11">
        <v>4</v>
      </c>
      <c r="D20" s="148" t="s">
        <v>79</v>
      </c>
      <c r="E20" s="148" t="s">
        <v>80</v>
      </c>
      <c r="F20" s="12">
        <v>16</v>
      </c>
      <c r="G20" s="12">
        <v>13</v>
      </c>
      <c r="H20" s="12">
        <v>19</v>
      </c>
      <c r="I20" s="12">
        <v>11</v>
      </c>
      <c r="J20" s="12">
        <v>28</v>
      </c>
      <c r="K20" s="12">
        <v>34</v>
      </c>
      <c r="L20" s="12">
        <v>28</v>
      </c>
      <c r="M20" s="12">
        <v>33</v>
      </c>
      <c r="N20" s="12">
        <v>33</v>
      </c>
      <c r="O20" s="12">
        <v>32</v>
      </c>
      <c r="P20" s="12">
        <v>34</v>
      </c>
      <c r="Q20" s="12">
        <v>45</v>
      </c>
      <c r="R20" s="137">
        <f t="shared" si="1"/>
        <v>27.166666666666668</v>
      </c>
      <c r="S20" s="14">
        <v>80</v>
      </c>
      <c r="T20" s="242" t="s">
        <v>81</v>
      </c>
      <c r="Z20" s="14" t="s">
        <v>96</v>
      </c>
      <c r="AA20" s="1161"/>
      <c r="AB20" s="1161"/>
      <c r="AC20" s="1161"/>
      <c r="AD20" s="1161"/>
      <c r="AE20" s="29" t="s">
        <v>97</v>
      </c>
      <c r="AF20" s="29" t="s">
        <v>98</v>
      </c>
      <c r="AG20" s="29" t="s">
        <v>99</v>
      </c>
      <c r="AH20" s="29" t="s">
        <v>100</v>
      </c>
      <c r="AI20" s="29" t="s">
        <v>101</v>
      </c>
      <c r="AJ20" s="29" t="s">
        <v>102</v>
      </c>
      <c r="AK20" s="29" t="s">
        <v>103</v>
      </c>
      <c r="AL20" s="29" t="s">
        <v>98</v>
      </c>
      <c r="AM20" s="29" t="s">
        <v>104</v>
      </c>
      <c r="AN20" s="29" t="s">
        <v>105</v>
      </c>
    </row>
    <row r="21" spans="1:41" ht="15.75" customHeight="1">
      <c r="A21" s="9"/>
      <c r="B21" s="150" t="s">
        <v>92</v>
      </c>
      <c r="C21" s="11">
        <v>5</v>
      </c>
      <c r="D21" s="148" t="s">
        <v>87</v>
      </c>
      <c r="E21" s="148" t="s">
        <v>88</v>
      </c>
      <c r="F21" s="12">
        <v>24</v>
      </c>
      <c r="G21" s="12">
        <v>13</v>
      </c>
      <c r="H21" s="12">
        <v>30</v>
      </c>
      <c r="I21" s="12">
        <v>19</v>
      </c>
      <c r="J21" s="12">
        <v>19</v>
      </c>
      <c r="K21" s="12">
        <v>39</v>
      </c>
      <c r="L21" s="12">
        <v>16</v>
      </c>
      <c r="M21" s="12">
        <v>32</v>
      </c>
      <c r="N21" s="12">
        <v>32</v>
      </c>
      <c r="O21" s="12">
        <v>29</v>
      </c>
      <c r="P21" s="12">
        <v>28</v>
      </c>
      <c r="Q21" s="12">
        <v>52</v>
      </c>
      <c r="R21" s="137">
        <f t="shared" si="1"/>
        <v>27.75</v>
      </c>
      <c r="S21" s="14">
        <v>80</v>
      </c>
      <c r="T21" s="242" t="s">
        <v>89</v>
      </c>
      <c r="Z21" s="243"/>
      <c r="AA21" s="243"/>
      <c r="AB21" s="243"/>
      <c r="AC21" s="243"/>
      <c r="AD21" s="243"/>
      <c r="AE21" s="243"/>
      <c r="AF21" s="243"/>
      <c r="AG21" s="243"/>
      <c r="AH21" s="243"/>
      <c r="AI21" s="243"/>
      <c r="AJ21" s="243"/>
      <c r="AK21" s="243"/>
      <c r="AL21" s="243"/>
      <c r="AM21" s="243"/>
      <c r="AN21" s="243"/>
    </row>
    <row r="22" spans="1:41" ht="15.75" customHeight="1">
      <c r="A22" s="9"/>
      <c r="B22" s="149" t="s">
        <v>7</v>
      </c>
      <c r="C22" s="15">
        <v>1</v>
      </c>
      <c r="D22" s="146" t="s">
        <v>67</v>
      </c>
      <c r="E22" s="146" t="s">
        <v>68</v>
      </c>
      <c r="F22" s="7">
        <v>7.1</v>
      </c>
      <c r="G22" s="7">
        <v>7.14</v>
      </c>
      <c r="H22" s="7">
        <v>7.08</v>
      </c>
      <c r="I22" s="7">
        <v>7.13</v>
      </c>
      <c r="J22" s="7">
        <v>7.8</v>
      </c>
      <c r="K22" s="7">
        <v>7.09</v>
      </c>
      <c r="L22" s="7">
        <v>7.2</v>
      </c>
      <c r="M22" s="7">
        <v>7.28</v>
      </c>
      <c r="N22" s="7">
        <v>7.38</v>
      </c>
      <c r="O22" s="7">
        <v>7.77</v>
      </c>
      <c r="P22" s="7">
        <v>7.48</v>
      </c>
      <c r="Q22" s="7">
        <v>7.63</v>
      </c>
      <c r="R22" s="222">
        <f t="shared" si="1"/>
        <v>7.34</v>
      </c>
      <c r="S22" s="17" t="s">
        <v>106</v>
      </c>
      <c r="T22" s="242" t="s">
        <v>69</v>
      </c>
      <c r="Z22" s="243"/>
      <c r="AA22" s="243"/>
      <c r="AB22" s="243"/>
      <c r="AC22" s="243"/>
      <c r="AD22" s="243"/>
      <c r="AE22" s="243"/>
      <c r="AF22" s="243"/>
      <c r="AG22" s="243"/>
      <c r="AH22" s="243"/>
      <c r="AI22" s="243"/>
      <c r="AJ22" s="243"/>
      <c r="AK22" s="243"/>
      <c r="AL22" s="243"/>
      <c r="AM22" s="243"/>
      <c r="AN22" s="243"/>
    </row>
    <row r="23" spans="1:41" ht="15.75" customHeight="1">
      <c r="A23" s="9"/>
      <c r="B23" s="150" t="s">
        <v>7</v>
      </c>
      <c r="C23" s="11">
        <v>2</v>
      </c>
      <c r="D23" s="148" t="s">
        <v>71</v>
      </c>
      <c r="E23" s="148" t="s">
        <v>72</v>
      </c>
      <c r="F23" s="12">
        <v>7.1</v>
      </c>
      <c r="G23" s="12">
        <v>7</v>
      </c>
      <c r="H23" s="12">
        <v>7.11</v>
      </c>
      <c r="I23" s="12">
        <v>7.11</v>
      </c>
      <c r="J23" s="12">
        <v>7.3</v>
      </c>
      <c r="K23" s="12">
        <v>7.1</v>
      </c>
      <c r="L23" s="12">
        <v>7.15</v>
      </c>
      <c r="M23" s="12">
        <v>7.25</v>
      </c>
      <c r="N23" s="12">
        <v>7.41</v>
      </c>
      <c r="O23" s="12">
        <v>7.69</v>
      </c>
      <c r="P23" s="12">
        <v>7.48</v>
      </c>
      <c r="Q23" s="12">
        <v>7.58</v>
      </c>
      <c r="R23" s="137">
        <f t="shared" si="1"/>
        <v>7.2733333333333334</v>
      </c>
      <c r="S23" s="18" t="s">
        <v>106</v>
      </c>
      <c r="T23" s="242" t="s">
        <v>73</v>
      </c>
      <c r="Y23" s="232"/>
      <c r="Z23" s="849" t="s">
        <v>70</v>
      </c>
      <c r="AA23" s="850"/>
      <c r="AB23" s="850"/>
      <c r="AC23" s="850"/>
      <c r="AD23" s="850"/>
      <c r="AE23" s="850"/>
      <c r="AF23" s="850"/>
      <c r="AG23" s="850"/>
      <c r="AH23" s="850"/>
      <c r="AI23" s="850"/>
      <c r="AJ23" s="850"/>
      <c r="AK23" s="850"/>
      <c r="AL23" s="850"/>
      <c r="AM23" s="850"/>
      <c r="AN23" s="851"/>
      <c r="AO23" s="232"/>
    </row>
    <row r="24" spans="1:41" ht="15.75" customHeight="1">
      <c r="A24" s="9"/>
      <c r="B24" s="150" t="s">
        <v>7</v>
      </c>
      <c r="C24" s="11">
        <v>3</v>
      </c>
      <c r="D24" s="148" t="s">
        <v>75</v>
      </c>
      <c r="E24" s="148" t="s">
        <v>76</v>
      </c>
      <c r="F24" s="12">
        <v>7</v>
      </c>
      <c r="G24" s="12">
        <v>7</v>
      </c>
      <c r="H24" s="12">
        <v>7.05</v>
      </c>
      <c r="I24" s="12">
        <v>7.01</v>
      </c>
      <c r="J24" s="12">
        <v>7.19</v>
      </c>
      <c r="K24" s="12">
        <v>7.02</v>
      </c>
      <c r="L24" s="12">
        <v>7.19</v>
      </c>
      <c r="M24" s="12">
        <v>7.21</v>
      </c>
      <c r="N24" s="12">
        <v>7.29</v>
      </c>
      <c r="O24" s="12">
        <v>7.57</v>
      </c>
      <c r="P24" s="12">
        <v>7.53</v>
      </c>
      <c r="Q24" s="12">
        <v>7.38</v>
      </c>
      <c r="R24" s="137">
        <f t="shared" si="1"/>
        <v>7.2033333333333331</v>
      </c>
      <c r="S24" s="18" t="s">
        <v>106</v>
      </c>
      <c r="T24" s="242" t="s">
        <v>77</v>
      </c>
      <c r="Y24" s="232"/>
      <c r="Z24" s="852" t="s">
        <v>107</v>
      </c>
      <c r="AA24" s="853"/>
      <c r="AB24" s="853"/>
      <c r="AC24" s="853"/>
      <c r="AD24" s="853"/>
      <c r="AE24" s="853"/>
      <c r="AF24" s="853"/>
      <c r="AG24" s="853"/>
      <c r="AH24" s="853"/>
      <c r="AI24" s="853"/>
      <c r="AJ24" s="853"/>
      <c r="AK24" s="853"/>
      <c r="AL24" s="853"/>
      <c r="AM24" s="853"/>
      <c r="AN24" s="854"/>
      <c r="AO24" s="232"/>
    </row>
    <row r="25" spans="1:41" ht="15.75" customHeight="1">
      <c r="A25" s="9"/>
      <c r="B25" s="150" t="s">
        <v>7</v>
      </c>
      <c r="C25" s="11">
        <v>4</v>
      </c>
      <c r="D25" s="148" t="s">
        <v>79</v>
      </c>
      <c r="E25" s="148" t="s">
        <v>80</v>
      </c>
      <c r="F25" s="12">
        <v>7</v>
      </c>
      <c r="G25" s="12">
        <v>7.01</v>
      </c>
      <c r="H25" s="12">
        <v>7.1</v>
      </c>
      <c r="I25" s="12">
        <v>7.01</v>
      </c>
      <c r="J25" s="12">
        <v>7.18</v>
      </c>
      <c r="K25" s="12">
        <v>7.01</v>
      </c>
      <c r="L25" s="12">
        <v>7.2</v>
      </c>
      <c r="M25" s="12">
        <v>7.18</v>
      </c>
      <c r="N25" s="12">
        <v>7.19</v>
      </c>
      <c r="O25" s="12">
        <v>7.7</v>
      </c>
      <c r="P25" s="12">
        <v>7.39</v>
      </c>
      <c r="Q25" s="12">
        <v>7.39</v>
      </c>
      <c r="R25" s="137">
        <f t="shared" si="1"/>
        <v>7.1966666666666663</v>
      </c>
      <c r="S25" s="18" t="s">
        <v>106</v>
      </c>
      <c r="T25" s="242" t="s">
        <v>81</v>
      </c>
      <c r="Y25" s="232"/>
      <c r="Z25" s="862"/>
      <c r="AA25" s="848"/>
      <c r="AB25" s="848"/>
      <c r="AC25" s="848"/>
      <c r="AD25" s="848"/>
      <c r="AE25" s="848" t="s">
        <v>78</v>
      </c>
      <c r="AF25" s="1161"/>
      <c r="AG25" s="1161"/>
      <c r="AH25" s="1161"/>
      <c r="AI25" s="1161"/>
      <c r="AJ25" s="1161"/>
      <c r="AK25" s="1161"/>
      <c r="AL25" s="1161"/>
      <c r="AM25" s="1161"/>
      <c r="AN25" s="1164"/>
      <c r="AO25" s="232"/>
    </row>
    <row r="26" spans="1:41" ht="15.75" customHeight="1">
      <c r="A26" s="9"/>
      <c r="B26" s="150" t="s">
        <v>7</v>
      </c>
      <c r="C26" s="11">
        <v>5</v>
      </c>
      <c r="D26" s="148" t="s">
        <v>87</v>
      </c>
      <c r="E26" s="148" t="s">
        <v>88</v>
      </c>
      <c r="F26" s="12">
        <v>7</v>
      </c>
      <c r="G26" s="12">
        <v>7.15</v>
      </c>
      <c r="H26" s="12">
        <v>7.01</v>
      </c>
      <c r="I26" s="12">
        <v>6.98</v>
      </c>
      <c r="J26" s="12">
        <v>7.15</v>
      </c>
      <c r="K26" s="12">
        <v>6.98</v>
      </c>
      <c r="L26" s="12">
        <v>7.15</v>
      </c>
      <c r="M26" s="12">
        <v>7.25</v>
      </c>
      <c r="N26" s="12">
        <v>7.23</v>
      </c>
      <c r="O26" s="12">
        <v>7.8</v>
      </c>
      <c r="P26" s="12">
        <v>7.41</v>
      </c>
      <c r="Q26" s="12">
        <v>7.53</v>
      </c>
      <c r="R26" s="137">
        <f t="shared" si="1"/>
        <v>7.2199999999999989</v>
      </c>
      <c r="S26" s="18" t="s">
        <v>106</v>
      </c>
      <c r="T26" s="242" t="s">
        <v>89</v>
      </c>
      <c r="Y26" s="232"/>
      <c r="Z26" s="657" t="s">
        <v>82</v>
      </c>
      <c r="AA26" s="14" t="s">
        <v>83</v>
      </c>
      <c r="AB26" s="14" t="s">
        <v>84</v>
      </c>
      <c r="AC26" s="14" t="s">
        <v>85</v>
      </c>
      <c r="AD26" s="14" t="s">
        <v>86</v>
      </c>
      <c r="AE26" s="14" t="s">
        <v>4</v>
      </c>
      <c r="AF26" s="14" t="s">
        <v>5</v>
      </c>
      <c r="AG26" s="14" t="s">
        <v>6</v>
      </c>
      <c r="AH26" s="14" t="s">
        <v>7</v>
      </c>
      <c r="AI26" s="14" t="s">
        <v>8</v>
      </c>
      <c r="AJ26" s="14" t="s">
        <v>9</v>
      </c>
      <c r="AK26" s="14" t="s">
        <v>10</v>
      </c>
      <c r="AL26" s="14" t="s">
        <v>11</v>
      </c>
      <c r="AM26" s="14" t="s">
        <v>12</v>
      </c>
      <c r="AN26" s="658" t="s">
        <v>13</v>
      </c>
      <c r="AO26" s="232"/>
    </row>
    <row r="27" spans="1:41" ht="15.75" customHeight="1">
      <c r="A27" s="9"/>
      <c r="B27" s="149" t="s">
        <v>108</v>
      </c>
      <c r="C27" s="15">
        <v>1</v>
      </c>
      <c r="D27" s="146" t="s">
        <v>67</v>
      </c>
      <c r="E27" s="146" t="s">
        <v>68</v>
      </c>
      <c r="F27" s="7">
        <v>27.1</v>
      </c>
      <c r="G27" s="7">
        <v>28.6</v>
      </c>
      <c r="H27" s="7">
        <v>29.3</v>
      </c>
      <c r="I27" s="7">
        <v>31.7</v>
      </c>
      <c r="J27" s="7">
        <v>26.5</v>
      </c>
      <c r="K27" s="7">
        <v>28.8</v>
      </c>
      <c r="L27" s="7">
        <v>33.700000000000003</v>
      </c>
      <c r="M27" s="7">
        <v>29.2</v>
      </c>
      <c r="N27" s="7">
        <v>29</v>
      </c>
      <c r="O27" s="7">
        <v>27.8</v>
      </c>
      <c r="P27" s="7">
        <v>29</v>
      </c>
      <c r="Q27" s="7">
        <v>29.8</v>
      </c>
      <c r="R27" s="222">
        <f t="shared" si="1"/>
        <v>29.208333333333332</v>
      </c>
      <c r="S27" s="17" t="s">
        <v>109</v>
      </c>
      <c r="T27" s="242" t="s">
        <v>69</v>
      </c>
      <c r="Y27" s="232"/>
      <c r="Z27" s="865" t="s">
        <v>90</v>
      </c>
      <c r="AA27" s="847" t="s">
        <v>43</v>
      </c>
      <c r="AB27" s="855" t="s">
        <v>16</v>
      </c>
      <c r="AC27" s="32">
        <v>1</v>
      </c>
      <c r="AD27" s="14" t="s">
        <v>87</v>
      </c>
      <c r="AE27" s="35">
        <f>R7</f>
        <v>3.8350000000000004</v>
      </c>
      <c r="AF27" s="35">
        <f>R12</f>
        <v>17.916666666666668</v>
      </c>
      <c r="AG27" s="35">
        <f>R17</f>
        <v>27.75</v>
      </c>
      <c r="AH27" s="36">
        <f>R22</f>
        <v>7.34</v>
      </c>
      <c r="AI27" s="35">
        <f>R27</f>
        <v>29.208333333333332</v>
      </c>
      <c r="AJ27" s="35">
        <f>R32</f>
        <v>14.634083333333335</v>
      </c>
      <c r="AK27" s="36">
        <f>R37</f>
        <v>3323921.4780534902</v>
      </c>
      <c r="AL27" s="34">
        <f>R42</f>
        <v>0.57800000000000007</v>
      </c>
      <c r="AM27" s="34">
        <f>R47</f>
        <v>0.82425000000000004</v>
      </c>
      <c r="AN27" s="659">
        <f>R52</f>
        <v>73.583333333333329</v>
      </c>
      <c r="AO27" s="232"/>
    </row>
    <row r="28" spans="1:41" ht="15.75" customHeight="1">
      <c r="A28" s="9"/>
      <c r="B28" s="150" t="s">
        <v>108</v>
      </c>
      <c r="C28" s="11">
        <v>2</v>
      </c>
      <c r="D28" s="148" t="s">
        <v>71</v>
      </c>
      <c r="E28" s="148" t="s">
        <v>72</v>
      </c>
      <c r="F28" s="12">
        <v>27</v>
      </c>
      <c r="G28" s="12">
        <v>29</v>
      </c>
      <c r="H28" s="12">
        <v>29.4</v>
      </c>
      <c r="I28" s="12">
        <v>31.7</v>
      </c>
      <c r="J28" s="12">
        <v>26.8</v>
      </c>
      <c r="K28" s="12">
        <v>28.8</v>
      </c>
      <c r="L28" s="12">
        <v>33.9</v>
      </c>
      <c r="M28" s="12">
        <v>29</v>
      </c>
      <c r="N28" s="12">
        <v>28.8</v>
      </c>
      <c r="O28" s="12">
        <v>27.8</v>
      </c>
      <c r="P28" s="12">
        <v>28.9</v>
      </c>
      <c r="Q28" s="12">
        <v>29.5</v>
      </c>
      <c r="R28" s="137">
        <f t="shared" si="1"/>
        <v>29.216666666666669</v>
      </c>
      <c r="S28" s="18" t="s">
        <v>109</v>
      </c>
      <c r="T28" s="242" t="s">
        <v>73</v>
      </c>
      <c r="Y28" s="232"/>
      <c r="Z28" s="1165"/>
      <c r="AA28" s="1161"/>
      <c r="AB28" s="1161"/>
      <c r="AC28" s="32">
        <v>2</v>
      </c>
      <c r="AD28" s="14" t="s">
        <v>79</v>
      </c>
      <c r="AE28" s="35">
        <f t="shared" ref="AE28:AE31" si="5">R8</f>
        <v>3.3891666666666667</v>
      </c>
      <c r="AF28" s="35">
        <f t="shared" ref="AF28:AF31" si="6">R13</f>
        <v>18.833333333333332</v>
      </c>
      <c r="AG28" s="35">
        <f t="shared" ref="AG28:AG31" si="7">R18</f>
        <v>30.75</v>
      </c>
      <c r="AH28" s="36">
        <f t="shared" ref="AH28:AH31" si="8">R23</f>
        <v>7.2733333333333334</v>
      </c>
      <c r="AI28" s="35">
        <f>R28</f>
        <v>29.216666666666669</v>
      </c>
      <c r="AJ28" s="35">
        <f t="shared" ref="AJ28:AJ31" si="9">R33</f>
        <v>15.465916666666667</v>
      </c>
      <c r="AK28" s="36">
        <f>R38</f>
        <v>4518250.856823219</v>
      </c>
      <c r="AL28" s="34">
        <f>R43</f>
        <v>0.53791666666666671</v>
      </c>
      <c r="AM28" s="34">
        <f>R48</f>
        <v>0.76116666666666666</v>
      </c>
      <c r="AN28" s="659">
        <f>R53</f>
        <v>514.33333333333337</v>
      </c>
      <c r="AO28" s="232"/>
    </row>
    <row r="29" spans="1:41" ht="15.75" customHeight="1">
      <c r="A29" s="9"/>
      <c r="B29" s="150" t="s">
        <v>108</v>
      </c>
      <c r="C29" s="11">
        <v>3</v>
      </c>
      <c r="D29" s="148" t="s">
        <v>75</v>
      </c>
      <c r="E29" s="148" t="s">
        <v>76</v>
      </c>
      <c r="F29" s="12">
        <v>26.8</v>
      </c>
      <c r="G29" s="12">
        <v>29.29</v>
      </c>
      <c r="H29" s="12">
        <v>29</v>
      </c>
      <c r="I29" s="12">
        <v>31.1</v>
      </c>
      <c r="J29" s="12">
        <v>27.1</v>
      </c>
      <c r="K29" s="12">
        <v>29.8</v>
      </c>
      <c r="L29" s="12">
        <v>33.799999999999997</v>
      </c>
      <c r="M29" s="12">
        <v>28.7</v>
      </c>
      <c r="N29" s="12">
        <v>29.1</v>
      </c>
      <c r="O29" s="12">
        <v>27.9</v>
      </c>
      <c r="P29" s="12">
        <v>29</v>
      </c>
      <c r="Q29" s="12">
        <v>29.1</v>
      </c>
      <c r="R29" s="137">
        <f t="shared" si="1"/>
        <v>29.224166666666665</v>
      </c>
      <c r="S29" s="18" t="s">
        <v>109</v>
      </c>
      <c r="T29" s="242" t="s">
        <v>77</v>
      </c>
      <c r="Y29" s="232"/>
      <c r="Z29" s="1165"/>
      <c r="AA29" s="1161"/>
      <c r="AB29" s="1161"/>
      <c r="AC29" s="32">
        <v>3</v>
      </c>
      <c r="AD29" s="14" t="s">
        <v>75</v>
      </c>
      <c r="AE29" s="35">
        <f t="shared" si="5"/>
        <v>2.1141666666666663</v>
      </c>
      <c r="AF29" s="35">
        <f t="shared" si="6"/>
        <v>26.083333333333332</v>
      </c>
      <c r="AG29" s="35">
        <f t="shared" si="7"/>
        <v>31.166666666666668</v>
      </c>
      <c r="AH29" s="36">
        <f t="shared" si="8"/>
        <v>7.2033333333333331</v>
      </c>
      <c r="AI29" s="35">
        <f>R29</f>
        <v>29.224166666666665</v>
      </c>
      <c r="AJ29" s="35">
        <f t="shared" si="9"/>
        <v>19.32075</v>
      </c>
      <c r="AK29" s="36">
        <f>R39</f>
        <v>6046951.4585144706</v>
      </c>
      <c r="AL29" s="34">
        <f>R44</f>
        <v>0.48149999999999998</v>
      </c>
      <c r="AM29" s="34">
        <f>R49</f>
        <v>1.0780833333333331</v>
      </c>
      <c r="AN29" s="659">
        <f>R54</f>
        <v>193.58333333333334</v>
      </c>
      <c r="AO29" s="232"/>
    </row>
    <row r="30" spans="1:41" ht="15.75" customHeight="1">
      <c r="A30" s="9"/>
      <c r="B30" s="150" t="s">
        <v>108</v>
      </c>
      <c r="C30" s="11">
        <v>4</v>
      </c>
      <c r="D30" s="148" t="s">
        <v>79</v>
      </c>
      <c r="E30" s="148" t="s">
        <v>80</v>
      </c>
      <c r="F30" s="12">
        <v>26.8</v>
      </c>
      <c r="G30" s="12">
        <v>29.2</v>
      </c>
      <c r="H30" s="12">
        <v>28.9</v>
      </c>
      <c r="I30" s="12">
        <v>31</v>
      </c>
      <c r="J30" s="12">
        <v>27.3</v>
      </c>
      <c r="K30" s="12">
        <v>29.8</v>
      </c>
      <c r="L30" s="12">
        <v>33.700000000000003</v>
      </c>
      <c r="M30" s="12">
        <v>28.5</v>
      </c>
      <c r="N30" s="12">
        <v>29.1</v>
      </c>
      <c r="O30" s="12">
        <v>27.6</v>
      </c>
      <c r="P30" s="12">
        <v>29</v>
      </c>
      <c r="Q30" s="12">
        <v>29.1</v>
      </c>
      <c r="R30" s="137">
        <f t="shared" si="1"/>
        <v>29.166666666666675</v>
      </c>
      <c r="S30" s="18" t="s">
        <v>109</v>
      </c>
      <c r="T30" s="242" t="s">
        <v>81</v>
      </c>
      <c r="Y30" s="232"/>
      <c r="Z30" s="1165"/>
      <c r="AA30" s="1161"/>
      <c r="AB30" s="1161"/>
      <c r="AC30" s="32">
        <v>4</v>
      </c>
      <c r="AD30" s="14" t="s">
        <v>71</v>
      </c>
      <c r="AE30" s="35">
        <f t="shared" si="5"/>
        <v>2.2574999999999998</v>
      </c>
      <c r="AF30" s="35">
        <f t="shared" si="6"/>
        <v>24</v>
      </c>
      <c r="AG30" s="35">
        <f t="shared" si="7"/>
        <v>27.166666666666668</v>
      </c>
      <c r="AH30" s="36">
        <f t="shared" si="8"/>
        <v>7.1966666666666663</v>
      </c>
      <c r="AI30" s="35">
        <f>R30</f>
        <v>29.166666666666675</v>
      </c>
      <c r="AJ30" s="35">
        <f t="shared" si="9"/>
        <v>18.4025</v>
      </c>
      <c r="AK30" s="36">
        <f>R40</f>
        <v>3068204.0230802223</v>
      </c>
      <c r="AL30" s="34">
        <f>R45</f>
        <v>0.42033333333333328</v>
      </c>
      <c r="AM30" s="34">
        <f>R50</f>
        <v>0.85616666666666641</v>
      </c>
      <c r="AN30" s="659">
        <f>R55</f>
        <v>198.66666666666666</v>
      </c>
      <c r="AO30" s="232"/>
    </row>
    <row r="31" spans="1:41" ht="15.75" customHeight="1">
      <c r="A31" s="9"/>
      <c r="B31" s="150" t="s">
        <v>108</v>
      </c>
      <c r="C31" s="11">
        <v>5</v>
      </c>
      <c r="D31" s="148" t="s">
        <v>87</v>
      </c>
      <c r="E31" s="148" t="s">
        <v>88</v>
      </c>
      <c r="F31" s="12">
        <v>26.7</v>
      </c>
      <c r="G31" s="12">
        <v>29.98</v>
      </c>
      <c r="H31" s="12">
        <v>29.1</v>
      </c>
      <c r="I31" s="12">
        <v>30.1</v>
      </c>
      <c r="J31" s="12">
        <v>27.5</v>
      </c>
      <c r="K31" s="12">
        <v>29.5</v>
      </c>
      <c r="L31" s="12">
        <v>33.9</v>
      </c>
      <c r="M31" s="12">
        <v>27.8</v>
      </c>
      <c r="N31" s="12">
        <v>28</v>
      </c>
      <c r="O31" s="12">
        <v>27.6</v>
      </c>
      <c r="P31" s="12">
        <v>28.9</v>
      </c>
      <c r="Q31" s="12">
        <v>29.5</v>
      </c>
      <c r="R31" s="137">
        <f t="shared" si="1"/>
        <v>29.048333333333336</v>
      </c>
      <c r="S31" s="18" t="s">
        <v>109</v>
      </c>
      <c r="T31" s="242" t="s">
        <v>89</v>
      </c>
      <c r="Y31" s="232"/>
      <c r="Z31" s="1165"/>
      <c r="AA31" s="1161"/>
      <c r="AB31" s="1161"/>
      <c r="AC31" s="32">
        <v>5</v>
      </c>
      <c r="AD31" s="14" t="s">
        <v>67</v>
      </c>
      <c r="AE31" s="35">
        <f t="shared" si="5"/>
        <v>2.2408333333333332</v>
      </c>
      <c r="AF31" s="35">
        <f t="shared" si="6"/>
        <v>25.083333333333332</v>
      </c>
      <c r="AG31" s="35">
        <f t="shared" si="7"/>
        <v>27.75</v>
      </c>
      <c r="AH31" s="36">
        <f t="shared" si="8"/>
        <v>7.2199999999999989</v>
      </c>
      <c r="AI31" s="35">
        <f>R31</f>
        <v>29.048333333333336</v>
      </c>
      <c r="AJ31" s="35">
        <f t="shared" si="9"/>
        <v>18.431750000000001</v>
      </c>
      <c r="AK31" s="36">
        <f>R41</f>
        <v>6630142.3866574327</v>
      </c>
      <c r="AL31" s="34">
        <f>R46</f>
        <v>0.37433333333333341</v>
      </c>
      <c r="AM31" s="34">
        <f>R51</f>
        <v>0.91425000000000001</v>
      </c>
      <c r="AN31" s="659">
        <f>R56</f>
        <v>233.83333333333334</v>
      </c>
      <c r="AO31" s="232"/>
    </row>
    <row r="32" spans="1:41" ht="15.75" customHeight="1">
      <c r="A32" s="9"/>
      <c r="B32" s="149" t="s">
        <v>110</v>
      </c>
      <c r="C32" s="15">
        <v>1</v>
      </c>
      <c r="D32" s="146" t="s">
        <v>67</v>
      </c>
      <c r="E32" s="146" t="s">
        <v>68</v>
      </c>
      <c r="F32" s="7">
        <v>15</v>
      </c>
      <c r="G32" s="7">
        <v>10</v>
      </c>
      <c r="H32" s="7">
        <v>20</v>
      </c>
      <c r="I32" s="7">
        <v>25</v>
      </c>
      <c r="J32" s="7">
        <v>25</v>
      </c>
      <c r="K32" s="7">
        <v>20</v>
      </c>
      <c r="L32" s="7">
        <v>15</v>
      </c>
      <c r="M32" s="7">
        <v>15</v>
      </c>
      <c r="N32" s="22">
        <v>0.60899999999999999</v>
      </c>
      <c r="O32" s="7">
        <v>10</v>
      </c>
      <c r="P32" s="7">
        <v>10</v>
      </c>
      <c r="Q32" s="7">
        <v>10</v>
      </c>
      <c r="R32" s="222">
        <f t="shared" si="1"/>
        <v>14.634083333333335</v>
      </c>
      <c r="S32" s="8">
        <v>75</v>
      </c>
      <c r="T32" s="242" t="s">
        <v>69</v>
      </c>
      <c r="Y32" s="232"/>
      <c r="Z32" s="863"/>
      <c r="AA32" s="845"/>
      <c r="AB32" s="845"/>
      <c r="AC32" s="845"/>
      <c r="AD32" s="845"/>
      <c r="AE32" s="845"/>
      <c r="AF32" s="845"/>
      <c r="AG32" s="845"/>
      <c r="AH32" s="845"/>
      <c r="AI32" s="845"/>
      <c r="AJ32" s="845"/>
      <c r="AK32" s="845"/>
      <c r="AL32" s="845"/>
      <c r="AM32" s="845"/>
      <c r="AN32" s="864"/>
      <c r="AO32" s="232"/>
    </row>
    <row r="33" spans="1:41" ht="15.75" customHeight="1">
      <c r="A33" s="9"/>
      <c r="B33" s="150" t="s">
        <v>110</v>
      </c>
      <c r="C33" s="11">
        <v>2</v>
      </c>
      <c r="D33" s="148" t="s">
        <v>71</v>
      </c>
      <c r="E33" s="148" t="s">
        <v>72</v>
      </c>
      <c r="F33" s="12">
        <v>15</v>
      </c>
      <c r="G33" s="12">
        <v>15</v>
      </c>
      <c r="H33" s="12">
        <v>20</v>
      </c>
      <c r="I33" s="12">
        <v>25</v>
      </c>
      <c r="J33" s="12">
        <v>25</v>
      </c>
      <c r="K33" s="12">
        <v>20</v>
      </c>
      <c r="L33" s="12">
        <v>15</v>
      </c>
      <c r="M33" s="12">
        <v>15</v>
      </c>
      <c r="N33" s="26">
        <v>0.59099999999999997</v>
      </c>
      <c r="O33" s="12">
        <v>10</v>
      </c>
      <c r="P33" s="12">
        <v>10</v>
      </c>
      <c r="Q33" s="12">
        <v>15</v>
      </c>
      <c r="R33" s="137">
        <f t="shared" si="1"/>
        <v>15.465916666666667</v>
      </c>
      <c r="S33" s="14">
        <v>75</v>
      </c>
      <c r="T33" s="242" t="s">
        <v>73</v>
      </c>
      <c r="Y33" s="232"/>
      <c r="Z33" s="657" t="s">
        <v>93</v>
      </c>
      <c r="AA33" s="1162"/>
      <c r="AB33" s="1161"/>
      <c r="AC33" s="1161"/>
      <c r="AD33" s="1161"/>
      <c r="AE33" s="35">
        <f t="shared" ref="AE33:AN33" si="10">AVERAGE(AE27:AE31)</f>
        <v>2.7673333333333332</v>
      </c>
      <c r="AF33" s="35">
        <f t="shared" si="10"/>
        <v>22.383333333333333</v>
      </c>
      <c r="AG33" s="35">
        <f t="shared" si="10"/>
        <v>28.916666666666668</v>
      </c>
      <c r="AH33" s="36">
        <f t="shared" si="10"/>
        <v>7.246666666666667</v>
      </c>
      <c r="AI33" s="35">
        <f t="shared" si="10"/>
        <v>29.172833333333337</v>
      </c>
      <c r="AJ33" s="35">
        <f t="shared" si="10"/>
        <v>17.250999999999998</v>
      </c>
      <c r="AK33" s="36">
        <f>AVERAGE(AK27:AK31)</f>
        <v>4717494.0406257669</v>
      </c>
      <c r="AL33" s="34">
        <f t="shared" si="10"/>
        <v>0.47841666666666666</v>
      </c>
      <c r="AM33" s="34">
        <f t="shared" si="10"/>
        <v>0.88678333333333337</v>
      </c>
      <c r="AN33" s="659">
        <f t="shared" si="10"/>
        <v>242.8</v>
      </c>
      <c r="AO33" s="232"/>
    </row>
    <row r="34" spans="1:41" ht="15.75" customHeight="1">
      <c r="A34" s="9"/>
      <c r="B34" s="150" t="s">
        <v>110</v>
      </c>
      <c r="C34" s="11">
        <v>3</v>
      </c>
      <c r="D34" s="148" t="s">
        <v>75</v>
      </c>
      <c r="E34" s="148" t="s">
        <v>76</v>
      </c>
      <c r="F34" s="12">
        <v>20</v>
      </c>
      <c r="G34" s="12">
        <v>25</v>
      </c>
      <c r="H34" s="12">
        <v>25</v>
      </c>
      <c r="I34" s="12">
        <v>30</v>
      </c>
      <c r="J34" s="12">
        <v>25</v>
      </c>
      <c r="K34" s="12">
        <v>20</v>
      </c>
      <c r="L34" s="12">
        <v>20</v>
      </c>
      <c r="M34" s="12">
        <v>20</v>
      </c>
      <c r="N34" s="26">
        <v>1.849</v>
      </c>
      <c r="O34" s="12">
        <v>15</v>
      </c>
      <c r="P34" s="12">
        <v>15</v>
      </c>
      <c r="Q34" s="12">
        <v>15</v>
      </c>
      <c r="R34" s="137">
        <f t="shared" si="1"/>
        <v>19.32075</v>
      </c>
      <c r="S34" s="14">
        <v>75</v>
      </c>
      <c r="T34" s="242" t="s">
        <v>77</v>
      </c>
      <c r="Y34" s="232"/>
      <c r="Z34" s="657" t="s">
        <v>94</v>
      </c>
      <c r="AA34" s="1161"/>
      <c r="AB34" s="1163"/>
      <c r="AC34" s="1163"/>
      <c r="AD34" s="1161"/>
      <c r="AE34" s="35">
        <f t="shared" ref="AE34:AN34" si="11">MIN(AE27:AE31)</f>
        <v>2.1141666666666663</v>
      </c>
      <c r="AF34" s="35">
        <f t="shared" si="11"/>
        <v>17.916666666666668</v>
      </c>
      <c r="AG34" s="35">
        <f t="shared" si="11"/>
        <v>27.166666666666668</v>
      </c>
      <c r="AH34" s="36">
        <f t="shared" si="11"/>
        <v>7.1966666666666663</v>
      </c>
      <c r="AI34" s="35">
        <f t="shared" si="11"/>
        <v>29.048333333333336</v>
      </c>
      <c r="AJ34" s="35">
        <f t="shared" si="11"/>
        <v>14.634083333333335</v>
      </c>
      <c r="AK34" s="36">
        <f t="shared" si="11"/>
        <v>3068204.0230802223</v>
      </c>
      <c r="AL34" s="34">
        <f t="shared" si="11"/>
        <v>0.37433333333333341</v>
      </c>
      <c r="AM34" s="34">
        <f t="shared" si="11"/>
        <v>0.76116666666666666</v>
      </c>
      <c r="AN34" s="659">
        <f t="shared" si="11"/>
        <v>73.583333333333329</v>
      </c>
      <c r="AO34" s="232"/>
    </row>
    <row r="35" spans="1:41" ht="15.75" customHeight="1">
      <c r="A35" s="9"/>
      <c r="B35" s="150" t="s">
        <v>110</v>
      </c>
      <c r="C35" s="11">
        <v>4</v>
      </c>
      <c r="D35" s="148" t="s">
        <v>79</v>
      </c>
      <c r="E35" s="148" t="s">
        <v>80</v>
      </c>
      <c r="F35" s="12">
        <v>20</v>
      </c>
      <c r="G35" s="12">
        <v>25</v>
      </c>
      <c r="H35" s="12">
        <v>30</v>
      </c>
      <c r="I35" s="12">
        <v>30</v>
      </c>
      <c r="J35" s="12">
        <v>25</v>
      </c>
      <c r="K35" s="12">
        <v>10</v>
      </c>
      <c r="L35" s="12">
        <v>15</v>
      </c>
      <c r="M35" s="12">
        <v>20</v>
      </c>
      <c r="N35" s="26">
        <v>0.83</v>
      </c>
      <c r="O35" s="12">
        <v>10</v>
      </c>
      <c r="P35" s="12">
        <v>15</v>
      </c>
      <c r="Q35" s="12">
        <v>20</v>
      </c>
      <c r="R35" s="137">
        <f t="shared" si="1"/>
        <v>18.4025</v>
      </c>
      <c r="S35" s="14">
        <v>75</v>
      </c>
      <c r="T35" s="242" t="s">
        <v>81</v>
      </c>
      <c r="Y35" s="232"/>
      <c r="Z35" s="657" t="s">
        <v>95</v>
      </c>
      <c r="AA35" s="1161"/>
      <c r="AB35" s="1163"/>
      <c r="AC35" s="1163"/>
      <c r="AD35" s="1161"/>
      <c r="AE35" s="35">
        <f t="shared" ref="AE35:AN35" si="12">MAX(AE27:AE31)</f>
        <v>3.8350000000000004</v>
      </c>
      <c r="AF35" s="35">
        <f t="shared" si="12"/>
        <v>26.083333333333332</v>
      </c>
      <c r="AG35" s="35">
        <f t="shared" si="12"/>
        <v>31.166666666666668</v>
      </c>
      <c r="AH35" s="36">
        <f t="shared" si="12"/>
        <v>7.34</v>
      </c>
      <c r="AI35" s="35">
        <f t="shared" si="12"/>
        <v>29.224166666666665</v>
      </c>
      <c r="AJ35" s="35">
        <f t="shared" si="12"/>
        <v>19.32075</v>
      </c>
      <c r="AK35" s="36">
        <f t="shared" si="12"/>
        <v>6630142.3866574327</v>
      </c>
      <c r="AL35" s="34">
        <f t="shared" si="12"/>
        <v>0.57800000000000007</v>
      </c>
      <c r="AM35" s="34">
        <f t="shared" si="12"/>
        <v>1.0780833333333331</v>
      </c>
      <c r="AN35" s="659">
        <f t="shared" si="12"/>
        <v>514.33333333333337</v>
      </c>
      <c r="AO35" s="232"/>
    </row>
    <row r="36" spans="1:41" ht="15.75" customHeight="1">
      <c r="A36" s="9"/>
      <c r="B36" s="150" t="s">
        <v>110</v>
      </c>
      <c r="C36" s="11">
        <v>5</v>
      </c>
      <c r="D36" s="148" t="s">
        <v>87</v>
      </c>
      <c r="E36" s="148" t="s">
        <v>88</v>
      </c>
      <c r="F36" s="12">
        <v>20</v>
      </c>
      <c r="G36" s="12">
        <v>25</v>
      </c>
      <c r="H36" s="12">
        <v>30</v>
      </c>
      <c r="I36" s="12">
        <v>30</v>
      </c>
      <c r="J36" s="12">
        <v>25</v>
      </c>
      <c r="K36" s="12">
        <v>10</v>
      </c>
      <c r="L36" s="12">
        <v>20</v>
      </c>
      <c r="M36" s="12">
        <v>15</v>
      </c>
      <c r="N36" s="26">
        <v>1.181</v>
      </c>
      <c r="O36" s="12">
        <v>15</v>
      </c>
      <c r="P36" s="12">
        <v>15</v>
      </c>
      <c r="Q36" s="12">
        <v>15</v>
      </c>
      <c r="R36" s="137">
        <f>IFERROR(AVERAGE(F36:Q36), 0)</f>
        <v>18.431750000000001</v>
      </c>
      <c r="S36" s="14">
        <v>75</v>
      </c>
      <c r="T36" s="242" t="s">
        <v>89</v>
      </c>
      <c r="Y36" s="232"/>
      <c r="Z36" s="660" t="s">
        <v>96</v>
      </c>
      <c r="AA36" s="1166"/>
      <c r="AB36" s="1166"/>
      <c r="AC36" s="1166"/>
      <c r="AD36" s="1166"/>
      <c r="AE36" s="661" t="s">
        <v>97</v>
      </c>
      <c r="AF36" s="661" t="s">
        <v>98</v>
      </c>
      <c r="AG36" s="661" t="s">
        <v>99</v>
      </c>
      <c r="AH36" s="661" t="s">
        <v>100</v>
      </c>
      <c r="AI36" s="661" t="s">
        <v>101</v>
      </c>
      <c r="AJ36" s="661" t="s">
        <v>102</v>
      </c>
      <c r="AK36" s="661" t="s">
        <v>103</v>
      </c>
      <c r="AL36" s="661" t="s">
        <v>98</v>
      </c>
      <c r="AM36" s="661" t="s">
        <v>104</v>
      </c>
      <c r="AN36" s="662" t="s">
        <v>105</v>
      </c>
      <c r="AO36" s="232"/>
    </row>
    <row r="37" spans="1:41" s="221" customFormat="1" ht="33.75" customHeight="1">
      <c r="A37" s="9"/>
      <c r="B37" s="149" t="s">
        <v>111</v>
      </c>
      <c r="C37" s="15">
        <v>1</v>
      </c>
      <c r="D37" s="146" t="s">
        <v>67</v>
      </c>
      <c r="E37" s="146" t="s">
        <v>68</v>
      </c>
      <c r="F37" s="7">
        <v>1300000</v>
      </c>
      <c r="G37" s="7">
        <v>9200000</v>
      </c>
      <c r="H37" s="7">
        <v>6300000</v>
      </c>
      <c r="I37" s="7">
        <v>11000000</v>
      </c>
      <c r="J37" s="7">
        <v>16000000</v>
      </c>
      <c r="K37" s="7">
        <v>3500000</v>
      </c>
      <c r="L37" s="7">
        <v>2400000</v>
      </c>
      <c r="M37" s="7">
        <v>54000000</v>
      </c>
      <c r="N37" s="7">
        <v>49000</v>
      </c>
      <c r="O37" s="128">
        <v>11000000</v>
      </c>
      <c r="P37" s="7">
        <v>1700000</v>
      </c>
      <c r="Q37" s="7">
        <v>330000</v>
      </c>
      <c r="R37" s="220">
        <f>IFERROR(GEOMEAN(F37:Q37), 0)</f>
        <v>3323921.4780534902</v>
      </c>
      <c r="S37" s="123">
        <v>200</v>
      </c>
      <c r="T37" s="242" t="s">
        <v>69</v>
      </c>
      <c r="Z37" s="631"/>
      <c r="AA37" s="631"/>
      <c r="AB37" s="631"/>
      <c r="AC37" s="631"/>
      <c r="AD37" s="631"/>
      <c r="AE37" s="631"/>
      <c r="AF37" s="631"/>
      <c r="AG37" s="631"/>
      <c r="AH37" s="631"/>
      <c r="AI37" s="631"/>
      <c r="AJ37" s="631"/>
      <c r="AK37" s="631"/>
      <c r="AL37" s="631"/>
      <c r="AM37" s="631"/>
      <c r="AN37" s="631"/>
    </row>
    <row r="38" spans="1:41" ht="15.75" customHeight="1">
      <c r="A38" s="9"/>
      <c r="B38" s="150" t="s">
        <v>111</v>
      </c>
      <c r="C38" s="11">
        <v>2</v>
      </c>
      <c r="D38" s="148" t="s">
        <v>71</v>
      </c>
      <c r="E38" s="148" t="s">
        <v>72</v>
      </c>
      <c r="F38" s="12">
        <v>16000000</v>
      </c>
      <c r="G38" s="12">
        <v>3500000</v>
      </c>
      <c r="H38" s="12">
        <v>9200000</v>
      </c>
      <c r="I38" s="12">
        <v>7000000</v>
      </c>
      <c r="J38" s="12">
        <v>16000000</v>
      </c>
      <c r="K38" s="12">
        <v>1100000</v>
      </c>
      <c r="L38" s="12">
        <v>1700000</v>
      </c>
      <c r="M38" s="12">
        <v>35000000</v>
      </c>
      <c r="N38" s="12">
        <v>2400000</v>
      </c>
      <c r="O38" s="129">
        <v>11000000</v>
      </c>
      <c r="P38" s="12">
        <v>2200000</v>
      </c>
      <c r="Q38" s="12">
        <v>330000</v>
      </c>
      <c r="R38" s="218">
        <f t="shared" ref="R38:R41" si="13">IFERROR(GEOMEAN(F38:Q38), 0)</f>
        <v>4518250.856823219</v>
      </c>
      <c r="S38" s="14">
        <v>200</v>
      </c>
      <c r="T38" s="242" t="s">
        <v>73</v>
      </c>
    </row>
    <row r="39" spans="1:41" ht="15.75" customHeight="1">
      <c r="A39" s="9"/>
      <c r="B39" s="150" t="s">
        <v>111</v>
      </c>
      <c r="C39" s="11">
        <v>3</v>
      </c>
      <c r="D39" s="148" t="s">
        <v>75</v>
      </c>
      <c r="E39" s="148" t="s">
        <v>76</v>
      </c>
      <c r="F39" s="12">
        <v>17000000</v>
      </c>
      <c r="G39" s="12">
        <v>6500000</v>
      </c>
      <c r="H39" s="12">
        <v>35000000</v>
      </c>
      <c r="I39" s="12">
        <v>5400000</v>
      </c>
      <c r="J39" s="12">
        <v>16000000</v>
      </c>
      <c r="K39" s="12">
        <v>630000</v>
      </c>
      <c r="L39" s="12">
        <v>2400000</v>
      </c>
      <c r="M39" s="12">
        <v>24000000</v>
      </c>
      <c r="N39" s="12">
        <v>700000</v>
      </c>
      <c r="O39" s="129">
        <v>16000000</v>
      </c>
      <c r="P39" s="12">
        <v>1100000</v>
      </c>
      <c r="Q39" s="12">
        <v>16000000</v>
      </c>
      <c r="R39" s="218">
        <f t="shared" si="13"/>
        <v>6046951.4585144706</v>
      </c>
      <c r="S39" s="14">
        <v>200</v>
      </c>
      <c r="T39" s="242" t="s">
        <v>77</v>
      </c>
    </row>
    <row r="40" spans="1:41" ht="15.75" customHeight="1">
      <c r="A40" s="9"/>
      <c r="B40" s="150" t="s">
        <v>111</v>
      </c>
      <c r="C40" s="11">
        <v>4</v>
      </c>
      <c r="D40" s="148" t="s">
        <v>79</v>
      </c>
      <c r="E40" s="148" t="s">
        <v>80</v>
      </c>
      <c r="F40" s="12">
        <v>11000000</v>
      </c>
      <c r="G40" s="12">
        <v>7000000</v>
      </c>
      <c r="H40" s="12">
        <v>9200000</v>
      </c>
      <c r="I40" s="12">
        <v>1400000</v>
      </c>
      <c r="J40" s="12">
        <v>16000000</v>
      </c>
      <c r="K40" s="12">
        <v>1300000</v>
      </c>
      <c r="L40" s="12">
        <v>3500000</v>
      </c>
      <c r="M40" s="12">
        <v>92000000</v>
      </c>
      <c r="N40" s="12">
        <v>33000</v>
      </c>
      <c r="O40" s="129">
        <v>1200000</v>
      </c>
      <c r="P40" s="12">
        <v>490000</v>
      </c>
      <c r="Q40" s="12">
        <v>5400000</v>
      </c>
      <c r="R40" s="218">
        <f t="shared" si="13"/>
        <v>3068204.0230802223</v>
      </c>
      <c r="S40" s="14">
        <v>200</v>
      </c>
      <c r="T40" s="242" t="s">
        <v>81</v>
      </c>
    </row>
    <row r="41" spans="1:41" ht="15.75" customHeight="1">
      <c r="A41" s="9"/>
      <c r="B41" s="150" t="s">
        <v>111</v>
      </c>
      <c r="C41" s="11">
        <v>5</v>
      </c>
      <c r="D41" s="148" t="s">
        <v>87</v>
      </c>
      <c r="E41" s="148" t="s">
        <v>88</v>
      </c>
      <c r="F41" s="12">
        <v>24000000</v>
      </c>
      <c r="G41" s="12">
        <v>5400000</v>
      </c>
      <c r="H41" s="12">
        <v>9200000</v>
      </c>
      <c r="I41" s="12">
        <v>35000000</v>
      </c>
      <c r="J41" s="12">
        <v>24000000</v>
      </c>
      <c r="K41" s="12">
        <v>700000</v>
      </c>
      <c r="L41" s="12">
        <v>2400000</v>
      </c>
      <c r="M41" s="12">
        <v>160000000</v>
      </c>
      <c r="N41" s="12">
        <v>3500000</v>
      </c>
      <c r="O41" s="617" t="s">
        <v>112</v>
      </c>
      <c r="P41" s="12">
        <v>330000</v>
      </c>
      <c r="Q41" s="12">
        <v>3500000</v>
      </c>
      <c r="R41" s="218">
        <f t="shared" si="13"/>
        <v>6630142.3866574327</v>
      </c>
      <c r="S41" s="14">
        <v>200</v>
      </c>
      <c r="T41" s="242" t="s">
        <v>89</v>
      </c>
    </row>
    <row r="42" spans="1:41" ht="15.75" customHeight="1">
      <c r="A42" s="20"/>
      <c r="B42" s="151" t="s">
        <v>113</v>
      </c>
      <c r="C42" s="21">
        <v>1</v>
      </c>
      <c r="D42" s="146" t="s">
        <v>67</v>
      </c>
      <c r="E42" s="146" t="s">
        <v>68</v>
      </c>
      <c r="F42" s="22">
        <v>0.35</v>
      </c>
      <c r="G42" s="22">
        <v>0.438</v>
      </c>
      <c r="H42" s="22">
        <v>0.32700000000000001</v>
      </c>
      <c r="I42" s="22">
        <v>0.41</v>
      </c>
      <c r="J42" s="22">
        <v>0.121</v>
      </c>
      <c r="K42" s="22">
        <v>0.216</v>
      </c>
      <c r="L42" s="22">
        <v>0.41899999999999998</v>
      </c>
      <c r="M42" s="22">
        <v>5.8000000000000003E-2</v>
      </c>
      <c r="N42" s="22">
        <v>1.6240000000000001</v>
      </c>
      <c r="O42" s="22">
        <v>1.2450000000000001</v>
      </c>
      <c r="P42" s="22">
        <v>0.82</v>
      </c>
      <c r="Q42" s="22">
        <v>0.90800000000000003</v>
      </c>
      <c r="R42" s="152">
        <f>IFERROR(AVERAGE(F42:Q42), 0)</f>
        <v>0.57800000000000007</v>
      </c>
      <c r="S42" s="23">
        <v>7</v>
      </c>
      <c r="T42" s="242" t="s">
        <v>69</v>
      </c>
    </row>
    <row r="43" spans="1:41" ht="15.75" customHeight="1">
      <c r="A43" s="20"/>
      <c r="B43" s="153" t="s">
        <v>114</v>
      </c>
      <c r="C43" s="25">
        <v>2</v>
      </c>
      <c r="D43" s="148" t="s">
        <v>71</v>
      </c>
      <c r="E43" s="148" t="s">
        <v>72</v>
      </c>
      <c r="F43" s="26">
        <v>0.17100000000000001</v>
      </c>
      <c r="G43" s="26">
        <v>0.34</v>
      </c>
      <c r="H43" s="26">
        <v>0.24199999999999999</v>
      </c>
      <c r="I43" s="26">
        <v>0.434</v>
      </c>
      <c r="J43" s="26">
        <v>0.14099999999999999</v>
      </c>
      <c r="K43" s="26">
        <v>0.29199999999999998</v>
      </c>
      <c r="L43" s="26">
        <v>0.25600000000000001</v>
      </c>
      <c r="M43" s="26">
        <v>0.111</v>
      </c>
      <c r="N43" s="26">
        <v>1.3049999999999999</v>
      </c>
      <c r="O43" s="26">
        <v>1.0309999999999999</v>
      </c>
      <c r="P43" s="26">
        <v>1.1120000000000001</v>
      </c>
      <c r="Q43" s="26">
        <v>1.02</v>
      </c>
      <c r="R43" s="219">
        <f t="shared" ref="R43:R56" si="14">IFERROR(AVERAGE(F43:Q43), 0)</f>
        <v>0.53791666666666671</v>
      </c>
      <c r="S43" s="28">
        <v>7</v>
      </c>
      <c r="T43" s="242" t="s">
        <v>73</v>
      </c>
    </row>
    <row r="44" spans="1:41" ht="15.75" customHeight="1">
      <c r="A44" s="20"/>
      <c r="B44" s="153" t="s">
        <v>114</v>
      </c>
      <c r="C44" s="25">
        <v>3</v>
      </c>
      <c r="D44" s="148" t="s">
        <v>75</v>
      </c>
      <c r="E44" s="148" t="s">
        <v>76</v>
      </c>
      <c r="F44" s="26">
        <v>8.6999999999999994E-2</v>
      </c>
      <c r="G44" s="26">
        <v>0.84399999999999997</v>
      </c>
      <c r="H44" s="26">
        <v>0.34</v>
      </c>
      <c r="I44" s="26">
        <v>0.38900000000000001</v>
      </c>
      <c r="J44" s="26">
        <v>1.2330000000000001</v>
      </c>
      <c r="K44" s="26">
        <v>0.255</v>
      </c>
      <c r="L44" s="26">
        <v>4.2999999999999997E-2</v>
      </c>
      <c r="M44" s="26">
        <v>9.0999999999999998E-2</v>
      </c>
      <c r="N44" s="26">
        <v>0.112</v>
      </c>
      <c r="O44" s="26">
        <v>1.3939999999999999</v>
      </c>
      <c r="P44" s="26">
        <v>0.81799999999999995</v>
      </c>
      <c r="Q44" s="26">
        <v>0.17199999999999999</v>
      </c>
      <c r="R44" s="219">
        <f t="shared" si="14"/>
        <v>0.48149999999999998</v>
      </c>
      <c r="S44" s="28">
        <v>7</v>
      </c>
      <c r="T44" s="242" t="s">
        <v>77</v>
      </c>
    </row>
    <row r="45" spans="1:41" ht="15.75" customHeight="1">
      <c r="A45" s="20"/>
      <c r="B45" s="153" t="s">
        <v>114</v>
      </c>
      <c r="C45" s="25">
        <v>4</v>
      </c>
      <c r="D45" s="148" t="s">
        <v>79</v>
      </c>
      <c r="E45" s="148" t="s">
        <v>80</v>
      </c>
      <c r="F45" s="26">
        <v>0.36799999999999999</v>
      </c>
      <c r="G45" s="26">
        <v>0.25900000000000001</v>
      </c>
      <c r="H45" s="26">
        <v>0.57099999999999995</v>
      </c>
      <c r="I45" s="26">
        <v>0.39700000000000002</v>
      </c>
      <c r="J45" s="26">
        <v>0.67400000000000004</v>
      </c>
      <c r="K45" s="26">
        <v>0.1</v>
      </c>
      <c r="L45" s="26">
        <v>0.128</v>
      </c>
      <c r="M45" s="26">
        <v>0.08</v>
      </c>
      <c r="N45" s="26">
        <v>0.16300000000000001</v>
      </c>
      <c r="O45" s="26">
        <v>1.2529999999999999</v>
      </c>
      <c r="P45" s="26">
        <v>0.92700000000000005</v>
      </c>
      <c r="Q45" s="26">
        <v>0.124</v>
      </c>
      <c r="R45" s="219">
        <f t="shared" si="14"/>
        <v>0.42033333333333328</v>
      </c>
      <c r="S45" s="28">
        <v>7</v>
      </c>
      <c r="T45" s="242" t="s">
        <v>81</v>
      </c>
    </row>
    <row r="46" spans="1:41" ht="15.75" customHeight="1">
      <c r="A46" s="20"/>
      <c r="B46" s="153" t="s">
        <v>114</v>
      </c>
      <c r="C46" s="25">
        <v>5</v>
      </c>
      <c r="D46" s="148" t="s">
        <v>87</v>
      </c>
      <c r="E46" s="148" t="s">
        <v>88</v>
      </c>
      <c r="F46" s="26">
        <v>0.19500000000000001</v>
      </c>
      <c r="G46" s="26">
        <v>0.35399999999999998</v>
      </c>
      <c r="H46" s="26">
        <v>0.26300000000000001</v>
      </c>
      <c r="I46" s="26">
        <v>0.45900000000000002</v>
      </c>
      <c r="J46" s="26">
        <v>0.72799999999999998</v>
      </c>
      <c r="K46" s="26">
        <v>0.109</v>
      </c>
      <c r="L46" s="26">
        <v>0.25800000000000001</v>
      </c>
      <c r="M46" s="26">
        <v>0.217</v>
      </c>
      <c r="N46" s="26">
        <v>0.11600000000000001</v>
      </c>
      <c r="O46" s="26">
        <v>1.43</v>
      </c>
      <c r="P46" s="26">
        <v>0.28499999999999998</v>
      </c>
      <c r="Q46" s="26">
        <v>7.8E-2</v>
      </c>
      <c r="R46" s="219">
        <f t="shared" si="14"/>
        <v>0.37433333333333341</v>
      </c>
      <c r="S46" s="28">
        <v>7</v>
      </c>
      <c r="T46" s="242" t="s">
        <v>89</v>
      </c>
    </row>
    <row r="47" spans="1:41" ht="15.75" customHeight="1">
      <c r="A47" s="20"/>
      <c r="B47" s="151" t="s">
        <v>115</v>
      </c>
      <c r="C47" s="21">
        <v>1</v>
      </c>
      <c r="D47" s="146" t="s">
        <v>67</v>
      </c>
      <c r="E47" s="146" t="s">
        <v>68</v>
      </c>
      <c r="F47" s="22">
        <v>0.29199999999999998</v>
      </c>
      <c r="G47" s="22">
        <v>1.351</v>
      </c>
      <c r="H47" s="22">
        <v>1.1890000000000001</v>
      </c>
      <c r="I47" s="22">
        <v>0.93600000000000005</v>
      </c>
      <c r="J47" s="22">
        <v>1.121</v>
      </c>
      <c r="K47" s="22">
        <v>1.0960000000000001</v>
      </c>
      <c r="L47" s="22">
        <v>0.98299999999999998</v>
      </c>
      <c r="M47" s="22">
        <v>0.72799999999999998</v>
      </c>
      <c r="N47" s="22">
        <v>0.60899999999999999</v>
      </c>
      <c r="O47" s="22">
        <v>0.41099999999999998</v>
      </c>
      <c r="P47" s="22">
        <v>0.438</v>
      </c>
      <c r="Q47" s="22">
        <v>0.73699999999999999</v>
      </c>
      <c r="R47" s="152">
        <f t="shared" si="14"/>
        <v>0.82425000000000004</v>
      </c>
      <c r="S47" s="23">
        <v>2.5000000000000001E-2</v>
      </c>
      <c r="T47" s="242" t="s">
        <v>69</v>
      </c>
    </row>
    <row r="48" spans="1:41" ht="15.75" customHeight="1">
      <c r="A48" s="20"/>
      <c r="B48" s="153" t="s">
        <v>116</v>
      </c>
      <c r="C48" s="25">
        <v>2</v>
      </c>
      <c r="D48" s="148" t="s">
        <v>71</v>
      </c>
      <c r="E48" s="148" t="s">
        <v>72</v>
      </c>
      <c r="F48" s="26">
        <v>0.376</v>
      </c>
      <c r="G48" s="26">
        <v>1.462</v>
      </c>
      <c r="H48" s="26">
        <v>1.0820000000000001</v>
      </c>
      <c r="I48" s="26">
        <v>1.31</v>
      </c>
      <c r="J48" s="26">
        <v>0.14099999999999999</v>
      </c>
      <c r="K48" s="26">
        <v>0.95099999999999996</v>
      </c>
      <c r="L48" s="26">
        <v>0.92700000000000005</v>
      </c>
      <c r="M48" s="26">
        <v>0.71799999999999997</v>
      </c>
      <c r="N48" s="26">
        <v>0.59099999999999997</v>
      </c>
      <c r="O48" s="26">
        <v>0.42199999999999999</v>
      </c>
      <c r="P48" s="26">
        <v>0.42099999999999999</v>
      </c>
      <c r="Q48" s="26">
        <v>0.73299999999999998</v>
      </c>
      <c r="R48" s="219">
        <f t="shared" si="14"/>
        <v>0.76116666666666666</v>
      </c>
      <c r="S48" s="28">
        <v>2.5000000000000001E-2</v>
      </c>
      <c r="T48" s="242" t="s">
        <v>73</v>
      </c>
    </row>
    <row r="49" spans="1:20" ht="15.75" customHeight="1">
      <c r="A49" s="20"/>
      <c r="B49" s="153" t="s">
        <v>116</v>
      </c>
      <c r="C49" s="25">
        <v>3</v>
      </c>
      <c r="D49" s="148" t="s">
        <v>75</v>
      </c>
      <c r="E49" s="148" t="s">
        <v>76</v>
      </c>
      <c r="F49" s="26">
        <v>0.373</v>
      </c>
      <c r="G49" s="26">
        <v>1.617</v>
      </c>
      <c r="H49" s="26">
        <v>1.391</v>
      </c>
      <c r="I49" s="26">
        <v>1.133</v>
      </c>
      <c r="J49" s="26">
        <v>1.2330000000000001</v>
      </c>
      <c r="K49" s="26">
        <v>1.452</v>
      </c>
      <c r="L49" s="26">
        <v>1.3149999999999999</v>
      </c>
      <c r="M49" s="26">
        <v>0.63300000000000001</v>
      </c>
      <c r="N49" s="26">
        <v>1.849</v>
      </c>
      <c r="O49" s="26">
        <v>0.43</v>
      </c>
      <c r="P49" s="26">
        <v>0.55500000000000005</v>
      </c>
      <c r="Q49" s="26">
        <v>0.95599999999999996</v>
      </c>
      <c r="R49" s="219">
        <f t="shared" si="14"/>
        <v>1.0780833333333331</v>
      </c>
      <c r="S49" s="28">
        <v>2.5000000000000001E-2</v>
      </c>
      <c r="T49" s="242" t="s">
        <v>77</v>
      </c>
    </row>
    <row r="50" spans="1:20" ht="15.75" customHeight="1">
      <c r="A50" s="20"/>
      <c r="B50" s="153" t="s">
        <v>116</v>
      </c>
      <c r="C50" s="25">
        <v>4</v>
      </c>
      <c r="D50" s="148" t="s">
        <v>79</v>
      </c>
      <c r="E50" s="148" t="s">
        <v>80</v>
      </c>
      <c r="F50" s="26">
        <v>0.38200000000000001</v>
      </c>
      <c r="G50" s="26">
        <v>1.554</v>
      </c>
      <c r="H50" s="26">
        <v>0.36899999999999999</v>
      </c>
      <c r="I50" s="26">
        <v>1.1910000000000001</v>
      </c>
      <c r="J50" s="26">
        <v>0.67400000000000004</v>
      </c>
      <c r="K50" s="26">
        <v>1.357</v>
      </c>
      <c r="L50" s="26">
        <v>1.3129999999999999</v>
      </c>
      <c r="M50" s="26">
        <v>0.59199999999999997</v>
      </c>
      <c r="N50" s="26">
        <v>0.83</v>
      </c>
      <c r="O50" s="26">
        <v>0.40799999999999997</v>
      </c>
      <c r="P50" s="26">
        <v>0.59399999999999997</v>
      </c>
      <c r="Q50" s="26">
        <v>1.01</v>
      </c>
      <c r="R50" s="219">
        <f t="shared" si="14"/>
        <v>0.85616666666666641</v>
      </c>
      <c r="S50" s="28">
        <v>2.5000000000000001E-2</v>
      </c>
      <c r="T50" s="242" t="s">
        <v>81</v>
      </c>
    </row>
    <row r="51" spans="1:20" ht="15.75" customHeight="1">
      <c r="A51" s="20"/>
      <c r="B51" s="153" t="s">
        <v>116</v>
      </c>
      <c r="C51" s="25">
        <v>5</v>
      </c>
      <c r="D51" s="148" t="s">
        <v>87</v>
      </c>
      <c r="E51" s="148" t="s">
        <v>88</v>
      </c>
      <c r="F51" s="26">
        <v>0.1</v>
      </c>
      <c r="G51" s="26">
        <v>1.66</v>
      </c>
      <c r="H51" s="26">
        <v>1.4650000000000001</v>
      </c>
      <c r="I51" s="26">
        <v>1.0669999999999999</v>
      </c>
      <c r="J51" s="26">
        <v>0.72799999999999998</v>
      </c>
      <c r="K51" s="26">
        <v>1.2330000000000001</v>
      </c>
      <c r="L51" s="26">
        <v>1.276</v>
      </c>
      <c r="M51" s="26">
        <v>0.39900000000000002</v>
      </c>
      <c r="N51" s="26">
        <v>1.181</v>
      </c>
      <c r="O51" s="26">
        <v>0.41099999999999998</v>
      </c>
      <c r="P51" s="26">
        <v>0.50900000000000001</v>
      </c>
      <c r="Q51" s="26">
        <v>0.94199999999999995</v>
      </c>
      <c r="R51" s="219">
        <f t="shared" si="14"/>
        <v>0.91425000000000001</v>
      </c>
      <c r="S51" s="28">
        <v>2.5000000000000001E-2</v>
      </c>
      <c r="T51" s="242" t="s">
        <v>89</v>
      </c>
    </row>
    <row r="52" spans="1:20" ht="15.75" customHeight="1">
      <c r="A52" s="9"/>
      <c r="B52" s="6" t="s">
        <v>117</v>
      </c>
      <c r="C52" s="15">
        <v>1</v>
      </c>
      <c r="D52" s="146" t="s">
        <v>67</v>
      </c>
      <c r="E52" s="146" t="s">
        <v>68</v>
      </c>
      <c r="F52" s="7">
        <v>49</v>
      </c>
      <c r="G52" s="7">
        <v>62</v>
      </c>
      <c r="H52" s="7">
        <v>45</v>
      </c>
      <c r="I52" s="7">
        <v>353</v>
      </c>
      <c r="J52" s="7">
        <v>117</v>
      </c>
      <c r="K52" s="7">
        <v>114</v>
      </c>
      <c r="L52" s="7">
        <v>35</v>
      </c>
      <c r="M52" s="7">
        <v>30</v>
      </c>
      <c r="N52" s="7">
        <v>16</v>
      </c>
      <c r="O52" s="7">
        <v>22</v>
      </c>
      <c r="P52" s="7">
        <v>15</v>
      </c>
      <c r="Q52" s="7">
        <v>25</v>
      </c>
      <c r="R52" s="152">
        <f t="shared" si="14"/>
        <v>73.583333333333329</v>
      </c>
      <c r="S52" s="8">
        <v>350</v>
      </c>
      <c r="T52" s="242" t="s">
        <v>69</v>
      </c>
    </row>
    <row r="53" spans="1:20" ht="15.75" customHeight="1">
      <c r="A53" s="9"/>
      <c r="B53" s="10" t="s">
        <v>117</v>
      </c>
      <c r="C53" s="11">
        <v>2</v>
      </c>
      <c r="D53" s="148" t="s">
        <v>71</v>
      </c>
      <c r="E53" s="148" t="s">
        <v>72</v>
      </c>
      <c r="F53" s="12">
        <v>49</v>
      </c>
      <c r="G53" s="12">
        <v>52</v>
      </c>
      <c r="H53" s="12">
        <v>5348</v>
      </c>
      <c r="I53" s="12">
        <v>343</v>
      </c>
      <c r="J53" s="12">
        <v>132</v>
      </c>
      <c r="K53" s="12">
        <v>87</v>
      </c>
      <c r="L53" s="12">
        <v>32</v>
      </c>
      <c r="M53" s="12">
        <v>30</v>
      </c>
      <c r="N53" s="12">
        <v>16</v>
      </c>
      <c r="O53" s="12">
        <v>23</v>
      </c>
      <c r="P53" s="12">
        <v>18</v>
      </c>
      <c r="Q53" s="12">
        <v>42</v>
      </c>
      <c r="R53" s="219">
        <f t="shared" si="14"/>
        <v>514.33333333333337</v>
      </c>
      <c r="S53" s="14">
        <v>350</v>
      </c>
      <c r="T53" s="242" t="s">
        <v>73</v>
      </c>
    </row>
    <row r="54" spans="1:20" ht="15.75" customHeight="1">
      <c r="A54" s="9"/>
      <c r="B54" s="10" t="s">
        <v>117</v>
      </c>
      <c r="C54" s="11">
        <v>3</v>
      </c>
      <c r="D54" s="148" t="s">
        <v>75</v>
      </c>
      <c r="E54" s="148" t="s">
        <v>76</v>
      </c>
      <c r="F54" s="12">
        <v>272</v>
      </c>
      <c r="G54" s="12">
        <v>410</v>
      </c>
      <c r="H54" s="12">
        <v>1050</v>
      </c>
      <c r="I54" s="12">
        <v>131</v>
      </c>
      <c r="J54" s="12">
        <v>120</v>
      </c>
      <c r="K54" s="12">
        <v>72</v>
      </c>
      <c r="L54" s="12">
        <v>50</v>
      </c>
      <c r="M54" s="12">
        <v>22</v>
      </c>
      <c r="N54" s="12">
        <v>34</v>
      </c>
      <c r="O54" s="12">
        <v>31</v>
      </c>
      <c r="P54" s="12">
        <v>41</v>
      </c>
      <c r="Q54" s="12">
        <v>90</v>
      </c>
      <c r="R54" s="219">
        <f t="shared" si="14"/>
        <v>193.58333333333334</v>
      </c>
      <c r="S54" s="14">
        <v>350</v>
      </c>
      <c r="T54" s="242" t="s">
        <v>77</v>
      </c>
    </row>
    <row r="55" spans="1:20" ht="15.75" customHeight="1">
      <c r="A55" s="9"/>
      <c r="B55" s="10" t="s">
        <v>117</v>
      </c>
      <c r="C55" s="11">
        <v>4</v>
      </c>
      <c r="D55" s="148" t="s">
        <v>79</v>
      </c>
      <c r="E55" s="148" t="s">
        <v>80</v>
      </c>
      <c r="F55" s="12">
        <v>243</v>
      </c>
      <c r="G55" s="12">
        <v>399</v>
      </c>
      <c r="H55" s="12">
        <v>1100</v>
      </c>
      <c r="I55" s="12">
        <v>124</v>
      </c>
      <c r="J55" s="12">
        <v>112</v>
      </c>
      <c r="K55" s="12">
        <v>179</v>
      </c>
      <c r="L55" s="12">
        <v>63</v>
      </c>
      <c r="M55" s="12">
        <v>28</v>
      </c>
      <c r="N55" s="12">
        <v>34</v>
      </c>
      <c r="O55" s="12">
        <v>31</v>
      </c>
      <c r="P55" s="12">
        <v>25</v>
      </c>
      <c r="Q55" s="12">
        <v>46</v>
      </c>
      <c r="R55" s="219">
        <f t="shared" si="14"/>
        <v>198.66666666666666</v>
      </c>
      <c r="S55" s="14">
        <v>350</v>
      </c>
      <c r="T55" s="242" t="s">
        <v>81</v>
      </c>
    </row>
    <row r="56" spans="1:20" ht="15.75" customHeight="1">
      <c r="A56" s="9"/>
      <c r="B56" s="10" t="s">
        <v>117</v>
      </c>
      <c r="C56" s="11">
        <v>5</v>
      </c>
      <c r="D56" s="148" t="s">
        <v>87</v>
      </c>
      <c r="E56" s="148" t="s">
        <v>88</v>
      </c>
      <c r="F56" s="12">
        <v>189</v>
      </c>
      <c r="G56" s="12">
        <v>375</v>
      </c>
      <c r="H56" s="12">
        <v>1300</v>
      </c>
      <c r="I56" s="12">
        <v>336</v>
      </c>
      <c r="J56" s="12">
        <v>110</v>
      </c>
      <c r="K56" s="12">
        <v>219</v>
      </c>
      <c r="L56" s="12">
        <v>93</v>
      </c>
      <c r="M56" s="12">
        <v>40</v>
      </c>
      <c r="N56" s="12">
        <v>37</v>
      </c>
      <c r="O56" s="12">
        <v>26</v>
      </c>
      <c r="P56" s="12">
        <v>32</v>
      </c>
      <c r="Q56" s="12">
        <v>49</v>
      </c>
      <c r="R56" s="219">
        <f t="shared" si="14"/>
        <v>233.83333333333334</v>
      </c>
      <c r="S56" s="14">
        <v>350</v>
      </c>
      <c r="T56" s="242" t="s">
        <v>89</v>
      </c>
    </row>
    <row r="57" spans="1:20" ht="15.75" customHeight="1">
      <c r="A57" s="9"/>
      <c r="B57" s="6" t="s">
        <v>118</v>
      </c>
      <c r="C57" s="15">
        <v>1</v>
      </c>
      <c r="D57" s="146" t="s">
        <v>67</v>
      </c>
      <c r="E57" s="146" t="s">
        <v>68</v>
      </c>
      <c r="F57" s="7" t="s">
        <v>119</v>
      </c>
      <c r="G57" s="7">
        <v>2.2999999999999998</v>
      </c>
      <c r="H57" s="7" t="s">
        <v>119</v>
      </c>
      <c r="I57" s="7">
        <v>7.4</v>
      </c>
      <c r="J57" s="7" t="s">
        <v>119</v>
      </c>
      <c r="K57" s="7" t="s">
        <v>119</v>
      </c>
      <c r="L57" s="7" t="s">
        <v>119</v>
      </c>
      <c r="M57" s="7" t="s">
        <v>119</v>
      </c>
      <c r="N57" s="7">
        <v>1.9</v>
      </c>
      <c r="O57" s="7" t="s">
        <v>119</v>
      </c>
      <c r="P57" s="7">
        <v>0.8</v>
      </c>
      <c r="Q57" s="7" t="s">
        <v>119</v>
      </c>
      <c r="R57" s="154">
        <f>IFERROR(AVERAGE(F57:Q57), 0)</f>
        <v>3.1</v>
      </c>
      <c r="S57" s="8">
        <v>3</v>
      </c>
      <c r="T57" s="242" t="s">
        <v>69</v>
      </c>
    </row>
    <row r="58" spans="1:20" ht="15.75" customHeight="1">
      <c r="A58" s="9"/>
      <c r="B58" s="10" t="s">
        <v>117</v>
      </c>
      <c r="C58" s="11">
        <v>2</v>
      </c>
      <c r="D58" s="148" t="s">
        <v>71</v>
      </c>
      <c r="E58" s="148" t="s">
        <v>72</v>
      </c>
      <c r="F58" s="12" t="s">
        <v>119</v>
      </c>
      <c r="G58" s="12">
        <v>2.9</v>
      </c>
      <c r="H58" s="12" t="s">
        <v>119</v>
      </c>
      <c r="I58" s="12">
        <v>4.2</v>
      </c>
      <c r="J58" s="12" t="s">
        <v>119</v>
      </c>
      <c r="K58" s="12" t="s">
        <v>119</v>
      </c>
      <c r="L58" s="12" t="s">
        <v>119</v>
      </c>
      <c r="M58" s="12" t="s">
        <v>119</v>
      </c>
      <c r="N58" s="12">
        <v>2</v>
      </c>
      <c r="O58" s="12" t="s">
        <v>119</v>
      </c>
      <c r="P58" s="12">
        <v>1.2</v>
      </c>
      <c r="Q58" s="12" t="s">
        <v>119</v>
      </c>
      <c r="R58" s="13">
        <f t="shared" ref="R58:R61" si="15">IFERROR(AVERAGE(F58:Q58), 0)</f>
        <v>2.5749999999999997</v>
      </c>
      <c r="S58" s="14">
        <v>3</v>
      </c>
      <c r="T58" s="242" t="s">
        <v>73</v>
      </c>
    </row>
    <row r="59" spans="1:20" ht="15" customHeight="1">
      <c r="A59" s="9"/>
      <c r="B59" s="10" t="s">
        <v>117</v>
      </c>
      <c r="C59" s="11">
        <v>3</v>
      </c>
      <c r="D59" s="148" t="s">
        <v>75</v>
      </c>
      <c r="E59" s="148" t="s">
        <v>76</v>
      </c>
      <c r="F59" s="12" t="s">
        <v>119</v>
      </c>
      <c r="G59" s="12">
        <v>5.0999999999999996</v>
      </c>
      <c r="H59" s="12" t="s">
        <v>119</v>
      </c>
      <c r="I59" s="12">
        <v>3.9</v>
      </c>
      <c r="J59" s="12" t="s">
        <v>119</v>
      </c>
      <c r="K59" s="12" t="s">
        <v>119</v>
      </c>
      <c r="L59" s="12" t="s">
        <v>119</v>
      </c>
      <c r="M59" s="12" t="s">
        <v>119</v>
      </c>
      <c r="N59" s="12">
        <v>1.7</v>
      </c>
      <c r="O59" s="12" t="s">
        <v>119</v>
      </c>
      <c r="P59" s="12">
        <v>0.8</v>
      </c>
      <c r="Q59" s="12" t="s">
        <v>119</v>
      </c>
      <c r="R59" s="13">
        <f t="shared" si="15"/>
        <v>2.875</v>
      </c>
      <c r="S59" s="14">
        <v>3</v>
      </c>
      <c r="T59" s="242" t="s">
        <v>77</v>
      </c>
    </row>
    <row r="60" spans="1:20" ht="15.75" customHeight="1">
      <c r="A60" s="9"/>
      <c r="B60" s="10" t="s">
        <v>117</v>
      </c>
      <c r="C60" s="11">
        <v>4</v>
      </c>
      <c r="D60" s="148" t="s">
        <v>79</v>
      </c>
      <c r="E60" s="148" t="s">
        <v>80</v>
      </c>
      <c r="F60" s="12" t="s">
        <v>119</v>
      </c>
      <c r="G60" s="12">
        <v>1.1000000000000001</v>
      </c>
      <c r="H60" s="12" t="s">
        <v>119</v>
      </c>
      <c r="I60" s="12">
        <v>9.1</v>
      </c>
      <c r="J60" s="12" t="s">
        <v>119</v>
      </c>
      <c r="K60" s="12" t="s">
        <v>119</v>
      </c>
      <c r="L60" s="12" t="s">
        <v>119</v>
      </c>
      <c r="M60" s="12" t="s">
        <v>119</v>
      </c>
      <c r="N60" s="12">
        <v>1.7</v>
      </c>
      <c r="O60" s="12" t="s">
        <v>119</v>
      </c>
      <c r="P60" s="12">
        <v>0.8</v>
      </c>
      <c r="Q60" s="12" t="s">
        <v>119</v>
      </c>
      <c r="R60" s="13">
        <f t="shared" si="15"/>
        <v>3.1749999999999998</v>
      </c>
      <c r="S60" s="14">
        <v>3</v>
      </c>
      <c r="T60" s="242" t="s">
        <v>81</v>
      </c>
    </row>
    <row r="61" spans="1:20" ht="15.75" customHeight="1">
      <c r="A61" s="9"/>
      <c r="B61" s="10" t="s">
        <v>117</v>
      </c>
      <c r="C61" s="11">
        <v>5</v>
      </c>
      <c r="D61" s="148" t="s">
        <v>87</v>
      </c>
      <c r="E61" s="148" t="s">
        <v>88</v>
      </c>
      <c r="F61" s="12" t="s">
        <v>119</v>
      </c>
      <c r="G61" s="12">
        <v>1.8</v>
      </c>
      <c r="H61" s="12" t="s">
        <v>119</v>
      </c>
      <c r="I61" s="12">
        <v>11.1</v>
      </c>
      <c r="J61" s="12" t="s">
        <v>119</v>
      </c>
      <c r="K61" s="12" t="s">
        <v>119</v>
      </c>
      <c r="L61" s="12" t="s">
        <v>119</v>
      </c>
      <c r="M61" s="12" t="s">
        <v>119</v>
      </c>
      <c r="N61" s="12">
        <v>0.8</v>
      </c>
      <c r="O61" s="12" t="s">
        <v>119</v>
      </c>
      <c r="P61" s="12">
        <v>1.5</v>
      </c>
      <c r="Q61" s="12" t="s">
        <v>119</v>
      </c>
      <c r="R61" s="13">
        <f t="shared" si="15"/>
        <v>3.8000000000000003</v>
      </c>
      <c r="S61" s="14">
        <v>3</v>
      </c>
      <c r="T61" s="242" t="s">
        <v>89</v>
      </c>
    </row>
    <row r="62" spans="1:20" ht="55.5" customHeight="1">
      <c r="A62" s="14"/>
      <c r="B62" s="29" t="s">
        <v>120</v>
      </c>
      <c r="C62" s="15">
        <v>1</v>
      </c>
      <c r="D62" s="146" t="s">
        <v>67</v>
      </c>
      <c r="E62" s="146" t="s">
        <v>68</v>
      </c>
      <c r="F62" s="237" t="s">
        <v>121</v>
      </c>
      <c r="G62" s="237" t="s">
        <v>122</v>
      </c>
      <c r="H62" s="237" t="s">
        <v>123</v>
      </c>
      <c r="I62" s="237" t="s">
        <v>124</v>
      </c>
      <c r="J62" s="237" t="s">
        <v>125</v>
      </c>
      <c r="K62" s="237" t="s">
        <v>126</v>
      </c>
      <c r="L62" s="237" t="s">
        <v>127</v>
      </c>
      <c r="M62" s="237" t="s">
        <v>128</v>
      </c>
      <c r="N62" s="237" t="s">
        <v>129</v>
      </c>
      <c r="O62" s="237" t="s">
        <v>130</v>
      </c>
      <c r="P62" s="237" t="s">
        <v>131</v>
      </c>
      <c r="Q62" s="237" t="s">
        <v>132</v>
      </c>
      <c r="R62" s="1"/>
      <c r="S62" s="1"/>
      <c r="T62" s="242" t="s">
        <v>69</v>
      </c>
    </row>
    <row r="63" spans="1:20" ht="50.25" customHeight="1">
      <c r="A63" s="14"/>
      <c r="B63" s="14"/>
      <c r="C63" s="11">
        <v>2</v>
      </c>
      <c r="D63" s="148" t="s">
        <v>71</v>
      </c>
      <c r="E63" s="148" t="s">
        <v>72</v>
      </c>
      <c r="F63" s="230" t="s">
        <v>133</v>
      </c>
      <c r="G63" s="230" t="s">
        <v>134</v>
      </c>
      <c r="H63" s="230" t="s">
        <v>135</v>
      </c>
      <c r="I63" s="230" t="s">
        <v>136</v>
      </c>
      <c r="J63" s="230" t="s">
        <v>126</v>
      </c>
      <c r="K63" s="230" t="s">
        <v>137</v>
      </c>
      <c r="L63" s="230" t="s">
        <v>138</v>
      </c>
      <c r="M63" s="230" t="s">
        <v>139</v>
      </c>
      <c r="N63" s="230" t="s">
        <v>140</v>
      </c>
      <c r="O63" s="230" t="s">
        <v>141</v>
      </c>
      <c r="P63" s="230" t="s">
        <v>142</v>
      </c>
      <c r="Q63" s="230" t="s">
        <v>143</v>
      </c>
      <c r="R63" s="1"/>
      <c r="S63" s="1"/>
      <c r="T63" s="242" t="s">
        <v>73</v>
      </c>
    </row>
    <row r="64" spans="1:20" ht="59.25" customHeight="1">
      <c r="A64" s="14"/>
      <c r="B64" s="14"/>
      <c r="C64" s="11">
        <v>3</v>
      </c>
      <c r="D64" s="148" t="s">
        <v>75</v>
      </c>
      <c r="E64" s="148" t="s">
        <v>76</v>
      </c>
      <c r="F64" s="230" t="s">
        <v>144</v>
      </c>
      <c r="G64" s="230" t="s">
        <v>145</v>
      </c>
      <c r="H64" s="230" t="s">
        <v>135</v>
      </c>
      <c r="I64" s="230" t="s">
        <v>136</v>
      </c>
      <c r="J64" s="230" t="s">
        <v>126</v>
      </c>
      <c r="K64" s="230" t="s">
        <v>146</v>
      </c>
      <c r="L64" s="230" t="s">
        <v>147</v>
      </c>
      <c r="M64" s="230" t="s">
        <v>148</v>
      </c>
      <c r="N64" s="230" t="s">
        <v>149</v>
      </c>
      <c r="O64" s="230" t="s">
        <v>150</v>
      </c>
      <c r="P64" s="230" t="s">
        <v>151</v>
      </c>
      <c r="Q64" s="230" t="s">
        <v>152</v>
      </c>
      <c r="R64" s="1"/>
      <c r="S64" s="1"/>
      <c r="T64" s="242" t="s">
        <v>77</v>
      </c>
    </row>
    <row r="65" spans="1:20" ht="90.75">
      <c r="A65" s="14"/>
      <c r="B65" s="14"/>
      <c r="C65" s="11">
        <v>4</v>
      </c>
      <c r="D65" s="148" t="s">
        <v>79</v>
      </c>
      <c r="E65" s="148" t="s">
        <v>80</v>
      </c>
      <c r="F65" s="230" t="s">
        <v>153</v>
      </c>
      <c r="G65" s="230" t="s">
        <v>154</v>
      </c>
      <c r="H65" s="230" t="s">
        <v>155</v>
      </c>
      <c r="I65" s="230" t="s">
        <v>156</v>
      </c>
      <c r="J65" s="230" t="s">
        <v>157</v>
      </c>
      <c r="K65" s="230" t="s">
        <v>158</v>
      </c>
      <c r="L65" s="230" t="s">
        <v>159</v>
      </c>
      <c r="M65" s="230" t="s">
        <v>160</v>
      </c>
      <c r="N65" s="230" t="s">
        <v>161</v>
      </c>
      <c r="O65" s="230" t="s">
        <v>150</v>
      </c>
      <c r="P65" s="230" t="s">
        <v>162</v>
      </c>
      <c r="Q65" s="230" t="s">
        <v>163</v>
      </c>
      <c r="R65" s="1"/>
      <c r="S65" s="1"/>
      <c r="T65" s="242" t="s">
        <v>81</v>
      </c>
    </row>
    <row r="66" spans="1:20" ht="48.75" customHeight="1">
      <c r="A66" s="14"/>
      <c r="B66" s="14"/>
      <c r="C66" s="11">
        <v>5</v>
      </c>
      <c r="D66" s="148" t="s">
        <v>87</v>
      </c>
      <c r="E66" s="148" t="s">
        <v>88</v>
      </c>
      <c r="F66" s="230" t="s">
        <v>164</v>
      </c>
      <c r="G66" s="230" t="s">
        <v>165</v>
      </c>
      <c r="H66" s="230" t="s">
        <v>135</v>
      </c>
      <c r="I66" s="230" t="s">
        <v>166</v>
      </c>
      <c r="J66" s="230" t="s">
        <v>125</v>
      </c>
      <c r="K66" s="230" t="s">
        <v>167</v>
      </c>
      <c r="L66" s="230" t="s">
        <v>168</v>
      </c>
      <c r="M66" s="230" t="s">
        <v>169</v>
      </c>
      <c r="N66" s="230" t="s">
        <v>170</v>
      </c>
      <c r="O66" s="230" t="s">
        <v>150</v>
      </c>
      <c r="P66" s="230" t="s">
        <v>171</v>
      </c>
      <c r="Q66" s="230" t="s">
        <v>172</v>
      </c>
      <c r="R66" s="1"/>
      <c r="S66" s="1"/>
      <c r="T66" s="242" t="s">
        <v>89</v>
      </c>
    </row>
    <row r="67" spans="1:20" ht="15.75" customHeight="1">
      <c r="A67" s="1"/>
      <c r="B67" s="1"/>
      <c r="C67" s="1"/>
      <c r="D67" s="14" t="s">
        <v>173</v>
      </c>
      <c r="E67" s="14"/>
      <c r="F67" s="14">
        <v>8</v>
      </c>
      <c r="G67" s="14">
        <v>28</v>
      </c>
      <c r="H67" s="14">
        <v>7</v>
      </c>
      <c r="I67" s="14">
        <v>10</v>
      </c>
      <c r="J67" s="14">
        <v>16</v>
      </c>
      <c r="K67" s="14">
        <v>16</v>
      </c>
      <c r="L67" s="14">
        <v>16</v>
      </c>
      <c r="M67" s="14">
        <v>13</v>
      </c>
      <c r="N67" s="14">
        <v>3</v>
      </c>
      <c r="O67" s="14">
        <v>10</v>
      </c>
      <c r="P67" s="14">
        <v>12</v>
      </c>
      <c r="Q67" s="14"/>
      <c r="R67" s="1"/>
      <c r="S67" s="1"/>
    </row>
    <row r="68" spans="1:20" ht="15.75" customHeight="1">
      <c r="A68" s="1"/>
      <c r="B68" s="1"/>
      <c r="C68" s="1"/>
      <c r="D68" s="243"/>
      <c r="E68" s="243"/>
      <c r="F68" s="243"/>
      <c r="G68" s="243"/>
      <c r="H68" s="243"/>
      <c r="I68" s="243"/>
      <c r="J68" s="243"/>
      <c r="K68" s="243"/>
      <c r="L68" s="243"/>
      <c r="M68" s="243"/>
      <c r="N68" s="243"/>
      <c r="O68" s="243"/>
      <c r="P68" s="243"/>
      <c r="Q68" s="243"/>
      <c r="R68" s="243"/>
      <c r="S68" s="243"/>
    </row>
    <row r="69" spans="1:20" ht="15.75" customHeight="1">
      <c r="A69" s="1"/>
      <c r="B69" s="1"/>
      <c r="C69" s="243"/>
      <c r="D69" s="232"/>
      <c r="T69" s="232"/>
    </row>
    <row r="70" spans="1:20" ht="15.75" customHeight="1">
      <c r="D70" s="1"/>
    </row>
    <row r="71" spans="1:20" ht="15.75" customHeight="1">
      <c r="D71" s="243"/>
    </row>
    <row r="72" spans="1:20" ht="15.75" customHeight="1">
      <c r="C72" s="232"/>
      <c r="D72" s="232"/>
      <c r="T72" s="232"/>
    </row>
    <row r="73" spans="1:20" ht="15" customHeight="1">
      <c r="D73" s="232"/>
      <c r="E73" s="232"/>
      <c r="F73" s="232"/>
      <c r="G73" s="232"/>
      <c r="H73" s="232"/>
      <c r="I73" s="232"/>
      <c r="J73" s="232"/>
      <c r="K73" s="232"/>
      <c r="L73" s="232"/>
      <c r="M73" s="232"/>
      <c r="N73" s="232"/>
      <c r="O73" s="232"/>
      <c r="P73" s="232"/>
      <c r="Q73" s="232"/>
      <c r="R73" s="232"/>
      <c r="S73" s="232"/>
    </row>
    <row r="75" spans="1:20" ht="15" customHeight="1">
      <c r="D75" s="866" t="s">
        <v>174</v>
      </c>
      <c r="E75" s="639" t="s">
        <v>175</v>
      </c>
      <c r="F75" s="232"/>
      <c r="G75" s="232"/>
      <c r="H75" s="232"/>
      <c r="I75" s="232"/>
      <c r="J75" s="232"/>
      <c r="K75" s="232"/>
      <c r="L75" s="232"/>
      <c r="M75" s="232"/>
      <c r="N75" s="232"/>
      <c r="O75" s="232"/>
      <c r="P75" s="232"/>
      <c r="Q75" s="232"/>
      <c r="R75" s="232"/>
      <c r="S75" s="232"/>
    </row>
    <row r="76" spans="1:20" ht="15" customHeight="1">
      <c r="D76" s="867"/>
      <c r="E76" s="856" t="s">
        <v>176</v>
      </c>
      <c r="F76" s="857"/>
      <c r="G76" s="857"/>
      <c r="H76" s="857"/>
      <c r="I76" s="857"/>
      <c r="J76" s="857"/>
      <c r="K76" s="857"/>
      <c r="L76" s="857"/>
      <c r="M76" s="857"/>
      <c r="N76" s="857"/>
      <c r="O76" s="857"/>
      <c r="P76" s="857"/>
      <c r="Q76" s="857"/>
      <c r="R76" s="857"/>
      <c r="S76" s="858"/>
      <c r="T76" s="232"/>
    </row>
    <row r="77" spans="1:20" ht="213.75" customHeight="1">
      <c r="D77" s="867"/>
      <c r="E77" s="859"/>
      <c r="F77" s="860"/>
      <c r="G77" s="860"/>
      <c r="H77" s="860"/>
      <c r="I77" s="860"/>
      <c r="J77" s="860"/>
      <c r="K77" s="860"/>
      <c r="L77" s="860"/>
      <c r="M77" s="860"/>
      <c r="N77" s="860"/>
      <c r="O77" s="860"/>
      <c r="P77" s="860"/>
      <c r="Q77" s="860"/>
      <c r="R77" s="860"/>
      <c r="S77" s="861"/>
      <c r="T77" s="232"/>
    </row>
    <row r="78" spans="1:20" ht="15" customHeight="1">
      <c r="E78" s="232"/>
      <c r="F78" s="232"/>
      <c r="G78" s="232"/>
      <c r="H78" s="232"/>
      <c r="I78" s="232"/>
      <c r="J78" s="232"/>
      <c r="K78" s="232"/>
      <c r="L78" s="232"/>
      <c r="M78" s="232"/>
      <c r="N78" s="232"/>
      <c r="O78" s="232"/>
      <c r="P78" s="232"/>
      <c r="Q78" s="232"/>
      <c r="R78" s="232"/>
      <c r="S78" s="232"/>
    </row>
  </sheetData>
  <mergeCells count="25">
    <mergeCell ref="D75:D77"/>
    <mergeCell ref="C1:S1"/>
    <mergeCell ref="C2:S2"/>
    <mergeCell ref="C3:S3"/>
    <mergeCell ref="C4:S4"/>
    <mergeCell ref="C5:S5"/>
    <mergeCell ref="Z23:AN23"/>
    <mergeCell ref="Z24:AN24"/>
    <mergeCell ref="AA11:AA15"/>
    <mergeCell ref="AB11:AB15"/>
    <mergeCell ref="E76:S77"/>
    <mergeCell ref="Z25:AD25"/>
    <mergeCell ref="Z32:AN32"/>
    <mergeCell ref="AA33:AD36"/>
    <mergeCell ref="Z27:Z31"/>
    <mergeCell ref="AA27:AA31"/>
    <mergeCell ref="AE25:AN25"/>
    <mergeCell ref="AA17:AD20"/>
    <mergeCell ref="AB27:AB31"/>
    <mergeCell ref="Z7:AN7"/>
    <mergeCell ref="Z8:AN8"/>
    <mergeCell ref="Z16:AN16"/>
    <mergeCell ref="Z9:AD9"/>
    <mergeCell ref="Z11:Z15"/>
    <mergeCell ref="AE9:AN9"/>
  </mergeCells>
  <phoneticPr fontId="16" type="noConversion"/>
  <pageMargins left="0.7" right="0.7" top="0.75" bottom="0.75"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5623"/>
  </sheetPr>
  <dimension ref="A1:AK118"/>
  <sheetViews>
    <sheetView zoomScale="80" zoomScaleNormal="80" workbookViewId="0">
      <pane xSplit="2" ySplit="6" topLeftCell="J31" activePane="bottomRight" state="frozen"/>
      <selection pane="bottomRight" activeCell="B7" sqref="B7:S61"/>
      <selection pane="bottomLeft" activeCell="A7" sqref="A7"/>
      <selection pane="topRight" activeCell="C1" sqref="C1"/>
    </sheetView>
  </sheetViews>
  <sheetFormatPr defaultColWidth="14.42578125" defaultRowHeight="15" customHeight="1"/>
  <cols>
    <col min="1" max="1" width="7.140625" customWidth="1"/>
    <col min="2" max="2" width="15.140625" customWidth="1"/>
    <col min="3" max="3" width="9.140625" style="1" customWidth="1"/>
    <col min="4" max="5" width="19.85546875" customWidth="1"/>
    <col min="6" max="6" width="17.85546875" customWidth="1"/>
    <col min="7" max="8" width="17.5703125" customWidth="1"/>
    <col min="9" max="9" width="21.7109375" customWidth="1"/>
    <col min="10" max="10" width="18" customWidth="1"/>
    <col min="11" max="11" width="17.7109375" customWidth="1"/>
    <col min="12" max="13" width="16.5703125" customWidth="1"/>
    <col min="14" max="17" width="15.140625" customWidth="1"/>
    <col min="18" max="18" width="18.85546875" customWidth="1"/>
    <col min="19" max="19" width="9.140625" customWidth="1"/>
    <col min="20" max="20" width="8.140625" hidden="1" customWidth="1"/>
    <col min="21" max="21" width="9.140625" customWidth="1"/>
    <col min="22" max="22" width="21.85546875" bestFit="1" customWidth="1"/>
    <col min="23" max="25" width="9.140625" customWidth="1"/>
    <col min="26" max="26" width="19.7109375" bestFit="1" customWidth="1"/>
    <col min="27" max="28" width="9.140625" customWidth="1"/>
    <col min="29" max="30" width="13.5703125" bestFit="1" customWidth="1"/>
    <col min="31" max="32" width="9.140625" customWidth="1"/>
    <col min="33" max="33" width="19.85546875" bestFit="1" customWidth="1"/>
    <col min="34" max="34" width="11.42578125" bestFit="1" customWidth="1"/>
    <col min="35" max="35" width="14.85546875" bestFit="1" customWidth="1"/>
    <col min="36" max="36" width="13.28515625" bestFit="1" customWidth="1"/>
    <col min="37" max="37" width="8.7109375" customWidth="1"/>
  </cols>
  <sheetData>
    <row r="1" spans="1:21">
      <c r="A1" s="138"/>
      <c r="B1" s="93"/>
      <c r="C1" s="868" t="s">
        <v>40</v>
      </c>
      <c r="D1" s="1158"/>
      <c r="E1" s="1158"/>
      <c r="F1" s="1158"/>
      <c r="G1" s="1158"/>
      <c r="H1" s="1158"/>
      <c r="I1" s="1158"/>
      <c r="J1" s="1158"/>
      <c r="K1" s="1158"/>
      <c r="L1" s="1158"/>
      <c r="M1" s="1158"/>
      <c r="N1" s="1158"/>
      <c r="O1" s="1158"/>
      <c r="P1" s="1158"/>
      <c r="Q1" s="1158"/>
      <c r="R1" s="1158"/>
      <c r="S1" s="1158"/>
      <c r="T1" s="241"/>
      <c r="U1" s="1"/>
    </row>
    <row r="2" spans="1:21">
      <c r="A2" s="138"/>
      <c r="B2" s="93"/>
      <c r="C2" s="868" t="s">
        <v>41</v>
      </c>
      <c r="D2" s="1158"/>
      <c r="E2" s="1158"/>
      <c r="F2" s="1158"/>
      <c r="G2" s="1158"/>
      <c r="H2" s="1158"/>
      <c r="I2" s="1158"/>
      <c r="J2" s="1158"/>
      <c r="K2" s="1158"/>
      <c r="L2" s="1158"/>
      <c r="M2" s="1158"/>
      <c r="N2" s="1158"/>
      <c r="O2" s="1158"/>
      <c r="P2" s="1158"/>
      <c r="Q2" s="1158"/>
      <c r="R2" s="1158"/>
      <c r="S2" s="1158"/>
      <c r="T2" s="241"/>
      <c r="U2" s="1"/>
    </row>
    <row r="3" spans="1:21">
      <c r="A3" s="139"/>
      <c r="B3" s="86"/>
      <c r="C3" s="869" t="s">
        <v>42</v>
      </c>
      <c r="D3" s="1159"/>
      <c r="E3" s="1159"/>
      <c r="F3" s="1159"/>
      <c r="G3" s="1159"/>
      <c r="H3" s="1159"/>
      <c r="I3" s="1159"/>
      <c r="J3" s="1159"/>
      <c r="K3" s="1159"/>
      <c r="L3" s="1159"/>
      <c r="M3" s="1159"/>
      <c r="N3" s="1159"/>
      <c r="O3" s="1159"/>
      <c r="P3" s="1159"/>
      <c r="Q3" s="1159"/>
      <c r="R3" s="1159"/>
      <c r="S3" s="1159"/>
      <c r="T3" s="241"/>
      <c r="U3" s="1"/>
    </row>
    <row r="4" spans="1:21">
      <c r="A4" s="140"/>
      <c r="B4" s="141"/>
      <c r="C4" s="870" t="s">
        <v>177</v>
      </c>
      <c r="D4" s="1160"/>
      <c r="E4" s="1160"/>
      <c r="F4" s="1160"/>
      <c r="G4" s="1160"/>
      <c r="H4" s="1160"/>
      <c r="I4" s="1160"/>
      <c r="J4" s="1160"/>
      <c r="K4" s="1160"/>
      <c r="L4" s="1160"/>
      <c r="M4" s="1160"/>
      <c r="N4" s="1160"/>
      <c r="O4" s="1160"/>
      <c r="P4" s="1160"/>
      <c r="Q4" s="1160"/>
      <c r="R4" s="1160"/>
      <c r="S4" s="1160"/>
      <c r="T4" s="241"/>
      <c r="U4" s="1"/>
    </row>
    <row r="5" spans="1:21">
      <c r="A5" s="2"/>
      <c r="B5" s="142"/>
      <c r="C5" s="871" t="s">
        <v>44</v>
      </c>
      <c r="D5" s="1159"/>
      <c r="E5" s="1159"/>
      <c r="F5" s="1159"/>
      <c r="G5" s="1159"/>
      <c r="H5" s="1159"/>
      <c r="I5" s="1159"/>
      <c r="J5" s="1159"/>
      <c r="K5" s="1159"/>
      <c r="L5" s="1159"/>
      <c r="M5" s="1159"/>
      <c r="N5" s="1159"/>
      <c r="O5" s="1159"/>
      <c r="P5" s="1159"/>
      <c r="Q5" s="1159"/>
      <c r="R5" s="1159"/>
      <c r="S5" s="1159"/>
      <c r="T5" s="241"/>
      <c r="U5" s="1"/>
    </row>
    <row r="6" spans="1:21" ht="40.5" customHeight="1">
      <c r="A6" s="3" t="s">
        <v>45</v>
      </c>
      <c r="B6" s="4" t="s">
        <v>46</v>
      </c>
      <c r="C6" s="4" t="s">
        <v>47</v>
      </c>
      <c r="D6" s="4" t="s">
        <v>48</v>
      </c>
      <c r="E6" s="4" t="s">
        <v>49</v>
      </c>
      <c r="F6" s="459" t="s">
        <v>50</v>
      </c>
      <c r="G6" s="459" t="s">
        <v>51</v>
      </c>
      <c r="H6" s="460" t="s">
        <v>52</v>
      </c>
      <c r="I6" s="460" t="s">
        <v>53</v>
      </c>
      <c r="J6" s="459" t="s">
        <v>54</v>
      </c>
      <c r="K6" s="460" t="s">
        <v>55</v>
      </c>
      <c r="L6" s="460" t="s">
        <v>56</v>
      </c>
      <c r="M6" s="4" t="s">
        <v>57</v>
      </c>
      <c r="N6" s="4" t="s">
        <v>58</v>
      </c>
      <c r="O6" s="4" t="s">
        <v>59</v>
      </c>
      <c r="P6" s="4" t="s">
        <v>60</v>
      </c>
      <c r="Q6" s="37" t="s">
        <v>61</v>
      </c>
      <c r="R6" s="3" t="s">
        <v>62</v>
      </c>
      <c r="S6" s="38" t="s">
        <v>63</v>
      </c>
      <c r="T6" s="253" t="s">
        <v>64</v>
      </c>
      <c r="U6" s="1"/>
    </row>
    <row r="7" spans="1:21">
      <c r="A7" s="39" t="s">
        <v>65</v>
      </c>
      <c r="B7" s="40" t="s">
        <v>66</v>
      </c>
      <c r="C7" s="15">
        <v>1</v>
      </c>
      <c r="D7" s="41" t="s">
        <v>178</v>
      </c>
      <c r="E7" s="41" t="s">
        <v>179</v>
      </c>
      <c r="F7" s="42">
        <v>0.1</v>
      </c>
      <c r="G7" s="42">
        <v>1.03</v>
      </c>
      <c r="H7" s="42">
        <v>1.05</v>
      </c>
      <c r="I7" s="42">
        <v>2.39</v>
      </c>
      <c r="J7" s="42">
        <v>3.21</v>
      </c>
      <c r="K7" s="42">
        <v>3.99</v>
      </c>
      <c r="L7" s="42">
        <v>4.25</v>
      </c>
      <c r="M7" s="42">
        <v>4.0999999999999996</v>
      </c>
      <c r="N7" s="42">
        <v>4.01</v>
      </c>
      <c r="O7" s="42">
        <v>3.05</v>
      </c>
      <c r="P7" s="42">
        <v>3.9</v>
      </c>
      <c r="Q7" s="42">
        <v>3.202</v>
      </c>
      <c r="R7" s="43">
        <f>IFERROR(AVERAGE(F7:Q7), 0)</f>
        <v>2.8568333333333329</v>
      </c>
      <c r="S7" s="8">
        <v>5</v>
      </c>
      <c r="T7" s="247" t="s">
        <v>180</v>
      </c>
      <c r="U7" s="1"/>
    </row>
    <row r="8" spans="1:21">
      <c r="A8" s="9"/>
      <c r="B8" s="44" t="s">
        <v>66</v>
      </c>
      <c r="C8" s="11">
        <v>2</v>
      </c>
      <c r="D8" s="156" t="s">
        <v>75</v>
      </c>
      <c r="E8" s="156" t="s">
        <v>181</v>
      </c>
      <c r="F8" s="45">
        <v>0.1</v>
      </c>
      <c r="G8" s="45">
        <v>0.9</v>
      </c>
      <c r="H8" s="45">
        <v>1.01</v>
      </c>
      <c r="I8" s="45">
        <v>1.32</v>
      </c>
      <c r="J8" s="45">
        <v>1.1499999999999999</v>
      </c>
      <c r="K8" s="45">
        <v>3.12</v>
      </c>
      <c r="L8" s="45">
        <v>4.09</v>
      </c>
      <c r="M8" s="45">
        <v>3.01</v>
      </c>
      <c r="N8" s="45">
        <v>0.8</v>
      </c>
      <c r="O8" s="45">
        <v>3.08</v>
      </c>
      <c r="P8" s="45">
        <v>2.7</v>
      </c>
      <c r="Q8" s="45">
        <v>2.99</v>
      </c>
      <c r="R8" s="33">
        <f t="shared" ref="R8:R11" si="0">IFERROR(AVERAGE(F8:Q8), 0)</f>
        <v>2.0225000000000004</v>
      </c>
      <c r="S8" s="14">
        <v>5</v>
      </c>
      <c r="T8" s="247" t="s">
        <v>182</v>
      </c>
      <c r="U8" s="1"/>
    </row>
    <row r="9" spans="1:21">
      <c r="A9" s="9"/>
      <c r="B9" s="44" t="s">
        <v>66</v>
      </c>
      <c r="C9" s="11">
        <v>3</v>
      </c>
      <c r="D9" s="156" t="s">
        <v>183</v>
      </c>
      <c r="E9" s="156" t="s">
        <v>184</v>
      </c>
      <c r="F9" s="45">
        <v>0.1</v>
      </c>
      <c r="G9" s="45">
        <v>1.02</v>
      </c>
      <c r="H9" s="45">
        <v>2.2999999999999998</v>
      </c>
      <c r="I9" s="45">
        <v>1.71</v>
      </c>
      <c r="J9" s="45">
        <v>3.05</v>
      </c>
      <c r="K9" s="45">
        <v>3.11</v>
      </c>
      <c r="L9" s="45">
        <v>4.1500000000000004</v>
      </c>
      <c r="M9" s="45">
        <v>3.9</v>
      </c>
      <c r="N9" s="45">
        <v>0.5</v>
      </c>
      <c r="O9" s="45">
        <v>3.81</v>
      </c>
      <c r="P9" s="45">
        <v>4.95</v>
      </c>
      <c r="Q9" s="45">
        <v>4.53</v>
      </c>
      <c r="R9" s="33">
        <f t="shared" si="0"/>
        <v>2.7608333333333328</v>
      </c>
      <c r="S9" s="14">
        <v>5</v>
      </c>
      <c r="T9" s="247" t="s">
        <v>185</v>
      </c>
      <c r="U9" s="1"/>
    </row>
    <row r="10" spans="1:21">
      <c r="A10" s="9"/>
      <c r="B10" s="44" t="s">
        <v>66</v>
      </c>
      <c r="C10" s="11">
        <v>4</v>
      </c>
      <c r="D10" s="156" t="s">
        <v>186</v>
      </c>
      <c r="E10" s="156" t="s">
        <v>187</v>
      </c>
      <c r="F10" s="45">
        <v>0.1</v>
      </c>
      <c r="G10" s="45">
        <v>1</v>
      </c>
      <c r="H10" s="45">
        <v>0.68</v>
      </c>
      <c r="I10" s="45">
        <v>1.0900000000000001</v>
      </c>
      <c r="J10" s="45">
        <v>1.69</v>
      </c>
      <c r="K10" s="45">
        <v>2.2799999999999998</v>
      </c>
      <c r="L10" s="45">
        <v>3.61</v>
      </c>
      <c r="M10" s="45">
        <v>2.93</v>
      </c>
      <c r="N10" s="45">
        <v>0.9</v>
      </c>
      <c r="O10" s="45">
        <v>2.85</v>
      </c>
      <c r="P10" s="45">
        <v>2.6</v>
      </c>
      <c r="Q10" s="45">
        <v>2.11</v>
      </c>
      <c r="R10" s="33">
        <f t="shared" si="0"/>
        <v>1.82</v>
      </c>
      <c r="S10" s="14">
        <v>5</v>
      </c>
      <c r="T10" s="247" t="s">
        <v>188</v>
      </c>
      <c r="U10" s="1"/>
    </row>
    <row r="11" spans="1:21">
      <c r="A11" s="9"/>
      <c r="B11" s="44" t="s">
        <v>66</v>
      </c>
      <c r="C11" s="11">
        <v>5</v>
      </c>
      <c r="D11" s="156" t="s">
        <v>189</v>
      </c>
      <c r="E11" s="156" t="s">
        <v>190</v>
      </c>
      <c r="F11" s="45">
        <v>0.1</v>
      </c>
      <c r="G11" s="45">
        <v>0.89</v>
      </c>
      <c r="H11" s="45">
        <v>0.67</v>
      </c>
      <c r="I11" s="45">
        <v>1.1100000000000001</v>
      </c>
      <c r="J11" s="45">
        <v>1.71</v>
      </c>
      <c r="K11" s="45">
        <v>2.1800000000000002</v>
      </c>
      <c r="L11" s="45">
        <v>3.59</v>
      </c>
      <c r="M11" s="45">
        <v>2.91</v>
      </c>
      <c r="N11" s="45">
        <v>1.01</v>
      </c>
      <c r="O11" s="45">
        <v>4.05</v>
      </c>
      <c r="P11" s="45">
        <v>2.99</v>
      </c>
      <c r="Q11" s="45">
        <v>4.6500000000000004</v>
      </c>
      <c r="R11" s="33">
        <f t="shared" si="0"/>
        <v>2.1549999999999998</v>
      </c>
      <c r="S11" s="14">
        <v>5</v>
      </c>
      <c r="T11" s="247" t="s">
        <v>191</v>
      </c>
      <c r="U11" s="1"/>
    </row>
    <row r="12" spans="1:21">
      <c r="A12" s="9"/>
      <c r="B12" s="149" t="s">
        <v>91</v>
      </c>
      <c r="C12" s="15">
        <v>1</v>
      </c>
      <c r="D12" s="41" t="s">
        <v>178</v>
      </c>
      <c r="E12" s="41" t="s">
        <v>179</v>
      </c>
      <c r="F12" s="540">
        <v>33</v>
      </c>
      <c r="G12" s="540">
        <v>35</v>
      </c>
      <c r="H12" s="540">
        <v>44</v>
      </c>
      <c r="I12" s="540">
        <v>28</v>
      </c>
      <c r="J12" s="540">
        <v>34</v>
      </c>
      <c r="K12" s="540">
        <v>15</v>
      </c>
      <c r="L12" s="540">
        <v>11</v>
      </c>
      <c r="M12" s="540">
        <v>13</v>
      </c>
      <c r="N12" s="611">
        <v>29</v>
      </c>
      <c r="O12" s="42">
        <v>27</v>
      </c>
      <c r="P12" s="42">
        <v>28</v>
      </c>
      <c r="Q12" s="42">
        <v>31</v>
      </c>
      <c r="R12" s="46">
        <f t="shared" ref="R12:R36" si="1">IFERROR(AVERAGE(F12:Q12), 0)</f>
        <v>27.333333333333332</v>
      </c>
      <c r="S12" s="8">
        <v>7</v>
      </c>
      <c r="T12" s="247" t="s">
        <v>180</v>
      </c>
      <c r="U12" s="1"/>
    </row>
    <row r="13" spans="1:21">
      <c r="A13" s="9"/>
      <c r="B13" s="157" t="s">
        <v>91</v>
      </c>
      <c r="C13" s="11">
        <v>2</v>
      </c>
      <c r="D13" s="156" t="s">
        <v>75</v>
      </c>
      <c r="E13" s="156" t="s">
        <v>181</v>
      </c>
      <c r="F13" s="541">
        <v>96</v>
      </c>
      <c r="G13" s="541">
        <v>96</v>
      </c>
      <c r="H13" s="541">
        <v>108</v>
      </c>
      <c r="I13" s="541">
        <v>86</v>
      </c>
      <c r="J13" s="541">
        <v>112</v>
      </c>
      <c r="K13" s="541">
        <v>61</v>
      </c>
      <c r="L13" s="541">
        <v>9</v>
      </c>
      <c r="M13" s="541">
        <v>20</v>
      </c>
      <c r="N13" s="612">
        <v>33</v>
      </c>
      <c r="O13" s="45">
        <v>56</v>
      </c>
      <c r="P13" s="45">
        <v>25</v>
      </c>
      <c r="Q13" s="45">
        <v>118</v>
      </c>
      <c r="R13" s="47">
        <f t="shared" si="1"/>
        <v>68.333333333333329</v>
      </c>
      <c r="S13" s="14">
        <v>7</v>
      </c>
      <c r="T13" s="247" t="s">
        <v>182</v>
      </c>
      <c r="U13" s="1"/>
    </row>
    <row r="14" spans="1:21">
      <c r="A14" s="9"/>
      <c r="B14" s="157" t="s">
        <v>91</v>
      </c>
      <c r="C14" s="11">
        <v>3</v>
      </c>
      <c r="D14" s="156" t="s">
        <v>183</v>
      </c>
      <c r="E14" s="156" t="s">
        <v>184</v>
      </c>
      <c r="F14" s="541">
        <v>85</v>
      </c>
      <c r="G14" s="541">
        <v>86</v>
      </c>
      <c r="H14" s="541">
        <v>41</v>
      </c>
      <c r="I14" s="541">
        <v>184</v>
      </c>
      <c r="J14" s="541">
        <v>14</v>
      </c>
      <c r="K14" s="541">
        <v>47</v>
      </c>
      <c r="L14" s="541">
        <v>17</v>
      </c>
      <c r="M14" s="541">
        <v>17</v>
      </c>
      <c r="N14" s="612">
        <v>31</v>
      </c>
      <c r="O14" s="45">
        <v>7</v>
      </c>
      <c r="P14" s="45">
        <v>18</v>
      </c>
      <c r="Q14" s="45">
        <v>73</v>
      </c>
      <c r="R14" s="47">
        <f t="shared" si="1"/>
        <v>51.666666666666664</v>
      </c>
      <c r="S14" s="14">
        <v>7</v>
      </c>
      <c r="T14" s="247" t="s">
        <v>185</v>
      </c>
      <c r="U14" s="1"/>
    </row>
    <row r="15" spans="1:21">
      <c r="A15" s="9"/>
      <c r="B15" s="157" t="s">
        <v>91</v>
      </c>
      <c r="C15" s="11">
        <v>4</v>
      </c>
      <c r="D15" s="156" t="s">
        <v>186</v>
      </c>
      <c r="E15" s="156" t="s">
        <v>187</v>
      </c>
      <c r="F15" s="541">
        <v>75</v>
      </c>
      <c r="G15" s="541">
        <v>58</v>
      </c>
      <c r="H15" s="541">
        <v>72</v>
      </c>
      <c r="I15" s="541">
        <v>59</v>
      </c>
      <c r="J15" s="541">
        <v>19</v>
      </c>
      <c r="K15" s="541">
        <v>18</v>
      </c>
      <c r="L15" s="541">
        <v>9</v>
      </c>
      <c r="M15" s="541">
        <v>10</v>
      </c>
      <c r="N15" s="612">
        <v>19</v>
      </c>
      <c r="O15" s="45">
        <v>44</v>
      </c>
      <c r="P15" s="45">
        <v>102</v>
      </c>
      <c r="Q15" s="45">
        <v>119</v>
      </c>
      <c r="R15" s="47">
        <f t="shared" si="1"/>
        <v>50.333333333333336</v>
      </c>
      <c r="S15" s="14">
        <v>7</v>
      </c>
      <c r="T15" s="247" t="s">
        <v>188</v>
      </c>
      <c r="U15" s="1"/>
    </row>
    <row r="16" spans="1:21">
      <c r="A16" s="9"/>
      <c r="B16" s="157" t="s">
        <v>91</v>
      </c>
      <c r="C16" s="11">
        <v>5</v>
      </c>
      <c r="D16" s="156" t="s">
        <v>189</v>
      </c>
      <c r="E16" s="156" t="s">
        <v>190</v>
      </c>
      <c r="F16" s="541">
        <v>45</v>
      </c>
      <c r="G16" s="541">
        <v>48</v>
      </c>
      <c r="H16" s="541">
        <v>54</v>
      </c>
      <c r="I16" s="541">
        <v>39</v>
      </c>
      <c r="J16" s="541">
        <v>23</v>
      </c>
      <c r="K16" s="541">
        <v>31</v>
      </c>
      <c r="L16" s="541">
        <v>13</v>
      </c>
      <c r="M16" s="541">
        <v>27</v>
      </c>
      <c r="N16" s="612">
        <v>28</v>
      </c>
      <c r="O16" s="45">
        <v>63</v>
      </c>
      <c r="P16" s="45">
        <v>19</v>
      </c>
      <c r="Q16" s="45">
        <v>97</v>
      </c>
      <c r="R16" s="47">
        <f t="shared" si="1"/>
        <v>40.583333333333336</v>
      </c>
      <c r="S16" s="14">
        <v>7</v>
      </c>
      <c r="T16" s="247" t="s">
        <v>191</v>
      </c>
      <c r="U16" s="1"/>
    </row>
    <row r="17" spans="1:21">
      <c r="A17" s="9"/>
      <c r="B17" s="149" t="s">
        <v>92</v>
      </c>
      <c r="C17" s="15">
        <v>1</v>
      </c>
      <c r="D17" s="41" t="s">
        <v>178</v>
      </c>
      <c r="E17" s="41" t="s">
        <v>179</v>
      </c>
      <c r="F17" s="540">
        <v>13</v>
      </c>
      <c r="G17" s="540">
        <v>12</v>
      </c>
      <c r="H17" s="540">
        <v>24</v>
      </c>
      <c r="I17" s="540">
        <v>13</v>
      </c>
      <c r="J17" s="540">
        <v>70</v>
      </c>
      <c r="K17" s="540">
        <v>37</v>
      </c>
      <c r="L17" s="540">
        <v>18</v>
      </c>
      <c r="M17" s="540">
        <v>29</v>
      </c>
      <c r="N17" s="611">
        <v>29</v>
      </c>
      <c r="O17" s="42">
        <v>26</v>
      </c>
      <c r="P17" s="42">
        <v>39</v>
      </c>
      <c r="Q17" s="42">
        <v>54</v>
      </c>
      <c r="R17" s="613">
        <f t="shared" si="1"/>
        <v>30.333333333333332</v>
      </c>
      <c r="S17" s="8">
        <v>80</v>
      </c>
      <c r="T17" s="247" t="s">
        <v>180</v>
      </c>
      <c r="U17" s="1"/>
    </row>
    <row r="18" spans="1:21">
      <c r="A18" s="9"/>
      <c r="B18" s="150" t="s">
        <v>92</v>
      </c>
      <c r="C18" s="11">
        <v>2</v>
      </c>
      <c r="D18" s="156" t="s">
        <v>75</v>
      </c>
      <c r="E18" s="156" t="s">
        <v>181</v>
      </c>
      <c r="F18" s="541">
        <v>35</v>
      </c>
      <c r="G18" s="541">
        <v>100</v>
      </c>
      <c r="H18" s="541">
        <v>42</v>
      </c>
      <c r="I18" s="541">
        <v>18</v>
      </c>
      <c r="J18" s="541">
        <v>60</v>
      </c>
      <c r="K18" s="541">
        <v>51</v>
      </c>
      <c r="L18" s="541">
        <v>16</v>
      </c>
      <c r="M18" s="541">
        <v>31</v>
      </c>
      <c r="N18" s="612">
        <v>31</v>
      </c>
      <c r="O18" s="45">
        <v>25</v>
      </c>
      <c r="P18" s="45">
        <v>37</v>
      </c>
      <c r="Q18" s="45">
        <v>59</v>
      </c>
      <c r="R18" s="614">
        <f t="shared" si="1"/>
        <v>42.083333333333336</v>
      </c>
      <c r="S18" s="14">
        <v>80</v>
      </c>
      <c r="T18" s="247" t="s">
        <v>182</v>
      </c>
      <c r="U18" s="1"/>
    </row>
    <row r="19" spans="1:21">
      <c r="A19" s="9"/>
      <c r="B19" s="150" t="s">
        <v>92</v>
      </c>
      <c r="C19" s="11">
        <v>3</v>
      </c>
      <c r="D19" s="156" t="s">
        <v>183</v>
      </c>
      <c r="E19" s="156" t="s">
        <v>184</v>
      </c>
      <c r="F19" s="541">
        <v>21</v>
      </c>
      <c r="G19" s="541">
        <v>30</v>
      </c>
      <c r="H19" s="541">
        <v>25</v>
      </c>
      <c r="I19" s="541">
        <v>62</v>
      </c>
      <c r="J19" s="541">
        <v>37</v>
      </c>
      <c r="K19" s="541">
        <v>57</v>
      </c>
      <c r="L19" s="541">
        <v>29</v>
      </c>
      <c r="M19" s="541">
        <v>36</v>
      </c>
      <c r="N19" s="612">
        <v>44</v>
      </c>
      <c r="O19" s="45">
        <v>32</v>
      </c>
      <c r="P19" s="45">
        <v>44</v>
      </c>
      <c r="Q19" s="45">
        <v>46</v>
      </c>
      <c r="R19" s="614">
        <f t="shared" si="1"/>
        <v>38.583333333333336</v>
      </c>
      <c r="S19" s="14">
        <v>80</v>
      </c>
      <c r="T19" s="247" t="s">
        <v>185</v>
      </c>
      <c r="U19" s="1"/>
    </row>
    <row r="20" spans="1:21">
      <c r="A20" s="9"/>
      <c r="B20" s="150" t="s">
        <v>92</v>
      </c>
      <c r="C20" s="11">
        <v>4</v>
      </c>
      <c r="D20" s="156" t="s">
        <v>186</v>
      </c>
      <c r="E20" s="156" t="s">
        <v>187</v>
      </c>
      <c r="F20" s="541">
        <v>20</v>
      </c>
      <c r="G20" s="541">
        <v>236</v>
      </c>
      <c r="H20" s="541">
        <v>66</v>
      </c>
      <c r="I20" s="541">
        <v>24</v>
      </c>
      <c r="J20" s="541">
        <v>41</v>
      </c>
      <c r="K20" s="541">
        <v>42</v>
      </c>
      <c r="L20" s="541">
        <v>24</v>
      </c>
      <c r="M20" s="541">
        <v>31</v>
      </c>
      <c r="N20" s="612">
        <v>40</v>
      </c>
      <c r="O20" s="45">
        <v>29</v>
      </c>
      <c r="P20" s="45">
        <v>46</v>
      </c>
      <c r="Q20" s="45">
        <v>42</v>
      </c>
      <c r="R20" s="614">
        <f t="shared" si="1"/>
        <v>53.416666666666664</v>
      </c>
      <c r="S20" s="14">
        <v>80</v>
      </c>
      <c r="T20" s="247" t="s">
        <v>188</v>
      </c>
      <c r="U20" s="1"/>
    </row>
    <row r="21" spans="1:21" ht="15.75" customHeight="1">
      <c r="A21" s="9"/>
      <c r="B21" s="150" t="s">
        <v>92</v>
      </c>
      <c r="C21" s="11">
        <v>5</v>
      </c>
      <c r="D21" s="156" t="s">
        <v>189</v>
      </c>
      <c r="E21" s="156" t="s">
        <v>190</v>
      </c>
      <c r="F21" s="541">
        <v>30</v>
      </c>
      <c r="G21" s="541">
        <v>17</v>
      </c>
      <c r="H21" s="541">
        <v>36</v>
      </c>
      <c r="I21" s="541">
        <v>30</v>
      </c>
      <c r="J21" s="541">
        <v>63</v>
      </c>
      <c r="K21" s="541">
        <v>48</v>
      </c>
      <c r="L21" s="541">
        <v>32</v>
      </c>
      <c r="M21" s="541">
        <v>27</v>
      </c>
      <c r="N21" s="612">
        <v>43</v>
      </c>
      <c r="O21" s="45">
        <v>26</v>
      </c>
      <c r="P21" s="45">
        <v>41</v>
      </c>
      <c r="Q21" s="45">
        <v>36</v>
      </c>
      <c r="R21" s="614">
        <f t="shared" si="1"/>
        <v>35.75</v>
      </c>
      <c r="S21" s="14">
        <v>80</v>
      </c>
      <c r="T21" s="247" t="s">
        <v>191</v>
      </c>
      <c r="U21" s="1"/>
    </row>
    <row r="22" spans="1:21" ht="15.75" customHeight="1">
      <c r="A22" s="9"/>
      <c r="B22" s="149" t="s">
        <v>7</v>
      </c>
      <c r="C22" s="15">
        <v>1</v>
      </c>
      <c r="D22" s="41" t="s">
        <v>178</v>
      </c>
      <c r="E22" s="41" t="s">
        <v>179</v>
      </c>
      <c r="F22" s="42">
        <v>7.1</v>
      </c>
      <c r="G22" s="42">
        <v>7.05</v>
      </c>
      <c r="H22" s="42">
        <v>7.1</v>
      </c>
      <c r="I22" s="42">
        <v>6.96</v>
      </c>
      <c r="J22" s="42">
        <v>7.01</v>
      </c>
      <c r="K22" s="42">
        <v>7.1</v>
      </c>
      <c r="L22" s="42">
        <v>7.11</v>
      </c>
      <c r="M22" s="42">
        <v>7.55</v>
      </c>
      <c r="N22" s="42">
        <v>7.93</v>
      </c>
      <c r="O22" s="42">
        <v>7.15</v>
      </c>
      <c r="P22" s="42">
        <v>7.31</v>
      </c>
      <c r="Q22" s="42">
        <v>7.09</v>
      </c>
      <c r="R22" s="48">
        <f t="shared" si="1"/>
        <v>7.205000000000001</v>
      </c>
      <c r="S22" s="17" t="s">
        <v>106</v>
      </c>
      <c r="T22" s="247" t="s">
        <v>180</v>
      </c>
      <c r="U22" s="1"/>
    </row>
    <row r="23" spans="1:21" ht="15.75" customHeight="1">
      <c r="A23" s="9"/>
      <c r="B23" s="150" t="s">
        <v>7</v>
      </c>
      <c r="C23" s="11">
        <v>2</v>
      </c>
      <c r="D23" s="156" t="s">
        <v>75</v>
      </c>
      <c r="E23" s="156" t="s">
        <v>181</v>
      </c>
      <c r="F23" s="45">
        <v>6.98</v>
      </c>
      <c r="G23" s="45">
        <v>6.97</v>
      </c>
      <c r="H23" s="45">
        <v>6.99</v>
      </c>
      <c r="I23" s="45">
        <v>7.1</v>
      </c>
      <c r="J23" s="45">
        <v>6.89</v>
      </c>
      <c r="K23" s="45">
        <v>7.03</v>
      </c>
      <c r="L23" s="45">
        <v>7.11</v>
      </c>
      <c r="M23" s="45">
        <v>7.65</v>
      </c>
      <c r="N23" s="45">
        <v>7.85</v>
      </c>
      <c r="O23" s="45">
        <v>7.2</v>
      </c>
      <c r="P23" s="45">
        <v>7.1</v>
      </c>
      <c r="Q23" s="45">
        <v>7.13</v>
      </c>
      <c r="R23" s="35">
        <f t="shared" si="1"/>
        <v>7.1666666666666652</v>
      </c>
      <c r="S23" s="18" t="s">
        <v>106</v>
      </c>
      <c r="T23" s="247" t="s">
        <v>182</v>
      </c>
      <c r="U23" s="1"/>
    </row>
    <row r="24" spans="1:21" ht="15.75" customHeight="1">
      <c r="A24" s="9"/>
      <c r="B24" s="150" t="s">
        <v>7</v>
      </c>
      <c r="C24" s="11">
        <v>3</v>
      </c>
      <c r="D24" s="156" t="s">
        <v>183</v>
      </c>
      <c r="E24" s="156" t="s">
        <v>184</v>
      </c>
      <c r="F24" s="45">
        <v>7</v>
      </c>
      <c r="G24" s="45">
        <v>7.03</v>
      </c>
      <c r="H24" s="45">
        <v>7.01</v>
      </c>
      <c r="I24" s="45">
        <v>6.85</v>
      </c>
      <c r="J24" s="45">
        <v>7.05</v>
      </c>
      <c r="K24" s="45">
        <v>7.1</v>
      </c>
      <c r="L24" s="45">
        <v>7.13</v>
      </c>
      <c r="M24" s="45">
        <v>7.58</v>
      </c>
      <c r="N24" s="45">
        <v>7.91</v>
      </c>
      <c r="O24" s="45">
        <v>7.27</v>
      </c>
      <c r="P24" s="45">
        <v>7.21</v>
      </c>
      <c r="Q24" s="45">
        <v>7.1</v>
      </c>
      <c r="R24" s="35">
        <f t="shared" si="1"/>
        <v>7.1866666666666648</v>
      </c>
      <c r="S24" s="18" t="s">
        <v>106</v>
      </c>
      <c r="T24" s="247" t="s">
        <v>185</v>
      </c>
      <c r="U24" s="1"/>
    </row>
    <row r="25" spans="1:21" ht="15.75" customHeight="1">
      <c r="A25" s="9"/>
      <c r="B25" s="150" t="s">
        <v>7</v>
      </c>
      <c r="C25" s="11">
        <v>4</v>
      </c>
      <c r="D25" s="156" t="s">
        <v>186</v>
      </c>
      <c r="E25" s="156" t="s">
        <v>187</v>
      </c>
      <c r="F25" s="45">
        <v>6.9</v>
      </c>
      <c r="G25" s="45">
        <v>7</v>
      </c>
      <c r="H25" s="45">
        <v>6.99</v>
      </c>
      <c r="I25" s="45">
        <v>7.1</v>
      </c>
      <c r="J25" s="45">
        <v>6.98</v>
      </c>
      <c r="K25" s="45">
        <v>6.98</v>
      </c>
      <c r="L25" s="45">
        <v>7.11</v>
      </c>
      <c r="M25" s="45">
        <v>7.5</v>
      </c>
      <c r="N25" s="45">
        <v>7.92</v>
      </c>
      <c r="O25" s="45">
        <v>7.08</v>
      </c>
      <c r="P25" s="45">
        <v>7.18</v>
      </c>
      <c r="Q25" s="45">
        <v>7.01</v>
      </c>
      <c r="R25" s="35">
        <f t="shared" si="1"/>
        <v>7.1458333333333348</v>
      </c>
      <c r="S25" s="18" t="s">
        <v>106</v>
      </c>
      <c r="T25" s="247" t="s">
        <v>188</v>
      </c>
      <c r="U25" s="1"/>
    </row>
    <row r="26" spans="1:21" ht="15.75" customHeight="1">
      <c r="A26" s="9"/>
      <c r="B26" s="150" t="s">
        <v>7</v>
      </c>
      <c r="C26" s="11">
        <v>5</v>
      </c>
      <c r="D26" s="156" t="s">
        <v>189</v>
      </c>
      <c r="E26" s="156" t="s">
        <v>190</v>
      </c>
      <c r="F26" s="45">
        <v>6.95</v>
      </c>
      <c r="G26" s="45">
        <v>6.98</v>
      </c>
      <c r="H26" s="45">
        <v>6.98</v>
      </c>
      <c r="I26" s="45">
        <v>6.96</v>
      </c>
      <c r="J26" s="45">
        <v>6.93</v>
      </c>
      <c r="K26" s="45">
        <v>6.93</v>
      </c>
      <c r="L26" s="45">
        <v>7.03</v>
      </c>
      <c r="M26" s="45">
        <v>7.59</v>
      </c>
      <c r="N26" s="45">
        <v>7.67</v>
      </c>
      <c r="O26" s="45">
        <v>7.38</v>
      </c>
      <c r="P26" s="45">
        <v>7.13</v>
      </c>
      <c r="Q26" s="45">
        <v>7.28</v>
      </c>
      <c r="R26" s="35">
        <f t="shared" si="1"/>
        <v>7.150833333333332</v>
      </c>
      <c r="S26" s="18" t="s">
        <v>106</v>
      </c>
      <c r="T26" s="247" t="s">
        <v>191</v>
      </c>
      <c r="U26" s="1"/>
    </row>
    <row r="27" spans="1:21" ht="15.75" customHeight="1">
      <c r="A27" s="9"/>
      <c r="B27" s="149" t="s">
        <v>108</v>
      </c>
      <c r="C27" s="15">
        <v>1</v>
      </c>
      <c r="D27" s="41" t="s">
        <v>178</v>
      </c>
      <c r="E27" s="41" t="s">
        <v>179</v>
      </c>
      <c r="F27" s="42">
        <v>27.1</v>
      </c>
      <c r="G27" s="42">
        <v>26.1</v>
      </c>
      <c r="H27" s="42">
        <v>28.1</v>
      </c>
      <c r="I27" s="42">
        <v>30</v>
      </c>
      <c r="J27" s="42">
        <v>29.1</v>
      </c>
      <c r="K27" s="42">
        <v>28</v>
      </c>
      <c r="L27" s="42">
        <v>26.5</v>
      </c>
      <c r="M27" s="42">
        <v>28.8</v>
      </c>
      <c r="N27" s="42">
        <v>28.4</v>
      </c>
      <c r="O27" s="42">
        <v>26.2</v>
      </c>
      <c r="P27" s="42">
        <v>30</v>
      </c>
      <c r="Q27" s="42">
        <v>27.1</v>
      </c>
      <c r="R27" s="48">
        <f t="shared" si="1"/>
        <v>27.950000000000003</v>
      </c>
      <c r="S27" s="17" t="s">
        <v>109</v>
      </c>
      <c r="T27" s="247" t="s">
        <v>180</v>
      </c>
      <c r="U27" s="1"/>
    </row>
    <row r="28" spans="1:21" ht="15.75" customHeight="1">
      <c r="A28" s="9"/>
      <c r="B28" s="150" t="s">
        <v>108</v>
      </c>
      <c r="C28" s="11">
        <v>2</v>
      </c>
      <c r="D28" s="156" t="s">
        <v>75</v>
      </c>
      <c r="E28" s="156" t="s">
        <v>181</v>
      </c>
      <c r="F28" s="45">
        <v>27</v>
      </c>
      <c r="G28" s="45">
        <v>25.9</v>
      </c>
      <c r="H28" s="45">
        <v>27.5</v>
      </c>
      <c r="I28" s="45">
        <v>29.9</v>
      </c>
      <c r="J28" s="45">
        <v>29</v>
      </c>
      <c r="K28" s="45">
        <v>27.8</v>
      </c>
      <c r="L28" s="45">
        <v>26.5</v>
      </c>
      <c r="M28" s="45">
        <v>28.8</v>
      </c>
      <c r="N28" s="45">
        <v>28.4</v>
      </c>
      <c r="O28" s="45">
        <v>26.2</v>
      </c>
      <c r="P28" s="45">
        <v>29.9</v>
      </c>
      <c r="Q28" s="45">
        <v>27.1</v>
      </c>
      <c r="R28" s="35">
        <f t="shared" si="1"/>
        <v>27.833333333333339</v>
      </c>
      <c r="S28" s="18" t="s">
        <v>109</v>
      </c>
      <c r="T28" s="247" t="s">
        <v>182</v>
      </c>
      <c r="U28" s="1"/>
    </row>
    <row r="29" spans="1:21" ht="15.75" customHeight="1">
      <c r="A29" s="9"/>
      <c r="B29" s="150" t="s">
        <v>108</v>
      </c>
      <c r="C29" s="11">
        <v>3</v>
      </c>
      <c r="D29" s="156" t="s">
        <v>183</v>
      </c>
      <c r="E29" s="156" t="s">
        <v>184</v>
      </c>
      <c r="F29" s="45">
        <v>27.1</v>
      </c>
      <c r="G29" s="45">
        <v>26.1</v>
      </c>
      <c r="H29" s="45">
        <v>27.5</v>
      </c>
      <c r="I29" s="45">
        <v>29.9</v>
      </c>
      <c r="J29" s="45">
        <v>29.8</v>
      </c>
      <c r="K29" s="45">
        <v>27.8</v>
      </c>
      <c r="L29" s="45">
        <v>26.5</v>
      </c>
      <c r="M29" s="45">
        <v>28.8</v>
      </c>
      <c r="N29" s="45">
        <v>28</v>
      </c>
      <c r="O29" s="45">
        <v>26.8</v>
      </c>
      <c r="P29" s="45">
        <v>29.8</v>
      </c>
      <c r="Q29" s="45">
        <v>27</v>
      </c>
      <c r="R29" s="35">
        <f t="shared" si="1"/>
        <v>27.925000000000001</v>
      </c>
      <c r="S29" s="18" t="s">
        <v>109</v>
      </c>
      <c r="T29" s="247" t="s">
        <v>185</v>
      </c>
      <c r="U29" s="1"/>
    </row>
    <row r="30" spans="1:21" ht="15.75" customHeight="1">
      <c r="A30" s="9"/>
      <c r="B30" s="150" t="s">
        <v>108</v>
      </c>
      <c r="C30" s="11">
        <v>4</v>
      </c>
      <c r="D30" s="156" t="s">
        <v>186</v>
      </c>
      <c r="E30" s="156" t="s">
        <v>187</v>
      </c>
      <c r="F30" s="45">
        <v>27.1</v>
      </c>
      <c r="G30" s="45">
        <v>26</v>
      </c>
      <c r="H30" s="45">
        <v>27.3</v>
      </c>
      <c r="I30" s="45">
        <v>30.8</v>
      </c>
      <c r="J30" s="45">
        <v>29.1</v>
      </c>
      <c r="K30" s="45">
        <v>27.4</v>
      </c>
      <c r="L30" s="45">
        <v>26.8</v>
      </c>
      <c r="M30" s="45">
        <v>30.1</v>
      </c>
      <c r="N30" s="45">
        <v>27.9</v>
      </c>
      <c r="O30" s="45">
        <v>26.7</v>
      </c>
      <c r="P30" s="45">
        <v>29.8</v>
      </c>
      <c r="Q30" s="45">
        <v>27.1</v>
      </c>
      <c r="R30" s="35">
        <f t="shared" si="1"/>
        <v>28.00833333333334</v>
      </c>
      <c r="S30" s="18" t="s">
        <v>109</v>
      </c>
      <c r="T30" s="247" t="s">
        <v>188</v>
      </c>
      <c r="U30" s="1"/>
    </row>
    <row r="31" spans="1:21" ht="15.75" customHeight="1">
      <c r="A31" s="9"/>
      <c r="B31" s="150" t="s">
        <v>108</v>
      </c>
      <c r="C31" s="11">
        <v>5</v>
      </c>
      <c r="D31" s="156" t="s">
        <v>189</v>
      </c>
      <c r="E31" s="156" t="s">
        <v>190</v>
      </c>
      <c r="F31" s="541">
        <v>27</v>
      </c>
      <c r="G31" s="541">
        <v>25.9</v>
      </c>
      <c r="H31" s="541">
        <v>27.1</v>
      </c>
      <c r="I31" s="541">
        <v>30.9</v>
      </c>
      <c r="J31" s="541">
        <v>29.1</v>
      </c>
      <c r="K31" s="541">
        <v>27.4</v>
      </c>
      <c r="L31" s="541">
        <v>26.8</v>
      </c>
      <c r="M31" s="541">
        <v>31</v>
      </c>
      <c r="N31" s="45">
        <v>27.5</v>
      </c>
      <c r="O31" s="45">
        <v>26.7</v>
      </c>
      <c r="P31" s="45">
        <v>29.8</v>
      </c>
      <c r="Q31" s="45">
        <v>27.1</v>
      </c>
      <c r="R31" s="35">
        <f t="shared" si="1"/>
        <v>28.025000000000006</v>
      </c>
      <c r="S31" s="18" t="s">
        <v>109</v>
      </c>
      <c r="T31" s="247" t="s">
        <v>191</v>
      </c>
      <c r="U31" s="1"/>
    </row>
    <row r="32" spans="1:21" ht="15.75" customHeight="1">
      <c r="A32" s="9"/>
      <c r="B32" s="149" t="s">
        <v>110</v>
      </c>
      <c r="C32" s="15">
        <v>1</v>
      </c>
      <c r="D32" s="41" t="s">
        <v>178</v>
      </c>
      <c r="E32" s="41" t="s">
        <v>179</v>
      </c>
      <c r="F32" s="540">
        <v>50</v>
      </c>
      <c r="G32" s="540">
        <v>30</v>
      </c>
      <c r="H32" s="540">
        <v>40</v>
      </c>
      <c r="I32" s="540">
        <v>30</v>
      </c>
      <c r="J32" s="540">
        <v>35</v>
      </c>
      <c r="K32" s="540">
        <v>20</v>
      </c>
      <c r="L32" s="540">
        <v>10</v>
      </c>
      <c r="M32" s="540">
        <v>20</v>
      </c>
      <c r="N32" s="42">
        <v>20</v>
      </c>
      <c r="O32" s="42">
        <v>25</v>
      </c>
      <c r="P32" s="42">
        <v>20</v>
      </c>
      <c r="Q32" s="42">
        <v>20</v>
      </c>
      <c r="R32" s="48">
        <f t="shared" si="1"/>
        <v>26.666666666666668</v>
      </c>
      <c r="S32" s="8">
        <v>75</v>
      </c>
      <c r="T32" s="247" t="s">
        <v>180</v>
      </c>
      <c r="U32" s="1"/>
    </row>
    <row r="33" spans="1:21" ht="15.75" customHeight="1">
      <c r="A33" s="9"/>
      <c r="B33" s="150" t="s">
        <v>110</v>
      </c>
      <c r="C33" s="11">
        <v>2</v>
      </c>
      <c r="D33" s="156" t="s">
        <v>75</v>
      </c>
      <c r="E33" s="156" t="s">
        <v>181</v>
      </c>
      <c r="F33" s="541">
        <v>50</v>
      </c>
      <c r="G33" s="541">
        <v>25</v>
      </c>
      <c r="H33" s="541">
        <v>30</v>
      </c>
      <c r="I33" s="541">
        <v>30</v>
      </c>
      <c r="J33" s="541">
        <v>50</v>
      </c>
      <c r="K33" s="541">
        <v>35</v>
      </c>
      <c r="L33" s="541">
        <v>20</v>
      </c>
      <c r="M33" s="541">
        <v>20</v>
      </c>
      <c r="N33" s="45">
        <v>15</v>
      </c>
      <c r="O33" s="45">
        <v>35</v>
      </c>
      <c r="P33" s="45">
        <v>30</v>
      </c>
      <c r="Q33" s="45">
        <v>40</v>
      </c>
      <c r="R33" s="35">
        <f t="shared" si="1"/>
        <v>31.666666666666668</v>
      </c>
      <c r="S33" s="14">
        <v>75</v>
      </c>
      <c r="T33" s="247" t="s">
        <v>182</v>
      </c>
      <c r="U33" s="1"/>
    </row>
    <row r="34" spans="1:21" ht="15.75" customHeight="1">
      <c r="A34" s="9"/>
      <c r="B34" s="150" t="s">
        <v>110</v>
      </c>
      <c r="C34" s="11">
        <v>3</v>
      </c>
      <c r="D34" s="156" t="s">
        <v>183</v>
      </c>
      <c r="E34" s="156" t="s">
        <v>184</v>
      </c>
      <c r="F34" s="541">
        <v>25</v>
      </c>
      <c r="G34" s="541">
        <v>25</v>
      </c>
      <c r="H34" s="541">
        <v>10</v>
      </c>
      <c r="I34" s="541">
        <v>30</v>
      </c>
      <c r="J34" s="541">
        <v>10</v>
      </c>
      <c r="K34" s="541">
        <v>20</v>
      </c>
      <c r="L34" s="541">
        <v>10</v>
      </c>
      <c r="M34" s="541">
        <v>10</v>
      </c>
      <c r="N34" s="45">
        <v>15</v>
      </c>
      <c r="O34" s="45">
        <v>5</v>
      </c>
      <c r="P34" s="45">
        <v>5</v>
      </c>
      <c r="Q34" s="45">
        <v>10</v>
      </c>
      <c r="R34" s="35">
        <f t="shared" si="1"/>
        <v>14.583333333333334</v>
      </c>
      <c r="S34" s="14">
        <v>75</v>
      </c>
      <c r="T34" s="247" t="s">
        <v>185</v>
      </c>
      <c r="U34" s="1"/>
    </row>
    <row r="35" spans="1:21" ht="15.75" customHeight="1">
      <c r="A35" s="9"/>
      <c r="B35" s="150" t="s">
        <v>110</v>
      </c>
      <c r="C35" s="11">
        <v>4</v>
      </c>
      <c r="D35" s="156" t="s">
        <v>186</v>
      </c>
      <c r="E35" s="156" t="s">
        <v>187</v>
      </c>
      <c r="F35" s="541">
        <v>50</v>
      </c>
      <c r="G35" s="541">
        <v>50</v>
      </c>
      <c r="H35" s="541">
        <v>30</v>
      </c>
      <c r="I35" s="541">
        <v>25</v>
      </c>
      <c r="J35" s="541">
        <v>20</v>
      </c>
      <c r="K35" s="541">
        <v>15</v>
      </c>
      <c r="L35" s="541">
        <v>15</v>
      </c>
      <c r="M35" s="541">
        <v>20</v>
      </c>
      <c r="N35" s="45">
        <v>15</v>
      </c>
      <c r="O35" s="45">
        <v>30</v>
      </c>
      <c r="P35" s="45">
        <v>40</v>
      </c>
      <c r="Q35" s="45">
        <v>30</v>
      </c>
      <c r="R35" s="35">
        <f t="shared" si="1"/>
        <v>28.333333333333332</v>
      </c>
      <c r="S35" s="14">
        <v>75</v>
      </c>
      <c r="T35" s="247" t="s">
        <v>188</v>
      </c>
      <c r="U35" s="1"/>
    </row>
    <row r="36" spans="1:21" ht="15.75" customHeight="1">
      <c r="A36" s="9"/>
      <c r="B36" s="150" t="s">
        <v>110</v>
      </c>
      <c r="C36" s="11">
        <v>5</v>
      </c>
      <c r="D36" s="156" t="s">
        <v>189</v>
      </c>
      <c r="E36" s="156" t="s">
        <v>190</v>
      </c>
      <c r="F36" s="541">
        <v>50</v>
      </c>
      <c r="G36" s="541">
        <v>50</v>
      </c>
      <c r="H36" s="541">
        <v>30</v>
      </c>
      <c r="I36" s="541">
        <v>25</v>
      </c>
      <c r="J36" s="541">
        <v>20</v>
      </c>
      <c r="K36" s="541">
        <v>15</v>
      </c>
      <c r="L36" s="541">
        <v>15</v>
      </c>
      <c r="M36" s="541">
        <v>20</v>
      </c>
      <c r="N36" s="45">
        <v>20</v>
      </c>
      <c r="O36" s="45">
        <v>20</v>
      </c>
      <c r="P36" s="45">
        <v>40</v>
      </c>
      <c r="Q36" s="45">
        <v>40</v>
      </c>
      <c r="R36" s="35">
        <f t="shared" si="1"/>
        <v>28.75</v>
      </c>
      <c r="S36" s="14">
        <v>75</v>
      </c>
      <c r="T36" s="247" t="s">
        <v>191</v>
      </c>
      <c r="U36" s="1"/>
    </row>
    <row r="37" spans="1:21" ht="28.5">
      <c r="A37" s="9"/>
      <c r="B37" s="149" t="s">
        <v>111</v>
      </c>
      <c r="C37" s="15">
        <v>1</v>
      </c>
      <c r="D37" s="41" t="s">
        <v>178</v>
      </c>
      <c r="E37" s="41" t="s">
        <v>179</v>
      </c>
      <c r="F37" s="540">
        <v>7900000</v>
      </c>
      <c r="G37" s="540">
        <v>9200000</v>
      </c>
      <c r="H37" s="540">
        <v>16000000</v>
      </c>
      <c r="I37" s="540">
        <v>17000000</v>
      </c>
      <c r="J37" s="540">
        <v>920000000</v>
      </c>
      <c r="K37" s="540">
        <v>460000</v>
      </c>
      <c r="L37" s="540">
        <v>1100000</v>
      </c>
      <c r="M37" s="540">
        <v>9200000</v>
      </c>
      <c r="N37" s="540">
        <v>1300000</v>
      </c>
      <c r="O37" s="540">
        <v>35000000</v>
      </c>
      <c r="P37" s="540">
        <v>11000000</v>
      </c>
      <c r="Q37" s="540">
        <v>3500000</v>
      </c>
      <c r="R37" s="46">
        <f>IFERROR(GEOMEAN(F37:Q37), 0)</f>
        <v>8529662.4201551601</v>
      </c>
      <c r="S37" s="8">
        <v>200</v>
      </c>
      <c r="T37" s="247" t="s">
        <v>180</v>
      </c>
      <c r="U37" s="1"/>
    </row>
    <row r="38" spans="1:21" ht="15.75" customHeight="1">
      <c r="A38" s="9"/>
      <c r="B38" s="150" t="s">
        <v>111</v>
      </c>
      <c r="C38" s="11">
        <v>2</v>
      </c>
      <c r="D38" s="156" t="s">
        <v>75</v>
      </c>
      <c r="E38" s="156" t="s">
        <v>181</v>
      </c>
      <c r="F38" s="541">
        <v>13000000</v>
      </c>
      <c r="G38" s="541">
        <v>54000000</v>
      </c>
      <c r="H38" s="541">
        <v>5400000</v>
      </c>
      <c r="I38" s="541">
        <v>11000000</v>
      </c>
      <c r="J38" s="541">
        <v>490000</v>
      </c>
      <c r="K38" s="541">
        <v>1700000</v>
      </c>
      <c r="L38" s="541">
        <v>3500000</v>
      </c>
      <c r="M38" s="541">
        <v>5400000</v>
      </c>
      <c r="N38" s="541">
        <v>16000000</v>
      </c>
      <c r="O38" s="541">
        <v>16000000</v>
      </c>
      <c r="P38" s="541">
        <v>1700000</v>
      </c>
      <c r="Q38" s="541">
        <v>16000000</v>
      </c>
      <c r="R38" s="47">
        <f>IFERROR(GEOMEAN(F38:Q38), 0)</f>
        <v>6382682.9100848734</v>
      </c>
      <c r="S38" s="14">
        <v>200</v>
      </c>
      <c r="T38" s="247" t="s">
        <v>182</v>
      </c>
      <c r="U38" s="1"/>
    </row>
    <row r="39" spans="1:21" ht="15.75" customHeight="1">
      <c r="A39" s="9"/>
      <c r="B39" s="150" t="s">
        <v>111</v>
      </c>
      <c r="C39" s="11">
        <v>3</v>
      </c>
      <c r="D39" s="156" t="s">
        <v>183</v>
      </c>
      <c r="E39" s="156" t="s">
        <v>184</v>
      </c>
      <c r="F39" s="541">
        <v>3300000</v>
      </c>
      <c r="G39" s="541">
        <v>54000000</v>
      </c>
      <c r="H39" s="541">
        <v>35000000</v>
      </c>
      <c r="I39" s="541">
        <v>35000000</v>
      </c>
      <c r="J39" s="541">
        <v>5400000</v>
      </c>
      <c r="K39" s="541">
        <v>9200000</v>
      </c>
      <c r="L39" s="541">
        <v>3500000</v>
      </c>
      <c r="M39" s="541">
        <v>1300000</v>
      </c>
      <c r="N39" s="541">
        <v>230000</v>
      </c>
      <c r="O39" s="541">
        <v>1700000</v>
      </c>
      <c r="P39" s="541">
        <v>3500000</v>
      </c>
      <c r="Q39" s="541">
        <v>16000000</v>
      </c>
      <c r="R39" s="47">
        <f>IFERROR(GEOMEAN(F39:Q39), 0)</f>
        <v>5659787.5529444041</v>
      </c>
      <c r="S39" s="14">
        <v>200</v>
      </c>
      <c r="T39" s="247" t="s">
        <v>185</v>
      </c>
      <c r="U39" s="1"/>
    </row>
    <row r="40" spans="1:21" ht="15.75" customHeight="1">
      <c r="A40" s="9"/>
      <c r="B40" s="150" t="s">
        <v>111</v>
      </c>
      <c r="C40" s="11">
        <v>4</v>
      </c>
      <c r="D40" s="156" t="s">
        <v>186</v>
      </c>
      <c r="E40" s="156" t="s">
        <v>187</v>
      </c>
      <c r="F40" s="541">
        <v>11000000</v>
      </c>
      <c r="G40" s="541">
        <v>9200000</v>
      </c>
      <c r="H40" s="541">
        <v>5400000</v>
      </c>
      <c r="I40" s="541">
        <v>3500000</v>
      </c>
      <c r="J40" s="541">
        <v>940000</v>
      </c>
      <c r="K40" s="541">
        <v>490000</v>
      </c>
      <c r="L40" s="541">
        <v>790000</v>
      </c>
      <c r="M40" s="541">
        <v>3500000</v>
      </c>
      <c r="N40" s="541">
        <v>1700000</v>
      </c>
      <c r="O40" s="541">
        <v>2500000</v>
      </c>
      <c r="P40" s="541">
        <v>9200000</v>
      </c>
      <c r="Q40" s="541">
        <v>2400000</v>
      </c>
      <c r="R40" s="47">
        <f>IFERROR(GEOMEAN(F40:Q40), 0)</f>
        <v>2796323.7336051385</v>
      </c>
      <c r="S40" s="14">
        <v>200</v>
      </c>
      <c r="T40" s="247" t="s">
        <v>188</v>
      </c>
      <c r="U40" s="1"/>
    </row>
    <row r="41" spans="1:21" ht="15.75" customHeight="1">
      <c r="A41" s="9"/>
      <c r="B41" s="150" t="s">
        <v>111</v>
      </c>
      <c r="C41" s="11">
        <v>5</v>
      </c>
      <c r="D41" s="156" t="s">
        <v>189</v>
      </c>
      <c r="E41" s="156" t="s">
        <v>190</v>
      </c>
      <c r="F41" s="541">
        <v>4600000</v>
      </c>
      <c r="G41" s="541">
        <v>35000000</v>
      </c>
      <c r="H41" s="541">
        <v>3500000</v>
      </c>
      <c r="I41" s="541">
        <v>490000</v>
      </c>
      <c r="J41" s="541">
        <v>230000</v>
      </c>
      <c r="K41" s="541">
        <v>3300000</v>
      </c>
      <c r="L41" s="541">
        <v>1100000</v>
      </c>
      <c r="M41" s="602">
        <v>1200000</v>
      </c>
      <c r="N41" s="541">
        <v>11000000</v>
      </c>
      <c r="O41" s="541">
        <v>5400000</v>
      </c>
      <c r="P41" s="541">
        <v>3500000</v>
      </c>
      <c r="Q41" s="541">
        <v>2400000</v>
      </c>
      <c r="R41" s="47">
        <f>IFERROR(GEOMEAN(F41:Q41), 0)</f>
        <v>2681210.7576242797</v>
      </c>
      <c r="S41" s="14">
        <v>200</v>
      </c>
      <c r="T41" s="247" t="s">
        <v>191</v>
      </c>
      <c r="U41" s="50">
        <f>GEOMEAN(F37:Q41)</f>
        <v>4706854.0169794261</v>
      </c>
    </row>
    <row r="42" spans="1:21" ht="15.75" customHeight="1">
      <c r="A42" s="20"/>
      <c r="B42" s="151" t="s">
        <v>113</v>
      </c>
      <c r="C42" s="21">
        <v>1</v>
      </c>
      <c r="D42" s="41" t="s">
        <v>178</v>
      </c>
      <c r="E42" s="51" t="s">
        <v>179</v>
      </c>
      <c r="F42" s="52">
        <v>0.17100000000000001</v>
      </c>
      <c r="G42" s="52">
        <v>0.56100000000000005</v>
      </c>
      <c r="H42" s="52">
        <v>0.79400000000000004</v>
      </c>
      <c r="I42" s="52">
        <v>0.61599999999999999</v>
      </c>
      <c r="J42" s="52">
        <v>0.151</v>
      </c>
      <c r="K42" s="52">
        <v>0.14299999999999999</v>
      </c>
      <c r="L42" s="542">
        <v>0.22800000000000001</v>
      </c>
      <c r="M42" s="52">
        <v>0.14099999999999999</v>
      </c>
      <c r="N42" s="668">
        <v>0.06</v>
      </c>
      <c r="O42" s="52">
        <v>0.14899999999999999</v>
      </c>
      <c r="P42" s="52">
        <v>0.155</v>
      </c>
      <c r="Q42" s="52">
        <v>9.6000000000000002E-2</v>
      </c>
      <c r="R42" s="23">
        <f t="shared" ref="R42:R61" si="2">IFERROR(AVERAGE(F42:Q42), 0)</f>
        <v>0.27208333333333334</v>
      </c>
      <c r="S42" s="23">
        <v>7</v>
      </c>
      <c r="T42" s="247" t="s">
        <v>180</v>
      </c>
      <c r="U42" s="24"/>
    </row>
    <row r="43" spans="1:21" ht="15.75" customHeight="1">
      <c r="A43" s="20"/>
      <c r="B43" s="153" t="s">
        <v>114</v>
      </c>
      <c r="C43" s="25">
        <v>2</v>
      </c>
      <c r="D43" s="156" t="s">
        <v>75</v>
      </c>
      <c r="E43" s="158" t="s">
        <v>181</v>
      </c>
      <c r="F43" s="53">
        <v>0.54700000000000004</v>
      </c>
      <c r="G43" s="53">
        <v>0.40100000000000002</v>
      </c>
      <c r="H43" s="53">
        <v>0.57999999999999996</v>
      </c>
      <c r="I43" s="53">
        <v>0.68200000000000005</v>
      </c>
      <c r="J43" s="53">
        <v>0.42199999999999999</v>
      </c>
      <c r="K43" s="53">
        <v>0.35</v>
      </c>
      <c r="L43" s="206">
        <v>1.952</v>
      </c>
      <c r="M43" s="34">
        <v>4.4999999999999998E-2</v>
      </c>
      <c r="N43" s="669">
        <v>0.19</v>
      </c>
      <c r="O43" s="53">
        <v>0.20499999999999999</v>
      </c>
      <c r="P43" s="53">
        <v>6.3E-2</v>
      </c>
      <c r="Q43" s="53">
        <v>0.11</v>
      </c>
      <c r="R43" s="28">
        <f t="shared" si="2"/>
        <v>0.46225000000000005</v>
      </c>
      <c r="S43" s="28">
        <v>7</v>
      </c>
      <c r="T43" s="247" t="s">
        <v>182</v>
      </c>
      <c r="U43" s="24"/>
    </row>
    <row r="44" spans="1:21" ht="15.75" customHeight="1">
      <c r="A44" s="20"/>
      <c r="B44" s="153" t="s">
        <v>114</v>
      </c>
      <c r="C44" s="25">
        <v>3</v>
      </c>
      <c r="D44" s="156" t="s">
        <v>183</v>
      </c>
      <c r="E44" s="158" t="s">
        <v>184</v>
      </c>
      <c r="F44" s="53">
        <v>0.23599999999999999</v>
      </c>
      <c r="G44" s="53">
        <v>0.68799999999999994</v>
      </c>
      <c r="H44" s="53">
        <v>0.85399999999999998</v>
      </c>
      <c r="I44" s="53">
        <v>0.92900000000000005</v>
      </c>
      <c r="J44" s="53">
        <v>0.185</v>
      </c>
      <c r="K44" s="53">
        <v>7.2999999999999995E-2</v>
      </c>
      <c r="L44" s="206">
        <v>0.17799999999999999</v>
      </c>
      <c r="M44" s="34">
        <v>0.05</v>
      </c>
      <c r="N44" s="669">
        <v>0.14000000000000001</v>
      </c>
      <c r="O44" s="53">
        <v>0.17699999999999999</v>
      </c>
      <c r="P44" s="53">
        <v>4.2999999999999997E-2</v>
      </c>
      <c r="Q44" s="53">
        <v>9.4E-2</v>
      </c>
      <c r="R44" s="28">
        <f t="shared" si="2"/>
        <v>0.30391666666666667</v>
      </c>
      <c r="S44" s="28">
        <v>7</v>
      </c>
      <c r="T44" s="247" t="s">
        <v>185</v>
      </c>
      <c r="U44" s="24"/>
    </row>
    <row r="45" spans="1:21" ht="15.75" customHeight="1">
      <c r="A45" s="20"/>
      <c r="B45" s="153" t="s">
        <v>114</v>
      </c>
      <c r="C45" s="25">
        <v>4</v>
      </c>
      <c r="D45" s="156" t="s">
        <v>186</v>
      </c>
      <c r="E45" s="158" t="s">
        <v>187</v>
      </c>
      <c r="F45" s="53">
        <v>0.75800000000000001</v>
      </c>
      <c r="G45" s="53">
        <v>1.5740000000000001</v>
      </c>
      <c r="H45" s="53">
        <v>0.57099999999999995</v>
      </c>
      <c r="I45" s="53">
        <v>0.57099999999999995</v>
      </c>
      <c r="J45" s="53">
        <v>0.318</v>
      </c>
      <c r="K45" s="53">
        <v>0.16700000000000001</v>
      </c>
      <c r="L45" s="206">
        <v>1.331</v>
      </c>
      <c r="M45" s="34">
        <v>0.96199999999999997</v>
      </c>
      <c r="N45" s="669">
        <v>0.82</v>
      </c>
      <c r="O45" s="53">
        <v>0.183</v>
      </c>
      <c r="P45" s="53">
        <v>6.9000000000000006E-2</v>
      </c>
      <c r="Q45" s="53">
        <v>0.124</v>
      </c>
      <c r="R45" s="28">
        <f t="shared" si="2"/>
        <v>0.62066666666666659</v>
      </c>
      <c r="S45" s="28">
        <v>7</v>
      </c>
      <c r="T45" s="247" t="s">
        <v>188</v>
      </c>
      <c r="U45" s="24"/>
    </row>
    <row r="46" spans="1:21" ht="15.75" customHeight="1">
      <c r="A46" s="20"/>
      <c r="B46" s="153" t="s">
        <v>114</v>
      </c>
      <c r="C46" s="25">
        <v>5</v>
      </c>
      <c r="D46" s="156" t="s">
        <v>189</v>
      </c>
      <c r="E46" s="158" t="s">
        <v>190</v>
      </c>
      <c r="F46" s="53">
        <v>0.997</v>
      </c>
      <c r="G46" s="53">
        <v>0.86699999999999999</v>
      </c>
      <c r="H46" s="53">
        <v>0.503</v>
      </c>
      <c r="I46" s="53">
        <v>0.66100000000000003</v>
      </c>
      <c r="J46" s="53">
        <v>0.20300000000000001</v>
      </c>
      <c r="K46" s="53">
        <v>1.9490000000000001</v>
      </c>
      <c r="L46" s="206">
        <v>1.2270000000000001</v>
      </c>
      <c r="M46" s="34">
        <v>7.0999999999999994E-2</v>
      </c>
      <c r="N46" s="669">
        <v>0.16</v>
      </c>
      <c r="O46" s="53">
        <v>0.20300000000000001</v>
      </c>
      <c r="P46" s="53">
        <v>0.19900000000000001</v>
      </c>
      <c r="Q46" s="53">
        <v>0.17599999999999999</v>
      </c>
      <c r="R46" s="28">
        <f t="shared" si="2"/>
        <v>0.60133333333333339</v>
      </c>
      <c r="S46" s="28">
        <v>7</v>
      </c>
      <c r="T46" s="247" t="s">
        <v>191</v>
      </c>
      <c r="U46" s="24"/>
    </row>
    <row r="47" spans="1:21" ht="15.75" customHeight="1">
      <c r="A47" s="20"/>
      <c r="B47" s="151" t="s">
        <v>115</v>
      </c>
      <c r="C47" s="21">
        <v>1</v>
      </c>
      <c r="D47" s="41" t="s">
        <v>178</v>
      </c>
      <c r="E47" s="51" t="s">
        <v>179</v>
      </c>
      <c r="F47" s="52">
        <v>0.16400000000000001</v>
      </c>
      <c r="G47" s="52">
        <v>0.51</v>
      </c>
      <c r="H47" s="52">
        <v>0.80100000000000005</v>
      </c>
      <c r="I47" s="52">
        <v>2.2829999999999999</v>
      </c>
      <c r="J47" s="52">
        <v>1.5109999999999999</v>
      </c>
      <c r="K47" s="52">
        <v>0.36199999999999999</v>
      </c>
      <c r="L47" s="52">
        <v>0.371</v>
      </c>
      <c r="M47" s="211">
        <v>1.02</v>
      </c>
      <c r="N47" s="670">
        <v>0.502</v>
      </c>
      <c r="O47" s="52">
        <v>1.6579999999999999</v>
      </c>
      <c r="P47" s="52">
        <v>9.0999999999999998E-2</v>
      </c>
      <c r="Q47" s="52">
        <v>1.6259999999999999</v>
      </c>
      <c r="R47" s="23">
        <f t="shared" si="2"/>
        <v>0.90824999999999989</v>
      </c>
      <c r="S47" s="23">
        <v>2.5000000000000001E-2</v>
      </c>
      <c r="T47" s="247" t="s">
        <v>180</v>
      </c>
      <c r="U47" s="24"/>
    </row>
    <row r="48" spans="1:21" ht="15.75" customHeight="1">
      <c r="A48" s="20"/>
      <c r="B48" s="153" t="s">
        <v>116</v>
      </c>
      <c r="C48" s="25">
        <v>2</v>
      </c>
      <c r="D48" s="156" t="s">
        <v>75</v>
      </c>
      <c r="E48" s="158" t="s">
        <v>181</v>
      </c>
      <c r="F48" s="53">
        <v>0.22700000000000001</v>
      </c>
      <c r="G48" s="53">
        <v>1.569</v>
      </c>
      <c r="H48" s="53">
        <v>0.108</v>
      </c>
      <c r="I48" s="53">
        <v>2.0760000000000001</v>
      </c>
      <c r="J48" s="53">
        <v>1.5940000000000001</v>
      </c>
      <c r="K48" s="53">
        <v>0.60499999999999998</v>
      </c>
      <c r="L48" s="53">
        <v>0.32600000000000001</v>
      </c>
      <c r="M48" s="53">
        <v>0.46700000000000003</v>
      </c>
      <c r="N48" s="671">
        <v>0.45800000000000002</v>
      </c>
      <c r="O48" s="53">
        <v>0.76300000000000001</v>
      </c>
      <c r="P48" s="53">
        <v>7.0000000000000007E-2</v>
      </c>
      <c r="Q48" s="53">
        <v>1.78</v>
      </c>
      <c r="R48" s="28">
        <f t="shared" si="2"/>
        <v>0.83691666666666664</v>
      </c>
      <c r="S48" s="28">
        <v>2.5000000000000001E-2</v>
      </c>
      <c r="T48" s="247" t="s">
        <v>182</v>
      </c>
      <c r="U48" s="24"/>
    </row>
    <row r="49" spans="1:21" ht="15.75" customHeight="1">
      <c r="A49" s="20"/>
      <c r="B49" s="153" t="s">
        <v>116</v>
      </c>
      <c r="C49" s="25">
        <v>3</v>
      </c>
      <c r="D49" s="156" t="s">
        <v>183</v>
      </c>
      <c r="E49" s="158" t="s">
        <v>184</v>
      </c>
      <c r="F49" s="53">
        <v>0.183</v>
      </c>
      <c r="G49" s="53">
        <v>0.41099999999999998</v>
      </c>
      <c r="H49" s="53">
        <v>0.182</v>
      </c>
      <c r="I49" s="53">
        <v>2.052</v>
      </c>
      <c r="J49" s="53">
        <v>0.26</v>
      </c>
      <c r="K49" s="53">
        <v>0.51400000000000001</v>
      </c>
      <c r="L49" s="53">
        <v>0.23100000000000001</v>
      </c>
      <c r="M49" s="53">
        <v>0.41599999999999998</v>
      </c>
      <c r="N49" s="671">
        <v>0.53300000000000003</v>
      </c>
      <c r="O49" s="53">
        <v>0.29399999999999998</v>
      </c>
      <c r="P49" s="53">
        <v>0.123</v>
      </c>
      <c r="Q49" s="53">
        <v>0.35</v>
      </c>
      <c r="R49" s="28">
        <f t="shared" si="2"/>
        <v>0.4624166666666667</v>
      </c>
      <c r="S49" s="28">
        <v>2.5000000000000001E-2</v>
      </c>
      <c r="T49" s="247" t="s">
        <v>185</v>
      </c>
      <c r="U49" s="24"/>
    </row>
    <row r="50" spans="1:21" ht="15.75" customHeight="1">
      <c r="A50" s="20"/>
      <c r="B50" s="153" t="s">
        <v>116</v>
      </c>
      <c r="C50" s="25">
        <v>4</v>
      </c>
      <c r="D50" s="156" t="s">
        <v>186</v>
      </c>
      <c r="E50" s="158" t="s">
        <v>187</v>
      </c>
      <c r="F50" s="53">
        <v>0.221</v>
      </c>
      <c r="G50" s="53">
        <v>1.919</v>
      </c>
      <c r="H50" s="53">
        <v>0.108</v>
      </c>
      <c r="I50" s="53">
        <v>1.613</v>
      </c>
      <c r="J50" s="45">
        <v>6.98</v>
      </c>
      <c r="K50" s="53">
        <v>0.35799999999999998</v>
      </c>
      <c r="L50" s="53">
        <v>0.36199999999999999</v>
      </c>
      <c r="M50" s="53">
        <v>0.432</v>
      </c>
      <c r="N50" s="671">
        <v>0.432</v>
      </c>
      <c r="O50" s="53">
        <v>0.55900000000000005</v>
      </c>
      <c r="P50" s="53">
        <v>0.878</v>
      </c>
      <c r="Q50" s="53">
        <v>1.6950000000000001</v>
      </c>
      <c r="R50" s="28">
        <f t="shared" si="2"/>
        <v>1.2964166666666668</v>
      </c>
      <c r="S50" s="28">
        <v>2.5000000000000001E-2</v>
      </c>
      <c r="T50" s="247" t="s">
        <v>188</v>
      </c>
      <c r="U50" s="24"/>
    </row>
    <row r="51" spans="1:21" ht="15.75" customHeight="1">
      <c r="A51" s="20"/>
      <c r="B51" s="153" t="s">
        <v>116</v>
      </c>
      <c r="C51" s="25">
        <v>5</v>
      </c>
      <c r="D51" s="156" t="s">
        <v>189</v>
      </c>
      <c r="E51" s="158" t="s">
        <v>190</v>
      </c>
      <c r="F51" s="53">
        <v>0.46100000000000002</v>
      </c>
      <c r="G51" s="53">
        <v>1.633</v>
      </c>
      <c r="H51" s="53">
        <v>0.80100000000000005</v>
      </c>
      <c r="I51" s="53">
        <v>1.6419999999999999</v>
      </c>
      <c r="J51" s="53">
        <v>1.482</v>
      </c>
      <c r="K51" s="53">
        <v>0.433</v>
      </c>
      <c r="L51" s="53">
        <v>0.315</v>
      </c>
      <c r="M51" s="53">
        <v>0.56200000000000006</v>
      </c>
      <c r="N51" s="671">
        <v>0.49399999999999999</v>
      </c>
      <c r="O51" s="53">
        <v>0.64300000000000002</v>
      </c>
      <c r="P51" s="53">
        <v>0.63300000000000001</v>
      </c>
      <c r="Q51" s="53">
        <v>1.51</v>
      </c>
      <c r="R51" s="28">
        <f t="shared" si="2"/>
        <v>0.88408333333333333</v>
      </c>
      <c r="S51" s="28">
        <v>2.5000000000000001E-2</v>
      </c>
      <c r="T51" s="247" t="s">
        <v>191</v>
      </c>
      <c r="U51" s="24">
        <f>AVERAGE(F47:Q51)</f>
        <v>0.87761666666666682</v>
      </c>
    </row>
    <row r="52" spans="1:21" ht="15.75" customHeight="1">
      <c r="A52" s="9"/>
      <c r="B52" s="149" t="s">
        <v>117</v>
      </c>
      <c r="C52" s="15">
        <v>1</v>
      </c>
      <c r="D52" s="41" t="s">
        <v>178</v>
      </c>
      <c r="E52" s="41" t="s">
        <v>179</v>
      </c>
      <c r="F52" s="672">
        <v>74</v>
      </c>
      <c r="G52" s="672">
        <v>73</v>
      </c>
      <c r="H52" s="672">
        <v>262</v>
      </c>
      <c r="I52" s="672">
        <v>260</v>
      </c>
      <c r="J52" s="672">
        <v>59</v>
      </c>
      <c r="K52" s="672">
        <v>40</v>
      </c>
      <c r="L52" s="672">
        <v>10</v>
      </c>
      <c r="M52" s="672">
        <v>35</v>
      </c>
      <c r="N52" s="42">
        <v>35</v>
      </c>
      <c r="O52" s="42">
        <v>53</v>
      </c>
      <c r="P52" s="42">
        <v>75</v>
      </c>
      <c r="Q52" s="42">
        <v>24</v>
      </c>
      <c r="R52" s="48">
        <f t="shared" si="2"/>
        <v>83.333333333333329</v>
      </c>
      <c r="S52" s="8">
        <v>350</v>
      </c>
      <c r="T52" s="247" t="s">
        <v>180</v>
      </c>
      <c r="U52" s="1"/>
    </row>
    <row r="53" spans="1:21" ht="15.75" customHeight="1">
      <c r="A53" s="9"/>
      <c r="B53" s="150" t="s">
        <v>117</v>
      </c>
      <c r="C53" s="11">
        <v>2</v>
      </c>
      <c r="D53" s="156" t="s">
        <v>75</v>
      </c>
      <c r="E53" s="156" t="s">
        <v>181</v>
      </c>
      <c r="F53" s="673">
        <v>337</v>
      </c>
      <c r="G53" s="673">
        <v>120</v>
      </c>
      <c r="H53" s="673">
        <v>85</v>
      </c>
      <c r="I53" s="673">
        <v>410</v>
      </c>
      <c r="J53" s="673">
        <v>79</v>
      </c>
      <c r="K53" s="673">
        <v>42</v>
      </c>
      <c r="L53" s="673">
        <v>20</v>
      </c>
      <c r="M53" s="673">
        <v>27</v>
      </c>
      <c r="N53" s="45">
        <v>27</v>
      </c>
      <c r="O53" s="45">
        <v>63</v>
      </c>
      <c r="P53" s="45">
        <v>85</v>
      </c>
      <c r="Q53" s="45">
        <v>44</v>
      </c>
      <c r="R53" s="35">
        <f t="shared" si="2"/>
        <v>111.58333333333333</v>
      </c>
      <c r="S53" s="14">
        <v>350</v>
      </c>
      <c r="T53" s="247" t="s">
        <v>182</v>
      </c>
      <c r="U53" s="1"/>
    </row>
    <row r="54" spans="1:21" ht="15.75" customHeight="1">
      <c r="A54" s="9"/>
      <c r="B54" s="10" t="s">
        <v>117</v>
      </c>
      <c r="C54" s="11">
        <v>3</v>
      </c>
      <c r="D54" s="156" t="s">
        <v>183</v>
      </c>
      <c r="E54" s="156" t="s">
        <v>184</v>
      </c>
      <c r="F54" s="673">
        <v>312</v>
      </c>
      <c r="G54" s="673">
        <v>107</v>
      </c>
      <c r="H54" s="673">
        <v>265</v>
      </c>
      <c r="I54" s="673">
        <v>387</v>
      </c>
      <c r="J54" s="673">
        <v>62</v>
      </c>
      <c r="K54" s="673">
        <v>37</v>
      </c>
      <c r="L54" s="673">
        <v>10</v>
      </c>
      <c r="M54" s="673">
        <v>25</v>
      </c>
      <c r="N54" s="45">
        <v>25</v>
      </c>
      <c r="O54" s="45">
        <v>26</v>
      </c>
      <c r="P54" s="45">
        <v>93</v>
      </c>
      <c r="Q54" s="45">
        <v>4</v>
      </c>
      <c r="R54" s="35">
        <f t="shared" si="2"/>
        <v>112.75</v>
      </c>
      <c r="S54" s="14">
        <v>350</v>
      </c>
      <c r="T54" s="247" t="s">
        <v>185</v>
      </c>
      <c r="U54" s="1"/>
    </row>
    <row r="55" spans="1:21" ht="15.75" customHeight="1">
      <c r="A55" s="9"/>
      <c r="B55" s="10" t="s">
        <v>117</v>
      </c>
      <c r="C55" s="11">
        <v>4</v>
      </c>
      <c r="D55" s="156" t="s">
        <v>186</v>
      </c>
      <c r="E55" s="156" t="s">
        <v>187</v>
      </c>
      <c r="F55" s="673">
        <v>178</v>
      </c>
      <c r="G55" s="673">
        <v>377</v>
      </c>
      <c r="H55" s="673">
        <v>248</v>
      </c>
      <c r="I55" s="673">
        <v>207</v>
      </c>
      <c r="J55" s="673">
        <v>47</v>
      </c>
      <c r="K55" s="673">
        <v>79</v>
      </c>
      <c r="L55" s="673">
        <v>15</v>
      </c>
      <c r="M55" s="673">
        <v>107</v>
      </c>
      <c r="N55" s="45">
        <v>127</v>
      </c>
      <c r="O55" s="45">
        <v>123</v>
      </c>
      <c r="P55" s="45">
        <v>51</v>
      </c>
      <c r="Q55" s="45">
        <v>15</v>
      </c>
      <c r="R55" s="35">
        <f t="shared" si="2"/>
        <v>131.16666666666666</v>
      </c>
      <c r="S55" s="14">
        <v>350</v>
      </c>
      <c r="T55" s="247" t="s">
        <v>188</v>
      </c>
      <c r="U55" s="1"/>
    </row>
    <row r="56" spans="1:21" ht="15.75" customHeight="1">
      <c r="A56" s="9"/>
      <c r="B56" s="10" t="s">
        <v>117</v>
      </c>
      <c r="C56" s="11">
        <v>5</v>
      </c>
      <c r="D56" s="156" t="s">
        <v>189</v>
      </c>
      <c r="E56" s="156" t="s">
        <v>190</v>
      </c>
      <c r="F56" s="673">
        <v>74</v>
      </c>
      <c r="G56" s="673">
        <v>340</v>
      </c>
      <c r="H56" s="673">
        <v>95</v>
      </c>
      <c r="I56" s="673">
        <v>227</v>
      </c>
      <c r="J56" s="673">
        <v>59</v>
      </c>
      <c r="K56" s="673">
        <v>111</v>
      </c>
      <c r="L56" s="673">
        <v>15</v>
      </c>
      <c r="M56" s="673">
        <v>57</v>
      </c>
      <c r="N56" s="45">
        <v>57</v>
      </c>
      <c r="O56" s="45">
        <v>140</v>
      </c>
      <c r="P56" s="45">
        <v>50</v>
      </c>
      <c r="Q56" s="45">
        <v>25</v>
      </c>
      <c r="R56" s="35">
        <f t="shared" si="2"/>
        <v>104.16666666666667</v>
      </c>
      <c r="S56" s="14">
        <v>350</v>
      </c>
      <c r="T56" s="247" t="s">
        <v>191</v>
      </c>
      <c r="U56" s="54">
        <f>AVERAGE(F52:Q56)</f>
        <v>108.6</v>
      </c>
    </row>
    <row r="57" spans="1:21" ht="15.75" customHeight="1">
      <c r="A57" s="9"/>
      <c r="B57" s="6" t="s">
        <v>118</v>
      </c>
      <c r="C57" s="15">
        <v>1</v>
      </c>
      <c r="D57" s="41" t="s">
        <v>189</v>
      </c>
      <c r="E57" s="41" t="s">
        <v>179</v>
      </c>
      <c r="F57" s="42" t="s">
        <v>119</v>
      </c>
      <c r="G57" s="42" t="s">
        <v>119</v>
      </c>
      <c r="H57" s="42">
        <v>7.4</v>
      </c>
      <c r="I57" s="42" t="s">
        <v>119</v>
      </c>
      <c r="J57" s="42">
        <v>4.9000000000000004</v>
      </c>
      <c r="K57" s="42" t="s">
        <v>119</v>
      </c>
      <c r="L57" s="42">
        <v>3</v>
      </c>
      <c r="M57" s="42" t="s">
        <v>119</v>
      </c>
      <c r="N57" s="42" t="s">
        <v>119</v>
      </c>
      <c r="O57" s="42" t="s">
        <v>119</v>
      </c>
      <c r="P57" s="42" t="s">
        <v>119</v>
      </c>
      <c r="Q57" s="42">
        <v>0.8</v>
      </c>
      <c r="R57" s="154">
        <f t="shared" si="2"/>
        <v>4.0250000000000004</v>
      </c>
      <c r="S57" s="8">
        <v>3</v>
      </c>
      <c r="T57" s="247" t="s">
        <v>180</v>
      </c>
      <c r="U57" s="1"/>
    </row>
    <row r="58" spans="1:21" ht="15.75" customHeight="1">
      <c r="A58" s="9"/>
      <c r="B58" s="10" t="s">
        <v>117</v>
      </c>
      <c r="C58" s="11">
        <v>2</v>
      </c>
      <c r="D58" s="156" t="s">
        <v>186</v>
      </c>
      <c r="E58" s="156" t="s">
        <v>181</v>
      </c>
      <c r="F58" s="45" t="s">
        <v>119</v>
      </c>
      <c r="G58" s="45" t="s">
        <v>119</v>
      </c>
      <c r="H58" s="45">
        <v>13.8</v>
      </c>
      <c r="I58" s="45" t="s">
        <v>119</v>
      </c>
      <c r="J58" s="45">
        <v>1.3</v>
      </c>
      <c r="K58" s="45" t="s">
        <v>119</v>
      </c>
      <c r="L58" s="45">
        <v>2.8</v>
      </c>
      <c r="M58" s="45" t="s">
        <v>119</v>
      </c>
      <c r="N58" s="45" t="s">
        <v>119</v>
      </c>
      <c r="O58" s="45" t="s">
        <v>119</v>
      </c>
      <c r="P58" s="45" t="s">
        <v>119</v>
      </c>
      <c r="Q58" s="45">
        <v>1.8</v>
      </c>
      <c r="R58" s="13">
        <f t="shared" si="2"/>
        <v>4.9250000000000007</v>
      </c>
      <c r="S58" s="14">
        <v>3</v>
      </c>
      <c r="T58" s="247" t="s">
        <v>182</v>
      </c>
      <c r="U58" s="1"/>
    </row>
    <row r="59" spans="1:21" ht="15.75" customHeight="1">
      <c r="A59" s="9"/>
      <c r="B59" s="10" t="s">
        <v>117</v>
      </c>
      <c r="C59" s="11">
        <v>3</v>
      </c>
      <c r="D59" s="156" t="s">
        <v>183</v>
      </c>
      <c r="E59" s="156" t="s">
        <v>184</v>
      </c>
      <c r="F59" s="45" t="s">
        <v>119</v>
      </c>
      <c r="G59" s="45" t="s">
        <v>119</v>
      </c>
      <c r="H59" s="45">
        <v>4.5</v>
      </c>
      <c r="I59" s="45" t="s">
        <v>119</v>
      </c>
      <c r="J59" s="45">
        <v>2</v>
      </c>
      <c r="K59" s="45" t="s">
        <v>119</v>
      </c>
      <c r="L59" s="45">
        <v>2.6</v>
      </c>
      <c r="M59" s="45" t="s">
        <v>119</v>
      </c>
      <c r="N59" s="45" t="s">
        <v>119</v>
      </c>
      <c r="O59" s="45" t="s">
        <v>119</v>
      </c>
      <c r="P59" s="45" t="s">
        <v>119</v>
      </c>
      <c r="Q59" s="45">
        <v>1</v>
      </c>
      <c r="R59" s="13">
        <f t="shared" si="2"/>
        <v>2.5249999999999999</v>
      </c>
      <c r="S59" s="14">
        <v>3</v>
      </c>
      <c r="T59" s="247" t="s">
        <v>185</v>
      </c>
      <c r="U59" s="1"/>
    </row>
    <row r="60" spans="1:21" ht="15.75" customHeight="1">
      <c r="A60" s="9"/>
      <c r="B60" s="10" t="s">
        <v>117</v>
      </c>
      <c r="C60" s="11">
        <v>4</v>
      </c>
      <c r="D60" s="156" t="s">
        <v>75</v>
      </c>
      <c r="E60" s="156" t="s">
        <v>187</v>
      </c>
      <c r="F60" s="45" t="s">
        <v>119</v>
      </c>
      <c r="G60" s="45" t="s">
        <v>119</v>
      </c>
      <c r="H60" s="45">
        <v>19.8</v>
      </c>
      <c r="I60" s="45" t="s">
        <v>119</v>
      </c>
      <c r="J60" s="45">
        <v>1.9</v>
      </c>
      <c r="K60" s="45" t="s">
        <v>119</v>
      </c>
      <c r="L60" s="45">
        <v>2</v>
      </c>
      <c r="M60" s="45" t="s">
        <v>119</v>
      </c>
      <c r="N60" s="45" t="s">
        <v>119</v>
      </c>
      <c r="O60" s="45" t="s">
        <v>119</v>
      </c>
      <c r="P60" s="45" t="s">
        <v>119</v>
      </c>
      <c r="Q60" s="45">
        <v>1.9</v>
      </c>
      <c r="R60" s="13">
        <f t="shared" si="2"/>
        <v>6.3999999999999995</v>
      </c>
      <c r="S60" s="14">
        <v>3</v>
      </c>
      <c r="T60" s="247" t="s">
        <v>188</v>
      </c>
      <c r="U60" s="1"/>
    </row>
    <row r="61" spans="1:21" ht="15.75" customHeight="1">
      <c r="A61" s="9"/>
      <c r="B61" s="10" t="s">
        <v>117</v>
      </c>
      <c r="C61" s="11">
        <v>5</v>
      </c>
      <c r="D61" s="156" t="s">
        <v>178</v>
      </c>
      <c r="E61" s="156" t="s">
        <v>190</v>
      </c>
      <c r="F61" s="45" t="s">
        <v>119</v>
      </c>
      <c r="G61" s="45" t="s">
        <v>119</v>
      </c>
      <c r="H61" s="45">
        <v>16</v>
      </c>
      <c r="I61" s="45" t="s">
        <v>119</v>
      </c>
      <c r="J61" s="45">
        <v>1.5</v>
      </c>
      <c r="K61" s="45" t="s">
        <v>119</v>
      </c>
      <c r="L61" s="45">
        <v>3.2</v>
      </c>
      <c r="M61" s="45" t="s">
        <v>119</v>
      </c>
      <c r="N61" s="45" t="s">
        <v>119</v>
      </c>
      <c r="O61" s="45" t="s">
        <v>119</v>
      </c>
      <c r="P61" s="45" t="s">
        <v>119</v>
      </c>
      <c r="Q61" s="45">
        <v>1.5</v>
      </c>
      <c r="R61" s="13">
        <f t="shared" si="2"/>
        <v>5.55</v>
      </c>
      <c r="S61" s="14">
        <v>3</v>
      </c>
      <c r="T61" s="247" t="s">
        <v>191</v>
      </c>
      <c r="U61" s="1"/>
    </row>
    <row r="62" spans="1:21" ht="90.75">
      <c r="A62" s="9"/>
      <c r="B62" s="6" t="s">
        <v>120</v>
      </c>
      <c r="C62" s="15">
        <v>1</v>
      </c>
      <c r="D62" s="41" t="s">
        <v>178</v>
      </c>
      <c r="E62" s="41" t="s">
        <v>179</v>
      </c>
      <c r="F62" s="30" t="s">
        <v>192</v>
      </c>
      <c r="G62" s="7" t="s">
        <v>193</v>
      </c>
      <c r="H62" s="7" t="s">
        <v>194</v>
      </c>
      <c r="I62" s="7" t="s">
        <v>195</v>
      </c>
      <c r="J62" s="7" t="s">
        <v>196</v>
      </c>
      <c r="K62" s="7" t="s">
        <v>197</v>
      </c>
      <c r="L62" s="7" t="s">
        <v>198</v>
      </c>
      <c r="M62" s="7" t="s">
        <v>199</v>
      </c>
      <c r="N62" s="7" t="s">
        <v>200</v>
      </c>
      <c r="O62" s="7" t="s">
        <v>201</v>
      </c>
      <c r="P62" s="7" t="s">
        <v>202</v>
      </c>
      <c r="Q62" s="7" t="s">
        <v>203</v>
      </c>
      <c r="R62" s="1"/>
      <c r="S62" s="1"/>
      <c r="T62" s="247" t="s">
        <v>180</v>
      </c>
      <c r="U62" s="1"/>
    </row>
    <row r="63" spans="1:21" ht="136.5">
      <c r="A63" s="9"/>
      <c r="B63" s="10" t="s">
        <v>117</v>
      </c>
      <c r="C63" s="11">
        <v>2</v>
      </c>
      <c r="D63" s="156" t="s">
        <v>75</v>
      </c>
      <c r="E63" s="156" t="s">
        <v>181</v>
      </c>
      <c r="F63" s="31" t="s">
        <v>204</v>
      </c>
      <c r="G63" s="12" t="s">
        <v>205</v>
      </c>
      <c r="H63" s="12" t="s">
        <v>206</v>
      </c>
      <c r="I63" s="12" t="s">
        <v>207</v>
      </c>
      <c r="J63" s="12" t="s">
        <v>208</v>
      </c>
      <c r="K63" s="12" t="s">
        <v>209</v>
      </c>
      <c r="L63" s="12" t="s">
        <v>210</v>
      </c>
      <c r="M63" s="12" t="s">
        <v>211</v>
      </c>
      <c r="N63" s="12" t="s">
        <v>212</v>
      </c>
      <c r="O63" s="12" t="s">
        <v>213</v>
      </c>
      <c r="P63" s="12" t="s">
        <v>214</v>
      </c>
      <c r="Q63" s="12" t="s">
        <v>215</v>
      </c>
      <c r="R63" s="1"/>
      <c r="S63" s="1"/>
      <c r="T63" s="247" t="s">
        <v>182</v>
      </c>
      <c r="U63" s="1"/>
    </row>
    <row r="64" spans="1:21" ht="48" customHeight="1">
      <c r="A64" s="9"/>
      <c r="B64" s="10" t="s">
        <v>117</v>
      </c>
      <c r="C64" s="11">
        <v>3</v>
      </c>
      <c r="D64" s="156" t="s">
        <v>183</v>
      </c>
      <c r="E64" s="156" t="s">
        <v>184</v>
      </c>
      <c r="F64" s="31" t="s">
        <v>216</v>
      </c>
      <c r="G64" s="12" t="s">
        <v>217</v>
      </c>
      <c r="H64" s="12" t="s">
        <v>218</v>
      </c>
      <c r="I64" s="12" t="s">
        <v>219</v>
      </c>
      <c r="J64" s="12" t="s">
        <v>220</v>
      </c>
      <c r="K64" s="12" t="s">
        <v>221</v>
      </c>
      <c r="L64" s="12" t="s">
        <v>222</v>
      </c>
      <c r="M64" s="12" t="s">
        <v>223</v>
      </c>
      <c r="N64" s="12" t="s">
        <v>224</v>
      </c>
      <c r="O64" s="12" t="s">
        <v>225</v>
      </c>
      <c r="P64" s="12" t="s">
        <v>226</v>
      </c>
      <c r="Q64" s="12" t="s">
        <v>227</v>
      </c>
      <c r="R64" s="1"/>
      <c r="S64" s="1"/>
      <c r="T64" s="247" t="s">
        <v>185</v>
      </c>
      <c r="U64" s="1"/>
    </row>
    <row r="65" spans="1:21" ht="121.5">
      <c r="A65" s="9"/>
      <c r="B65" s="10" t="s">
        <v>117</v>
      </c>
      <c r="C65" s="11">
        <v>4</v>
      </c>
      <c r="D65" s="156" t="s">
        <v>186</v>
      </c>
      <c r="E65" s="156" t="s">
        <v>187</v>
      </c>
      <c r="F65" s="31" t="s">
        <v>228</v>
      </c>
      <c r="G65" s="12" t="s">
        <v>229</v>
      </c>
      <c r="H65" s="12" t="s">
        <v>206</v>
      </c>
      <c r="I65" s="12" t="s">
        <v>230</v>
      </c>
      <c r="J65" s="12" t="s">
        <v>231</v>
      </c>
      <c r="K65" s="12" t="s">
        <v>232</v>
      </c>
      <c r="L65" s="12" t="s">
        <v>233</v>
      </c>
      <c r="M65" s="12" t="s">
        <v>234</v>
      </c>
      <c r="N65" s="12" t="s">
        <v>235</v>
      </c>
      <c r="O65" s="12" t="s">
        <v>236</v>
      </c>
      <c r="P65" s="12" t="s">
        <v>237</v>
      </c>
      <c r="Q65" s="12" t="s">
        <v>238</v>
      </c>
      <c r="R65" s="1"/>
      <c r="S65" s="1"/>
      <c r="T65" s="247" t="s">
        <v>188</v>
      </c>
      <c r="U65" s="1"/>
    </row>
    <row r="66" spans="1:21" ht="106.5">
      <c r="A66" s="9"/>
      <c r="B66" s="10" t="s">
        <v>117</v>
      </c>
      <c r="C66" s="11">
        <v>5</v>
      </c>
      <c r="D66" s="156" t="s">
        <v>189</v>
      </c>
      <c r="E66" s="156" t="s">
        <v>190</v>
      </c>
      <c r="F66" s="31" t="s">
        <v>239</v>
      </c>
      <c r="G66" s="12" t="s">
        <v>240</v>
      </c>
      <c r="H66" s="12" t="s">
        <v>241</v>
      </c>
      <c r="I66" s="12" t="s">
        <v>242</v>
      </c>
      <c r="J66" s="12" t="s">
        <v>243</v>
      </c>
      <c r="K66" s="12" t="s">
        <v>244</v>
      </c>
      <c r="L66" s="12" t="s">
        <v>245</v>
      </c>
      <c r="M66" s="12" t="s">
        <v>246</v>
      </c>
      <c r="N66" s="12" t="s">
        <v>247</v>
      </c>
      <c r="O66" s="12" t="s">
        <v>248</v>
      </c>
      <c r="P66" s="12" t="s">
        <v>249</v>
      </c>
      <c r="Q66" s="12" t="s">
        <v>250</v>
      </c>
      <c r="R66" s="1"/>
      <c r="S66" s="1"/>
      <c r="T66" s="247" t="s">
        <v>191</v>
      </c>
      <c r="U66" s="1"/>
    </row>
    <row r="67" spans="1:21" ht="15.75" customHeight="1">
      <c r="A67" s="1"/>
      <c r="B67" s="1"/>
      <c r="C67" s="1" t="s">
        <v>251</v>
      </c>
      <c r="D67" s="1"/>
      <c r="E67" s="1"/>
      <c r="F67" s="1">
        <v>15</v>
      </c>
      <c r="G67" s="1">
        <v>21</v>
      </c>
      <c r="H67" s="1">
        <v>12</v>
      </c>
      <c r="I67" s="1">
        <v>25</v>
      </c>
      <c r="J67" s="1">
        <v>27</v>
      </c>
      <c r="K67" s="1">
        <v>19</v>
      </c>
      <c r="L67" s="1">
        <v>28</v>
      </c>
      <c r="M67" s="1">
        <v>27</v>
      </c>
      <c r="N67" s="1">
        <v>17</v>
      </c>
      <c r="O67" s="1">
        <v>15</v>
      </c>
      <c r="P67" s="1">
        <v>19</v>
      </c>
      <c r="Q67" s="1"/>
      <c r="R67" s="1"/>
      <c r="S67" s="1"/>
      <c r="T67" s="1"/>
      <c r="U67" s="1"/>
    </row>
    <row r="68" spans="1:21" ht="15.75" customHeight="1">
      <c r="A68" s="1"/>
      <c r="B68" s="1"/>
      <c r="D68" s="243"/>
      <c r="E68" s="243"/>
      <c r="F68" s="243"/>
      <c r="G68" s="243"/>
      <c r="H68" s="243"/>
      <c r="I68" s="243"/>
      <c r="J68" s="243"/>
      <c r="K68" s="243"/>
      <c r="L68" s="243"/>
      <c r="M68" s="243"/>
      <c r="N68" s="243"/>
      <c r="O68" s="243"/>
      <c r="P68" s="243"/>
      <c r="Q68" s="243"/>
      <c r="R68" s="243"/>
      <c r="S68" s="243"/>
      <c r="T68" s="1"/>
      <c r="U68" s="1"/>
    </row>
    <row r="69" spans="1:21" ht="15.75" customHeight="1">
      <c r="A69" s="1"/>
      <c r="B69" s="1"/>
      <c r="C69" s="243"/>
      <c r="D69" s="232"/>
      <c r="T69" s="241"/>
      <c r="U69" s="1"/>
    </row>
    <row r="70" spans="1:21" ht="15.75" customHeight="1">
      <c r="A70" s="1"/>
      <c r="B70" s="1"/>
      <c r="C70" s="243"/>
      <c r="D70" s="232"/>
      <c r="T70" s="241"/>
      <c r="U70" s="1"/>
    </row>
    <row r="71" spans="1:21" ht="15.75" customHeight="1">
      <c r="A71" s="1"/>
      <c r="B71" s="1"/>
      <c r="C71" s="243"/>
      <c r="D71" s="243"/>
      <c r="T71" s="241"/>
      <c r="U71" s="1"/>
    </row>
    <row r="72" spans="1:21" ht="15.75" customHeight="1">
      <c r="A72" s="1"/>
      <c r="B72" s="1"/>
      <c r="C72" s="243"/>
      <c r="D72" s="232"/>
      <c r="T72" s="243"/>
      <c r="U72" s="1"/>
    </row>
    <row r="73" spans="1:21" ht="15.75" customHeight="1">
      <c r="A73" s="1"/>
      <c r="B73" s="1"/>
      <c r="C73" s="243"/>
      <c r="D73" s="232"/>
      <c r="T73" s="244"/>
      <c r="U73" s="1"/>
    </row>
    <row r="74" spans="1:21" ht="15.75" customHeight="1">
      <c r="A74" s="1"/>
      <c r="B74" s="1"/>
      <c r="C74" s="243"/>
      <c r="D74" s="232"/>
      <c r="T74" s="244"/>
      <c r="U74" s="1"/>
    </row>
    <row r="75" spans="1:21" ht="15.75" customHeight="1">
      <c r="A75" s="1"/>
      <c r="B75" s="1"/>
      <c r="C75" s="243"/>
      <c r="D75" s="232"/>
      <c r="T75" s="244"/>
      <c r="U75" s="1"/>
    </row>
    <row r="76" spans="1:21" ht="15.75" customHeight="1">
      <c r="A76" s="1"/>
      <c r="B76" s="1"/>
      <c r="C76" s="243"/>
      <c r="D76" s="232"/>
      <c r="T76" s="244"/>
      <c r="U76" s="1"/>
    </row>
    <row r="77" spans="1:21" ht="15.75" customHeight="1">
      <c r="A77" s="1"/>
      <c r="B77" s="1"/>
      <c r="C77" s="243"/>
      <c r="D77" s="232"/>
      <c r="T77" s="244"/>
      <c r="U77" s="1"/>
    </row>
    <row r="78" spans="1:21" ht="15.75" customHeight="1">
      <c r="A78" s="1"/>
      <c r="B78" s="1"/>
      <c r="C78" s="243"/>
      <c r="D78" s="243"/>
      <c r="T78" s="241"/>
      <c r="U78" s="1"/>
    </row>
    <row r="79" spans="1:21" ht="15.75" customHeight="1">
      <c r="A79" s="1"/>
      <c r="B79" s="1"/>
      <c r="C79" s="243"/>
      <c r="D79" s="232"/>
      <c r="T79" s="244"/>
      <c r="U79" s="1"/>
    </row>
    <row r="80" spans="1:21" ht="15.75" customHeight="1">
      <c r="A80" s="1"/>
      <c r="B80" s="1"/>
      <c r="C80" s="243"/>
      <c r="D80" s="232"/>
      <c r="T80" s="244"/>
      <c r="U80" s="1"/>
    </row>
    <row r="81" spans="3:36" ht="15.75" customHeight="1">
      <c r="C81" s="243"/>
      <c r="D81" s="232"/>
      <c r="T81" s="244"/>
    </row>
    <row r="82" spans="3:36" ht="15.75" customHeight="1">
      <c r="C82" s="243"/>
      <c r="D82" s="232"/>
      <c r="T82" s="245"/>
    </row>
    <row r="83" spans="3:36" ht="15.75" customHeight="1">
      <c r="D83" s="243"/>
      <c r="T83" s="1"/>
    </row>
    <row r="84" spans="3:36" ht="15.75" customHeight="1">
      <c r="D84" s="1"/>
      <c r="T84" s="1"/>
    </row>
    <row r="85" spans="3:36" ht="15.75" customHeight="1">
      <c r="D85" s="232"/>
      <c r="T85" s="241"/>
    </row>
    <row r="86" spans="3:36" ht="15.75" customHeight="1">
      <c r="C86" s="243"/>
      <c r="D86" s="232"/>
      <c r="T86" s="241"/>
    </row>
    <row r="87" spans="3:36" ht="15.75" customHeight="1">
      <c r="C87" s="243"/>
      <c r="D87" s="243"/>
      <c r="T87" s="241"/>
    </row>
    <row r="88" spans="3:36" ht="15.75" customHeight="1">
      <c r="C88" s="243"/>
      <c r="D88" s="232"/>
      <c r="T88" s="243"/>
      <c r="V88" s="882" t="s">
        <v>70</v>
      </c>
      <c r="W88" s="882"/>
      <c r="X88" s="882"/>
      <c r="Y88" s="882"/>
      <c r="Z88" s="882"/>
      <c r="AA88" s="882"/>
      <c r="AB88" s="882"/>
      <c r="AC88" s="882"/>
      <c r="AD88" s="882"/>
      <c r="AE88" s="882"/>
      <c r="AF88" s="882"/>
      <c r="AG88" s="882"/>
      <c r="AH88" s="882"/>
      <c r="AI88" s="882"/>
      <c r="AJ88" s="882"/>
    </row>
    <row r="89" spans="3:36" ht="15.75" customHeight="1">
      <c r="C89" s="243"/>
      <c r="D89" s="232"/>
      <c r="T89" s="246"/>
      <c r="V89" s="843" t="s">
        <v>74</v>
      </c>
      <c r="W89" s="843"/>
      <c r="X89" s="843"/>
      <c r="Y89" s="843"/>
      <c r="Z89" s="843"/>
      <c r="AA89" s="843"/>
      <c r="AB89" s="843"/>
      <c r="AC89" s="843"/>
      <c r="AD89" s="843"/>
      <c r="AE89" s="843"/>
      <c r="AF89" s="843"/>
      <c r="AG89" s="843"/>
      <c r="AH89" s="843"/>
      <c r="AI89" s="843"/>
      <c r="AJ89" s="843"/>
    </row>
    <row r="90" spans="3:36" ht="15.75" customHeight="1">
      <c r="C90" s="243"/>
      <c r="D90" s="232"/>
      <c r="T90" s="246"/>
      <c r="V90" s="848"/>
      <c r="W90" s="848"/>
      <c r="X90" s="848"/>
      <c r="Y90" s="848"/>
      <c r="Z90" s="848"/>
      <c r="AA90" s="848" t="s">
        <v>78</v>
      </c>
      <c r="AB90" s="1161"/>
      <c r="AC90" s="1161"/>
      <c r="AD90" s="1161"/>
      <c r="AE90" s="1161"/>
      <c r="AF90" s="1161"/>
      <c r="AG90" s="1161"/>
      <c r="AH90" s="1161"/>
      <c r="AI90" s="1161"/>
      <c r="AJ90" s="1161"/>
    </row>
    <row r="91" spans="3:36" ht="15.75" customHeight="1">
      <c r="C91" s="243"/>
      <c r="D91" s="232"/>
      <c r="T91" s="246"/>
      <c r="V91" s="14" t="s">
        <v>82</v>
      </c>
      <c r="W91" s="14" t="s">
        <v>83</v>
      </c>
      <c r="X91" s="14" t="s">
        <v>84</v>
      </c>
      <c r="Y91" s="14" t="s">
        <v>85</v>
      </c>
      <c r="Z91" s="14" t="s">
        <v>86</v>
      </c>
      <c r="AA91" s="14" t="s">
        <v>4</v>
      </c>
      <c r="AB91" s="14" t="s">
        <v>5</v>
      </c>
      <c r="AC91" s="14" t="s">
        <v>6</v>
      </c>
      <c r="AD91" s="14" t="s">
        <v>7</v>
      </c>
      <c r="AE91" s="14" t="s">
        <v>8</v>
      </c>
      <c r="AF91" s="14" t="s">
        <v>9</v>
      </c>
      <c r="AG91" s="14" t="s">
        <v>10</v>
      </c>
      <c r="AH91" s="14" t="s">
        <v>11</v>
      </c>
      <c r="AI91" s="14" t="s">
        <v>12</v>
      </c>
      <c r="AJ91" s="14" t="s">
        <v>13</v>
      </c>
    </row>
    <row r="92" spans="3:36" ht="15.75" customHeight="1">
      <c r="C92" s="243"/>
      <c r="D92" s="232"/>
      <c r="T92" s="246"/>
      <c r="V92" s="883" t="s">
        <v>252</v>
      </c>
      <c r="W92" s="847" t="s">
        <v>177</v>
      </c>
      <c r="X92" s="855" t="s">
        <v>16</v>
      </c>
      <c r="Y92" s="32">
        <v>1</v>
      </c>
      <c r="Z92" s="14" t="s">
        <v>189</v>
      </c>
      <c r="AA92" s="33">
        <f>AVERAGE(F7:K7)</f>
        <v>1.9616666666666667</v>
      </c>
      <c r="AB92" s="33">
        <f>AVERAGE(F12:K12)</f>
        <v>31.5</v>
      </c>
      <c r="AC92" s="33">
        <f>AVERAGE(F17:K17)</f>
        <v>28.166666666666668</v>
      </c>
      <c r="AD92" s="33">
        <f>AVERAGE(F22:K22)</f>
        <v>7.0533333333333337</v>
      </c>
      <c r="AE92" s="33">
        <f>AVERAGE(F27:K27)</f>
        <v>28.066666666666666</v>
      </c>
      <c r="AF92" s="33">
        <f>AVERAGE(F32:K32)</f>
        <v>34.166666666666664</v>
      </c>
      <c r="AG92" s="33">
        <f>GEOMEAN(F37:K37)</f>
        <v>14248033.042204414</v>
      </c>
      <c r="AH92" s="34">
        <f>AVERAGE(F42:K42)</f>
        <v>0.40599999999999997</v>
      </c>
      <c r="AI92" s="34">
        <f>AVERAGE(F47:K47)</f>
        <v>0.9385</v>
      </c>
      <c r="AJ92" s="33">
        <f>AVERAGE(F52:K52)</f>
        <v>128</v>
      </c>
    </row>
    <row r="93" spans="3:36" ht="15.75" customHeight="1">
      <c r="C93" s="243"/>
      <c r="D93" s="232"/>
      <c r="T93" s="246"/>
      <c r="V93" s="884"/>
      <c r="W93" s="1161"/>
      <c r="X93" s="1161"/>
      <c r="Y93" s="32">
        <v>2</v>
      </c>
      <c r="Z93" s="14" t="s">
        <v>186</v>
      </c>
      <c r="AA93" s="33">
        <f>AVERAGE(F8:K8)</f>
        <v>1.2666666666666668</v>
      </c>
      <c r="AB93" s="33">
        <f>AVERAGE(F13:K13)</f>
        <v>93.166666666666671</v>
      </c>
      <c r="AC93" s="33">
        <f>AVERAGE(F18:K18)</f>
        <v>51</v>
      </c>
      <c r="AD93" s="33">
        <f>AVERAGE(F23:K23)</f>
        <v>6.9933333333333332</v>
      </c>
      <c r="AE93" s="33">
        <f>AVERAGE(F28:K28)</f>
        <v>27.850000000000005</v>
      </c>
      <c r="AF93" s="33">
        <f>AVERAGE(F33:K33)</f>
        <v>36.666666666666664</v>
      </c>
      <c r="AG93" s="33">
        <f>GEOMEAN(F38:K38)</f>
        <v>5712086.2931261798</v>
      </c>
      <c r="AH93" s="34">
        <f>AVERAGE(F43:K43)</f>
        <v>0.49700000000000005</v>
      </c>
      <c r="AI93" s="34">
        <f>AVERAGE(F48:K48)</f>
        <v>1.0298333333333334</v>
      </c>
      <c r="AJ93" s="33">
        <f>AVERAGE(F53:K53)</f>
        <v>178.83333333333334</v>
      </c>
    </row>
    <row r="94" spans="3:36" ht="15.75" customHeight="1">
      <c r="C94" s="243"/>
      <c r="D94" s="243"/>
      <c r="T94" s="241"/>
      <c r="V94" s="884"/>
      <c r="W94" s="1161"/>
      <c r="X94" s="1161"/>
      <c r="Y94" s="32">
        <v>3</v>
      </c>
      <c r="Z94" s="14" t="s">
        <v>183</v>
      </c>
      <c r="AA94" s="33">
        <f>AVERAGE(F9:K9)</f>
        <v>1.8816666666666666</v>
      </c>
      <c r="AB94" s="33">
        <f>AVERAGE(F14:K14)</f>
        <v>76.166666666666671</v>
      </c>
      <c r="AC94" s="33">
        <f>AVERAGE(F19:K19)</f>
        <v>38.666666666666664</v>
      </c>
      <c r="AD94" s="33">
        <f>AVERAGE(F24:K24)</f>
        <v>7.0066666666666668</v>
      </c>
      <c r="AE94" s="33">
        <f>AVERAGE(F29:K29)</f>
        <v>28.033333333333335</v>
      </c>
      <c r="AF94" s="33">
        <f>AVERAGE(F34:K34)</f>
        <v>20</v>
      </c>
      <c r="AG94" s="33">
        <f>GEOMEAN(F39:K39)</f>
        <v>14877760.478590513</v>
      </c>
      <c r="AH94" s="34">
        <f>AVERAGE(F44:K44)</f>
        <v>0.49416666666666664</v>
      </c>
      <c r="AI94" s="34">
        <f>AVERAGE(F49:K49)</f>
        <v>0.60033333333333339</v>
      </c>
      <c r="AJ94" s="33">
        <f>AVERAGE(F54:K54)</f>
        <v>195</v>
      </c>
    </row>
    <row r="95" spans="3:36" ht="15.75" customHeight="1">
      <c r="C95" s="243"/>
      <c r="D95" s="232"/>
      <c r="T95" s="246"/>
      <c r="V95" s="884"/>
      <c r="W95" s="1161"/>
      <c r="X95" s="1161"/>
      <c r="Y95" s="32">
        <v>4</v>
      </c>
      <c r="Z95" s="14" t="s">
        <v>75</v>
      </c>
      <c r="AA95" s="33">
        <f>AVERAGE(F10:K10)</f>
        <v>1.1399999999999999</v>
      </c>
      <c r="AB95" s="33">
        <f>AVERAGE(F15:K15)</f>
        <v>50.166666666666664</v>
      </c>
      <c r="AC95" s="33">
        <f>AVERAGE(F20:K20)</f>
        <v>71.5</v>
      </c>
      <c r="AD95" s="33">
        <f>AVERAGE(F25:K25)</f>
        <v>6.9916666666666671</v>
      </c>
      <c r="AE95" s="33">
        <f>AVERAGE(F30:K30)</f>
        <v>27.950000000000003</v>
      </c>
      <c r="AF95" s="33">
        <f>AVERAGE(F35:K35)</f>
        <v>31.666666666666668</v>
      </c>
      <c r="AG95" s="33">
        <f>GEOMEAN(F40:K40)</f>
        <v>3096190.7468023822</v>
      </c>
      <c r="AH95" s="34">
        <f>AVERAGE(F45:K45)</f>
        <v>0.65983333333333316</v>
      </c>
      <c r="AI95" s="34">
        <f>AVERAGE(F50:K50)</f>
        <v>1.8665000000000003</v>
      </c>
      <c r="AJ95" s="33">
        <f>AVERAGE(F55:K55)</f>
        <v>189.33333333333334</v>
      </c>
    </row>
    <row r="96" spans="3:36" ht="15.75" customHeight="1">
      <c r="C96" s="243"/>
      <c r="D96" s="232"/>
      <c r="T96" s="246"/>
      <c r="V96" s="885"/>
      <c r="W96" s="1161"/>
      <c r="X96" s="1161"/>
      <c r="Y96" s="32">
        <v>5</v>
      </c>
      <c r="Z96" s="14" t="s">
        <v>178</v>
      </c>
      <c r="AA96" s="33">
        <f>AVERAGE(F11:K11)</f>
        <v>1.1100000000000001</v>
      </c>
      <c r="AB96" s="33">
        <f>AVERAGE(F16:K16)</f>
        <v>40</v>
      </c>
      <c r="AC96" s="33">
        <f>AVERAGE(F21:K21)</f>
        <v>37.333333333333336</v>
      </c>
      <c r="AD96" s="33">
        <f>AVERAGE(F26:K26)</f>
        <v>6.9549999999999992</v>
      </c>
      <c r="AE96" s="33">
        <f>AVERAGE(F31:K31)</f>
        <v>27.900000000000002</v>
      </c>
      <c r="AF96" s="33">
        <f>AVERAGE(F36:K36)</f>
        <v>31.666666666666668</v>
      </c>
      <c r="AG96" s="33">
        <f>GEOMEAN(F41:K41)</f>
        <v>2437185.7455342519</v>
      </c>
      <c r="AH96" s="34">
        <f>AVERAGE(F46:K46)</f>
        <v>0.86333333333333329</v>
      </c>
      <c r="AI96" s="34">
        <f>AVERAGE(F51:K51)</f>
        <v>1.0753333333333333</v>
      </c>
      <c r="AJ96" s="33">
        <f>AVERAGE(F56:K56)</f>
        <v>151</v>
      </c>
    </row>
    <row r="97" spans="3:37" ht="15.75" customHeight="1">
      <c r="C97" s="243"/>
      <c r="D97" s="232"/>
      <c r="T97" s="246"/>
      <c r="V97" s="848"/>
      <c r="W97" s="848"/>
      <c r="X97" s="848"/>
      <c r="Y97" s="848"/>
      <c r="Z97" s="848"/>
      <c r="AA97" s="848"/>
      <c r="AB97" s="848"/>
      <c r="AC97" s="848"/>
      <c r="AD97" s="848"/>
      <c r="AE97" s="848"/>
      <c r="AF97" s="848"/>
      <c r="AG97" s="848"/>
      <c r="AH97" s="848"/>
      <c r="AI97" s="848"/>
      <c r="AJ97" s="848"/>
    </row>
    <row r="98" spans="3:37" ht="15.75" customHeight="1">
      <c r="C98" s="243"/>
      <c r="D98" s="232"/>
      <c r="T98" s="245"/>
      <c r="V98" s="14" t="s">
        <v>93</v>
      </c>
      <c r="W98" s="1162"/>
      <c r="X98" s="1161"/>
      <c r="Y98" s="1161"/>
      <c r="Z98" s="1161"/>
      <c r="AA98" s="33">
        <f t="shared" ref="AA98:AJ98" si="3">AVERAGE(AA92:AA96)</f>
        <v>1.472</v>
      </c>
      <c r="AB98" s="33">
        <f t="shared" si="3"/>
        <v>58.2</v>
      </c>
      <c r="AC98" s="33">
        <f t="shared" si="3"/>
        <v>45.333333333333336</v>
      </c>
      <c r="AD98" s="33">
        <f t="shared" si="3"/>
        <v>7</v>
      </c>
      <c r="AE98" s="33">
        <f t="shared" si="3"/>
        <v>27.96</v>
      </c>
      <c r="AF98" s="33">
        <f t="shared" si="3"/>
        <v>30.833333333333332</v>
      </c>
      <c r="AG98" s="33">
        <f t="shared" si="3"/>
        <v>8074251.2612515483</v>
      </c>
      <c r="AH98" s="34">
        <f t="shared" si="3"/>
        <v>0.58406666666666662</v>
      </c>
      <c r="AI98" s="34">
        <f t="shared" si="3"/>
        <v>1.1021000000000001</v>
      </c>
      <c r="AJ98" s="33">
        <f t="shared" si="3"/>
        <v>168.43333333333334</v>
      </c>
    </row>
    <row r="99" spans="3:37" ht="15" customHeight="1">
      <c r="D99" s="232"/>
      <c r="E99" s="232"/>
      <c r="F99" s="232"/>
      <c r="G99" s="232"/>
      <c r="H99" s="232"/>
      <c r="I99" s="232"/>
      <c r="J99" s="232"/>
      <c r="K99" s="232"/>
      <c r="L99" s="232"/>
      <c r="M99" s="232"/>
      <c r="N99" s="232"/>
      <c r="O99" s="232"/>
      <c r="P99" s="232"/>
      <c r="Q99" s="232"/>
      <c r="R99" s="232"/>
      <c r="S99" s="232"/>
      <c r="V99" s="14" t="s">
        <v>94</v>
      </c>
      <c r="W99" s="1161"/>
      <c r="X99" s="1163"/>
      <c r="Y99" s="1163"/>
      <c r="Z99" s="1161"/>
      <c r="AA99" s="33">
        <f t="shared" ref="AA99:AJ99" si="4">MIN(AA92:AA96)</f>
        <v>1.1100000000000001</v>
      </c>
      <c r="AB99" s="33">
        <f t="shared" si="4"/>
        <v>31.5</v>
      </c>
      <c r="AC99" s="33">
        <f t="shared" si="4"/>
        <v>28.166666666666668</v>
      </c>
      <c r="AD99" s="33">
        <f t="shared" si="4"/>
        <v>6.9549999999999992</v>
      </c>
      <c r="AE99" s="33">
        <f t="shared" si="4"/>
        <v>27.850000000000005</v>
      </c>
      <c r="AF99" s="33">
        <f t="shared" si="4"/>
        <v>20</v>
      </c>
      <c r="AG99" s="33">
        <f t="shared" si="4"/>
        <v>2437185.7455342519</v>
      </c>
      <c r="AH99" s="34">
        <f t="shared" si="4"/>
        <v>0.40599999999999997</v>
      </c>
      <c r="AI99" s="34">
        <f t="shared" si="4"/>
        <v>0.60033333333333339</v>
      </c>
      <c r="AJ99" s="33">
        <f t="shared" si="4"/>
        <v>128</v>
      </c>
    </row>
    <row r="100" spans="3:37" ht="15" customHeight="1">
      <c r="V100" s="14" t="s">
        <v>95</v>
      </c>
      <c r="W100" s="1161"/>
      <c r="X100" s="1163"/>
      <c r="Y100" s="1163"/>
      <c r="Z100" s="1161"/>
      <c r="AA100" s="33">
        <f t="shared" ref="AA100:AJ100" si="5">MAX(AA92:AA96)</f>
        <v>1.9616666666666667</v>
      </c>
      <c r="AB100" s="33">
        <f t="shared" si="5"/>
        <v>93.166666666666671</v>
      </c>
      <c r="AC100" s="33">
        <f t="shared" si="5"/>
        <v>71.5</v>
      </c>
      <c r="AD100" s="33">
        <f t="shared" si="5"/>
        <v>7.0533333333333337</v>
      </c>
      <c r="AE100" s="33">
        <f t="shared" si="5"/>
        <v>28.066666666666666</v>
      </c>
      <c r="AF100" s="33">
        <f t="shared" si="5"/>
        <v>36.666666666666664</v>
      </c>
      <c r="AG100" s="33">
        <f t="shared" si="5"/>
        <v>14877760.478590513</v>
      </c>
      <c r="AH100" s="34">
        <f t="shared" si="5"/>
        <v>0.86333333333333329</v>
      </c>
      <c r="AI100" s="34">
        <f t="shared" si="5"/>
        <v>1.8665000000000003</v>
      </c>
      <c r="AJ100" s="33">
        <f t="shared" si="5"/>
        <v>195</v>
      </c>
    </row>
    <row r="101" spans="3:37" ht="15" customHeight="1">
      <c r="E101" s="232" t="s">
        <v>175</v>
      </c>
      <c r="F101" s="232"/>
      <c r="G101" s="232"/>
      <c r="H101" s="232"/>
      <c r="I101" s="232"/>
      <c r="J101" s="232"/>
      <c r="K101" s="232"/>
      <c r="L101" s="232"/>
      <c r="M101" s="232"/>
      <c r="N101" s="232"/>
      <c r="O101" s="232"/>
      <c r="P101" s="232"/>
      <c r="Q101" s="232"/>
      <c r="R101" s="232"/>
      <c r="S101" s="232"/>
      <c r="V101" s="14" t="s">
        <v>96</v>
      </c>
      <c r="W101" s="1161"/>
      <c r="X101" s="1161"/>
      <c r="Y101" s="1161"/>
      <c r="Z101" s="1161"/>
      <c r="AA101" s="29" t="s">
        <v>97</v>
      </c>
      <c r="AB101" s="29" t="s">
        <v>98</v>
      </c>
      <c r="AC101" s="29" t="s">
        <v>99</v>
      </c>
      <c r="AD101" s="29" t="s">
        <v>100</v>
      </c>
      <c r="AE101" s="29" t="s">
        <v>101</v>
      </c>
      <c r="AF101" s="29" t="s">
        <v>102</v>
      </c>
      <c r="AG101" s="29" t="s">
        <v>103</v>
      </c>
      <c r="AH101" s="29" t="s">
        <v>98</v>
      </c>
      <c r="AI101" s="29" t="s">
        <v>104</v>
      </c>
      <c r="AJ101" s="29" t="s">
        <v>105</v>
      </c>
    </row>
    <row r="102" spans="3:37" ht="15" customHeight="1">
      <c r="D102" s="232"/>
      <c r="E102" s="873" t="s">
        <v>253</v>
      </c>
      <c r="F102" s="874"/>
      <c r="G102" s="874"/>
      <c r="H102" s="874"/>
      <c r="I102" s="874"/>
      <c r="J102" s="874"/>
      <c r="K102" s="874"/>
      <c r="L102" s="874"/>
      <c r="M102" s="874"/>
      <c r="N102" s="874"/>
      <c r="O102" s="874"/>
      <c r="P102" s="874"/>
      <c r="Q102" s="874"/>
      <c r="R102" s="874"/>
      <c r="S102" s="875"/>
      <c r="T102" s="232"/>
      <c r="V102" s="243"/>
      <c r="W102" s="243"/>
      <c r="X102" s="243"/>
      <c r="Y102" s="243"/>
      <c r="Z102" s="243"/>
      <c r="AA102" s="243"/>
      <c r="AB102" s="243"/>
      <c r="AC102" s="243"/>
      <c r="AD102" s="243"/>
      <c r="AE102" s="243"/>
      <c r="AF102" s="243"/>
      <c r="AG102" s="243"/>
      <c r="AH102" s="243"/>
      <c r="AI102" s="243"/>
      <c r="AJ102" s="243"/>
    </row>
    <row r="103" spans="3:37" ht="15" customHeight="1">
      <c r="D103" s="232"/>
      <c r="E103" s="876"/>
      <c r="F103" s="877"/>
      <c r="G103" s="877"/>
      <c r="H103" s="877"/>
      <c r="I103" s="877"/>
      <c r="J103" s="877"/>
      <c r="K103" s="877"/>
      <c r="L103" s="877"/>
      <c r="M103" s="877"/>
      <c r="N103" s="877"/>
      <c r="O103" s="877"/>
      <c r="P103" s="877"/>
      <c r="Q103" s="877"/>
      <c r="R103" s="877"/>
      <c r="S103" s="878"/>
      <c r="T103" s="232"/>
      <c r="V103" s="243"/>
      <c r="W103" s="243"/>
      <c r="X103" s="243"/>
      <c r="Y103" s="243"/>
      <c r="Z103" s="243"/>
      <c r="AA103" s="243"/>
      <c r="AB103" s="243"/>
      <c r="AC103" s="243"/>
      <c r="AD103" s="243"/>
      <c r="AE103" s="243"/>
      <c r="AF103" s="243"/>
      <c r="AG103" s="243"/>
      <c r="AH103" s="243"/>
      <c r="AI103" s="243"/>
      <c r="AJ103" s="243"/>
    </row>
    <row r="104" spans="3:37" ht="15" customHeight="1">
      <c r="D104" s="232"/>
      <c r="E104" s="876"/>
      <c r="F104" s="877"/>
      <c r="G104" s="877"/>
      <c r="H104" s="877"/>
      <c r="I104" s="877"/>
      <c r="J104" s="877"/>
      <c r="K104" s="877"/>
      <c r="L104" s="877"/>
      <c r="M104" s="877"/>
      <c r="N104" s="877"/>
      <c r="O104" s="877"/>
      <c r="P104" s="877"/>
      <c r="Q104" s="877"/>
      <c r="R104" s="877"/>
      <c r="S104" s="878"/>
      <c r="T104" s="232"/>
      <c r="U104" s="232"/>
      <c r="V104" s="849" t="s">
        <v>70</v>
      </c>
      <c r="W104" s="850"/>
      <c r="X104" s="850"/>
      <c r="Y104" s="850"/>
      <c r="Z104" s="850"/>
      <c r="AA104" s="850"/>
      <c r="AB104" s="850"/>
      <c r="AC104" s="850"/>
      <c r="AD104" s="850"/>
      <c r="AE104" s="850"/>
      <c r="AF104" s="850"/>
      <c r="AG104" s="850"/>
      <c r="AH104" s="850"/>
      <c r="AI104" s="850"/>
      <c r="AJ104" s="851"/>
      <c r="AK104" s="232"/>
    </row>
    <row r="105" spans="3:37" ht="15" customHeight="1">
      <c r="D105" s="232"/>
      <c r="E105" s="876"/>
      <c r="F105" s="877"/>
      <c r="G105" s="877"/>
      <c r="H105" s="877"/>
      <c r="I105" s="877"/>
      <c r="J105" s="877"/>
      <c r="K105" s="877"/>
      <c r="L105" s="877"/>
      <c r="M105" s="877"/>
      <c r="N105" s="877"/>
      <c r="O105" s="877"/>
      <c r="P105" s="877"/>
      <c r="Q105" s="877"/>
      <c r="R105" s="877"/>
      <c r="S105" s="878"/>
      <c r="T105" s="232"/>
      <c r="U105" s="232"/>
      <c r="V105" s="852" t="s">
        <v>107</v>
      </c>
      <c r="W105" s="853"/>
      <c r="X105" s="853"/>
      <c r="Y105" s="853"/>
      <c r="Z105" s="853"/>
      <c r="AA105" s="853"/>
      <c r="AB105" s="853"/>
      <c r="AC105" s="853"/>
      <c r="AD105" s="853"/>
      <c r="AE105" s="853"/>
      <c r="AF105" s="853"/>
      <c r="AG105" s="853"/>
      <c r="AH105" s="853"/>
      <c r="AI105" s="853"/>
      <c r="AJ105" s="854"/>
      <c r="AK105" s="232"/>
    </row>
    <row r="106" spans="3:37" ht="15" customHeight="1">
      <c r="D106" s="232"/>
      <c r="E106" s="876"/>
      <c r="F106" s="877"/>
      <c r="G106" s="877"/>
      <c r="H106" s="877"/>
      <c r="I106" s="877"/>
      <c r="J106" s="877"/>
      <c r="K106" s="877"/>
      <c r="L106" s="877"/>
      <c r="M106" s="877"/>
      <c r="N106" s="877"/>
      <c r="O106" s="877"/>
      <c r="P106" s="877"/>
      <c r="Q106" s="877"/>
      <c r="R106" s="877"/>
      <c r="S106" s="878"/>
      <c r="T106" s="232"/>
      <c r="U106" s="232"/>
      <c r="V106" s="862"/>
      <c r="W106" s="848"/>
      <c r="X106" s="848"/>
      <c r="Y106" s="848"/>
      <c r="Z106" s="848"/>
      <c r="AA106" s="848" t="s">
        <v>78</v>
      </c>
      <c r="AB106" s="1161"/>
      <c r="AC106" s="1161"/>
      <c r="AD106" s="1161"/>
      <c r="AE106" s="1161"/>
      <c r="AF106" s="1161"/>
      <c r="AG106" s="1161"/>
      <c r="AH106" s="1161"/>
      <c r="AI106" s="1161"/>
      <c r="AJ106" s="1164"/>
      <c r="AK106" s="232"/>
    </row>
    <row r="107" spans="3:37" ht="15" customHeight="1">
      <c r="D107" s="232"/>
      <c r="E107" s="876"/>
      <c r="F107" s="877"/>
      <c r="G107" s="877"/>
      <c r="H107" s="877"/>
      <c r="I107" s="877"/>
      <c r="J107" s="877"/>
      <c r="K107" s="877"/>
      <c r="L107" s="877"/>
      <c r="M107" s="877"/>
      <c r="N107" s="877"/>
      <c r="O107" s="877"/>
      <c r="P107" s="877"/>
      <c r="Q107" s="877"/>
      <c r="R107" s="877"/>
      <c r="S107" s="878"/>
      <c r="T107" s="232"/>
      <c r="U107" s="232"/>
      <c r="V107" s="657" t="s">
        <v>82</v>
      </c>
      <c r="W107" s="14" t="s">
        <v>83</v>
      </c>
      <c r="X107" s="14" t="s">
        <v>84</v>
      </c>
      <c r="Y107" s="14" t="s">
        <v>85</v>
      </c>
      <c r="Z107" s="14" t="s">
        <v>86</v>
      </c>
      <c r="AA107" s="14" t="s">
        <v>4</v>
      </c>
      <c r="AB107" s="14" t="s">
        <v>5</v>
      </c>
      <c r="AC107" s="14" t="s">
        <v>6</v>
      </c>
      <c r="AD107" s="14" t="s">
        <v>7</v>
      </c>
      <c r="AE107" s="14" t="s">
        <v>8</v>
      </c>
      <c r="AF107" s="14" t="s">
        <v>9</v>
      </c>
      <c r="AG107" s="14" t="s">
        <v>10</v>
      </c>
      <c r="AH107" s="14" t="s">
        <v>11</v>
      </c>
      <c r="AI107" s="14" t="s">
        <v>12</v>
      </c>
      <c r="AJ107" s="658" t="s">
        <v>13</v>
      </c>
      <c r="AK107" s="232"/>
    </row>
    <row r="108" spans="3:37" ht="15" customHeight="1">
      <c r="D108" s="232"/>
      <c r="E108" s="876"/>
      <c r="F108" s="877"/>
      <c r="G108" s="877"/>
      <c r="H108" s="877"/>
      <c r="I108" s="877"/>
      <c r="J108" s="877"/>
      <c r="K108" s="877"/>
      <c r="L108" s="877"/>
      <c r="M108" s="877"/>
      <c r="N108" s="877"/>
      <c r="O108" s="877"/>
      <c r="P108" s="877"/>
      <c r="Q108" s="877"/>
      <c r="R108" s="877"/>
      <c r="S108" s="878"/>
      <c r="T108" s="232"/>
      <c r="U108" s="232"/>
      <c r="V108" s="865" t="s">
        <v>252</v>
      </c>
      <c r="W108" s="847" t="s">
        <v>177</v>
      </c>
      <c r="X108" s="855" t="s">
        <v>16</v>
      </c>
      <c r="Y108" s="32">
        <v>1</v>
      </c>
      <c r="Z108" s="14" t="s">
        <v>189</v>
      </c>
      <c r="AA108" s="35">
        <f>R7</f>
        <v>2.8568333333333329</v>
      </c>
      <c r="AB108" s="35">
        <f>R12</f>
        <v>27.333333333333332</v>
      </c>
      <c r="AC108" s="35">
        <f>R17</f>
        <v>30.333333333333332</v>
      </c>
      <c r="AD108" s="36">
        <f>R22</f>
        <v>7.205000000000001</v>
      </c>
      <c r="AE108" s="35">
        <f>R27</f>
        <v>27.950000000000003</v>
      </c>
      <c r="AF108" s="35">
        <f>R32</f>
        <v>26.666666666666668</v>
      </c>
      <c r="AG108" s="36">
        <f>R37</f>
        <v>8529662.4201551601</v>
      </c>
      <c r="AH108" s="28">
        <f>R42</f>
        <v>0.27208333333333334</v>
      </c>
      <c r="AI108" s="28">
        <f>R47</f>
        <v>0.90824999999999989</v>
      </c>
      <c r="AJ108" s="659">
        <f>R52</f>
        <v>83.333333333333329</v>
      </c>
      <c r="AK108" s="232"/>
    </row>
    <row r="109" spans="3:37" ht="15" customHeight="1">
      <c r="D109" s="232"/>
      <c r="E109" s="876"/>
      <c r="F109" s="877"/>
      <c r="G109" s="877"/>
      <c r="H109" s="877"/>
      <c r="I109" s="877"/>
      <c r="J109" s="877"/>
      <c r="K109" s="877"/>
      <c r="L109" s="877"/>
      <c r="M109" s="877"/>
      <c r="N109" s="877"/>
      <c r="O109" s="877"/>
      <c r="P109" s="877"/>
      <c r="Q109" s="877"/>
      <c r="R109" s="877"/>
      <c r="S109" s="878"/>
      <c r="T109" s="232"/>
      <c r="U109" s="232"/>
      <c r="V109" s="1165"/>
      <c r="W109" s="1161"/>
      <c r="X109" s="1161"/>
      <c r="Y109" s="32">
        <v>2</v>
      </c>
      <c r="Z109" s="14" t="s">
        <v>186</v>
      </c>
      <c r="AA109" s="35">
        <f t="shared" ref="AA109:AA112" si="6">R8</f>
        <v>2.0225000000000004</v>
      </c>
      <c r="AB109" s="35">
        <f t="shared" ref="AB109:AB112" si="7">R13</f>
        <v>68.333333333333329</v>
      </c>
      <c r="AC109" s="35">
        <f t="shared" ref="AC109:AC112" si="8">R18</f>
        <v>42.083333333333336</v>
      </c>
      <c r="AD109" s="36">
        <f t="shared" ref="AD109:AD112" si="9">R23</f>
        <v>7.1666666666666652</v>
      </c>
      <c r="AE109" s="35">
        <f t="shared" ref="AE109:AE112" si="10">R28</f>
        <v>27.833333333333339</v>
      </c>
      <c r="AF109" s="35">
        <f t="shared" ref="AF109:AF112" si="11">R33</f>
        <v>31.666666666666668</v>
      </c>
      <c r="AG109" s="36">
        <f t="shared" ref="AG109:AG112" si="12">R38</f>
        <v>6382682.9100848734</v>
      </c>
      <c r="AH109" s="28">
        <f t="shared" ref="AH109:AH112" si="13">R43</f>
        <v>0.46225000000000005</v>
      </c>
      <c r="AI109" s="28">
        <f t="shared" ref="AI109:AI112" si="14">R48</f>
        <v>0.83691666666666664</v>
      </c>
      <c r="AJ109" s="659">
        <f t="shared" ref="AJ109:AJ112" si="15">R53</f>
        <v>111.58333333333333</v>
      </c>
      <c r="AK109" s="232"/>
    </row>
    <row r="110" spans="3:37" ht="15" customHeight="1">
      <c r="D110" s="232"/>
      <c r="E110" s="876"/>
      <c r="F110" s="877"/>
      <c r="G110" s="877"/>
      <c r="H110" s="877"/>
      <c r="I110" s="877"/>
      <c r="J110" s="877"/>
      <c r="K110" s="877"/>
      <c r="L110" s="877"/>
      <c r="M110" s="877"/>
      <c r="N110" s="877"/>
      <c r="O110" s="877"/>
      <c r="P110" s="877"/>
      <c r="Q110" s="877"/>
      <c r="R110" s="877"/>
      <c r="S110" s="878"/>
      <c r="T110" s="232"/>
      <c r="U110" s="232"/>
      <c r="V110" s="1165"/>
      <c r="W110" s="1161"/>
      <c r="X110" s="1161"/>
      <c r="Y110" s="32">
        <v>3</v>
      </c>
      <c r="Z110" s="14" t="s">
        <v>183</v>
      </c>
      <c r="AA110" s="35">
        <f t="shared" si="6"/>
        <v>2.7608333333333328</v>
      </c>
      <c r="AB110" s="35">
        <f t="shared" si="7"/>
        <v>51.666666666666664</v>
      </c>
      <c r="AC110" s="35">
        <f t="shared" si="8"/>
        <v>38.583333333333336</v>
      </c>
      <c r="AD110" s="36">
        <f t="shared" si="9"/>
        <v>7.1866666666666648</v>
      </c>
      <c r="AE110" s="35">
        <f t="shared" si="10"/>
        <v>27.925000000000001</v>
      </c>
      <c r="AF110" s="35">
        <f t="shared" si="11"/>
        <v>14.583333333333334</v>
      </c>
      <c r="AG110" s="36">
        <f t="shared" si="12"/>
        <v>5659787.5529444041</v>
      </c>
      <c r="AH110" s="28">
        <f t="shared" si="13"/>
        <v>0.30391666666666667</v>
      </c>
      <c r="AI110" s="28">
        <f t="shared" si="14"/>
        <v>0.4624166666666667</v>
      </c>
      <c r="AJ110" s="659">
        <f t="shared" si="15"/>
        <v>112.75</v>
      </c>
      <c r="AK110" s="232"/>
    </row>
    <row r="111" spans="3:37" ht="15" customHeight="1">
      <c r="D111" s="232"/>
      <c r="E111" s="876"/>
      <c r="F111" s="877"/>
      <c r="G111" s="877"/>
      <c r="H111" s="877"/>
      <c r="I111" s="877"/>
      <c r="J111" s="877"/>
      <c r="K111" s="877"/>
      <c r="L111" s="877"/>
      <c r="M111" s="877"/>
      <c r="N111" s="877"/>
      <c r="O111" s="877"/>
      <c r="P111" s="877"/>
      <c r="Q111" s="877"/>
      <c r="R111" s="877"/>
      <c r="S111" s="878"/>
      <c r="T111" s="232"/>
      <c r="U111" s="232"/>
      <c r="V111" s="1165"/>
      <c r="W111" s="1161"/>
      <c r="X111" s="1161"/>
      <c r="Y111" s="32">
        <v>4</v>
      </c>
      <c r="Z111" s="14" t="s">
        <v>75</v>
      </c>
      <c r="AA111" s="35">
        <f t="shared" si="6"/>
        <v>1.82</v>
      </c>
      <c r="AB111" s="35">
        <f t="shared" si="7"/>
        <v>50.333333333333336</v>
      </c>
      <c r="AC111" s="35">
        <f t="shared" si="8"/>
        <v>53.416666666666664</v>
      </c>
      <c r="AD111" s="36">
        <f t="shared" si="9"/>
        <v>7.1458333333333348</v>
      </c>
      <c r="AE111" s="35">
        <f t="shared" si="10"/>
        <v>28.00833333333334</v>
      </c>
      <c r="AF111" s="35">
        <f t="shared" si="11"/>
        <v>28.333333333333332</v>
      </c>
      <c r="AG111" s="36">
        <f t="shared" si="12"/>
        <v>2796323.7336051385</v>
      </c>
      <c r="AH111" s="28">
        <f t="shared" si="13"/>
        <v>0.62066666666666659</v>
      </c>
      <c r="AI111" s="28">
        <f t="shared" si="14"/>
        <v>1.2964166666666668</v>
      </c>
      <c r="AJ111" s="659">
        <f t="shared" si="15"/>
        <v>131.16666666666666</v>
      </c>
      <c r="AK111" s="232"/>
    </row>
    <row r="112" spans="3:37" ht="15" customHeight="1">
      <c r="D112" s="232"/>
      <c r="E112" s="876"/>
      <c r="F112" s="877"/>
      <c r="G112" s="877"/>
      <c r="H112" s="877"/>
      <c r="I112" s="877"/>
      <c r="J112" s="877"/>
      <c r="K112" s="877"/>
      <c r="L112" s="877"/>
      <c r="M112" s="877"/>
      <c r="N112" s="877"/>
      <c r="O112" s="877"/>
      <c r="P112" s="877"/>
      <c r="Q112" s="877"/>
      <c r="R112" s="877"/>
      <c r="S112" s="878"/>
      <c r="T112" s="232"/>
      <c r="U112" s="232"/>
      <c r="V112" s="1165"/>
      <c r="W112" s="1161"/>
      <c r="X112" s="1161"/>
      <c r="Y112" s="32">
        <v>5</v>
      </c>
      <c r="Z112" s="14" t="s">
        <v>178</v>
      </c>
      <c r="AA112" s="35">
        <f t="shared" si="6"/>
        <v>2.1549999999999998</v>
      </c>
      <c r="AB112" s="35">
        <f t="shared" si="7"/>
        <v>40.583333333333336</v>
      </c>
      <c r="AC112" s="35">
        <f t="shared" si="8"/>
        <v>35.75</v>
      </c>
      <c r="AD112" s="36">
        <f t="shared" si="9"/>
        <v>7.150833333333332</v>
      </c>
      <c r="AE112" s="35">
        <f t="shared" si="10"/>
        <v>28.025000000000006</v>
      </c>
      <c r="AF112" s="35">
        <f t="shared" si="11"/>
        <v>28.75</v>
      </c>
      <c r="AG112" s="36">
        <f t="shared" si="12"/>
        <v>2681210.7576242797</v>
      </c>
      <c r="AH112" s="28">
        <f t="shared" si="13"/>
        <v>0.60133333333333339</v>
      </c>
      <c r="AI112" s="28">
        <f t="shared" si="14"/>
        <v>0.88408333333333333</v>
      </c>
      <c r="AJ112" s="659">
        <f t="shared" si="15"/>
        <v>104.16666666666667</v>
      </c>
      <c r="AK112" s="232"/>
    </row>
    <row r="113" spans="4:37" ht="15" customHeight="1">
      <c r="D113" s="232"/>
      <c r="E113" s="876"/>
      <c r="F113" s="877"/>
      <c r="G113" s="877"/>
      <c r="H113" s="877"/>
      <c r="I113" s="877"/>
      <c r="J113" s="877"/>
      <c r="K113" s="877"/>
      <c r="L113" s="877"/>
      <c r="M113" s="877"/>
      <c r="N113" s="877"/>
      <c r="O113" s="877"/>
      <c r="P113" s="877"/>
      <c r="Q113" s="877"/>
      <c r="R113" s="877"/>
      <c r="S113" s="878"/>
      <c r="T113" s="232"/>
      <c r="U113" s="232"/>
      <c r="V113" s="862"/>
      <c r="W113" s="848"/>
      <c r="X113" s="848"/>
      <c r="Y113" s="848"/>
      <c r="Z113" s="848"/>
      <c r="AA113" s="848"/>
      <c r="AB113" s="848"/>
      <c r="AC113" s="848"/>
      <c r="AD113" s="848"/>
      <c r="AE113" s="848"/>
      <c r="AF113" s="848"/>
      <c r="AG113" s="848"/>
      <c r="AH113" s="848"/>
      <c r="AI113" s="848"/>
      <c r="AJ113" s="872"/>
      <c r="AK113" s="232"/>
    </row>
    <row r="114" spans="4:37" ht="15" customHeight="1">
      <c r="D114" s="232"/>
      <c r="E114" s="879"/>
      <c r="F114" s="880"/>
      <c r="G114" s="880"/>
      <c r="H114" s="880"/>
      <c r="I114" s="880"/>
      <c r="J114" s="880"/>
      <c r="K114" s="880"/>
      <c r="L114" s="880"/>
      <c r="M114" s="880"/>
      <c r="N114" s="880"/>
      <c r="O114" s="880"/>
      <c r="P114" s="880"/>
      <c r="Q114" s="880"/>
      <c r="R114" s="880"/>
      <c r="S114" s="881"/>
      <c r="T114" s="232"/>
      <c r="U114" s="232"/>
      <c r="V114" s="657" t="s">
        <v>93</v>
      </c>
      <c r="W114" s="1162"/>
      <c r="X114" s="1161"/>
      <c r="Y114" s="1161"/>
      <c r="Z114" s="1161"/>
      <c r="AA114" s="35">
        <f t="shared" ref="AA114:AJ114" si="16">AVERAGE(AA108:AA112)</f>
        <v>2.3230333333333331</v>
      </c>
      <c r="AB114" s="35">
        <f t="shared" si="16"/>
        <v>47.65</v>
      </c>
      <c r="AC114" s="35">
        <f t="shared" si="16"/>
        <v>40.033333333333331</v>
      </c>
      <c r="AD114" s="36">
        <f t="shared" si="16"/>
        <v>7.1709999999999994</v>
      </c>
      <c r="AE114" s="35">
        <f t="shared" si="16"/>
        <v>27.948333333333334</v>
      </c>
      <c r="AF114" s="35">
        <f t="shared" si="16"/>
        <v>26</v>
      </c>
      <c r="AG114" s="36">
        <f t="shared" si="16"/>
        <v>5209933.4748827713</v>
      </c>
      <c r="AH114" s="28">
        <f t="shared" si="16"/>
        <v>0.45205000000000001</v>
      </c>
      <c r="AI114" s="28">
        <f t="shared" si="16"/>
        <v>0.87761666666666649</v>
      </c>
      <c r="AJ114" s="659">
        <f t="shared" si="16"/>
        <v>108.59999999999998</v>
      </c>
      <c r="AK114" s="232"/>
    </row>
    <row r="115" spans="4:37" ht="15" customHeight="1">
      <c r="E115" s="232"/>
      <c r="F115" s="232"/>
      <c r="G115" s="232"/>
      <c r="H115" s="232"/>
      <c r="I115" s="232"/>
      <c r="J115" s="232"/>
      <c r="K115" s="232"/>
      <c r="L115" s="232"/>
      <c r="M115" s="232"/>
      <c r="N115" s="232"/>
      <c r="O115" s="232"/>
      <c r="P115" s="232"/>
      <c r="Q115" s="232"/>
      <c r="R115" s="232"/>
      <c r="S115" s="232"/>
      <c r="U115" s="232"/>
      <c r="V115" s="657" t="s">
        <v>94</v>
      </c>
      <c r="W115" s="1161"/>
      <c r="X115" s="1163"/>
      <c r="Y115" s="1163"/>
      <c r="Z115" s="1161"/>
      <c r="AA115" s="35">
        <f t="shared" ref="AA115:AJ115" si="17">MIN(AA108:AA112)</f>
        <v>1.82</v>
      </c>
      <c r="AB115" s="35">
        <f t="shared" si="17"/>
        <v>27.333333333333332</v>
      </c>
      <c r="AC115" s="35">
        <f t="shared" si="17"/>
        <v>30.333333333333332</v>
      </c>
      <c r="AD115" s="36">
        <f t="shared" si="17"/>
        <v>7.1458333333333348</v>
      </c>
      <c r="AE115" s="35">
        <f t="shared" si="17"/>
        <v>27.833333333333339</v>
      </c>
      <c r="AF115" s="35">
        <f t="shared" si="17"/>
        <v>14.583333333333334</v>
      </c>
      <c r="AG115" s="36">
        <f t="shared" si="17"/>
        <v>2681210.7576242797</v>
      </c>
      <c r="AH115" s="28">
        <f t="shared" si="17"/>
        <v>0.27208333333333334</v>
      </c>
      <c r="AI115" s="28">
        <f t="shared" si="17"/>
        <v>0.4624166666666667</v>
      </c>
      <c r="AJ115" s="659">
        <f t="shared" si="17"/>
        <v>83.333333333333329</v>
      </c>
      <c r="AK115" s="232"/>
    </row>
    <row r="116" spans="4:37" ht="15" customHeight="1">
      <c r="U116" s="232"/>
      <c r="V116" s="657" t="s">
        <v>95</v>
      </c>
      <c r="W116" s="1161"/>
      <c r="X116" s="1163"/>
      <c r="Y116" s="1163"/>
      <c r="Z116" s="1161"/>
      <c r="AA116" s="35">
        <f t="shared" ref="AA116:AJ116" si="18">MAX(AA108:AA112)</f>
        <v>2.8568333333333329</v>
      </c>
      <c r="AB116" s="35">
        <f t="shared" si="18"/>
        <v>68.333333333333329</v>
      </c>
      <c r="AC116" s="35">
        <f t="shared" si="18"/>
        <v>53.416666666666664</v>
      </c>
      <c r="AD116" s="36">
        <f t="shared" si="18"/>
        <v>7.205000000000001</v>
      </c>
      <c r="AE116" s="35">
        <f t="shared" si="18"/>
        <v>28.025000000000006</v>
      </c>
      <c r="AF116" s="35">
        <f t="shared" si="18"/>
        <v>31.666666666666668</v>
      </c>
      <c r="AG116" s="36">
        <f t="shared" si="18"/>
        <v>8529662.4201551601</v>
      </c>
      <c r="AH116" s="28">
        <f t="shared" si="18"/>
        <v>0.62066666666666659</v>
      </c>
      <c r="AI116" s="28">
        <f t="shared" si="18"/>
        <v>1.2964166666666668</v>
      </c>
      <c r="AJ116" s="659">
        <f t="shared" si="18"/>
        <v>131.16666666666666</v>
      </c>
      <c r="AK116" s="232"/>
    </row>
    <row r="117" spans="4:37" ht="15" customHeight="1">
      <c r="U117" s="232"/>
      <c r="V117" s="660" t="s">
        <v>96</v>
      </c>
      <c r="W117" s="1166"/>
      <c r="X117" s="1166"/>
      <c r="Y117" s="1166"/>
      <c r="Z117" s="1166"/>
      <c r="AA117" s="661" t="s">
        <v>97</v>
      </c>
      <c r="AB117" s="661" t="s">
        <v>98</v>
      </c>
      <c r="AC117" s="661" t="s">
        <v>99</v>
      </c>
      <c r="AD117" s="661" t="s">
        <v>100</v>
      </c>
      <c r="AE117" s="661" t="s">
        <v>101</v>
      </c>
      <c r="AF117" s="661" t="s">
        <v>102</v>
      </c>
      <c r="AG117" s="661" t="s">
        <v>103</v>
      </c>
      <c r="AH117" s="661" t="s">
        <v>98</v>
      </c>
      <c r="AI117" s="661" t="s">
        <v>104</v>
      </c>
      <c r="AJ117" s="662" t="s">
        <v>105</v>
      </c>
      <c r="AK117" s="232"/>
    </row>
    <row r="118" spans="4:37" ht="15" customHeight="1">
      <c r="V118" s="232"/>
      <c r="W118" s="232"/>
      <c r="X118" s="232"/>
      <c r="Y118" s="232"/>
      <c r="Z118" s="232"/>
      <c r="AA118" s="232"/>
      <c r="AB118" s="232"/>
      <c r="AC118" s="232"/>
      <c r="AD118" s="232"/>
      <c r="AE118" s="232"/>
      <c r="AF118" s="232"/>
      <c r="AG118" s="232"/>
      <c r="AH118" s="232"/>
      <c r="AI118" s="232"/>
      <c r="AJ118" s="232"/>
    </row>
  </sheetData>
  <mergeCells count="24">
    <mergeCell ref="V90:Z90"/>
    <mergeCell ref="V89:AJ89"/>
    <mergeCell ref="W114:Z117"/>
    <mergeCell ref="AA106:AJ106"/>
    <mergeCell ref="V108:V112"/>
    <mergeCell ref="W108:W112"/>
    <mergeCell ref="V97:AJ97"/>
    <mergeCell ref="V104:AJ104"/>
    <mergeCell ref="V105:AJ105"/>
    <mergeCell ref="V106:Z106"/>
    <mergeCell ref="V113:AJ113"/>
    <mergeCell ref="C1:S1"/>
    <mergeCell ref="C2:S2"/>
    <mergeCell ref="C3:S3"/>
    <mergeCell ref="C4:S4"/>
    <mergeCell ref="C5:S5"/>
    <mergeCell ref="E102:S114"/>
    <mergeCell ref="V88:AJ88"/>
    <mergeCell ref="V92:V96"/>
    <mergeCell ref="W98:Z101"/>
    <mergeCell ref="X108:X112"/>
    <mergeCell ref="AA90:AJ90"/>
    <mergeCell ref="W92:W96"/>
    <mergeCell ref="X92:X96"/>
  </mergeCells>
  <phoneticPr fontId="18" type="noConversion"/>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5623"/>
    <pageSetUpPr fitToPage="1"/>
  </sheetPr>
  <dimension ref="A1:AM87"/>
  <sheetViews>
    <sheetView workbookViewId="0">
      <pane xSplit="2" ySplit="6" topLeftCell="N30" activePane="bottomRight" state="frozen"/>
      <selection pane="bottomRight" activeCell="B7" sqref="B7:S39"/>
      <selection pane="bottomLeft" activeCell="A7" sqref="A7"/>
      <selection pane="topRight" activeCell="C1" sqref="C1"/>
    </sheetView>
  </sheetViews>
  <sheetFormatPr defaultColWidth="14.42578125" defaultRowHeight="15" customHeight="1"/>
  <cols>
    <col min="1" max="1" width="9.140625" customWidth="1"/>
    <col min="2" max="2" width="23.5703125" customWidth="1"/>
    <col min="3" max="3" width="9.140625" customWidth="1"/>
    <col min="4" max="5" width="24" customWidth="1"/>
    <col min="6" max="6" width="14.140625" customWidth="1"/>
    <col min="8" max="8" width="13.85546875" customWidth="1"/>
    <col min="9" max="9" width="14.140625" customWidth="1"/>
    <col min="10" max="10" width="13.140625" customWidth="1"/>
    <col min="11" max="11" width="13" customWidth="1"/>
    <col min="12" max="12" width="11.7109375" customWidth="1"/>
    <col min="13" max="13" width="12.42578125" customWidth="1"/>
    <col min="14" max="15" width="12.5703125" customWidth="1"/>
    <col min="16" max="16" width="13" customWidth="1"/>
    <col min="17" max="17" width="13.140625" customWidth="1"/>
    <col min="18" max="18" width="18.7109375" customWidth="1"/>
    <col min="19" max="19" width="13" customWidth="1"/>
    <col min="20" max="20" width="7.7109375" hidden="1" customWidth="1"/>
    <col min="21" max="23" width="9.140625" customWidth="1"/>
    <col min="24" max="24" width="21.85546875" bestFit="1" customWidth="1"/>
    <col min="25" max="25" width="10.7109375" bestFit="1" customWidth="1"/>
    <col min="26" max="27" width="9.140625" customWidth="1"/>
    <col min="28" max="28" width="26.28515625" bestFit="1" customWidth="1"/>
    <col min="29" max="32" width="9.140625" customWidth="1"/>
  </cols>
  <sheetData>
    <row r="1" spans="1:38">
      <c r="A1" s="138"/>
      <c r="B1" s="93"/>
      <c r="C1" s="868" t="s">
        <v>40</v>
      </c>
      <c r="D1" s="1158"/>
      <c r="E1" s="1158"/>
      <c r="F1" s="1158"/>
      <c r="G1" s="1158"/>
      <c r="H1" s="1158"/>
      <c r="I1" s="1158"/>
      <c r="J1" s="1158"/>
      <c r="K1" s="1158"/>
      <c r="L1" s="1158"/>
      <c r="M1" s="1158"/>
      <c r="N1" s="1158"/>
      <c r="O1" s="1158"/>
      <c r="P1" s="1158"/>
      <c r="Q1" s="1158"/>
      <c r="R1" s="1158"/>
      <c r="S1" s="1158"/>
    </row>
    <row r="2" spans="1:38">
      <c r="A2" s="138"/>
      <c r="B2" s="93"/>
      <c r="C2" s="868" t="s">
        <v>41</v>
      </c>
      <c r="D2" s="1158"/>
      <c r="E2" s="1158"/>
      <c r="F2" s="1158"/>
      <c r="G2" s="1158"/>
      <c r="H2" s="1158"/>
      <c r="I2" s="1158"/>
      <c r="J2" s="1158"/>
      <c r="K2" s="1158"/>
      <c r="L2" s="1158"/>
      <c r="M2" s="1158"/>
      <c r="N2" s="1158"/>
      <c r="O2" s="1158"/>
      <c r="P2" s="1158"/>
      <c r="Q2" s="1158"/>
      <c r="R2" s="1158"/>
      <c r="S2" s="1158"/>
    </row>
    <row r="3" spans="1:38">
      <c r="A3" s="139"/>
      <c r="B3" s="86"/>
      <c r="C3" s="869" t="s">
        <v>42</v>
      </c>
      <c r="D3" s="1159"/>
      <c r="E3" s="1159"/>
      <c r="F3" s="1159"/>
      <c r="G3" s="1159"/>
      <c r="H3" s="1159"/>
      <c r="I3" s="1159"/>
      <c r="J3" s="1159"/>
      <c r="K3" s="1159"/>
      <c r="L3" s="1159"/>
      <c r="M3" s="1159"/>
      <c r="N3" s="1159"/>
      <c r="O3" s="1159"/>
      <c r="P3" s="1159"/>
      <c r="Q3" s="1159"/>
      <c r="R3" s="1159"/>
      <c r="S3" s="1159"/>
    </row>
    <row r="4" spans="1:38">
      <c r="A4" s="140"/>
      <c r="B4" s="141"/>
      <c r="C4" s="870" t="s">
        <v>254</v>
      </c>
      <c r="D4" s="1160"/>
      <c r="E4" s="1160"/>
      <c r="F4" s="1160"/>
      <c r="G4" s="1160"/>
      <c r="H4" s="1160"/>
      <c r="I4" s="1160"/>
      <c r="J4" s="1160"/>
      <c r="K4" s="1160"/>
      <c r="L4" s="1160"/>
      <c r="M4" s="1160"/>
      <c r="N4" s="1160"/>
      <c r="O4" s="1160"/>
      <c r="P4" s="1160"/>
      <c r="Q4" s="1160"/>
      <c r="R4" s="1160"/>
      <c r="S4" s="1160"/>
    </row>
    <row r="5" spans="1:38">
      <c r="A5" s="2"/>
      <c r="B5" s="142"/>
      <c r="C5" s="871" t="s">
        <v>255</v>
      </c>
      <c r="D5" s="1159"/>
      <c r="E5" s="1159"/>
      <c r="F5" s="1159"/>
      <c r="G5" s="1159"/>
      <c r="H5" s="1159"/>
      <c r="I5" s="1159"/>
      <c r="J5" s="1159"/>
      <c r="K5" s="1159"/>
      <c r="L5" s="1159"/>
      <c r="M5" s="1159"/>
      <c r="N5" s="1159"/>
      <c r="O5" s="1159"/>
      <c r="P5" s="1159"/>
      <c r="Q5" s="1159"/>
      <c r="R5" s="1159"/>
      <c r="S5" s="1159"/>
    </row>
    <row r="6" spans="1:38">
      <c r="A6" s="3" t="s">
        <v>45</v>
      </c>
      <c r="B6" s="4" t="s">
        <v>46</v>
      </c>
      <c r="C6" s="4" t="s">
        <v>47</v>
      </c>
      <c r="D6" s="4" t="s">
        <v>48</v>
      </c>
      <c r="E6" s="4" t="s">
        <v>49</v>
      </c>
      <c r="F6" s="459" t="s">
        <v>50</v>
      </c>
      <c r="G6" s="459" t="s">
        <v>51</v>
      </c>
      <c r="H6" s="459" t="s">
        <v>52</v>
      </c>
      <c r="I6" s="459" t="s">
        <v>53</v>
      </c>
      <c r="J6" s="460" t="s">
        <v>54</v>
      </c>
      <c r="K6" s="460" t="s">
        <v>55</v>
      </c>
      <c r="L6" s="460" t="s">
        <v>56</v>
      </c>
      <c r="M6" s="4" t="s">
        <v>57</v>
      </c>
      <c r="N6" s="4" t="s">
        <v>58</v>
      </c>
      <c r="O6" s="4" t="s">
        <v>59</v>
      </c>
      <c r="P6" s="4" t="s">
        <v>60</v>
      </c>
      <c r="Q6" s="4" t="s">
        <v>61</v>
      </c>
      <c r="R6" s="159" t="s">
        <v>62</v>
      </c>
      <c r="S6" s="55" t="s">
        <v>63</v>
      </c>
      <c r="T6" s="253" t="s">
        <v>64</v>
      </c>
    </row>
    <row r="7" spans="1:38">
      <c r="A7" s="144" t="s">
        <v>65</v>
      </c>
      <c r="B7" s="6" t="s">
        <v>66</v>
      </c>
      <c r="C7" s="145">
        <v>1</v>
      </c>
      <c r="D7" s="160" t="s">
        <v>256</v>
      </c>
      <c r="E7" s="160" t="s">
        <v>257</v>
      </c>
      <c r="F7" s="161">
        <v>6.5</v>
      </c>
      <c r="G7" s="161">
        <v>4.24</v>
      </c>
      <c r="H7" s="161">
        <v>6</v>
      </c>
      <c r="I7" s="161">
        <v>5.18</v>
      </c>
      <c r="J7" s="161">
        <v>5.65</v>
      </c>
      <c r="K7" s="161">
        <v>5.0999999999999996</v>
      </c>
      <c r="L7" s="161">
        <v>5.6</v>
      </c>
      <c r="M7" s="161">
        <v>4.32</v>
      </c>
      <c r="N7" s="161">
        <v>5.13</v>
      </c>
      <c r="O7" s="161">
        <v>4.53</v>
      </c>
      <c r="P7" s="161">
        <v>2.85</v>
      </c>
      <c r="Q7" s="161">
        <v>5.01</v>
      </c>
      <c r="R7" s="154">
        <f t="shared" ref="R7:R24" si="0">IFERROR(AVERAGE(F7:Q7), 0)</f>
        <v>5.0091666666666672</v>
      </c>
      <c r="S7" s="8">
        <v>5</v>
      </c>
      <c r="T7" s="248" t="s">
        <v>258</v>
      </c>
      <c r="X7" s="889" t="s">
        <v>70</v>
      </c>
      <c r="Y7" s="890"/>
      <c r="Z7" s="890"/>
      <c r="AA7" s="890"/>
      <c r="AB7" s="890"/>
      <c r="AC7" s="890"/>
      <c r="AD7" s="890"/>
      <c r="AE7" s="890"/>
      <c r="AF7" s="890"/>
      <c r="AG7" s="890"/>
      <c r="AH7" s="890"/>
      <c r="AI7" s="890"/>
      <c r="AJ7" s="890"/>
      <c r="AK7" s="890"/>
      <c r="AL7" s="891"/>
    </row>
    <row r="8" spans="1:38">
      <c r="A8" s="9"/>
      <c r="B8" s="10" t="s">
        <v>66</v>
      </c>
      <c r="C8" s="11">
        <v>2</v>
      </c>
      <c r="D8" s="56" t="s">
        <v>259</v>
      </c>
      <c r="E8" s="56" t="s">
        <v>260</v>
      </c>
      <c r="F8" s="57">
        <v>0.2</v>
      </c>
      <c r="G8" s="57">
        <v>1.35</v>
      </c>
      <c r="H8" s="57">
        <v>0.9</v>
      </c>
      <c r="I8" s="57">
        <v>1.07</v>
      </c>
      <c r="J8" s="57">
        <v>4.6500000000000004</v>
      </c>
      <c r="K8" s="57">
        <v>6</v>
      </c>
      <c r="L8" s="57">
        <v>2.6</v>
      </c>
      <c r="M8" s="57">
        <v>3.25</v>
      </c>
      <c r="N8" s="57">
        <v>3.18</v>
      </c>
      <c r="O8" s="57">
        <v>3.58</v>
      </c>
      <c r="P8" s="57">
        <v>3.83</v>
      </c>
      <c r="Q8" s="57">
        <v>2.61</v>
      </c>
      <c r="R8" s="13">
        <f t="shared" si="0"/>
        <v>2.7683333333333331</v>
      </c>
      <c r="S8" s="14">
        <v>5</v>
      </c>
      <c r="T8" s="248" t="s">
        <v>261</v>
      </c>
      <c r="X8" s="889" t="s">
        <v>74</v>
      </c>
      <c r="Y8" s="890"/>
      <c r="Z8" s="890"/>
      <c r="AA8" s="890"/>
      <c r="AB8" s="890"/>
      <c r="AC8" s="890"/>
      <c r="AD8" s="890"/>
      <c r="AE8" s="890"/>
      <c r="AF8" s="890"/>
      <c r="AG8" s="890"/>
      <c r="AH8" s="890"/>
      <c r="AI8" s="890"/>
      <c r="AJ8" s="890"/>
      <c r="AK8" s="890"/>
      <c r="AL8" s="891"/>
    </row>
    <row r="9" spans="1:38">
      <c r="A9" s="9"/>
      <c r="B9" s="10" t="s">
        <v>66</v>
      </c>
      <c r="C9" s="11">
        <v>3</v>
      </c>
      <c r="D9" s="56" t="s">
        <v>262</v>
      </c>
      <c r="E9" s="56" t="s">
        <v>263</v>
      </c>
      <c r="F9" s="57">
        <v>1.4</v>
      </c>
      <c r="G9" s="57">
        <v>1.92</v>
      </c>
      <c r="H9" s="57">
        <v>2.52</v>
      </c>
      <c r="I9" s="57">
        <v>3.01</v>
      </c>
      <c r="J9" s="57">
        <v>4.3499999999999996</v>
      </c>
      <c r="K9" s="57">
        <v>5.45</v>
      </c>
      <c r="L9" s="57">
        <v>4.03</v>
      </c>
      <c r="M9" s="57">
        <v>5.0999999999999996</v>
      </c>
      <c r="N9" s="57">
        <v>4.21</v>
      </c>
      <c r="O9" s="57">
        <v>5.65</v>
      </c>
      <c r="P9" s="57">
        <v>4.1500000000000004</v>
      </c>
      <c r="Q9" s="57">
        <v>3.53</v>
      </c>
      <c r="R9" s="13">
        <f t="shared" si="0"/>
        <v>3.7766666666666668</v>
      </c>
      <c r="S9" s="14">
        <v>5</v>
      </c>
      <c r="T9" s="248" t="s">
        <v>264</v>
      </c>
      <c r="X9" s="844"/>
      <c r="Y9" s="845"/>
      <c r="Z9" s="845"/>
      <c r="AA9" s="845"/>
      <c r="AB9" s="846"/>
      <c r="AC9" s="844" t="s">
        <v>78</v>
      </c>
      <c r="AD9" s="845"/>
      <c r="AE9" s="845"/>
      <c r="AF9" s="845"/>
      <c r="AG9" s="845"/>
      <c r="AH9" s="845"/>
      <c r="AI9" s="845"/>
      <c r="AJ9" s="845"/>
      <c r="AK9" s="845"/>
      <c r="AL9" s="846"/>
    </row>
    <row r="10" spans="1:38">
      <c r="A10" s="9"/>
      <c r="B10" s="149" t="s">
        <v>91</v>
      </c>
      <c r="C10" s="15">
        <v>1</v>
      </c>
      <c r="D10" s="160" t="s">
        <v>256</v>
      </c>
      <c r="E10" s="160" t="s">
        <v>257</v>
      </c>
      <c r="F10" s="162">
        <v>13</v>
      </c>
      <c r="G10" s="162">
        <v>6</v>
      </c>
      <c r="H10" s="162">
        <v>36</v>
      </c>
      <c r="I10" s="162">
        <v>19</v>
      </c>
      <c r="J10" s="162">
        <v>9</v>
      </c>
      <c r="K10" s="162">
        <v>18</v>
      </c>
      <c r="L10" s="162">
        <v>13</v>
      </c>
      <c r="M10" s="161">
        <v>20</v>
      </c>
      <c r="N10" s="162">
        <v>21</v>
      </c>
      <c r="O10" s="162">
        <v>5</v>
      </c>
      <c r="P10" s="162">
        <v>21</v>
      </c>
      <c r="Q10" s="162">
        <v>14</v>
      </c>
      <c r="R10" s="163">
        <f t="shared" si="0"/>
        <v>16.25</v>
      </c>
      <c r="S10" s="8">
        <v>7</v>
      </c>
      <c r="T10" s="248" t="s">
        <v>258</v>
      </c>
      <c r="X10" s="14" t="s">
        <v>82</v>
      </c>
      <c r="Y10" s="14" t="s">
        <v>83</v>
      </c>
      <c r="Z10" s="14" t="s">
        <v>84</v>
      </c>
      <c r="AA10" s="14" t="s">
        <v>85</v>
      </c>
      <c r="AB10" s="14" t="s">
        <v>86</v>
      </c>
      <c r="AC10" s="14" t="s">
        <v>4</v>
      </c>
      <c r="AD10" s="14" t="s">
        <v>5</v>
      </c>
      <c r="AE10" s="14" t="s">
        <v>6</v>
      </c>
      <c r="AF10" s="14" t="s">
        <v>7</v>
      </c>
      <c r="AG10" s="14" t="s">
        <v>8</v>
      </c>
      <c r="AH10" s="14" t="s">
        <v>9</v>
      </c>
      <c r="AI10" s="14" t="s">
        <v>10</v>
      </c>
      <c r="AJ10" s="14" t="s">
        <v>11</v>
      </c>
      <c r="AK10" s="14" t="s">
        <v>12</v>
      </c>
      <c r="AL10" s="14" t="s">
        <v>13</v>
      </c>
    </row>
    <row r="11" spans="1:38">
      <c r="A11" s="9"/>
      <c r="B11" s="150" t="s">
        <v>91</v>
      </c>
      <c r="C11" s="11">
        <v>2</v>
      </c>
      <c r="D11" s="56" t="s">
        <v>259</v>
      </c>
      <c r="E11" s="56" t="s">
        <v>260</v>
      </c>
      <c r="F11" s="12">
        <v>11</v>
      </c>
      <c r="G11" s="12">
        <v>16</v>
      </c>
      <c r="H11" s="12">
        <v>22</v>
      </c>
      <c r="I11" s="12">
        <v>17</v>
      </c>
      <c r="J11" s="12">
        <v>23</v>
      </c>
      <c r="K11" s="12">
        <v>16</v>
      </c>
      <c r="L11" s="12">
        <v>33</v>
      </c>
      <c r="M11" s="57">
        <v>27</v>
      </c>
      <c r="N11" s="12">
        <v>92</v>
      </c>
      <c r="O11" s="12">
        <v>13</v>
      </c>
      <c r="P11" s="12">
        <v>25</v>
      </c>
      <c r="Q11" s="12">
        <v>36</v>
      </c>
      <c r="R11" s="16">
        <f t="shared" si="0"/>
        <v>27.583333333333332</v>
      </c>
      <c r="S11" s="14">
        <v>7</v>
      </c>
      <c r="T11" s="248" t="s">
        <v>261</v>
      </c>
      <c r="X11" s="886" t="s">
        <v>265</v>
      </c>
      <c r="Y11" s="886" t="s">
        <v>254</v>
      </c>
      <c r="Z11" s="883" t="s">
        <v>16</v>
      </c>
      <c r="AA11" s="32">
        <v>1</v>
      </c>
      <c r="AB11" s="14" t="s">
        <v>262</v>
      </c>
      <c r="AC11" s="33">
        <f>AVERAGE(F7:K7)</f>
        <v>5.4450000000000003</v>
      </c>
      <c r="AD11" s="33">
        <f>AVERAGE(F10:K10)</f>
        <v>16.833333333333332</v>
      </c>
      <c r="AE11" s="33">
        <f>AVERAGE(F13:K13)</f>
        <v>18.416666666666668</v>
      </c>
      <c r="AF11" s="33">
        <f>AVERAGE(F16:K16)</f>
        <v>7.2299999999999995</v>
      </c>
      <c r="AG11" s="33">
        <f>AVERAGE(F19:K19)</f>
        <v>28.578333333333333</v>
      </c>
      <c r="AH11" s="33">
        <f>AVERAGE(F22:K22)</f>
        <v>18.333333333333332</v>
      </c>
      <c r="AI11" s="33">
        <f>GEOMEAN(F25:K25)</f>
        <v>142746.99799446101</v>
      </c>
      <c r="AJ11" s="34">
        <f>AVERAGE(F28:K28)</f>
        <v>0.59933333333333327</v>
      </c>
      <c r="AK11" s="34">
        <f>AVERAGE(F31:K31)</f>
        <v>0.67766666666666675</v>
      </c>
      <c r="AL11" s="33">
        <f>AVERAGE(F34:K34)</f>
        <v>155.33333333333334</v>
      </c>
    </row>
    <row r="12" spans="1:38">
      <c r="A12" s="9"/>
      <c r="B12" s="150" t="s">
        <v>91</v>
      </c>
      <c r="C12" s="11">
        <v>3</v>
      </c>
      <c r="D12" s="56" t="s">
        <v>262</v>
      </c>
      <c r="E12" s="56" t="s">
        <v>263</v>
      </c>
      <c r="F12" s="12">
        <v>8</v>
      </c>
      <c r="G12" s="12">
        <v>12</v>
      </c>
      <c r="H12" s="12">
        <v>6</v>
      </c>
      <c r="I12" s="12">
        <v>7</v>
      </c>
      <c r="J12" s="12">
        <v>6</v>
      </c>
      <c r="K12" s="12">
        <v>20</v>
      </c>
      <c r="L12" s="12">
        <v>7</v>
      </c>
      <c r="M12" s="57">
        <v>6</v>
      </c>
      <c r="N12" s="12">
        <v>8</v>
      </c>
      <c r="O12" s="12">
        <v>11</v>
      </c>
      <c r="P12" s="12">
        <v>6</v>
      </c>
      <c r="Q12" s="12">
        <v>12</v>
      </c>
      <c r="R12" s="16">
        <f t="shared" si="0"/>
        <v>9.0833333333333339</v>
      </c>
      <c r="S12" s="14">
        <v>7</v>
      </c>
      <c r="T12" s="248" t="s">
        <v>264</v>
      </c>
      <c r="X12" s="887"/>
      <c r="Y12" s="887"/>
      <c r="Z12" s="884"/>
      <c r="AA12" s="32">
        <v>2</v>
      </c>
      <c r="AB12" s="14" t="s">
        <v>259</v>
      </c>
      <c r="AC12" s="33">
        <f>AVERAGE(F8:K8)</f>
        <v>2.3616666666666668</v>
      </c>
      <c r="AD12" s="33">
        <f>AVERAGE(F11:K11)</f>
        <v>17.5</v>
      </c>
      <c r="AE12" s="33">
        <f>AVERAGE(F14:K14)</f>
        <v>47</v>
      </c>
      <c r="AF12" s="33">
        <f>AVERAGE(F17:K17)</f>
        <v>7.0549999999999997</v>
      </c>
      <c r="AG12" s="33">
        <f>AVERAGE(F20:K20)</f>
        <v>28.5</v>
      </c>
      <c r="AH12" s="33">
        <f>AVERAGE(F23:K23)</f>
        <v>13.333333333333334</v>
      </c>
      <c r="AI12" s="33">
        <f>GEOMEAN(F26:K26)</f>
        <v>102963.70672354345</v>
      </c>
      <c r="AJ12" s="34">
        <f>AVERAGE(F29:K29)</f>
        <v>0.49249999999999999</v>
      </c>
      <c r="AK12" s="34">
        <f>AVERAGE(F32:K32)</f>
        <v>0.57916666666666672</v>
      </c>
      <c r="AL12" s="33">
        <f>AVERAGE(F35:K35)</f>
        <v>2945.3333333333335</v>
      </c>
    </row>
    <row r="13" spans="1:38">
      <c r="A13" s="9"/>
      <c r="B13" s="149" t="s">
        <v>92</v>
      </c>
      <c r="C13" s="15">
        <v>1</v>
      </c>
      <c r="D13" s="160" t="s">
        <v>256</v>
      </c>
      <c r="E13" s="160" t="s">
        <v>257</v>
      </c>
      <c r="F13" s="162">
        <v>22</v>
      </c>
      <c r="G13" s="162">
        <v>2.5</v>
      </c>
      <c r="H13" s="162">
        <v>35</v>
      </c>
      <c r="I13" s="162">
        <v>13</v>
      </c>
      <c r="J13" s="162">
        <v>25</v>
      </c>
      <c r="K13" s="162">
        <v>13</v>
      </c>
      <c r="L13" s="162">
        <v>49</v>
      </c>
      <c r="M13" s="162">
        <v>77</v>
      </c>
      <c r="N13" s="162">
        <v>15</v>
      </c>
      <c r="O13" s="162">
        <v>26</v>
      </c>
      <c r="P13" s="162">
        <v>26</v>
      </c>
      <c r="Q13" s="162">
        <v>42</v>
      </c>
      <c r="R13" s="154">
        <f t="shared" si="0"/>
        <v>28.791666666666668</v>
      </c>
      <c r="S13" s="8">
        <v>80</v>
      </c>
      <c r="T13" s="248" t="s">
        <v>258</v>
      </c>
      <c r="X13" s="888"/>
      <c r="Y13" s="888"/>
      <c r="Z13" s="885"/>
      <c r="AA13" s="32">
        <v>3</v>
      </c>
      <c r="AB13" s="14" t="s">
        <v>256</v>
      </c>
      <c r="AC13" s="33">
        <f>AVERAGE(F9:K9)</f>
        <v>3.1083333333333329</v>
      </c>
      <c r="AD13" s="33">
        <f>AVERAGE(F12:K12)</f>
        <v>9.8333333333333339</v>
      </c>
      <c r="AE13" s="33">
        <f>AVERAGE(F15:K15)</f>
        <v>48.5</v>
      </c>
      <c r="AF13" s="33">
        <f>AVERAGE(F18:K18)</f>
        <v>7.0350000000000001</v>
      </c>
      <c r="AG13" s="33">
        <f>AVERAGE(F21:K21)</f>
        <v>28.516666666666669</v>
      </c>
      <c r="AH13" s="33">
        <f>AVERAGE(F24:K24)</f>
        <v>10.833333333333334</v>
      </c>
      <c r="AI13" s="33">
        <f>GEOMEAN(F27:K27)</f>
        <v>72670.058026602157</v>
      </c>
      <c r="AJ13" s="34">
        <f>AVERAGE(F30:K30)</f>
        <v>0.47350000000000003</v>
      </c>
      <c r="AK13" s="34">
        <f>AVERAGE(F33:K33)</f>
        <v>0.41883333333333334</v>
      </c>
      <c r="AL13" s="33">
        <f>AVERAGE(F36:K36)</f>
        <v>2506.6666666666665</v>
      </c>
    </row>
    <row r="14" spans="1:38">
      <c r="A14" s="9"/>
      <c r="B14" s="150" t="s">
        <v>92</v>
      </c>
      <c r="C14" s="11">
        <v>2</v>
      </c>
      <c r="D14" s="56" t="s">
        <v>259</v>
      </c>
      <c r="E14" s="56" t="s">
        <v>260</v>
      </c>
      <c r="F14" s="12">
        <v>15</v>
      </c>
      <c r="G14" s="12">
        <v>27</v>
      </c>
      <c r="H14" s="12">
        <v>47</v>
      </c>
      <c r="I14" s="12">
        <v>16</v>
      </c>
      <c r="J14" s="12">
        <v>127</v>
      </c>
      <c r="K14" s="12">
        <v>50</v>
      </c>
      <c r="L14" s="12">
        <v>57</v>
      </c>
      <c r="M14" s="12">
        <v>72</v>
      </c>
      <c r="N14" s="12">
        <v>19</v>
      </c>
      <c r="O14" s="12">
        <v>33</v>
      </c>
      <c r="P14" s="12">
        <v>33</v>
      </c>
      <c r="Q14" s="12">
        <v>68</v>
      </c>
      <c r="R14" s="13">
        <f t="shared" si="0"/>
        <v>47</v>
      </c>
      <c r="S14" s="14">
        <v>80</v>
      </c>
      <c r="T14" s="248" t="s">
        <v>261</v>
      </c>
      <c r="X14" s="844"/>
      <c r="Y14" s="845"/>
      <c r="Z14" s="845"/>
      <c r="AA14" s="845"/>
      <c r="AB14" s="845"/>
      <c r="AC14" s="845"/>
      <c r="AD14" s="845"/>
      <c r="AE14" s="845"/>
      <c r="AF14" s="845"/>
      <c r="AG14" s="845"/>
      <c r="AH14" s="845"/>
      <c r="AI14" s="845"/>
      <c r="AJ14" s="845"/>
      <c r="AK14" s="845"/>
      <c r="AL14" s="846"/>
    </row>
    <row r="15" spans="1:38">
      <c r="A15" s="9"/>
      <c r="B15" s="150" t="s">
        <v>92</v>
      </c>
      <c r="C15" s="11">
        <v>3</v>
      </c>
      <c r="D15" s="56" t="s">
        <v>262</v>
      </c>
      <c r="E15" s="56" t="s">
        <v>263</v>
      </c>
      <c r="F15" s="12">
        <v>31</v>
      </c>
      <c r="G15" s="12">
        <v>30</v>
      </c>
      <c r="H15" s="12">
        <v>89</v>
      </c>
      <c r="I15" s="12">
        <v>20</v>
      </c>
      <c r="J15" s="12">
        <v>74</v>
      </c>
      <c r="K15" s="12">
        <v>47</v>
      </c>
      <c r="L15" s="12">
        <v>51</v>
      </c>
      <c r="M15" s="12">
        <v>78</v>
      </c>
      <c r="N15" s="12">
        <v>16</v>
      </c>
      <c r="O15" s="12">
        <v>32</v>
      </c>
      <c r="P15" s="12">
        <v>22</v>
      </c>
      <c r="Q15" s="12">
        <v>33</v>
      </c>
      <c r="R15" s="13">
        <f t="shared" si="0"/>
        <v>43.583333333333336</v>
      </c>
      <c r="S15" s="14">
        <v>80</v>
      </c>
      <c r="T15" s="248" t="s">
        <v>264</v>
      </c>
      <c r="X15" s="14" t="s">
        <v>93</v>
      </c>
      <c r="Y15" s="1167"/>
      <c r="Z15" s="1168"/>
      <c r="AA15" s="1168"/>
      <c r="AB15" s="1169"/>
      <c r="AC15" s="33">
        <f t="shared" ref="AC15:AL15" si="1">AVERAGE(AC11:AC13)</f>
        <v>3.6383333333333332</v>
      </c>
      <c r="AD15" s="33">
        <f t="shared" si="1"/>
        <v>14.722222222222221</v>
      </c>
      <c r="AE15" s="33">
        <f t="shared" si="1"/>
        <v>37.972222222222221</v>
      </c>
      <c r="AF15" s="33">
        <f t="shared" si="1"/>
        <v>7.1066666666666665</v>
      </c>
      <c r="AG15" s="33">
        <f t="shared" si="1"/>
        <v>28.531666666666666</v>
      </c>
      <c r="AH15" s="33">
        <f t="shared" si="1"/>
        <v>14.166666666666666</v>
      </c>
      <c r="AI15" s="33">
        <f t="shared" si="1"/>
        <v>106126.92091486887</v>
      </c>
      <c r="AJ15" s="34">
        <f t="shared" si="1"/>
        <v>0.52177777777777778</v>
      </c>
      <c r="AK15" s="34">
        <f t="shared" si="1"/>
        <v>0.55855555555555558</v>
      </c>
      <c r="AL15" s="33">
        <f t="shared" si="1"/>
        <v>1869.1111111111113</v>
      </c>
    </row>
    <row r="16" spans="1:38">
      <c r="A16" s="9"/>
      <c r="B16" s="149" t="s">
        <v>7</v>
      </c>
      <c r="C16" s="15">
        <v>1</v>
      </c>
      <c r="D16" s="160" t="s">
        <v>256</v>
      </c>
      <c r="E16" s="160" t="s">
        <v>257</v>
      </c>
      <c r="F16" s="162">
        <v>7.1</v>
      </c>
      <c r="G16" s="162">
        <v>7.3</v>
      </c>
      <c r="H16" s="162">
        <v>7.5</v>
      </c>
      <c r="I16" s="162">
        <v>7.18</v>
      </c>
      <c r="J16" s="162">
        <v>7.3</v>
      </c>
      <c r="K16" s="162">
        <v>7</v>
      </c>
      <c r="L16" s="162">
        <v>7.18</v>
      </c>
      <c r="M16" s="162">
        <v>7.21</v>
      </c>
      <c r="N16" s="162">
        <v>7.75</v>
      </c>
      <c r="O16" s="162">
        <v>7.85</v>
      </c>
      <c r="P16" s="162">
        <v>7.1</v>
      </c>
      <c r="Q16" s="162">
        <v>7.59</v>
      </c>
      <c r="R16" s="154">
        <f t="shared" si="0"/>
        <v>7.338333333333332</v>
      </c>
      <c r="S16" s="17" t="s">
        <v>106</v>
      </c>
      <c r="T16" s="248" t="s">
        <v>258</v>
      </c>
      <c r="X16" s="14" t="s">
        <v>94</v>
      </c>
      <c r="Y16" s="1170"/>
      <c r="Z16" s="1171"/>
      <c r="AA16" s="1171"/>
      <c r="AB16" s="1172"/>
      <c r="AC16" s="33">
        <f t="shared" ref="AC16:AL16" si="2">MIN(AC11:AC13)</f>
        <v>2.3616666666666668</v>
      </c>
      <c r="AD16" s="33">
        <f t="shared" si="2"/>
        <v>9.8333333333333339</v>
      </c>
      <c r="AE16" s="33">
        <f t="shared" si="2"/>
        <v>18.416666666666668</v>
      </c>
      <c r="AF16" s="33">
        <f t="shared" si="2"/>
        <v>7.0350000000000001</v>
      </c>
      <c r="AG16" s="33">
        <f t="shared" si="2"/>
        <v>28.5</v>
      </c>
      <c r="AH16" s="33">
        <f t="shared" si="2"/>
        <v>10.833333333333334</v>
      </c>
      <c r="AI16" s="33">
        <f t="shared" si="2"/>
        <v>72670.058026602157</v>
      </c>
      <c r="AJ16" s="34">
        <f t="shared" si="2"/>
        <v>0.47350000000000003</v>
      </c>
      <c r="AK16" s="34">
        <f t="shared" si="2"/>
        <v>0.41883333333333334</v>
      </c>
      <c r="AL16" s="33">
        <f t="shared" si="2"/>
        <v>155.33333333333334</v>
      </c>
    </row>
    <row r="17" spans="1:39">
      <c r="A17" s="9"/>
      <c r="B17" s="150" t="s">
        <v>7</v>
      </c>
      <c r="C17" s="11">
        <v>2</v>
      </c>
      <c r="D17" s="56" t="s">
        <v>259</v>
      </c>
      <c r="E17" s="56" t="s">
        <v>260</v>
      </c>
      <c r="F17" s="12">
        <v>7</v>
      </c>
      <c r="G17" s="12">
        <v>7.11</v>
      </c>
      <c r="H17" s="12">
        <v>7</v>
      </c>
      <c r="I17" s="12">
        <v>7.01</v>
      </c>
      <c r="J17" s="12">
        <v>7.21</v>
      </c>
      <c r="K17" s="12">
        <v>7</v>
      </c>
      <c r="L17" s="12">
        <v>7.01</v>
      </c>
      <c r="M17" s="12">
        <v>7.01</v>
      </c>
      <c r="N17" s="12">
        <v>7.65</v>
      </c>
      <c r="O17" s="12">
        <v>7.61</v>
      </c>
      <c r="P17" s="12">
        <v>7.38</v>
      </c>
      <c r="Q17" s="12">
        <v>7.38</v>
      </c>
      <c r="R17" s="13">
        <f t="shared" si="0"/>
        <v>7.1974999999999989</v>
      </c>
      <c r="S17" s="18" t="s">
        <v>106</v>
      </c>
      <c r="T17" s="248" t="s">
        <v>261</v>
      </c>
      <c r="X17" s="14" t="s">
        <v>95</v>
      </c>
      <c r="Y17" s="1170"/>
      <c r="Z17" s="1171"/>
      <c r="AA17" s="1171"/>
      <c r="AB17" s="1172"/>
      <c r="AC17" s="33">
        <f t="shared" ref="AC17:AL17" si="3">MAX(AC11:AC13)</f>
        <v>5.4450000000000003</v>
      </c>
      <c r="AD17" s="33">
        <f t="shared" si="3"/>
        <v>17.5</v>
      </c>
      <c r="AE17" s="33">
        <f t="shared" si="3"/>
        <v>48.5</v>
      </c>
      <c r="AF17" s="33">
        <f t="shared" si="3"/>
        <v>7.2299999999999995</v>
      </c>
      <c r="AG17" s="33">
        <f t="shared" si="3"/>
        <v>28.578333333333333</v>
      </c>
      <c r="AH17" s="33">
        <f t="shared" si="3"/>
        <v>18.333333333333332</v>
      </c>
      <c r="AI17" s="33">
        <f t="shared" si="3"/>
        <v>142746.99799446101</v>
      </c>
      <c r="AJ17" s="34">
        <f t="shared" si="3"/>
        <v>0.59933333333333327</v>
      </c>
      <c r="AK17" s="34">
        <f t="shared" si="3"/>
        <v>0.67766666666666675</v>
      </c>
      <c r="AL17" s="33">
        <f t="shared" si="3"/>
        <v>2945.3333333333335</v>
      </c>
    </row>
    <row r="18" spans="1:39">
      <c r="A18" s="9"/>
      <c r="B18" s="150" t="s">
        <v>7</v>
      </c>
      <c r="C18" s="11">
        <v>3</v>
      </c>
      <c r="D18" s="56" t="s">
        <v>262</v>
      </c>
      <c r="E18" s="56" t="s">
        <v>263</v>
      </c>
      <c r="F18" s="12">
        <v>6.9</v>
      </c>
      <c r="G18" s="12">
        <v>7.02</v>
      </c>
      <c r="H18" s="12">
        <v>6.98</v>
      </c>
      <c r="I18" s="12">
        <v>7.12</v>
      </c>
      <c r="J18" s="12">
        <v>7.19</v>
      </c>
      <c r="K18" s="12">
        <v>7</v>
      </c>
      <c r="L18" s="12">
        <v>7.15</v>
      </c>
      <c r="M18" s="12">
        <v>7.18</v>
      </c>
      <c r="N18" s="12">
        <v>7.75</v>
      </c>
      <c r="O18" s="12">
        <v>7.78</v>
      </c>
      <c r="P18" s="12">
        <v>7.35</v>
      </c>
      <c r="Q18" s="12">
        <v>7.63</v>
      </c>
      <c r="R18" s="13">
        <f t="shared" si="0"/>
        <v>7.2541666666666655</v>
      </c>
      <c r="S18" s="18" t="s">
        <v>106</v>
      </c>
      <c r="T18" s="248" t="s">
        <v>264</v>
      </c>
      <c r="X18" s="14" t="s">
        <v>96</v>
      </c>
      <c r="Y18" s="1173"/>
      <c r="Z18" s="1174"/>
      <c r="AA18" s="1174"/>
      <c r="AB18" s="1175"/>
      <c r="AC18" s="29" t="s">
        <v>97</v>
      </c>
      <c r="AD18" s="29" t="s">
        <v>98</v>
      </c>
      <c r="AE18" s="29" t="s">
        <v>99</v>
      </c>
      <c r="AF18" s="29" t="s">
        <v>100</v>
      </c>
      <c r="AG18" s="29" t="s">
        <v>101</v>
      </c>
      <c r="AH18" s="29" t="s">
        <v>102</v>
      </c>
      <c r="AI18" s="29" t="s">
        <v>103</v>
      </c>
      <c r="AJ18" s="29" t="s">
        <v>98</v>
      </c>
      <c r="AK18" s="29" t="s">
        <v>104</v>
      </c>
      <c r="AL18" s="29" t="s">
        <v>105</v>
      </c>
    </row>
    <row r="19" spans="1:39">
      <c r="A19" s="9"/>
      <c r="B19" s="149" t="s">
        <v>108</v>
      </c>
      <c r="C19" s="15">
        <v>1</v>
      </c>
      <c r="D19" s="160" t="s">
        <v>256</v>
      </c>
      <c r="E19" s="160" t="s">
        <v>257</v>
      </c>
      <c r="F19" s="162">
        <v>27.3</v>
      </c>
      <c r="G19" s="162">
        <v>27.3</v>
      </c>
      <c r="H19" s="162">
        <v>28.9</v>
      </c>
      <c r="I19" s="162">
        <v>28.7</v>
      </c>
      <c r="J19" s="162">
        <v>29.4</v>
      </c>
      <c r="K19" s="162">
        <v>29.87</v>
      </c>
      <c r="L19" s="162">
        <v>30.1</v>
      </c>
      <c r="M19" s="162">
        <v>28.9</v>
      </c>
      <c r="N19" s="162">
        <v>29.8</v>
      </c>
      <c r="O19" s="162">
        <v>31.1</v>
      </c>
      <c r="P19" s="162">
        <v>29.1</v>
      </c>
      <c r="Q19" s="162">
        <v>29.1</v>
      </c>
      <c r="R19" s="154">
        <f t="shared" si="0"/>
        <v>29.130833333333339</v>
      </c>
      <c r="S19" s="17" t="s">
        <v>109</v>
      </c>
      <c r="T19" s="248" t="s">
        <v>258</v>
      </c>
      <c r="X19" s="243"/>
      <c r="Y19" s="243"/>
      <c r="Z19" s="243"/>
      <c r="AA19" s="243"/>
      <c r="AB19" s="243"/>
      <c r="AC19" s="243"/>
      <c r="AD19" s="243"/>
      <c r="AE19" s="243"/>
      <c r="AF19" s="243"/>
      <c r="AG19" s="243"/>
      <c r="AH19" s="243"/>
      <c r="AI19" s="243"/>
      <c r="AJ19" s="243"/>
      <c r="AK19" s="243"/>
      <c r="AL19" s="243"/>
    </row>
    <row r="20" spans="1:39">
      <c r="A20" s="9"/>
      <c r="B20" s="150" t="s">
        <v>108</v>
      </c>
      <c r="C20" s="11">
        <v>2</v>
      </c>
      <c r="D20" s="56" t="s">
        <v>259</v>
      </c>
      <c r="E20" s="56" t="s">
        <v>260</v>
      </c>
      <c r="F20" s="12">
        <v>27.1</v>
      </c>
      <c r="G20" s="12">
        <v>26.9</v>
      </c>
      <c r="H20" s="12">
        <v>28.9</v>
      </c>
      <c r="I20" s="12">
        <v>29.1</v>
      </c>
      <c r="J20" s="12">
        <v>29.3</v>
      </c>
      <c r="K20" s="12">
        <v>29.7</v>
      </c>
      <c r="L20" s="12">
        <v>29.8</v>
      </c>
      <c r="M20" s="12">
        <v>29.1</v>
      </c>
      <c r="N20" s="12">
        <v>29.4</v>
      </c>
      <c r="O20" s="12">
        <v>31.1</v>
      </c>
      <c r="P20" s="12">
        <v>29.1</v>
      </c>
      <c r="Q20" s="12">
        <v>29.1</v>
      </c>
      <c r="R20" s="13">
        <f t="shared" si="0"/>
        <v>29.050000000000008</v>
      </c>
      <c r="S20" s="18" t="s">
        <v>109</v>
      </c>
      <c r="T20" s="248" t="s">
        <v>261</v>
      </c>
      <c r="X20" s="243"/>
      <c r="Y20" s="243"/>
      <c r="Z20" s="243"/>
      <c r="AA20" s="243"/>
      <c r="AB20" s="243"/>
      <c r="AC20" s="243"/>
      <c r="AD20" s="243"/>
      <c r="AE20" s="243"/>
      <c r="AF20" s="243"/>
      <c r="AG20" s="243"/>
      <c r="AH20" s="243"/>
      <c r="AI20" s="243"/>
      <c r="AJ20" s="243"/>
      <c r="AK20" s="243"/>
      <c r="AL20" s="243"/>
    </row>
    <row r="21" spans="1:39" ht="15.75" customHeight="1">
      <c r="A21" s="9"/>
      <c r="B21" s="150" t="s">
        <v>108</v>
      </c>
      <c r="C21" s="11">
        <v>3</v>
      </c>
      <c r="D21" s="56" t="s">
        <v>262</v>
      </c>
      <c r="E21" s="56" t="s">
        <v>263</v>
      </c>
      <c r="F21" s="12">
        <v>27</v>
      </c>
      <c r="G21" s="12">
        <v>27.3</v>
      </c>
      <c r="H21" s="12">
        <v>29.1</v>
      </c>
      <c r="I21" s="12">
        <v>29.2</v>
      </c>
      <c r="J21" s="12">
        <v>29.1</v>
      </c>
      <c r="K21" s="12">
        <v>29.4</v>
      </c>
      <c r="L21" s="12">
        <v>29.7</v>
      </c>
      <c r="M21" s="12">
        <v>29.8</v>
      </c>
      <c r="N21" s="12">
        <v>30</v>
      </c>
      <c r="O21" s="12">
        <v>31.4</v>
      </c>
      <c r="P21" s="12">
        <v>29.1</v>
      </c>
      <c r="Q21" s="12">
        <v>29.2</v>
      </c>
      <c r="R21" s="13">
        <f t="shared" si="0"/>
        <v>29.191666666666666</v>
      </c>
      <c r="S21" s="18" t="s">
        <v>109</v>
      </c>
      <c r="T21" s="248" t="s">
        <v>264</v>
      </c>
      <c r="W21" s="232"/>
      <c r="X21" s="849" t="s">
        <v>70</v>
      </c>
      <c r="Y21" s="850"/>
      <c r="Z21" s="850"/>
      <c r="AA21" s="850"/>
      <c r="AB21" s="850"/>
      <c r="AC21" s="850"/>
      <c r="AD21" s="850"/>
      <c r="AE21" s="850"/>
      <c r="AF21" s="850"/>
      <c r="AG21" s="850"/>
      <c r="AH21" s="850"/>
      <c r="AI21" s="850"/>
      <c r="AJ21" s="850"/>
      <c r="AK21" s="850"/>
      <c r="AL21" s="851"/>
      <c r="AM21" s="232"/>
    </row>
    <row r="22" spans="1:39" ht="15.75" customHeight="1">
      <c r="A22" s="9"/>
      <c r="B22" s="149" t="s">
        <v>110</v>
      </c>
      <c r="C22" s="15">
        <v>1</v>
      </c>
      <c r="D22" s="160" t="s">
        <v>256</v>
      </c>
      <c r="E22" s="160" t="s">
        <v>257</v>
      </c>
      <c r="F22" s="162">
        <v>20</v>
      </c>
      <c r="G22" s="162">
        <v>15</v>
      </c>
      <c r="H22" s="162">
        <v>15</v>
      </c>
      <c r="I22" s="162">
        <v>10</v>
      </c>
      <c r="J22" s="162">
        <v>20</v>
      </c>
      <c r="K22" s="162">
        <v>30</v>
      </c>
      <c r="L22" s="162">
        <v>30</v>
      </c>
      <c r="M22" s="162">
        <v>25</v>
      </c>
      <c r="N22" s="162">
        <v>25</v>
      </c>
      <c r="O22" s="162">
        <v>15</v>
      </c>
      <c r="P22" s="162">
        <v>25</v>
      </c>
      <c r="Q22" s="162">
        <v>20</v>
      </c>
      <c r="R22" s="154">
        <f t="shared" si="0"/>
        <v>20.833333333333332</v>
      </c>
      <c r="S22" s="8">
        <v>75</v>
      </c>
      <c r="T22" s="248" t="s">
        <v>258</v>
      </c>
      <c r="W22" s="232"/>
      <c r="X22" s="852" t="s">
        <v>107</v>
      </c>
      <c r="Y22" s="853"/>
      <c r="Z22" s="853"/>
      <c r="AA22" s="853"/>
      <c r="AB22" s="853"/>
      <c r="AC22" s="853"/>
      <c r="AD22" s="853"/>
      <c r="AE22" s="853"/>
      <c r="AF22" s="853"/>
      <c r="AG22" s="853"/>
      <c r="AH22" s="853"/>
      <c r="AI22" s="853"/>
      <c r="AJ22" s="853"/>
      <c r="AK22" s="853"/>
      <c r="AL22" s="854"/>
      <c r="AM22" s="232"/>
    </row>
    <row r="23" spans="1:39" ht="15.75" customHeight="1">
      <c r="A23" s="9"/>
      <c r="B23" s="150" t="s">
        <v>110</v>
      </c>
      <c r="C23" s="11">
        <v>2</v>
      </c>
      <c r="D23" s="56" t="s">
        <v>259</v>
      </c>
      <c r="E23" s="56" t="s">
        <v>260</v>
      </c>
      <c r="F23" s="12">
        <v>20</v>
      </c>
      <c r="G23" s="12">
        <v>10</v>
      </c>
      <c r="H23" s="12">
        <v>10</v>
      </c>
      <c r="I23" s="12">
        <v>10</v>
      </c>
      <c r="J23" s="12">
        <v>15</v>
      </c>
      <c r="K23" s="12">
        <v>15</v>
      </c>
      <c r="L23" s="12">
        <v>15</v>
      </c>
      <c r="M23" s="12">
        <v>15</v>
      </c>
      <c r="N23" s="12">
        <v>15</v>
      </c>
      <c r="O23" s="12">
        <v>15</v>
      </c>
      <c r="P23" s="12">
        <v>15</v>
      </c>
      <c r="Q23" s="12">
        <v>15</v>
      </c>
      <c r="R23" s="13">
        <f t="shared" si="0"/>
        <v>14.166666666666666</v>
      </c>
      <c r="S23" s="14">
        <v>75</v>
      </c>
      <c r="T23" s="248" t="s">
        <v>261</v>
      </c>
      <c r="W23" s="232"/>
      <c r="X23" s="862"/>
      <c r="Y23" s="848"/>
      <c r="Z23" s="848"/>
      <c r="AA23" s="848"/>
      <c r="AB23" s="848"/>
      <c r="AC23" s="848" t="s">
        <v>78</v>
      </c>
      <c r="AD23" s="1161"/>
      <c r="AE23" s="1161"/>
      <c r="AF23" s="1161"/>
      <c r="AG23" s="1161"/>
      <c r="AH23" s="1161"/>
      <c r="AI23" s="1161"/>
      <c r="AJ23" s="1161"/>
      <c r="AK23" s="1161"/>
      <c r="AL23" s="1164"/>
      <c r="AM23" s="232"/>
    </row>
    <row r="24" spans="1:39" ht="15.75" customHeight="1">
      <c r="A24" s="9"/>
      <c r="B24" s="150" t="s">
        <v>110</v>
      </c>
      <c r="C24" s="11">
        <v>3</v>
      </c>
      <c r="D24" s="56" t="s">
        <v>262</v>
      </c>
      <c r="E24" s="56" t="s">
        <v>263</v>
      </c>
      <c r="F24" s="12">
        <v>20</v>
      </c>
      <c r="G24" s="12">
        <v>5</v>
      </c>
      <c r="H24" s="12">
        <v>5</v>
      </c>
      <c r="I24" s="12">
        <v>10</v>
      </c>
      <c r="J24" s="12">
        <v>10</v>
      </c>
      <c r="K24" s="12">
        <v>15</v>
      </c>
      <c r="L24" s="12">
        <v>25</v>
      </c>
      <c r="M24" s="12">
        <v>20</v>
      </c>
      <c r="N24" s="12">
        <v>15</v>
      </c>
      <c r="O24" s="12">
        <v>30</v>
      </c>
      <c r="P24" s="12">
        <v>15</v>
      </c>
      <c r="Q24" s="12">
        <v>15</v>
      </c>
      <c r="R24" s="13">
        <f t="shared" si="0"/>
        <v>15.416666666666666</v>
      </c>
      <c r="S24" s="14">
        <v>75</v>
      </c>
      <c r="T24" s="248" t="s">
        <v>264</v>
      </c>
      <c r="W24" s="232"/>
      <c r="X24" s="657" t="s">
        <v>82</v>
      </c>
      <c r="Y24" s="14" t="s">
        <v>83</v>
      </c>
      <c r="Z24" s="14" t="s">
        <v>84</v>
      </c>
      <c r="AA24" s="14" t="s">
        <v>85</v>
      </c>
      <c r="AB24" s="14" t="s">
        <v>86</v>
      </c>
      <c r="AC24" s="14" t="s">
        <v>4</v>
      </c>
      <c r="AD24" s="14" t="s">
        <v>5</v>
      </c>
      <c r="AE24" s="14" t="s">
        <v>6</v>
      </c>
      <c r="AF24" s="14" t="s">
        <v>7</v>
      </c>
      <c r="AG24" s="14" t="s">
        <v>8</v>
      </c>
      <c r="AH24" s="14" t="s">
        <v>9</v>
      </c>
      <c r="AI24" s="14" t="s">
        <v>10</v>
      </c>
      <c r="AJ24" s="14" t="s">
        <v>11</v>
      </c>
      <c r="AK24" s="14" t="s">
        <v>12</v>
      </c>
      <c r="AL24" s="658" t="s">
        <v>13</v>
      </c>
      <c r="AM24" s="232"/>
    </row>
    <row r="25" spans="1:39" ht="24" customHeight="1">
      <c r="A25" s="9"/>
      <c r="B25" s="149" t="s">
        <v>111</v>
      </c>
      <c r="C25" s="15">
        <v>1</v>
      </c>
      <c r="D25" s="160" t="s">
        <v>256</v>
      </c>
      <c r="E25" s="160" t="s">
        <v>257</v>
      </c>
      <c r="F25" s="274">
        <v>920000</v>
      </c>
      <c r="G25" s="274">
        <v>170000</v>
      </c>
      <c r="H25" s="274">
        <v>24000</v>
      </c>
      <c r="I25" s="274">
        <v>35000</v>
      </c>
      <c r="J25" s="274">
        <v>92000</v>
      </c>
      <c r="K25" s="274">
        <v>700000</v>
      </c>
      <c r="L25" s="274">
        <v>24000</v>
      </c>
      <c r="M25" s="274">
        <v>54000</v>
      </c>
      <c r="N25" s="274">
        <v>350000</v>
      </c>
      <c r="O25" s="274">
        <v>4600</v>
      </c>
      <c r="P25" s="274" t="s">
        <v>266</v>
      </c>
      <c r="Q25" s="274">
        <v>160000</v>
      </c>
      <c r="R25" s="603">
        <f>IFERROR(GEOMEAN(F25:Q25), 0)</f>
        <v>89142.870503690472</v>
      </c>
      <c r="S25" s="8">
        <v>200</v>
      </c>
      <c r="T25" s="248" t="s">
        <v>258</v>
      </c>
      <c r="W25" s="232"/>
      <c r="X25" s="865" t="s">
        <v>265</v>
      </c>
      <c r="Y25" s="847" t="s">
        <v>254</v>
      </c>
      <c r="Z25" s="855" t="s">
        <v>16</v>
      </c>
      <c r="AA25" s="32">
        <v>1</v>
      </c>
      <c r="AB25" s="14" t="s">
        <v>262</v>
      </c>
      <c r="AC25" s="35">
        <f>R7</f>
        <v>5.0091666666666672</v>
      </c>
      <c r="AD25" s="59">
        <f>R10</f>
        <v>16.25</v>
      </c>
      <c r="AE25" s="35">
        <f>R13</f>
        <v>28.791666666666668</v>
      </c>
      <c r="AF25" s="35">
        <f>R16</f>
        <v>7.338333333333332</v>
      </c>
      <c r="AG25" s="35">
        <f>R19</f>
        <v>29.130833333333339</v>
      </c>
      <c r="AH25" s="35">
        <f>R22</f>
        <v>20.833333333333332</v>
      </c>
      <c r="AI25" s="36">
        <f>R25</f>
        <v>89142.870503690472</v>
      </c>
      <c r="AJ25" s="28">
        <f>R28</f>
        <v>0.40108333333333329</v>
      </c>
      <c r="AK25" s="28">
        <f>R31</f>
        <v>0.64183333333333337</v>
      </c>
      <c r="AL25" s="659">
        <f>R34</f>
        <v>124.66666666666667</v>
      </c>
      <c r="AM25" s="232"/>
    </row>
    <row r="26" spans="1:39" ht="15.75" customHeight="1">
      <c r="A26" s="9"/>
      <c r="B26" s="150" t="s">
        <v>111</v>
      </c>
      <c r="C26" s="11">
        <v>2</v>
      </c>
      <c r="D26" s="56" t="s">
        <v>259</v>
      </c>
      <c r="E26" s="56" t="s">
        <v>260</v>
      </c>
      <c r="F26" s="129">
        <v>540000</v>
      </c>
      <c r="G26" s="129">
        <v>540000</v>
      </c>
      <c r="H26" s="129">
        <v>35000</v>
      </c>
      <c r="I26" s="129">
        <v>540000</v>
      </c>
      <c r="J26" s="129">
        <v>9400</v>
      </c>
      <c r="K26" s="129">
        <v>23000</v>
      </c>
      <c r="L26" s="129">
        <v>540000</v>
      </c>
      <c r="M26" s="129">
        <v>1600000</v>
      </c>
      <c r="N26" s="129">
        <v>1600000</v>
      </c>
      <c r="O26" s="129">
        <v>13000</v>
      </c>
      <c r="P26" s="129">
        <v>1600000</v>
      </c>
      <c r="Q26" s="129">
        <v>35000</v>
      </c>
      <c r="R26" s="604">
        <f>IFERROR(GEOMEAN(F26:Q26), 0)</f>
        <v>180539.61409800188</v>
      </c>
      <c r="S26" s="14">
        <v>200</v>
      </c>
      <c r="T26" s="248" t="s">
        <v>261</v>
      </c>
      <c r="W26" s="232"/>
      <c r="X26" s="1165"/>
      <c r="Y26" s="1161"/>
      <c r="Z26" s="1161"/>
      <c r="AA26" s="32">
        <v>2</v>
      </c>
      <c r="AB26" s="14" t="s">
        <v>259</v>
      </c>
      <c r="AC26" s="35">
        <f>R8</f>
        <v>2.7683333333333331</v>
      </c>
      <c r="AD26" s="59">
        <f>R11</f>
        <v>27.583333333333332</v>
      </c>
      <c r="AE26" s="35">
        <f>R14</f>
        <v>47</v>
      </c>
      <c r="AF26" s="35">
        <f>R17</f>
        <v>7.1974999999999989</v>
      </c>
      <c r="AG26" s="35">
        <f>R20</f>
        <v>29.050000000000008</v>
      </c>
      <c r="AH26" s="35">
        <f>R23</f>
        <v>14.166666666666666</v>
      </c>
      <c r="AI26" s="36">
        <f>R26</f>
        <v>180539.61409800188</v>
      </c>
      <c r="AJ26" s="28">
        <f>R29</f>
        <v>0.31000000000000005</v>
      </c>
      <c r="AK26" s="28">
        <f>R32</f>
        <v>0.66574999999999995</v>
      </c>
      <c r="AL26" s="659">
        <f>R35</f>
        <v>1510.9166666666667</v>
      </c>
      <c r="AM26" s="232"/>
    </row>
    <row r="27" spans="1:39" ht="15.75" customHeight="1">
      <c r="A27" s="9"/>
      <c r="B27" s="150" t="s">
        <v>111</v>
      </c>
      <c r="C27" s="11">
        <v>3</v>
      </c>
      <c r="D27" s="56" t="s">
        <v>262</v>
      </c>
      <c r="E27" s="56" t="s">
        <v>263</v>
      </c>
      <c r="F27" s="129">
        <v>350000</v>
      </c>
      <c r="G27" s="129">
        <v>920000</v>
      </c>
      <c r="H27" s="129">
        <v>35000</v>
      </c>
      <c r="I27" s="129">
        <v>54000</v>
      </c>
      <c r="J27" s="129">
        <v>2200</v>
      </c>
      <c r="K27" s="129">
        <v>110000</v>
      </c>
      <c r="L27" s="129">
        <v>54000</v>
      </c>
      <c r="M27" s="129">
        <v>350000</v>
      </c>
      <c r="N27" s="129">
        <v>54000</v>
      </c>
      <c r="O27" s="129">
        <v>4900</v>
      </c>
      <c r="P27" s="129">
        <v>920000</v>
      </c>
      <c r="Q27" s="129">
        <v>54000</v>
      </c>
      <c r="R27" s="604">
        <f>IFERROR(GEOMEAN(F27:Q27), 0)</f>
        <v>75906.771943565574</v>
      </c>
      <c r="S27" s="14">
        <v>200</v>
      </c>
      <c r="T27" s="248" t="s">
        <v>264</v>
      </c>
      <c r="W27" s="232"/>
      <c r="X27" s="1165"/>
      <c r="Y27" s="1161"/>
      <c r="Z27" s="1161"/>
      <c r="AA27" s="32">
        <v>3</v>
      </c>
      <c r="AB27" s="14" t="s">
        <v>256</v>
      </c>
      <c r="AC27" s="35">
        <f>R9</f>
        <v>3.7766666666666668</v>
      </c>
      <c r="AD27" s="59">
        <f>R12</f>
        <v>9.0833333333333339</v>
      </c>
      <c r="AE27" s="35">
        <f>R15</f>
        <v>43.583333333333336</v>
      </c>
      <c r="AF27" s="35">
        <f>R18</f>
        <v>7.2541666666666655</v>
      </c>
      <c r="AG27" s="35">
        <f>R21</f>
        <v>29.191666666666666</v>
      </c>
      <c r="AH27" s="35">
        <f>R24</f>
        <v>15.416666666666666</v>
      </c>
      <c r="AI27" s="36">
        <f>R27</f>
        <v>75906.771943565574</v>
      </c>
      <c r="AJ27" s="28">
        <f>R30</f>
        <v>0.38908333333333328</v>
      </c>
      <c r="AK27" s="28">
        <f>R33</f>
        <v>0.44383333333333336</v>
      </c>
      <c r="AL27" s="659">
        <f>R36</f>
        <v>1291.8333333333333</v>
      </c>
      <c r="AM27" s="232"/>
    </row>
    <row r="28" spans="1:39" ht="15.75" customHeight="1">
      <c r="A28" s="20"/>
      <c r="B28" s="151" t="s">
        <v>113</v>
      </c>
      <c r="C28" s="21">
        <v>1</v>
      </c>
      <c r="D28" s="160" t="s">
        <v>256</v>
      </c>
      <c r="E28" s="160" t="s">
        <v>257</v>
      </c>
      <c r="F28" s="165">
        <v>0.41799999999999998</v>
      </c>
      <c r="G28" s="165">
        <v>1.583</v>
      </c>
      <c r="H28" s="165">
        <v>0.82799999999999996</v>
      </c>
      <c r="I28" s="165">
        <v>0.34399999999999997</v>
      </c>
      <c r="J28" s="165">
        <v>0.10100000000000001</v>
      </c>
      <c r="K28" s="165">
        <v>0.32200000000000001</v>
      </c>
      <c r="L28" s="165">
        <v>0.33200000000000002</v>
      </c>
      <c r="M28" s="165">
        <v>0.25</v>
      </c>
      <c r="N28" s="165">
        <v>0.17299999999999999</v>
      </c>
      <c r="O28" s="165">
        <v>0.32300000000000001</v>
      </c>
      <c r="P28" s="165">
        <v>0.09</v>
      </c>
      <c r="Q28" s="165">
        <v>4.9000000000000002E-2</v>
      </c>
      <c r="R28" s="166">
        <f t="shared" ref="R28:R39" si="4">IFERROR(AVERAGE(F28:Q28), 0)</f>
        <v>0.40108333333333329</v>
      </c>
      <c r="S28" s="23">
        <v>7</v>
      </c>
      <c r="T28" s="248" t="s">
        <v>258</v>
      </c>
      <c r="W28" s="232"/>
      <c r="X28" s="862"/>
      <c r="Y28" s="848"/>
      <c r="Z28" s="848"/>
      <c r="AA28" s="848"/>
      <c r="AB28" s="848"/>
      <c r="AC28" s="848"/>
      <c r="AD28" s="848"/>
      <c r="AE28" s="848"/>
      <c r="AF28" s="848"/>
      <c r="AG28" s="848"/>
      <c r="AH28" s="848"/>
      <c r="AI28" s="848"/>
      <c r="AJ28" s="848"/>
      <c r="AK28" s="848"/>
      <c r="AL28" s="872"/>
      <c r="AM28" s="232"/>
    </row>
    <row r="29" spans="1:39" ht="15.75" customHeight="1">
      <c r="A29" s="20"/>
      <c r="B29" s="153" t="s">
        <v>114</v>
      </c>
      <c r="C29" s="25">
        <v>2</v>
      </c>
      <c r="D29" s="56" t="s">
        <v>259</v>
      </c>
      <c r="E29" s="56" t="s">
        <v>260</v>
      </c>
      <c r="F29" s="26">
        <v>0.39100000000000001</v>
      </c>
      <c r="G29" s="26">
        <v>1.159</v>
      </c>
      <c r="H29" s="26">
        <v>0.56299999999999994</v>
      </c>
      <c r="I29" s="26">
        <v>0.45100000000000001</v>
      </c>
      <c r="J29" s="26">
        <v>0.13600000000000001</v>
      </c>
      <c r="K29" s="26">
        <v>0.255</v>
      </c>
      <c r="L29" s="26">
        <v>4.2999999999999997E-2</v>
      </c>
      <c r="M29" s="26">
        <v>0.08</v>
      </c>
      <c r="N29" s="26">
        <v>0.157</v>
      </c>
      <c r="O29" s="26">
        <v>0.23300000000000001</v>
      </c>
      <c r="P29" s="26">
        <v>0.14899999999999999</v>
      </c>
      <c r="Q29" s="26">
        <v>0.10299999999999999</v>
      </c>
      <c r="R29" s="58">
        <f t="shared" si="4"/>
        <v>0.31000000000000005</v>
      </c>
      <c r="S29" s="28">
        <v>7</v>
      </c>
      <c r="T29" s="248" t="s">
        <v>261</v>
      </c>
      <c r="W29" s="232"/>
      <c r="X29" s="657" t="s">
        <v>93</v>
      </c>
      <c r="Y29" s="1162"/>
      <c r="Z29" s="1161"/>
      <c r="AA29" s="1161"/>
      <c r="AB29" s="1161"/>
      <c r="AC29" s="35">
        <f t="shared" ref="AC29:AL29" si="5">AVERAGE(AC25:AC27)</f>
        <v>3.8513888888888892</v>
      </c>
      <c r="AD29" s="59">
        <f t="shared" si="5"/>
        <v>17.638888888888889</v>
      </c>
      <c r="AE29" s="35">
        <f t="shared" si="5"/>
        <v>39.791666666666664</v>
      </c>
      <c r="AF29" s="35">
        <f t="shared" si="5"/>
        <v>7.2633333333333319</v>
      </c>
      <c r="AG29" s="35">
        <f t="shared" si="5"/>
        <v>29.124166666666671</v>
      </c>
      <c r="AH29" s="35">
        <f t="shared" si="5"/>
        <v>16.805555555555554</v>
      </c>
      <c r="AI29" s="36">
        <f t="shared" si="5"/>
        <v>115196.41884841931</v>
      </c>
      <c r="AJ29" s="28">
        <f t="shared" si="5"/>
        <v>0.36672222222222217</v>
      </c>
      <c r="AK29" s="28">
        <f t="shared" si="5"/>
        <v>0.58380555555555558</v>
      </c>
      <c r="AL29" s="659">
        <f t="shared" si="5"/>
        <v>975.80555555555566</v>
      </c>
      <c r="AM29" s="232"/>
    </row>
    <row r="30" spans="1:39" ht="15.75" customHeight="1">
      <c r="A30" s="20"/>
      <c r="B30" s="153" t="s">
        <v>114</v>
      </c>
      <c r="C30" s="25">
        <v>3</v>
      </c>
      <c r="D30" s="56" t="s">
        <v>262</v>
      </c>
      <c r="E30" s="56" t="s">
        <v>263</v>
      </c>
      <c r="F30" s="26">
        <v>0.311</v>
      </c>
      <c r="G30" s="26">
        <v>1.216</v>
      </c>
      <c r="H30" s="26">
        <v>0.63100000000000001</v>
      </c>
      <c r="I30" s="26">
        <v>0.311</v>
      </c>
      <c r="J30" s="26">
        <v>4.2999999999999997E-2</v>
      </c>
      <c r="K30" s="26">
        <v>0.32900000000000001</v>
      </c>
      <c r="L30" s="26">
        <v>0.45200000000000001</v>
      </c>
      <c r="M30" s="26">
        <v>0.35199999999999998</v>
      </c>
      <c r="N30" s="26">
        <v>0.41</v>
      </c>
      <c r="O30" s="26">
        <v>0.33700000000000002</v>
      </c>
      <c r="P30" s="26">
        <v>0.16500000000000001</v>
      </c>
      <c r="Q30" s="26">
        <v>0.112</v>
      </c>
      <c r="R30" s="58">
        <f t="shared" si="4"/>
        <v>0.38908333333333328</v>
      </c>
      <c r="S30" s="28">
        <v>7</v>
      </c>
      <c r="T30" s="248" t="s">
        <v>264</v>
      </c>
      <c r="W30" s="232"/>
      <c r="X30" s="657" t="s">
        <v>94</v>
      </c>
      <c r="Y30" s="1161"/>
      <c r="Z30" s="1163"/>
      <c r="AA30" s="1163"/>
      <c r="AB30" s="1161"/>
      <c r="AC30" s="35">
        <f t="shared" ref="AC30:AL30" si="6">MIN(AC25:AC27)</f>
        <v>2.7683333333333331</v>
      </c>
      <c r="AD30" s="59">
        <f t="shared" si="6"/>
        <v>9.0833333333333339</v>
      </c>
      <c r="AE30" s="35">
        <f t="shared" si="6"/>
        <v>28.791666666666668</v>
      </c>
      <c r="AF30" s="35">
        <f t="shared" si="6"/>
        <v>7.1974999999999989</v>
      </c>
      <c r="AG30" s="35">
        <f t="shared" si="6"/>
        <v>29.050000000000008</v>
      </c>
      <c r="AH30" s="35">
        <f t="shared" si="6"/>
        <v>14.166666666666666</v>
      </c>
      <c r="AI30" s="36">
        <f t="shared" si="6"/>
        <v>75906.771943565574</v>
      </c>
      <c r="AJ30" s="28">
        <f t="shared" si="6"/>
        <v>0.31000000000000005</v>
      </c>
      <c r="AK30" s="28">
        <f t="shared" si="6"/>
        <v>0.44383333333333336</v>
      </c>
      <c r="AL30" s="659">
        <f t="shared" si="6"/>
        <v>124.66666666666667</v>
      </c>
      <c r="AM30" s="232"/>
    </row>
    <row r="31" spans="1:39" ht="15.75" customHeight="1">
      <c r="A31" s="20"/>
      <c r="B31" s="151" t="s">
        <v>115</v>
      </c>
      <c r="C31" s="21">
        <v>1</v>
      </c>
      <c r="D31" s="160" t="s">
        <v>256</v>
      </c>
      <c r="E31" s="160" t="s">
        <v>257</v>
      </c>
      <c r="F31" s="165">
        <v>0.64700000000000002</v>
      </c>
      <c r="G31" s="165">
        <v>1.077</v>
      </c>
      <c r="H31" s="165">
        <v>0.51400000000000001</v>
      </c>
      <c r="I31" s="165">
        <v>0.628</v>
      </c>
      <c r="J31" s="165">
        <v>0.45800000000000002</v>
      </c>
      <c r="K31" s="165">
        <v>0.74199999999999999</v>
      </c>
      <c r="L31" s="165">
        <v>0.32100000000000001</v>
      </c>
      <c r="M31" s="165">
        <v>0.77400000000000002</v>
      </c>
      <c r="N31" s="165">
        <v>0.78200000000000003</v>
      </c>
      <c r="O31" s="165">
        <v>0.496</v>
      </c>
      <c r="P31" s="165">
        <v>0.81699999999999995</v>
      </c>
      <c r="Q31" s="165">
        <v>0.44600000000000001</v>
      </c>
      <c r="R31" s="166">
        <f t="shared" si="4"/>
        <v>0.64183333333333337</v>
      </c>
      <c r="S31" s="23">
        <v>2.5000000000000001E-2</v>
      </c>
      <c r="T31" s="248" t="s">
        <v>258</v>
      </c>
      <c r="W31" s="232"/>
      <c r="X31" s="657" t="s">
        <v>95</v>
      </c>
      <c r="Y31" s="1161"/>
      <c r="Z31" s="1163"/>
      <c r="AA31" s="1163"/>
      <c r="AB31" s="1161"/>
      <c r="AC31" s="35">
        <f t="shared" ref="AC31:AL31" si="7">MAX(AC25:AC27)</f>
        <v>5.0091666666666672</v>
      </c>
      <c r="AD31" s="59">
        <f t="shared" si="7"/>
        <v>27.583333333333332</v>
      </c>
      <c r="AE31" s="35">
        <f t="shared" si="7"/>
        <v>47</v>
      </c>
      <c r="AF31" s="35">
        <f t="shared" si="7"/>
        <v>7.338333333333332</v>
      </c>
      <c r="AG31" s="35">
        <f t="shared" si="7"/>
        <v>29.191666666666666</v>
      </c>
      <c r="AH31" s="35">
        <f t="shared" si="7"/>
        <v>20.833333333333332</v>
      </c>
      <c r="AI31" s="36">
        <f>MAX(AI25:AI27)</f>
        <v>180539.61409800188</v>
      </c>
      <c r="AJ31" s="28">
        <f t="shared" si="7"/>
        <v>0.40108333333333329</v>
      </c>
      <c r="AK31" s="28">
        <f t="shared" si="7"/>
        <v>0.66574999999999995</v>
      </c>
      <c r="AL31" s="659">
        <f t="shared" si="7"/>
        <v>1510.9166666666667</v>
      </c>
      <c r="AM31" s="232"/>
    </row>
    <row r="32" spans="1:39" ht="15.75" customHeight="1">
      <c r="A32" s="20"/>
      <c r="B32" s="153" t="s">
        <v>116</v>
      </c>
      <c r="C32" s="25">
        <v>2</v>
      </c>
      <c r="D32" s="56" t="s">
        <v>259</v>
      </c>
      <c r="E32" s="56" t="s">
        <v>260</v>
      </c>
      <c r="F32" s="26">
        <v>0.62</v>
      </c>
      <c r="G32" s="26">
        <v>0.67600000000000005</v>
      </c>
      <c r="H32" s="26">
        <v>0.6</v>
      </c>
      <c r="I32" s="26">
        <v>0.29299999999999998</v>
      </c>
      <c r="J32" s="26">
        <v>0.76100000000000001</v>
      </c>
      <c r="K32" s="26">
        <v>0.52500000000000002</v>
      </c>
      <c r="L32" s="26">
        <v>0.46600000000000003</v>
      </c>
      <c r="M32" s="26">
        <v>0.75</v>
      </c>
      <c r="N32" s="26">
        <v>0.78600000000000003</v>
      </c>
      <c r="O32" s="26">
        <v>0.752</v>
      </c>
      <c r="P32" s="26">
        <v>0.85599999999999998</v>
      </c>
      <c r="Q32" s="26">
        <v>0.90400000000000003</v>
      </c>
      <c r="R32" s="58">
        <f t="shared" si="4"/>
        <v>0.66574999999999995</v>
      </c>
      <c r="S32" s="28">
        <v>2.5000000000000001E-2</v>
      </c>
      <c r="T32" s="248" t="s">
        <v>261</v>
      </c>
      <c r="W32" s="232"/>
      <c r="X32" s="660" t="s">
        <v>96</v>
      </c>
      <c r="Y32" s="1166"/>
      <c r="Z32" s="1166"/>
      <c r="AA32" s="1166"/>
      <c r="AB32" s="1166"/>
      <c r="AC32" s="661" t="s">
        <v>97</v>
      </c>
      <c r="AD32" s="661" t="s">
        <v>98</v>
      </c>
      <c r="AE32" s="661" t="s">
        <v>99</v>
      </c>
      <c r="AF32" s="661" t="s">
        <v>100</v>
      </c>
      <c r="AG32" s="661" t="s">
        <v>101</v>
      </c>
      <c r="AH32" s="661" t="s">
        <v>102</v>
      </c>
      <c r="AI32" s="661" t="s">
        <v>103</v>
      </c>
      <c r="AJ32" s="661" t="s">
        <v>98</v>
      </c>
      <c r="AK32" s="661" t="s">
        <v>104</v>
      </c>
      <c r="AL32" s="662" t="s">
        <v>105</v>
      </c>
      <c r="AM32" s="232"/>
    </row>
    <row r="33" spans="1:38" ht="15.75" customHeight="1">
      <c r="A33" s="20"/>
      <c r="B33" s="153" t="s">
        <v>116</v>
      </c>
      <c r="C33" s="25">
        <v>3</v>
      </c>
      <c r="D33" s="56" t="s">
        <v>262</v>
      </c>
      <c r="E33" s="56" t="s">
        <v>263</v>
      </c>
      <c r="F33" s="26">
        <v>0.82299999999999995</v>
      </c>
      <c r="G33" s="26">
        <v>1.0999999999999999E-2</v>
      </c>
      <c r="H33" s="26">
        <v>0.377</v>
      </c>
      <c r="I33" s="26">
        <v>0.36199999999999999</v>
      </c>
      <c r="J33" s="26">
        <v>0.433</v>
      </c>
      <c r="K33" s="26">
        <v>0.50700000000000001</v>
      </c>
      <c r="L33" s="26">
        <v>0.23599999999999999</v>
      </c>
      <c r="M33" s="26">
        <v>0.31</v>
      </c>
      <c r="N33" s="26">
        <v>0.49399999999999999</v>
      </c>
      <c r="O33" s="26">
        <v>0.48499999999999999</v>
      </c>
      <c r="P33" s="26">
        <v>0.626</v>
      </c>
      <c r="Q33" s="26">
        <v>0.66200000000000003</v>
      </c>
      <c r="R33" s="58">
        <f t="shared" si="4"/>
        <v>0.44383333333333336</v>
      </c>
      <c r="S33" s="28">
        <v>2.5000000000000001E-2</v>
      </c>
      <c r="T33" s="248" t="s">
        <v>264</v>
      </c>
      <c r="X33" s="232"/>
      <c r="Y33" s="232"/>
      <c r="Z33" s="232"/>
      <c r="AA33" s="232"/>
      <c r="AB33" s="232"/>
      <c r="AC33" s="232"/>
      <c r="AD33" s="232"/>
      <c r="AE33" s="232"/>
      <c r="AF33" s="232"/>
      <c r="AG33" s="232"/>
      <c r="AH33" s="232"/>
      <c r="AI33" s="232"/>
      <c r="AJ33" s="232"/>
      <c r="AK33" s="232"/>
      <c r="AL33" s="232"/>
    </row>
    <row r="34" spans="1:38" ht="15.75" customHeight="1">
      <c r="A34" s="9"/>
      <c r="B34" s="149" t="s">
        <v>117</v>
      </c>
      <c r="C34" s="15">
        <v>1</v>
      </c>
      <c r="D34" s="160" t="s">
        <v>256</v>
      </c>
      <c r="E34" s="160" t="s">
        <v>257</v>
      </c>
      <c r="F34" s="162">
        <v>92</v>
      </c>
      <c r="G34" s="162">
        <v>231</v>
      </c>
      <c r="H34" s="162">
        <v>107</v>
      </c>
      <c r="I34" s="162">
        <v>113</v>
      </c>
      <c r="J34" s="162">
        <v>172</v>
      </c>
      <c r="K34" s="162">
        <v>217</v>
      </c>
      <c r="L34" s="162">
        <v>133</v>
      </c>
      <c r="M34" s="162">
        <v>122</v>
      </c>
      <c r="N34" s="162">
        <v>90</v>
      </c>
      <c r="O34" s="162">
        <v>31</v>
      </c>
      <c r="P34" s="162">
        <v>94</v>
      </c>
      <c r="Q34" s="162">
        <v>94</v>
      </c>
      <c r="R34" s="154">
        <f t="shared" si="4"/>
        <v>124.66666666666667</v>
      </c>
      <c r="S34" s="8">
        <v>350</v>
      </c>
      <c r="T34" s="248" t="s">
        <v>258</v>
      </c>
    </row>
    <row r="35" spans="1:38" ht="15.75" customHeight="1">
      <c r="A35" s="9"/>
      <c r="B35" s="150" t="s">
        <v>117</v>
      </c>
      <c r="C35" s="11">
        <v>2</v>
      </c>
      <c r="D35" s="56" t="s">
        <v>259</v>
      </c>
      <c r="E35" s="56" t="s">
        <v>260</v>
      </c>
      <c r="F35" s="12">
        <v>165</v>
      </c>
      <c r="G35" s="12">
        <v>337</v>
      </c>
      <c r="H35" s="12">
        <v>16895</v>
      </c>
      <c r="I35" s="12">
        <v>43</v>
      </c>
      <c r="J35" s="12">
        <v>65</v>
      </c>
      <c r="K35" s="12">
        <v>167</v>
      </c>
      <c r="L35" s="12">
        <v>48</v>
      </c>
      <c r="M35" s="12">
        <v>125</v>
      </c>
      <c r="N35" s="12">
        <v>202</v>
      </c>
      <c r="O35" s="12">
        <v>29</v>
      </c>
      <c r="P35" s="12">
        <v>29</v>
      </c>
      <c r="Q35" s="12">
        <v>26</v>
      </c>
      <c r="R35" s="13">
        <f t="shared" si="4"/>
        <v>1510.9166666666667</v>
      </c>
      <c r="S35" s="14">
        <v>350</v>
      </c>
      <c r="T35" s="248" t="s">
        <v>261</v>
      </c>
    </row>
    <row r="36" spans="1:38" ht="15.75" customHeight="1">
      <c r="A36" s="9"/>
      <c r="B36" s="10" t="s">
        <v>117</v>
      </c>
      <c r="C36" s="11">
        <v>3</v>
      </c>
      <c r="D36" s="56" t="s">
        <v>262</v>
      </c>
      <c r="E36" s="56" t="s">
        <v>263</v>
      </c>
      <c r="F36" s="12">
        <v>199</v>
      </c>
      <c r="G36" s="12">
        <v>415</v>
      </c>
      <c r="H36" s="12">
        <v>13996</v>
      </c>
      <c r="I36" s="12">
        <v>33</v>
      </c>
      <c r="J36" s="12">
        <v>67</v>
      </c>
      <c r="K36" s="12">
        <v>330</v>
      </c>
      <c r="L36" s="12">
        <v>37</v>
      </c>
      <c r="M36" s="12">
        <v>53</v>
      </c>
      <c r="N36" s="12">
        <v>202</v>
      </c>
      <c r="O36" s="12">
        <v>24</v>
      </c>
      <c r="P36" s="12">
        <v>114</v>
      </c>
      <c r="Q36" s="12">
        <v>32</v>
      </c>
      <c r="R36" s="13">
        <f t="shared" si="4"/>
        <v>1291.8333333333333</v>
      </c>
      <c r="S36" s="14">
        <v>350</v>
      </c>
      <c r="T36" s="248" t="s">
        <v>264</v>
      </c>
    </row>
    <row r="37" spans="1:38" ht="15.75" customHeight="1">
      <c r="A37" s="9"/>
      <c r="B37" s="6" t="s">
        <v>118</v>
      </c>
      <c r="C37" s="15">
        <v>1</v>
      </c>
      <c r="D37" s="160" t="s">
        <v>262</v>
      </c>
      <c r="E37" s="160" t="s">
        <v>257</v>
      </c>
      <c r="F37" s="162">
        <v>1.1000000000000001</v>
      </c>
      <c r="G37" s="162" t="s">
        <v>119</v>
      </c>
      <c r="H37" s="162" t="s">
        <v>119</v>
      </c>
      <c r="I37" s="162" t="s">
        <v>119</v>
      </c>
      <c r="J37" s="162" t="s">
        <v>119</v>
      </c>
      <c r="K37" s="162">
        <v>0.08</v>
      </c>
      <c r="L37" s="162">
        <v>1.6</v>
      </c>
      <c r="M37" s="162" t="s">
        <v>119</v>
      </c>
      <c r="N37" s="162" t="s">
        <v>119</v>
      </c>
      <c r="O37" s="162" t="s">
        <v>119</v>
      </c>
      <c r="P37" s="162" t="s">
        <v>119</v>
      </c>
      <c r="Q37" s="162" t="s">
        <v>119</v>
      </c>
      <c r="R37" s="154">
        <f t="shared" si="4"/>
        <v>0.92666666666666675</v>
      </c>
      <c r="S37" s="8">
        <v>3</v>
      </c>
      <c r="T37" s="248" t="s">
        <v>258</v>
      </c>
    </row>
    <row r="38" spans="1:38" ht="15.75" customHeight="1">
      <c r="A38" s="9"/>
      <c r="B38" s="10" t="s">
        <v>117</v>
      </c>
      <c r="C38" s="11">
        <v>2</v>
      </c>
      <c r="D38" s="56" t="s">
        <v>259</v>
      </c>
      <c r="E38" s="56" t="s">
        <v>260</v>
      </c>
      <c r="F38" s="12">
        <v>21.4</v>
      </c>
      <c r="G38" s="12" t="s">
        <v>119</v>
      </c>
      <c r="H38" s="12" t="s">
        <v>119</v>
      </c>
      <c r="I38" s="12" t="s">
        <v>119</v>
      </c>
      <c r="J38" s="12" t="s">
        <v>119</v>
      </c>
      <c r="K38" s="12">
        <v>1.1000000000000001</v>
      </c>
      <c r="L38" s="12">
        <v>3.7</v>
      </c>
      <c r="M38" s="12" t="s">
        <v>119</v>
      </c>
      <c r="N38" s="12" t="s">
        <v>119</v>
      </c>
      <c r="O38" s="12" t="s">
        <v>119</v>
      </c>
      <c r="P38" s="12" t="s">
        <v>119</v>
      </c>
      <c r="Q38" s="12" t="s">
        <v>119</v>
      </c>
      <c r="R38" s="13">
        <f t="shared" si="4"/>
        <v>8.7333333333333325</v>
      </c>
      <c r="S38" s="14">
        <v>3</v>
      </c>
      <c r="T38" s="248" t="s">
        <v>261</v>
      </c>
    </row>
    <row r="39" spans="1:38" ht="15.75" customHeight="1">
      <c r="A39" s="9"/>
      <c r="B39" s="10" t="s">
        <v>117</v>
      </c>
      <c r="C39" s="11">
        <v>3</v>
      </c>
      <c r="D39" s="56" t="s">
        <v>256</v>
      </c>
      <c r="E39" s="56" t="s">
        <v>263</v>
      </c>
      <c r="F39" s="12">
        <v>1.4</v>
      </c>
      <c r="G39" s="12" t="s">
        <v>119</v>
      </c>
      <c r="H39" s="12" t="s">
        <v>119</v>
      </c>
      <c r="I39" s="12" t="s">
        <v>119</v>
      </c>
      <c r="J39" s="12" t="s">
        <v>119</v>
      </c>
      <c r="K39" s="12">
        <v>1.7</v>
      </c>
      <c r="L39" s="12">
        <v>0.8</v>
      </c>
      <c r="M39" s="12" t="s">
        <v>119</v>
      </c>
      <c r="N39" s="12" t="s">
        <v>119</v>
      </c>
      <c r="O39" s="12" t="s">
        <v>119</v>
      </c>
      <c r="P39" s="12" t="s">
        <v>119</v>
      </c>
      <c r="Q39" s="12" t="s">
        <v>119</v>
      </c>
      <c r="R39" s="13">
        <f t="shared" si="4"/>
        <v>1.2999999999999998</v>
      </c>
      <c r="S39" s="14">
        <v>3</v>
      </c>
      <c r="T39" s="248" t="s">
        <v>264</v>
      </c>
    </row>
    <row r="40" spans="1:38" ht="183">
      <c r="A40" s="9"/>
      <c r="B40" s="6" t="s">
        <v>120</v>
      </c>
      <c r="C40" s="15">
        <v>1</v>
      </c>
      <c r="D40" s="160" t="s">
        <v>256</v>
      </c>
      <c r="E40" s="160" t="s">
        <v>257</v>
      </c>
      <c r="F40" s="167" t="s">
        <v>267</v>
      </c>
      <c r="G40" s="167" t="s">
        <v>268</v>
      </c>
      <c r="H40" s="162" t="s">
        <v>269</v>
      </c>
      <c r="I40" s="162" t="s">
        <v>270</v>
      </c>
      <c r="J40" s="162" t="s">
        <v>271</v>
      </c>
      <c r="K40" s="162" t="s">
        <v>272</v>
      </c>
      <c r="L40" s="162" t="s">
        <v>273</v>
      </c>
      <c r="M40" s="162" t="s">
        <v>274</v>
      </c>
      <c r="N40" s="162" t="s">
        <v>275</v>
      </c>
      <c r="O40" s="162" t="s">
        <v>276</v>
      </c>
      <c r="P40" s="162" t="s">
        <v>277</v>
      </c>
      <c r="Q40" s="162" t="s">
        <v>278</v>
      </c>
      <c r="R40" s="1"/>
      <c r="S40" s="1"/>
      <c r="T40" s="248" t="s">
        <v>258</v>
      </c>
    </row>
    <row r="41" spans="1:38" ht="136.5">
      <c r="A41" s="9"/>
      <c r="B41" s="10" t="s">
        <v>117</v>
      </c>
      <c r="C41" s="11">
        <v>2</v>
      </c>
      <c r="D41" s="56" t="s">
        <v>259</v>
      </c>
      <c r="E41" s="56" t="s">
        <v>260</v>
      </c>
      <c r="F41" s="31" t="s">
        <v>279</v>
      </c>
      <c r="G41" s="31" t="s">
        <v>280</v>
      </c>
      <c r="H41" s="12" t="s">
        <v>281</v>
      </c>
      <c r="I41" s="12" t="s">
        <v>282</v>
      </c>
      <c r="J41" s="12" t="s">
        <v>283</v>
      </c>
      <c r="K41" s="12" t="s">
        <v>284</v>
      </c>
      <c r="L41" s="12" t="s">
        <v>285</v>
      </c>
      <c r="M41" s="12" t="s">
        <v>286</v>
      </c>
      <c r="N41" s="12" t="s">
        <v>287</v>
      </c>
      <c r="O41" s="12" t="s">
        <v>288</v>
      </c>
      <c r="P41" s="12" t="s">
        <v>289</v>
      </c>
      <c r="Q41" s="12" t="s">
        <v>290</v>
      </c>
      <c r="R41" s="1"/>
      <c r="S41" s="1"/>
      <c r="T41" s="248" t="s">
        <v>261</v>
      </c>
    </row>
    <row r="42" spans="1:38" ht="168">
      <c r="A42" s="9"/>
      <c r="B42" s="10" t="s">
        <v>117</v>
      </c>
      <c r="C42" s="11">
        <v>3</v>
      </c>
      <c r="D42" s="56" t="s">
        <v>262</v>
      </c>
      <c r="E42" s="56" t="s">
        <v>263</v>
      </c>
      <c r="F42" s="31" t="s">
        <v>291</v>
      </c>
      <c r="G42" s="31" t="s">
        <v>292</v>
      </c>
      <c r="H42" s="12" t="s">
        <v>293</v>
      </c>
      <c r="I42" s="12" t="s">
        <v>294</v>
      </c>
      <c r="J42" s="12" t="s">
        <v>271</v>
      </c>
      <c r="K42" s="12" t="s">
        <v>295</v>
      </c>
      <c r="L42" s="12" t="s">
        <v>296</v>
      </c>
      <c r="M42" s="12" t="s">
        <v>297</v>
      </c>
      <c r="N42" s="12" t="s">
        <v>298</v>
      </c>
      <c r="O42" s="12" t="s">
        <v>299</v>
      </c>
      <c r="P42" s="12" t="s">
        <v>300</v>
      </c>
      <c r="Q42" s="12" t="s">
        <v>301</v>
      </c>
      <c r="R42" s="1"/>
      <c r="S42" s="1"/>
      <c r="T42" s="248" t="s">
        <v>264</v>
      </c>
    </row>
    <row r="43" spans="1:38" ht="15.75" customHeight="1">
      <c r="A43" s="1"/>
      <c r="B43" s="1"/>
      <c r="C43" s="1" t="s">
        <v>173</v>
      </c>
      <c r="D43" s="1"/>
      <c r="E43" s="1"/>
      <c r="F43" s="1">
        <v>7</v>
      </c>
      <c r="G43" s="1">
        <v>12</v>
      </c>
      <c r="H43" s="1">
        <v>6</v>
      </c>
      <c r="I43" s="1">
        <v>2</v>
      </c>
      <c r="J43" s="1">
        <v>15</v>
      </c>
      <c r="K43" s="1">
        <v>11</v>
      </c>
      <c r="L43" s="1">
        <v>4</v>
      </c>
      <c r="M43" s="1">
        <v>7</v>
      </c>
      <c r="N43" s="1">
        <v>4</v>
      </c>
      <c r="O43" s="1">
        <v>22</v>
      </c>
      <c r="P43" s="1">
        <v>5</v>
      </c>
      <c r="Q43" s="1"/>
      <c r="R43" s="1"/>
      <c r="S43" s="1"/>
    </row>
    <row r="44" spans="1:38" ht="15.75" customHeight="1">
      <c r="A44" s="1"/>
      <c r="B44" s="1"/>
      <c r="C44" s="1"/>
      <c r="D44" s="243"/>
      <c r="E44" s="243"/>
      <c r="F44" s="243"/>
      <c r="G44" s="243"/>
      <c r="H44" s="243"/>
      <c r="I44" s="243"/>
      <c r="J44" s="243"/>
      <c r="K44" s="243"/>
      <c r="L44" s="243"/>
      <c r="M44" s="243"/>
      <c r="N44" s="243"/>
      <c r="O44" s="243"/>
      <c r="P44" s="243"/>
      <c r="Q44" s="243"/>
      <c r="R44" s="243"/>
      <c r="S44" s="243"/>
    </row>
    <row r="45" spans="1:38" ht="15.75" customHeight="1">
      <c r="A45" s="1"/>
      <c r="B45" s="1"/>
      <c r="C45" s="243"/>
      <c r="D45" s="475"/>
      <c r="T45" s="232"/>
    </row>
    <row r="46" spans="1:38" ht="15.75" customHeight="1">
      <c r="A46" s="1"/>
      <c r="B46" s="1"/>
      <c r="C46" s="243"/>
      <c r="D46" s="475"/>
      <c r="T46" s="232"/>
    </row>
    <row r="47" spans="1:38" ht="15.75" customHeight="1">
      <c r="A47" s="1"/>
      <c r="B47" s="1"/>
      <c r="C47" s="243"/>
      <c r="D47" s="243"/>
      <c r="T47" s="232"/>
    </row>
    <row r="48" spans="1:38" ht="15.75" customHeight="1">
      <c r="A48" s="1"/>
      <c r="B48" s="1"/>
      <c r="C48" s="243"/>
      <c r="D48" s="243"/>
      <c r="T48" s="232"/>
    </row>
    <row r="49" spans="2:20" ht="15.75" customHeight="1">
      <c r="C49" s="232"/>
      <c r="D49" s="476"/>
      <c r="T49" s="232"/>
    </row>
    <row r="50" spans="2:20" ht="15.75" customHeight="1">
      <c r="C50" s="232"/>
      <c r="D50" s="476"/>
      <c r="T50" s="232"/>
    </row>
    <row r="51" spans="2:20" ht="15.75" customHeight="1">
      <c r="C51" s="232"/>
      <c r="D51" s="476"/>
      <c r="T51" s="232"/>
    </row>
    <row r="52" spans="2:20" ht="15.75" customHeight="1">
      <c r="B52" s="232"/>
      <c r="C52" s="232"/>
      <c r="D52" s="243"/>
      <c r="T52" s="232"/>
    </row>
    <row r="53" spans="2:20" ht="15.75" customHeight="1">
      <c r="C53" s="232"/>
      <c r="D53" s="243"/>
      <c r="T53" s="232"/>
    </row>
    <row r="54" spans="2:20" ht="15.75" customHeight="1">
      <c r="C54" s="232"/>
      <c r="D54" s="243"/>
      <c r="T54" s="232"/>
    </row>
    <row r="55" spans="2:20" ht="15.75" customHeight="1">
      <c r="C55" s="232"/>
      <c r="D55" s="243"/>
      <c r="T55" s="232"/>
    </row>
    <row r="56" spans="2:20" ht="15.75" customHeight="1">
      <c r="C56" s="232"/>
      <c r="D56" s="243"/>
      <c r="T56" s="232"/>
    </row>
    <row r="57" spans="2:20" ht="15.75" customHeight="1">
      <c r="D57" s="243"/>
    </row>
    <row r="58" spans="2:20" ht="15.75" customHeight="1">
      <c r="D58" s="243"/>
    </row>
    <row r="59" spans="2:20" ht="15.75" customHeight="1">
      <c r="C59" s="232"/>
      <c r="D59" s="232"/>
      <c r="T59" s="232"/>
    </row>
    <row r="60" spans="2:20" ht="15.75" customHeight="1">
      <c r="C60" s="232"/>
      <c r="D60" s="232"/>
      <c r="T60" s="232"/>
    </row>
    <row r="61" spans="2:20" ht="15.75" customHeight="1">
      <c r="C61" s="232"/>
      <c r="D61" s="243"/>
      <c r="T61" s="232"/>
    </row>
    <row r="62" spans="2:20" ht="15.75" customHeight="1">
      <c r="C62" s="232"/>
      <c r="D62" s="232"/>
      <c r="T62" s="232"/>
    </row>
    <row r="63" spans="2:20" ht="15.75" customHeight="1">
      <c r="C63" s="232"/>
      <c r="D63" s="232"/>
      <c r="T63" s="232"/>
    </row>
    <row r="64" spans="2:20" ht="15.75" customHeight="1">
      <c r="C64" s="232"/>
      <c r="D64" s="232"/>
      <c r="T64" s="232"/>
    </row>
    <row r="65" spans="3:20" ht="15.75" customHeight="1">
      <c r="C65" s="232"/>
      <c r="D65" s="232"/>
      <c r="T65" s="232"/>
    </row>
    <row r="66" spans="3:20" ht="15.75" customHeight="1">
      <c r="C66" s="232"/>
      <c r="D66" s="243"/>
      <c r="T66" s="232"/>
    </row>
    <row r="67" spans="3:20" ht="15.75" customHeight="1">
      <c r="C67" s="232"/>
      <c r="D67" s="232"/>
      <c r="T67" s="232"/>
    </row>
    <row r="68" spans="3:20" ht="15.75" customHeight="1">
      <c r="C68" s="232"/>
      <c r="D68" s="232"/>
      <c r="T68" s="232"/>
    </row>
    <row r="69" spans="3:20" ht="15.75" customHeight="1">
      <c r="C69" s="232"/>
      <c r="D69" s="232"/>
      <c r="T69" s="232"/>
    </row>
    <row r="70" spans="3:20" ht="15.75" customHeight="1">
      <c r="D70" s="232"/>
      <c r="T70" s="232"/>
    </row>
    <row r="71" spans="3:20" ht="15" customHeight="1">
      <c r="E71" s="232"/>
      <c r="F71" s="232"/>
      <c r="G71" s="232"/>
      <c r="H71" s="232"/>
      <c r="I71" s="232"/>
      <c r="J71" s="232"/>
      <c r="K71" s="232"/>
      <c r="L71" s="232"/>
      <c r="M71" s="232"/>
      <c r="N71" s="232"/>
      <c r="O71" s="232"/>
      <c r="P71" s="232"/>
      <c r="Q71" s="232"/>
      <c r="R71" s="232"/>
      <c r="S71" s="232"/>
    </row>
    <row r="73" spans="3:20" ht="15" customHeight="1">
      <c r="E73" s="232" t="s">
        <v>175</v>
      </c>
      <c r="F73" s="232"/>
      <c r="G73" s="232"/>
      <c r="H73" s="232"/>
      <c r="I73" s="232"/>
      <c r="J73" s="232"/>
      <c r="K73" s="232"/>
      <c r="L73" s="232"/>
      <c r="M73" s="232"/>
      <c r="N73" s="232"/>
      <c r="O73" s="232"/>
      <c r="P73" s="232"/>
      <c r="Q73" s="232"/>
      <c r="R73" s="232"/>
      <c r="S73" s="232"/>
    </row>
    <row r="74" spans="3:20" ht="15" customHeight="1">
      <c r="D74" s="232"/>
      <c r="E74" s="873" t="s">
        <v>302</v>
      </c>
      <c r="F74" s="874"/>
      <c r="G74" s="874"/>
      <c r="H74" s="874"/>
      <c r="I74" s="874"/>
      <c r="J74" s="874"/>
      <c r="K74" s="874"/>
      <c r="L74" s="874"/>
      <c r="M74" s="874"/>
      <c r="N74" s="874"/>
      <c r="O74" s="874"/>
      <c r="P74" s="874"/>
      <c r="Q74" s="874"/>
      <c r="R74" s="874"/>
      <c r="S74" s="875"/>
      <c r="T74" s="232"/>
    </row>
    <row r="75" spans="3:20" ht="15" customHeight="1">
      <c r="D75" s="232"/>
      <c r="E75" s="876"/>
      <c r="F75" s="877"/>
      <c r="G75" s="877"/>
      <c r="H75" s="877"/>
      <c r="I75" s="877"/>
      <c r="J75" s="877"/>
      <c r="K75" s="877"/>
      <c r="L75" s="877"/>
      <c r="M75" s="877"/>
      <c r="N75" s="877"/>
      <c r="O75" s="877"/>
      <c r="P75" s="877"/>
      <c r="Q75" s="877"/>
      <c r="R75" s="877"/>
      <c r="S75" s="878"/>
      <c r="T75" s="232"/>
    </row>
    <row r="76" spans="3:20" ht="15" customHeight="1">
      <c r="D76" s="232"/>
      <c r="E76" s="876"/>
      <c r="F76" s="877"/>
      <c r="G76" s="877"/>
      <c r="H76" s="877"/>
      <c r="I76" s="877"/>
      <c r="J76" s="877"/>
      <c r="K76" s="877"/>
      <c r="L76" s="877"/>
      <c r="M76" s="877"/>
      <c r="N76" s="877"/>
      <c r="O76" s="877"/>
      <c r="P76" s="877"/>
      <c r="Q76" s="877"/>
      <c r="R76" s="877"/>
      <c r="S76" s="878"/>
      <c r="T76" s="232"/>
    </row>
    <row r="77" spans="3:20" ht="15" customHeight="1">
      <c r="D77" s="232"/>
      <c r="E77" s="876"/>
      <c r="F77" s="877"/>
      <c r="G77" s="877"/>
      <c r="H77" s="877"/>
      <c r="I77" s="877"/>
      <c r="J77" s="877"/>
      <c r="K77" s="877"/>
      <c r="L77" s="877"/>
      <c r="M77" s="877"/>
      <c r="N77" s="877"/>
      <c r="O77" s="877"/>
      <c r="P77" s="877"/>
      <c r="Q77" s="877"/>
      <c r="R77" s="877"/>
      <c r="S77" s="878"/>
      <c r="T77" s="232"/>
    </row>
    <row r="78" spans="3:20" ht="15" customHeight="1">
      <c r="D78" s="232"/>
      <c r="E78" s="876"/>
      <c r="F78" s="877"/>
      <c r="G78" s="877"/>
      <c r="H78" s="877"/>
      <c r="I78" s="877"/>
      <c r="J78" s="877"/>
      <c r="K78" s="877"/>
      <c r="L78" s="877"/>
      <c r="M78" s="877"/>
      <c r="N78" s="877"/>
      <c r="O78" s="877"/>
      <c r="P78" s="877"/>
      <c r="Q78" s="877"/>
      <c r="R78" s="877"/>
      <c r="S78" s="878"/>
      <c r="T78" s="232"/>
    </row>
    <row r="79" spans="3:20" ht="15" customHeight="1">
      <c r="D79" s="232"/>
      <c r="E79" s="876"/>
      <c r="F79" s="877"/>
      <c r="G79" s="877"/>
      <c r="H79" s="877"/>
      <c r="I79" s="877"/>
      <c r="J79" s="877"/>
      <c r="K79" s="877"/>
      <c r="L79" s="877"/>
      <c r="M79" s="877"/>
      <c r="N79" s="877"/>
      <c r="O79" s="877"/>
      <c r="P79" s="877"/>
      <c r="Q79" s="877"/>
      <c r="R79" s="877"/>
      <c r="S79" s="878"/>
      <c r="T79" s="232"/>
    </row>
    <row r="80" spans="3:20" ht="15" customHeight="1">
      <c r="D80" s="232"/>
      <c r="E80" s="876"/>
      <c r="F80" s="877"/>
      <c r="G80" s="877"/>
      <c r="H80" s="877"/>
      <c r="I80" s="877"/>
      <c r="J80" s="877"/>
      <c r="K80" s="877"/>
      <c r="L80" s="877"/>
      <c r="M80" s="877"/>
      <c r="N80" s="877"/>
      <c r="O80" s="877"/>
      <c r="P80" s="877"/>
      <c r="Q80" s="877"/>
      <c r="R80" s="877"/>
      <c r="S80" s="878"/>
      <c r="T80" s="232"/>
    </row>
    <row r="81" spans="4:20" ht="15" customHeight="1">
      <c r="D81" s="232"/>
      <c r="E81" s="876"/>
      <c r="F81" s="877"/>
      <c r="G81" s="877"/>
      <c r="H81" s="877"/>
      <c r="I81" s="877"/>
      <c r="J81" s="877"/>
      <c r="K81" s="877"/>
      <c r="L81" s="877"/>
      <c r="M81" s="877"/>
      <c r="N81" s="877"/>
      <c r="O81" s="877"/>
      <c r="P81" s="877"/>
      <c r="Q81" s="877"/>
      <c r="R81" s="877"/>
      <c r="S81" s="878"/>
      <c r="T81" s="232"/>
    </row>
    <row r="82" spans="4:20" ht="15" customHeight="1">
      <c r="D82" s="232"/>
      <c r="E82" s="876"/>
      <c r="F82" s="877"/>
      <c r="G82" s="877"/>
      <c r="H82" s="877"/>
      <c r="I82" s="877"/>
      <c r="J82" s="877"/>
      <c r="K82" s="877"/>
      <c r="L82" s="877"/>
      <c r="M82" s="877"/>
      <c r="N82" s="877"/>
      <c r="O82" s="877"/>
      <c r="P82" s="877"/>
      <c r="Q82" s="877"/>
      <c r="R82" s="877"/>
      <c r="S82" s="878"/>
      <c r="T82" s="232"/>
    </row>
    <row r="83" spans="4:20" ht="15" customHeight="1">
      <c r="D83" s="232"/>
      <c r="E83" s="876"/>
      <c r="F83" s="877"/>
      <c r="G83" s="877"/>
      <c r="H83" s="877"/>
      <c r="I83" s="877"/>
      <c r="J83" s="877"/>
      <c r="K83" s="877"/>
      <c r="L83" s="877"/>
      <c r="M83" s="877"/>
      <c r="N83" s="877"/>
      <c r="O83" s="877"/>
      <c r="P83" s="877"/>
      <c r="Q83" s="877"/>
      <c r="R83" s="877"/>
      <c r="S83" s="878"/>
      <c r="T83" s="232"/>
    </row>
    <row r="84" spans="4:20" ht="15" customHeight="1">
      <c r="D84" s="232"/>
      <c r="E84" s="876"/>
      <c r="F84" s="877"/>
      <c r="G84" s="877"/>
      <c r="H84" s="877"/>
      <c r="I84" s="877"/>
      <c r="J84" s="877"/>
      <c r="K84" s="877"/>
      <c r="L84" s="877"/>
      <c r="M84" s="877"/>
      <c r="N84" s="877"/>
      <c r="O84" s="877"/>
      <c r="P84" s="877"/>
      <c r="Q84" s="877"/>
      <c r="R84" s="877"/>
      <c r="S84" s="878"/>
      <c r="T84" s="232"/>
    </row>
    <row r="85" spans="4:20" ht="15" customHeight="1">
      <c r="D85" s="232"/>
      <c r="E85" s="876"/>
      <c r="F85" s="877"/>
      <c r="G85" s="877"/>
      <c r="H85" s="877"/>
      <c r="I85" s="877"/>
      <c r="J85" s="877"/>
      <c r="K85" s="877"/>
      <c r="L85" s="877"/>
      <c r="M85" s="877"/>
      <c r="N85" s="877"/>
      <c r="O85" s="877"/>
      <c r="P85" s="877"/>
      <c r="Q85" s="877"/>
      <c r="R85" s="877"/>
      <c r="S85" s="878"/>
      <c r="T85" s="232"/>
    </row>
    <row r="86" spans="4:20" ht="15" customHeight="1">
      <c r="D86" s="232"/>
      <c r="E86" s="879"/>
      <c r="F86" s="880"/>
      <c r="G86" s="880"/>
      <c r="H86" s="880"/>
      <c r="I86" s="880"/>
      <c r="J86" s="880"/>
      <c r="K86" s="880"/>
      <c r="L86" s="880"/>
      <c r="M86" s="880"/>
      <c r="N86" s="880"/>
      <c r="O86" s="880"/>
      <c r="P86" s="880"/>
      <c r="Q86" s="880"/>
      <c r="R86" s="880"/>
      <c r="S86" s="881"/>
      <c r="T86" s="232"/>
    </row>
    <row r="87" spans="4:20" ht="15" customHeight="1">
      <c r="E87" s="232"/>
      <c r="F87" s="232"/>
      <c r="G87" s="232"/>
      <c r="H87" s="232"/>
      <c r="I87" s="232"/>
      <c r="J87" s="232"/>
      <c r="K87" s="232"/>
      <c r="L87" s="232"/>
      <c r="M87" s="232"/>
      <c r="N87" s="232"/>
      <c r="O87" s="232"/>
      <c r="P87" s="232"/>
      <c r="Q87" s="232"/>
      <c r="R87" s="232"/>
      <c r="S87" s="232"/>
    </row>
  </sheetData>
  <mergeCells count="24">
    <mergeCell ref="E74:S86"/>
    <mergeCell ref="X7:AL7"/>
    <mergeCell ref="X8:AL8"/>
    <mergeCell ref="X9:AB9"/>
    <mergeCell ref="C1:S1"/>
    <mergeCell ref="C2:S2"/>
    <mergeCell ref="C3:S3"/>
    <mergeCell ref="C4:S4"/>
    <mergeCell ref="C5:S5"/>
    <mergeCell ref="Y29:AB32"/>
    <mergeCell ref="AC23:AL23"/>
    <mergeCell ref="X25:X27"/>
    <mergeCell ref="Y25:Y27"/>
    <mergeCell ref="AC9:AL9"/>
    <mergeCell ref="Y11:Y13"/>
    <mergeCell ref="Z11:Z13"/>
    <mergeCell ref="X28:AL28"/>
    <mergeCell ref="Y15:AB18"/>
    <mergeCell ref="Z25:Z27"/>
    <mergeCell ref="X11:X13"/>
    <mergeCell ref="X14:AL14"/>
    <mergeCell ref="X21:AL21"/>
    <mergeCell ref="X22:AL22"/>
    <mergeCell ref="X23:AB23"/>
  </mergeCells>
  <phoneticPr fontId="18"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5623"/>
  </sheetPr>
  <dimension ref="A1:AM84"/>
  <sheetViews>
    <sheetView workbookViewId="0">
      <pane xSplit="2" ySplit="6" topLeftCell="E18" activePane="bottomRight" state="frozen"/>
      <selection pane="bottomRight" activeCell="Q25" sqref="Q25:Q27"/>
      <selection pane="bottomLeft" activeCell="A7" sqref="A7"/>
      <selection pane="topRight" activeCell="C1" sqref="C1"/>
    </sheetView>
  </sheetViews>
  <sheetFormatPr defaultColWidth="14.42578125" defaultRowHeight="15" customHeight="1"/>
  <cols>
    <col min="1" max="1" width="9.140625" customWidth="1"/>
    <col min="2" max="2" width="19.140625" customWidth="1"/>
    <col min="3" max="3" width="9.140625" style="1" customWidth="1"/>
    <col min="4" max="4" width="58.28515625" customWidth="1"/>
    <col min="5" max="5" width="39.7109375" customWidth="1"/>
    <col min="6" max="6" width="10.5703125" customWidth="1"/>
    <col min="7" max="7" width="13.42578125" customWidth="1"/>
    <col min="8" max="8" width="10.5703125" customWidth="1"/>
    <col min="9" max="9" width="14.28515625" customWidth="1"/>
    <col min="10" max="10" width="14.140625" customWidth="1"/>
    <col min="11" max="11" width="16" customWidth="1"/>
    <col min="12" max="12" width="13.85546875" customWidth="1"/>
    <col min="13" max="14" width="11.140625" customWidth="1"/>
    <col min="15" max="15" width="13.42578125" customWidth="1"/>
    <col min="16" max="16" width="15.42578125" customWidth="1"/>
    <col min="17" max="17" width="10.85546875" customWidth="1"/>
    <col min="18" max="18" width="18.85546875" customWidth="1"/>
    <col min="19" max="19" width="9.140625" customWidth="1"/>
    <col min="20" max="20" width="7.5703125" hidden="1" customWidth="1"/>
    <col min="21" max="23" width="8.7109375" customWidth="1"/>
    <col min="24" max="24" width="21.85546875" bestFit="1" customWidth="1"/>
    <col min="25" max="27" width="8.7109375" customWidth="1"/>
  </cols>
  <sheetData>
    <row r="1" spans="1:38">
      <c r="A1" s="60"/>
      <c r="B1" s="168"/>
      <c r="C1" s="892" t="s">
        <v>40</v>
      </c>
      <c r="D1" s="1160"/>
      <c r="E1" s="1160"/>
      <c r="F1" s="1160"/>
      <c r="G1" s="1160"/>
      <c r="H1" s="1160"/>
      <c r="I1" s="1160"/>
      <c r="J1" s="1160"/>
      <c r="K1" s="1160"/>
      <c r="L1" s="1160"/>
      <c r="M1" s="1160"/>
      <c r="N1" s="1160"/>
      <c r="O1" s="1160"/>
      <c r="P1" s="1160"/>
      <c r="Q1" s="1160"/>
      <c r="R1" s="1160"/>
      <c r="S1" s="1160"/>
    </row>
    <row r="2" spans="1:38">
      <c r="A2" s="138"/>
      <c r="B2" s="93"/>
      <c r="C2" s="868" t="s">
        <v>41</v>
      </c>
      <c r="D2" s="1158"/>
      <c r="E2" s="1158"/>
      <c r="F2" s="1158"/>
      <c r="G2" s="1158"/>
      <c r="H2" s="1158"/>
      <c r="I2" s="1158"/>
      <c r="J2" s="1158"/>
      <c r="K2" s="1158"/>
      <c r="L2" s="1158"/>
      <c r="M2" s="1158"/>
      <c r="N2" s="1158"/>
      <c r="O2" s="1158"/>
      <c r="P2" s="1158"/>
      <c r="Q2" s="1158"/>
      <c r="R2" s="1158"/>
      <c r="S2" s="1158"/>
    </row>
    <row r="3" spans="1:38">
      <c r="A3" s="139"/>
      <c r="B3" s="86"/>
      <c r="C3" s="869" t="s">
        <v>42</v>
      </c>
      <c r="D3" s="1159"/>
      <c r="E3" s="1159"/>
      <c r="F3" s="1159"/>
      <c r="G3" s="1159"/>
      <c r="H3" s="1159"/>
      <c r="I3" s="1159"/>
      <c r="J3" s="1159"/>
      <c r="K3" s="1159"/>
      <c r="L3" s="1159"/>
      <c r="M3" s="1159"/>
      <c r="N3" s="1159"/>
      <c r="O3" s="1159"/>
      <c r="P3" s="1159"/>
      <c r="Q3" s="1159"/>
      <c r="R3" s="1159"/>
      <c r="S3" s="1159"/>
    </row>
    <row r="4" spans="1:38">
      <c r="A4" s="140"/>
      <c r="B4" s="141"/>
      <c r="C4" s="870" t="s">
        <v>303</v>
      </c>
      <c r="D4" s="1160"/>
      <c r="E4" s="1160"/>
      <c r="F4" s="1160"/>
      <c r="G4" s="1160"/>
      <c r="H4" s="1160"/>
      <c r="I4" s="1160"/>
      <c r="J4" s="1160"/>
      <c r="K4" s="1160"/>
      <c r="L4" s="1160"/>
      <c r="M4" s="1160"/>
      <c r="N4" s="1160"/>
      <c r="O4" s="1160"/>
      <c r="P4" s="1160"/>
      <c r="Q4" s="1160"/>
      <c r="R4" s="1160"/>
      <c r="S4" s="1160"/>
    </row>
    <row r="5" spans="1:38" ht="15" customHeight="1">
      <c r="A5" s="61"/>
      <c r="B5" s="169"/>
      <c r="C5" s="893" t="s">
        <v>304</v>
      </c>
      <c r="D5" s="1159"/>
      <c r="E5" s="1159"/>
      <c r="F5" s="1159"/>
      <c r="G5" s="1159"/>
      <c r="H5" s="1159"/>
      <c r="I5" s="1159"/>
      <c r="J5" s="1159"/>
      <c r="K5" s="1159"/>
      <c r="L5" s="1159"/>
      <c r="M5" s="1159"/>
      <c r="N5" s="1159"/>
      <c r="O5" s="1159"/>
      <c r="P5" s="1159"/>
      <c r="Q5" s="1159"/>
      <c r="R5" s="1159"/>
      <c r="S5" s="1159"/>
    </row>
    <row r="6" spans="1:38">
      <c r="A6" s="170" t="s">
        <v>305</v>
      </c>
      <c r="B6" s="171" t="s">
        <v>46</v>
      </c>
      <c r="C6" s="171" t="s">
        <v>47</v>
      </c>
      <c r="D6" s="171" t="s">
        <v>48</v>
      </c>
      <c r="E6" s="171" t="s">
        <v>49</v>
      </c>
      <c r="F6" s="485" t="s">
        <v>50</v>
      </c>
      <c r="G6" s="485" t="s">
        <v>51</v>
      </c>
      <c r="H6" s="477" t="s">
        <v>52</v>
      </c>
      <c r="I6" s="477" t="s">
        <v>53</v>
      </c>
      <c r="J6" s="477" t="s">
        <v>54</v>
      </c>
      <c r="K6" s="477" t="s">
        <v>55</v>
      </c>
      <c r="L6" s="485" t="s">
        <v>56</v>
      </c>
      <c r="M6" s="172" t="s">
        <v>57</v>
      </c>
      <c r="N6" s="171" t="s">
        <v>58</v>
      </c>
      <c r="O6" s="477" t="s">
        <v>59</v>
      </c>
      <c r="P6" s="171" t="s">
        <v>60</v>
      </c>
      <c r="Q6" s="171" t="s">
        <v>61</v>
      </c>
      <c r="R6" s="3" t="s">
        <v>62</v>
      </c>
      <c r="S6" s="38" t="s">
        <v>63</v>
      </c>
      <c r="T6" s="253" t="s">
        <v>64</v>
      </c>
    </row>
    <row r="7" spans="1:38">
      <c r="A7" s="144" t="s">
        <v>65</v>
      </c>
      <c r="B7" s="62" t="s">
        <v>66</v>
      </c>
      <c r="C7" s="145">
        <v>1</v>
      </c>
      <c r="D7" s="173" t="s">
        <v>75</v>
      </c>
      <c r="E7" s="173" t="s">
        <v>306</v>
      </c>
      <c r="F7" s="7">
        <v>1.9</v>
      </c>
      <c r="G7" s="7">
        <v>1.59</v>
      </c>
      <c r="H7" s="7">
        <v>1.9</v>
      </c>
      <c r="I7" s="7">
        <v>4.5599999999999996</v>
      </c>
      <c r="J7" s="7">
        <v>2.59</v>
      </c>
      <c r="K7" s="7">
        <v>3.25</v>
      </c>
      <c r="L7" s="7">
        <v>4.95</v>
      </c>
      <c r="M7" s="7">
        <v>4.0999999999999996</v>
      </c>
      <c r="N7" s="7">
        <v>4.7</v>
      </c>
      <c r="O7" s="7">
        <v>4.4400000000000004</v>
      </c>
      <c r="P7" s="7">
        <v>4.71</v>
      </c>
      <c r="Q7" s="7">
        <v>3.1</v>
      </c>
      <c r="R7" s="43">
        <f t="shared" ref="R7:R24" si="0">IFERROR(AVERAGE(F7:Q7), 0)</f>
        <v>3.4824999999999999</v>
      </c>
      <c r="S7" s="8">
        <v>5</v>
      </c>
      <c r="T7" s="242" t="s">
        <v>307</v>
      </c>
      <c r="X7" s="843" t="s">
        <v>70</v>
      </c>
      <c r="Y7" s="843"/>
      <c r="Z7" s="843"/>
      <c r="AA7" s="843"/>
      <c r="AB7" s="843"/>
      <c r="AC7" s="843"/>
      <c r="AD7" s="843"/>
      <c r="AE7" s="843"/>
      <c r="AF7" s="843"/>
      <c r="AG7" s="843"/>
      <c r="AH7" s="843"/>
      <c r="AI7" s="843"/>
      <c r="AJ7" s="843"/>
      <c r="AK7" s="843"/>
      <c r="AL7" s="843"/>
    </row>
    <row r="8" spans="1:38">
      <c r="A8" s="9"/>
      <c r="B8" s="63" t="s">
        <v>66</v>
      </c>
      <c r="C8" s="11">
        <v>2</v>
      </c>
      <c r="D8" s="156" t="s">
        <v>308</v>
      </c>
      <c r="E8" s="156" t="s">
        <v>309</v>
      </c>
      <c r="F8" s="12">
        <v>1.9</v>
      </c>
      <c r="G8" s="12">
        <v>1.57</v>
      </c>
      <c r="H8" s="12">
        <v>2.7</v>
      </c>
      <c r="I8" s="12">
        <v>4.53</v>
      </c>
      <c r="J8" s="12">
        <v>2.8</v>
      </c>
      <c r="K8" s="12">
        <v>3.62</v>
      </c>
      <c r="L8" s="12">
        <v>5.01</v>
      </c>
      <c r="M8" s="12">
        <v>4.05</v>
      </c>
      <c r="N8" s="12">
        <v>4.8</v>
      </c>
      <c r="O8" s="12">
        <v>4.59</v>
      </c>
      <c r="P8" s="12">
        <v>4.45</v>
      </c>
      <c r="Q8" s="12">
        <v>3.25</v>
      </c>
      <c r="R8" s="33">
        <f t="shared" si="0"/>
        <v>3.6058333333333343</v>
      </c>
      <c r="S8" s="14">
        <v>5</v>
      </c>
      <c r="T8" s="242" t="s">
        <v>310</v>
      </c>
      <c r="X8" s="843" t="s">
        <v>74</v>
      </c>
      <c r="Y8" s="843"/>
      <c r="Z8" s="843"/>
      <c r="AA8" s="843"/>
      <c r="AB8" s="843"/>
      <c r="AC8" s="843"/>
      <c r="AD8" s="843"/>
      <c r="AE8" s="843"/>
      <c r="AF8" s="843"/>
      <c r="AG8" s="843"/>
      <c r="AH8" s="843"/>
      <c r="AI8" s="843"/>
      <c r="AJ8" s="843"/>
      <c r="AK8" s="843"/>
      <c r="AL8" s="843"/>
    </row>
    <row r="9" spans="1:38">
      <c r="A9" s="9"/>
      <c r="B9" s="63" t="s">
        <v>66</v>
      </c>
      <c r="C9" s="11">
        <v>3</v>
      </c>
      <c r="D9" s="156" t="s">
        <v>311</v>
      </c>
      <c r="E9" s="156" t="s">
        <v>309</v>
      </c>
      <c r="F9" s="12">
        <v>1.9</v>
      </c>
      <c r="G9" s="12">
        <v>1.59</v>
      </c>
      <c r="H9" s="12">
        <v>2.5299999999999998</v>
      </c>
      <c r="I9" s="12">
        <v>4.54</v>
      </c>
      <c r="J9" s="12">
        <v>2.67</v>
      </c>
      <c r="K9" s="12">
        <v>4.59</v>
      </c>
      <c r="L9" s="12">
        <v>5.61</v>
      </c>
      <c r="M9" s="12">
        <v>4.2300000000000004</v>
      </c>
      <c r="N9" s="12">
        <v>4.2</v>
      </c>
      <c r="O9" s="12">
        <v>4.6500000000000004</v>
      </c>
      <c r="P9" s="12">
        <v>4.53</v>
      </c>
      <c r="Q9" s="12">
        <v>3.05</v>
      </c>
      <c r="R9" s="33">
        <f t="shared" si="0"/>
        <v>3.6741666666666664</v>
      </c>
      <c r="S9" s="14">
        <v>5</v>
      </c>
      <c r="T9" s="242" t="s">
        <v>312</v>
      </c>
      <c r="X9" s="848"/>
      <c r="Y9" s="848"/>
      <c r="Z9" s="848"/>
      <c r="AA9" s="848"/>
      <c r="AB9" s="848"/>
      <c r="AC9" s="848" t="s">
        <v>78</v>
      </c>
      <c r="AD9" s="1161"/>
      <c r="AE9" s="1161"/>
      <c r="AF9" s="1161"/>
      <c r="AG9" s="1161"/>
      <c r="AH9" s="1161"/>
      <c r="AI9" s="1161"/>
      <c r="AJ9" s="1161"/>
      <c r="AK9" s="1161"/>
      <c r="AL9" s="1161"/>
    </row>
    <row r="10" spans="1:38">
      <c r="A10" s="9"/>
      <c r="B10" s="174" t="s">
        <v>91</v>
      </c>
      <c r="C10" s="15">
        <v>1</v>
      </c>
      <c r="D10" s="173" t="s">
        <v>75</v>
      </c>
      <c r="E10" s="173" t="s">
        <v>306</v>
      </c>
      <c r="F10" s="7">
        <v>13</v>
      </c>
      <c r="G10" s="7">
        <v>10</v>
      </c>
      <c r="H10" s="7">
        <v>10</v>
      </c>
      <c r="I10" s="7">
        <v>11</v>
      </c>
      <c r="J10" s="7">
        <v>7</v>
      </c>
      <c r="K10" s="7">
        <v>9</v>
      </c>
      <c r="L10" s="7">
        <v>2</v>
      </c>
      <c r="M10" s="7">
        <v>6</v>
      </c>
      <c r="N10" s="7">
        <v>9</v>
      </c>
      <c r="O10" s="7">
        <v>7</v>
      </c>
      <c r="P10" s="7">
        <v>4</v>
      </c>
      <c r="Q10" s="7">
        <v>9</v>
      </c>
      <c r="R10" s="43">
        <f t="shared" si="0"/>
        <v>8.0833333333333339</v>
      </c>
      <c r="S10" s="8">
        <v>7</v>
      </c>
      <c r="T10" s="242" t="s">
        <v>307</v>
      </c>
      <c r="X10" s="14" t="s">
        <v>82</v>
      </c>
      <c r="Y10" s="14" t="s">
        <v>83</v>
      </c>
      <c r="Z10" s="14" t="s">
        <v>84</v>
      </c>
      <c r="AA10" s="14" t="s">
        <v>85</v>
      </c>
      <c r="AB10" s="14" t="s">
        <v>86</v>
      </c>
      <c r="AC10" s="14" t="s">
        <v>4</v>
      </c>
      <c r="AD10" s="14" t="s">
        <v>5</v>
      </c>
      <c r="AE10" s="14" t="s">
        <v>6</v>
      </c>
      <c r="AF10" s="14" t="s">
        <v>7</v>
      </c>
      <c r="AG10" s="14" t="s">
        <v>8</v>
      </c>
      <c r="AH10" s="14" t="s">
        <v>9</v>
      </c>
      <c r="AI10" s="14" t="s">
        <v>10</v>
      </c>
      <c r="AJ10" s="14" t="s">
        <v>11</v>
      </c>
      <c r="AK10" s="14" t="s">
        <v>12</v>
      </c>
      <c r="AL10" s="14" t="s">
        <v>13</v>
      </c>
    </row>
    <row r="11" spans="1:38" ht="45.75">
      <c r="A11" s="9"/>
      <c r="B11" s="175" t="s">
        <v>91</v>
      </c>
      <c r="C11" s="11">
        <v>2</v>
      </c>
      <c r="D11" s="156" t="s">
        <v>308</v>
      </c>
      <c r="E11" s="156" t="s">
        <v>309</v>
      </c>
      <c r="F11" s="12">
        <v>8</v>
      </c>
      <c r="G11" s="12">
        <v>11</v>
      </c>
      <c r="H11" s="12">
        <v>10</v>
      </c>
      <c r="I11" s="12">
        <v>14</v>
      </c>
      <c r="J11" s="12">
        <v>7</v>
      </c>
      <c r="K11" s="12">
        <v>7</v>
      </c>
      <c r="L11" s="12">
        <v>2</v>
      </c>
      <c r="M11" s="12">
        <v>6</v>
      </c>
      <c r="N11" s="12">
        <v>7</v>
      </c>
      <c r="O11" s="12">
        <v>6</v>
      </c>
      <c r="P11" s="12">
        <v>4</v>
      </c>
      <c r="Q11" s="12">
        <v>10</v>
      </c>
      <c r="R11" s="33">
        <f t="shared" si="0"/>
        <v>7.666666666666667</v>
      </c>
      <c r="S11" s="14">
        <v>7</v>
      </c>
      <c r="T11" s="242" t="s">
        <v>310</v>
      </c>
      <c r="X11" s="847" t="s">
        <v>313</v>
      </c>
      <c r="Y11" s="847" t="s">
        <v>303</v>
      </c>
      <c r="Z11" s="855" t="s">
        <v>16</v>
      </c>
      <c r="AA11" s="32">
        <v>1</v>
      </c>
      <c r="AB11" s="65" t="s">
        <v>311</v>
      </c>
      <c r="AC11" s="33">
        <f>AVERAGE(F7:K7)</f>
        <v>2.6316666666666664</v>
      </c>
      <c r="AD11" s="33">
        <f>AVERAGE(F10:K10)</f>
        <v>10</v>
      </c>
      <c r="AE11" s="33">
        <f>AVERAGE(F13:K13)</f>
        <v>18</v>
      </c>
      <c r="AF11" s="33">
        <f>AVERAGE(F16:K16)</f>
        <v>7.1083333333333334</v>
      </c>
      <c r="AG11" s="33">
        <f>AVERAGE(F19:K19)</f>
        <v>28.833333333333332</v>
      </c>
      <c r="AH11" s="33">
        <f>AVERAGE(F22:K22)</f>
        <v>26.666666666666668</v>
      </c>
      <c r="AI11" s="33">
        <f>GEOMEAN(F25:K25)</f>
        <v>487437.14910685032</v>
      </c>
      <c r="AJ11" s="34">
        <f>AVERAGE(F28:K28)</f>
        <v>0.80033333333333323</v>
      </c>
      <c r="AK11" s="34">
        <f>AVERAGE(F31:K31)</f>
        <v>0.77133333333333332</v>
      </c>
      <c r="AL11" s="33">
        <f>AVERAGE(F34:K34)</f>
        <v>214.16666666666666</v>
      </c>
    </row>
    <row r="12" spans="1:38" ht="30">
      <c r="A12" s="9"/>
      <c r="B12" s="175" t="s">
        <v>91</v>
      </c>
      <c r="C12" s="11">
        <v>3</v>
      </c>
      <c r="D12" s="156" t="s">
        <v>311</v>
      </c>
      <c r="E12" s="156" t="s">
        <v>309</v>
      </c>
      <c r="F12" s="12">
        <v>8</v>
      </c>
      <c r="G12" s="12">
        <v>14</v>
      </c>
      <c r="H12" s="12">
        <v>11</v>
      </c>
      <c r="I12" s="12">
        <v>11</v>
      </c>
      <c r="J12" s="12">
        <v>6</v>
      </c>
      <c r="K12" s="12">
        <v>9</v>
      </c>
      <c r="L12" s="12">
        <v>2</v>
      </c>
      <c r="M12" s="12">
        <v>7</v>
      </c>
      <c r="N12" s="12">
        <v>9</v>
      </c>
      <c r="O12" s="12">
        <v>7</v>
      </c>
      <c r="P12" s="12">
        <v>5</v>
      </c>
      <c r="Q12" s="12">
        <v>8</v>
      </c>
      <c r="R12" s="33">
        <f t="shared" si="0"/>
        <v>8.0833333333333339</v>
      </c>
      <c r="S12" s="14">
        <v>7</v>
      </c>
      <c r="T12" s="242" t="s">
        <v>312</v>
      </c>
      <c r="X12" s="1161"/>
      <c r="Y12" s="1161"/>
      <c r="Z12" s="1161"/>
      <c r="AA12" s="32">
        <v>2</v>
      </c>
      <c r="AB12" s="65" t="s">
        <v>308</v>
      </c>
      <c r="AC12" s="33">
        <f>AVERAGE(F8:K8)</f>
        <v>2.8533333333333335</v>
      </c>
      <c r="AD12" s="33">
        <f>AVERAGE(F11:K11)</f>
        <v>9.5</v>
      </c>
      <c r="AE12" s="33">
        <f>AVERAGE(F14:K14)</f>
        <v>17.166666666666668</v>
      </c>
      <c r="AF12" s="33">
        <f>AVERAGE(F17:K17)</f>
        <v>7.1049999999999995</v>
      </c>
      <c r="AG12" s="33">
        <f>AVERAGE(F20:K20)</f>
        <v>28.650000000000002</v>
      </c>
      <c r="AH12" s="33">
        <f>AVERAGE(F23:K23)</f>
        <v>26.666666666666668</v>
      </c>
      <c r="AI12" s="33">
        <f>GEOMEAN(F26:K26)</f>
        <v>517260.24710948253</v>
      </c>
      <c r="AJ12" s="34">
        <f>AVERAGE(F29:K29)</f>
        <v>0.89383333333333326</v>
      </c>
      <c r="AK12" s="34">
        <f>AVERAGE(F32:K32)</f>
        <v>0.76500000000000001</v>
      </c>
      <c r="AL12" s="33">
        <f>AVERAGE(F35:K35)</f>
        <v>184.66666666666666</v>
      </c>
    </row>
    <row r="13" spans="1:38" ht="30">
      <c r="A13" s="9"/>
      <c r="B13" s="174" t="s">
        <v>92</v>
      </c>
      <c r="C13" s="15">
        <v>1</v>
      </c>
      <c r="D13" s="173" t="s">
        <v>75</v>
      </c>
      <c r="E13" s="173" t="s">
        <v>306</v>
      </c>
      <c r="F13" s="7">
        <v>11</v>
      </c>
      <c r="G13" s="7">
        <v>15</v>
      </c>
      <c r="H13" s="7">
        <v>13</v>
      </c>
      <c r="I13" s="7">
        <v>13</v>
      </c>
      <c r="J13" s="7">
        <v>17</v>
      </c>
      <c r="K13" s="7">
        <v>39</v>
      </c>
      <c r="L13" s="7">
        <v>40</v>
      </c>
      <c r="M13" s="7">
        <v>8</v>
      </c>
      <c r="N13" s="7">
        <v>37</v>
      </c>
      <c r="O13" s="7">
        <v>43</v>
      </c>
      <c r="P13" s="7">
        <v>32</v>
      </c>
      <c r="Q13" s="7">
        <v>53</v>
      </c>
      <c r="R13" s="43">
        <f t="shared" si="0"/>
        <v>26.75</v>
      </c>
      <c r="S13" s="8">
        <v>80</v>
      </c>
      <c r="T13" s="242" t="s">
        <v>307</v>
      </c>
      <c r="X13" s="1161"/>
      <c r="Y13" s="1161"/>
      <c r="Z13" s="1161"/>
      <c r="AA13" s="32">
        <v>3</v>
      </c>
      <c r="AB13" s="65" t="s">
        <v>75</v>
      </c>
      <c r="AC13" s="33">
        <f>AVERAGE(F9:K9)</f>
        <v>2.97</v>
      </c>
      <c r="AD13" s="33">
        <f>AVERAGE(F12:K12)</f>
        <v>9.8333333333333339</v>
      </c>
      <c r="AE13" s="33">
        <f>AVERAGE(F15:K15)</f>
        <v>19.166666666666668</v>
      </c>
      <c r="AF13" s="33">
        <f>AVERAGE(F18:K18)</f>
        <v>7.1483333333333334</v>
      </c>
      <c r="AG13" s="33">
        <f>AVERAGE(F21:K21)</f>
        <v>28.433333333333337</v>
      </c>
      <c r="AH13" s="33">
        <f>AVERAGE(F24:K24)</f>
        <v>26.666666666666668</v>
      </c>
      <c r="AI13" s="33">
        <f>GEOMEAN(F27:K27)</f>
        <v>553624.33354072471</v>
      </c>
      <c r="AJ13" s="34">
        <f>AVERAGE(F30:K30)</f>
        <v>1.0518333333333334</v>
      </c>
      <c r="AK13" s="34">
        <f>AVERAGE(F33:K33)</f>
        <v>0.77616666666666667</v>
      </c>
      <c r="AL13" s="33">
        <f>AVERAGE(F36:K36)</f>
        <v>209.83333333333334</v>
      </c>
    </row>
    <row r="14" spans="1:38">
      <c r="A14" s="9"/>
      <c r="B14" s="175" t="s">
        <v>92</v>
      </c>
      <c r="C14" s="11">
        <v>2</v>
      </c>
      <c r="D14" s="156" t="s">
        <v>308</v>
      </c>
      <c r="E14" s="156" t="s">
        <v>309</v>
      </c>
      <c r="F14" s="12">
        <v>12</v>
      </c>
      <c r="G14" s="12">
        <v>11</v>
      </c>
      <c r="H14" s="12">
        <v>13</v>
      </c>
      <c r="I14" s="12">
        <v>15</v>
      </c>
      <c r="J14" s="12">
        <v>9</v>
      </c>
      <c r="K14" s="12">
        <v>43</v>
      </c>
      <c r="L14" s="12">
        <v>63</v>
      </c>
      <c r="M14" s="12">
        <v>12</v>
      </c>
      <c r="N14" s="12">
        <v>31</v>
      </c>
      <c r="O14" s="12">
        <v>33</v>
      </c>
      <c r="P14" s="12">
        <v>39</v>
      </c>
      <c r="Q14" s="12">
        <v>56</v>
      </c>
      <c r="R14" s="33">
        <f t="shared" si="0"/>
        <v>28.083333333333332</v>
      </c>
      <c r="S14" s="14">
        <v>80</v>
      </c>
      <c r="T14" s="242" t="s">
        <v>310</v>
      </c>
      <c r="X14" s="848"/>
      <c r="Y14" s="848"/>
      <c r="Z14" s="848"/>
      <c r="AA14" s="848"/>
      <c r="AB14" s="848"/>
      <c r="AC14" s="848"/>
      <c r="AD14" s="848"/>
      <c r="AE14" s="848"/>
      <c r="AF14" s="848"/>
      <c r="AG14" s="848"/>
      <c r="AH14" s="848"/>
      <c r="AI14" s="848"/>
      <c r="AJ14" s="848"/>
      <c r="AK14" s="848"/>
      <c r="AL14" s="848"/>
    </row>
    <row r="15" spans="1:38">
      <c r="A15" s="9"/>
      <c r="B15" s="175" t="s">
        <v>92</v>
      </c>
      <c r="C15" s="11">
        <v>3</v>
      </c>
      <c r="D15" s="156" t="s">
        <v>311</v>
      </c>
      <c r="E15" s="156" t="s">
        <v>309</v>
      </c>
      <c r="F15" s="12">
        <v>10</v>
      </c>
      <c r="G15" s="12">
        <v>9</v>
      </c>
      <c r="H15" s="12">
        <v>12</v>
      </c>
      <c r="I15" s="12">
        <v>13</v>
      </c>
      <c r="J15" s="12">
        <v>21</v>
      </c>
      <c r="K15" s="12">
        <v>50</v>
      </c>
      <c r="L15" s="12">
        <v>29</v>
      </c>
      <c r="M15" s="12">
        <v>9</v>
      </c>
      <c r="N15" s="12">
        <v>45</v>
      </c>
      <c r="O15" s="12">
        <v>29</v>
      </c>
      <c r="P15" s="12">
        <v>31</v>
      </c>
      <c r="Q15" s="12">
        <v>55</v>
      </c>
      <c r="R15" s="33">
        <f t="shared" si="0"/>
        <v>26.083333333333332</v>
      </c>
      <c r="S15" s="14">
        <v>80</v>
      </c>
      <c r="T15" s="242" t="s">
        <v>312</v>
      </c>
      <c r="X15" s="14" t="s">
        <v>93</v>
      </c>
      <c r="Y15" s="1162"/>
      <c r="Z15" s="1161"/>
      <c r="AA15" s="1161"/>
      <c r="AB15" s="1161"/>
      <c r="AC15" s="33">
        <f t="shared" ref="AC15:AL15" si="1">AVERAGE(AC11:AC13)</f>
        <v>2.8183333333333334</v>
      </c>
      <c r="AD15" s="33">
        <f t="shared" si="1"/>
        <v>9.7777777777777786</v>
      </c>
      <c r="AE15" s="33">
        <f t="shared" si="1"/>
        <v>18.111111111111114</v>
      </c>
      <c r="AF15" s="33">
        <f t="shared" si="1"/>
        <v>7.1205555555555549</v>
      </c>
      <c r="AG15" s="33">
        <f t="shared" si="1"/>
        <v>28.638888888888889</v>
      </c>
      <c r="AH15" s="33">
        <f t="shared" si="1"/>
        <v>26.666666666666668</v>
      </c>
      <c r="AI15" s="33">
        <f t="shared" si="1"/>
        <v>519440.57658568583</v>
      </c>
      <c r="AJ15" s="34">
        <f t="shared" si="1"/>
        <v>0.91533333333333322</v>
      </c>
      <c r="AK15" s="34">
        <f t="shared" si="1"/>
        <v>0.77083333333333337</v>
      </c>
      <c r="AL15" s="33">
        <f t="shared" si="1"/>
        <v>202.88888888888889</v>
      </c>
    </row>
    <row r="16" spans="1:38">
      <c r="A16" s="9"/>
      <c r="B16" s="174" t="s">
        <v>7</v>
      </c>
      <c r="C16" s="15">
        <v>1</v>
      </c>
      <c r="D16" s="173" t="s">
        <v>75</v>
      </c>
      <c r="E16" s="173" t="s">
        <v>306</v>
      </c>
      <c r="F16" s="7">
        <v>7.1</v>
      </c>
      <c r="G16" s="7">
        <v>7</v>
      </c>
      <c r="H16" s="7">
        <v>7.01</v>
      </c>
      <c r="I16" s="7">
        <v>7.25</v>
      </c>
      <c r="J16" s="7">
        <v>7.28</v>
      </c>
      <c r="K16" s="7">
        <v>7.01</v>
      </c>
      <c r="L16" s="7">
        <v>7.12</v>
      </c>
      <c r="M16" s="7">
        <v>7.05</v>
      </c>
      <c r="N16" s="7">
        <v>8.18</v>
      </c>
      <c r="O16" s="7">
        <v>7.81</v>
      </c>
      <c r="P16" s="7">
        <v>7.5</v>
      </c>
      <c r="Q16" s="7">
        <v>7.58</v>
      </c>
      <c r="R16" s="43">
        <f t="shared" si="0"/>
        <v>7.3241666666666667</v>
      </c>
      <c r="S16" s="17" t="s">
        <v>106</v>
      </c>
      <c r="T16" s="242" t="s">
        <v>307</v>
      </c>
      <c r="X16" s="14" t="s">
        <v>94</v>
      </c>
      <c r="Y16" s="1161"/>
      <c r="Z16" s="1163"/>
      <c r="AA16" s="1163"/>
      <c r="AB16" s="1161"/>
      <c r="AC16" s="33">
        <f t="shared" ref="AC16:AL16" si="2">MIN(AC11:AC13)</f>
        <v>2.6316666666666664</v>
      </c>
      <c r="AD16" s="33">
        <f t="shared" si="2"/>
        <v>9.5</v>
      </c>
      <c r="AE16" s="33">
        <f t="shared" si="2"/>
        <v>17.166666666666668</v>
      </c>
      <c r="AF16" s="33">
        <f t="shared" si="2"/>
        <v>7.1049999999999995</v>
      </c>
      <c r="AG16" s="33">
        <f t="shared" si="2"/>
        <v>28.433333333333337</v>
      </c>
      <c r="AH16" s="33">
        <f t="shared" si="2"/>
        <v>26.666666666666668</v>
      </c>
      <c r="AI16" s="33">
        <f t="shared" si="2"/>
        <v>487437.14910685032</v>
      </c>
      <c r="AJ16" s="34">
        <f t="shared" si="2"/>
        <v>0.80033333333333323</v>
      </c>
      <c r="AK16" s="34">
        <f t="shared" si="2"/>
        <v>0.76500000000000001</v>
      </c>
      <c r="AL16" s="33">
        <f t="shared" si="2"/>
        <v>184.66666666666666</v>
      </c>
    </row>
    <row r="17" spans="1:39">
      <c r="A17" s="9"/>
      <c r="B17" s="175" t="s">
        <v>7</v>
      </c>
      <c r="C17" s="11">
        <v>2</v>
      </c>
      <c r="D17" s="156" t="s">
        <v>308</v>
      </c>
      <c r="E17" s="156" t="s">
        <v>309</v>
      </c>
      <c r="F17" s="12">
        <v>7.1</v>
      </c>
      <c r="G17" s="12">
        <v>7.02</v>
      </c>
      <c r="H17" s="12">
        <v>7.03</v>
      </c>
      <c r="I17" s="12">
        <v>7.2</v>
      </c>
      <c r="J17" s="12">
        <v>7.17</v>
      </c>
      <c r="K17" s="12">
        <v>7.11</v>
      </c>
      <c r="L17" s="12">
        <v>7.1</v>
      </c>
      <c r="M17" s="12">
        <v>7.05</v>
      </c>
      <c r="N17" s="12">
        <v>7.85</v>
      </c>
      <c r="O17" s="12">
        <v>7.77</v>
      </c>
      <c r="P17" s="12">
        <v>7.48</v>
      </c>
      <c r="Q17" s="12">
        <v>7.61</v>
      </c>
      <c r="R17" s="33">
        <f t="shared" si="0"/>
        <v>7.2908333333333326</v>
      </c>
      <c r="S17" s="18" t="s">
        <v>106</v>
      </c>
      <c r="T17" s="242" t="s">
        <v>310</v>
      </c>
      <c r="X17" s="14" t="s">
        <v>95</v>
      </c>
      <c r="Y17" s="1161"/>
      <c r="Z17" s="1163"/>
      <c r="AA17" s="1163"/>
      <c r="AB17" s="1161"/>
      <c r="AC17" s="33">
        <f t="shared" ref="AC17:AL17" si="3">MAX(AC11:AC13)</f>
        <v>2.97</v>
      </c>
      <c r="AD17" s="33">
        <f t="shared" si="3"/>
        <v>10</v>
      </c>
      <c r="AE17" s="33">
        <f t="shared" si="3"/>
        <v>19.166666666666668</v>
      </c>
      <c r="AF17" s="33">
        <f t="shared" si="3"/>
        <v>7.1483333333333334</v>
      </c>
      <c r="AG17" s="33">
        <f t="shared" si="3"/>
        <v>28.833333333333332</v>
      </c>
      <c r="AH17" s="33">
        <f t="shared" si="3"/>
        <v>26.666666666666668</v>
      </c>
      <c r="AI17" s="33">
        <f t="shared" si="3"/>
        <v>553624.33354072471</v>
      </c>
      <c r="AJ17" s="34">
        <f t="shared" si="3"/>
        <v>1.0518333333333334</v>
      </c>
      <c r="AK17" s="34">
        <f t="shared" si="3"/>
        <v>0.77616666666666667</v>
      </c>
      <c r="AL17" s="33">
        <f t="shared" si="3"/>
        <v>214.16666666666666</v>
      </c>
    </row>
    <row r="18" spans="1:39">
      <c r="A18" s="9"/>
      <c r="B18" s="175" t="s">
        <v>7</v>
      </c>
      <c r="C18" s="11">
        <v>3</v>
      </c>
      <c r="D18" s="156" t="s">
        <v>311</v>
      </c>
      <c r="E18" s="156" t="s">
        <v>309</v>
      </c>
      <c r="F18" s="12">
        <v>7</v>
      </c>
      <c r="G18" s="12">
        <v>6.99</v>
      </c>
      <c r="H18" s="12">
        <v>7.11</v>
      </c>
      <c r="I18" s="12">
        <v>7.28</v>
      </c>
      <c r="J18" s="12">
        <v>7.22</v>
      </c>
      <c r="K18" s="12">
        <v>7.29</v>
      </c>
      <c r="L18" s="12">
        <v>7.12</v>
      </c>
      <c r="M18" s="12">
        <v>7.08</v>
      </c>
      <c r="N18" s="12">
        <v>7.81</v>
      </c>
      <c r="O18" s="12">
        <v>7.83</v>
      </c>
      <c r="P18" s="12">
        <v>7.51</v>
      </c>
      <c r="Q18" s="12">
        <v>7.53</v>
      </c>
      <c r="R18" s="33">
        <f t="shared" si="0"/>
        <v>7.314166666666666</v>
      </c>
      <c r="S18" s="18" t="s">
        <v>106</v>
      </c>
      <c r="T18" s="242" t="s">
        <v>312</v>
      </c>
      <c r="X18" s="14" t="s">
        <v>96</v>
      </c>
      <c r="Y18" s="1161"/>
      <c r="Z18" s="1161"/>
      <c r="AA18" s="1161"/>
      <c r="AB18" s="1161"/>
      <c r="AC18" s="29" t="s">
        <v>97</v>
      </c>
      <c r="AD18" s="29" t="s">
        <v>98</v>
      </c>
      <c r="AE18" s="29" t="s">
        <v>99</v>
      </c>
      <c r="AF18" s="29" t="s">
        <v>100</v>
      </c>
      <c r="AG18" s="29" t="s">
        <v>101</v>
      </c>
      <c r="AH18" s="29" t="s">
        <v>102</v>
      </c>
      <c r="AI18" s="29" t="s">
        <v>103</v>
      </c>
      <c r="AJ18" s="29" t="s">
        <v>98</v>
      </c>
      <c r="AK18" s="29" t="s">
        <v>104</v>
      </c>
      <c r="AL18" s="29" t="s">
        <v>105</v>
      </c>
    </row>
    <row r="19" spans="1:39">
      <c r="A19" s="9"/>
      <c r="B19" s="240" t="s">
        <v>108</v>
      </c>
      <c r="C19" s="15">
        <v>1</v>
      </c>
      <c r="D19" s="173" t="s">
        <v>75</v>
      </c>
      <c r="E19" s="173" t="s">
        <v>306</v>
      </c>
      <c r="F19" s="7">
        <v>27.4</v>
      </c>
      <c r="G19" s="7">
        <v>26.1</v>
      </c>
      <c r="H19" s="7">
        <v>28.8</v>
      </c>
      <c r="I19" s="7">
        <v>31.1</v>
      </c>
      <c r="J19" s="7">
        <v>31.1</v>
      </c>
      <c r="K19" s="7">
        <v>28.5</v>
      </c>
      <c r="L19" s="7">
        <v>28.8</v>
      </c>
      <c r="M19" s="7">
        <v>29.9</v>
      </c>
      <c r="N19" s="7">
        <v>30.1</v>
      </c>
      <c r="O19" s="7">
        <v>27.2</v>
      </c>
      <c r="P19" s="7">
        <v>28.4</v>
      </c>
      <c r="Q19" s="7">
        <v>26.8</v>
      </c>
      <c r="R19" s="43">
        <f t="shared" si="0"/>
        <v>28.683333333333334</v>
      </c>
      <c r="S19" s="17" t="s">
        <v>109</v>
      </c>
      <c r="T19" s="242" t="s">
        <v>307</v>
      </c>
      <c r="X19" s="243"/>
      <c r="Y19" s="243"/>
      <c r="Z19" s="243"/>
      <c r="AA19" s="243"/>
      <c r="AB19" s="243"/>
      <c r="AC19" s="243"/>
      <c r="AD19" s="243"/>
      <c r="AE19" s="243"/>
      <c r="AF19" s="243"/>
      <c r="AG19" s="243"/>
      <c r="AH19" s="243"/>
      <c r="AI19" s="243"/>
      <c r="AJ19" s="243"/>
      <c r="AK19" s="243"/>
      <c r="AL19" s="243"/>
    </row>
    <row r="20" spans="1:39">
      <c r="A20" s="9"/>
      <c r="B20" s="175" t="s">
        <v>108</v>
      </c>
      <c r="C20" s="11">
        <v>2</v>
      </c>
      <c r="D20" s="156" t="s">
        <v>308</v>
      </c>
      <c r="E20" s="156" t="s">
        <v>309</v>
      </c>
      <c r="F20" s="12">
        <v>27.4</v>
      </c>
      <c r="G20" s="12">
        <v>26.2</v>
      </c>
      <c r="H20" s="12">
        <v>27.7</v>
      </c>
      <c r="I20" s="12">
        <v>31</v>
      </c>
      <c r="J20" s="12">
        <v>31.5</v>
      </c>
      <c r="K20" s="12">
        <v>28.1</v>
      </c>
      <c r="L20" s="12">
        <v>28.2</v>
      </c>
      <c r="M20" s="12">
        <v>30</v>
      </c>
      <c r="N20" s="12">
        <v>29.2</v>
      </c>
      <c r="O20" s="12">
        <v>27.1</v>
      </c>
      <c r="P20" s="12">
        <v>28.4</v>
      </c>
      <c r="Q20" s="12">
        <v>26.1</v>
      </c>
      <c r="R20" s="33">
        <f t="shared" si="0"/>
        <v>28.408333333333335</v>
      </c>
      <c r="S20" s="18" t="s">
        <v>109</v>
      </c>
      <c r="T20" s="242" t="s">
        <v>310</v>
      </c>
      <c r="X20" s="243"/>
      <c r="Y20" s="243"/>
      <c r="Z20" s="243"/>
      <c r="AA20" s="243"/>
      <c r="AB20" s="243"/>
      <c r="AC20" s="243"/>
      <c r="AD20" s="243"/>
      <c r="AE20" s="243"/>
      <c r="AF20" s="243"/>
      <c r="AG20" s="243"/>
      <c r="AH20" s="243"/>
      <c r="AI20" s="243"/>
      <c r="AJ20" s="243"/>
      <c r="AK20" s="243"/>
      <c r="AL20" s="243"/>
    </row>
    <row r="21" spans="1:39" ht="15.75" customHeight="1">
      <c r="A21" s="9"/>
      <c r="B21" s="175" t="s">
        <v>108</v>
      </c>
      <c r="C21" s="11">
        <v>3</v>
      </c>
      <c r="D21" s="156" t="s">
        <v>311</v>
      </c>
      <c r="E21" s="156" t="s">
        <v>309</v>
      </c>
      <c r="F21" s="12">
        <v>27.3</v>
      </c>
      <c r="G21" s="12">
        <v>26.1</v>
      </c>
      <c r="H21" s="12">
        <v>28.1</v>
      </c>
      <c r="I21" s="12">
        <v>30.8</v>
      </c>
      <c r="J21" s="12">
        <v>31.5</v>
      </c>
      <c r="K21" s="12">
        <v>26.8</v>
      </c>
      <c r="L21" s="12">
        <v>27.1</v>
      </c>
      <c r="M21" s="12">
        <v>29.3</v>
      </c>
      <c r="N21" s="12">
        <v>29.1</v>
      </c>
      <c r="O21" s="12">
        <v>27.1</v>
      </c>
      <c r="P21" s="12">
        <v>28.2</v>
      </c>
      <c r="Q21" s="12">
        <v>26.1</v>
      </c>
      <c r="R21" s="33">
        <f t="shared" si="0"/>
        <v>28.125000000000004</v>
      </c>
      <c r="S21" s="18" t="s">
        <v>109</v>
      </c>
      <c r="T21" s="242" t="s">
        <v>312</v>
      </c>
      <c r="W21" s="232"/>
      <c r="X21" s="849" t="s">
        <v>70</v>
      </c>
      <c r="Y21" s="850"/>
      <c r="Z21" s="850"/>
      <c r="AA21" s="850"/>
      <c r="AB21" s="850"/>
      <c r="AC21" s="850"/>
      <c r="AD21" s="850"/>
      <c r="AE21" s="850"/>
      <c r="AF21" s="850"/>
      <c r="AG21" s="850"/>
      <c r="AH21" s="850"/>
      <c r="AI21" s="850"/>
      <c r="AJ21" s="850"/>
      <c r="AK21" s="850"/>
      <c r="AL21" s="851"/>
      <c r="AM21" s="232"/>
    </row>
    <row r="22" spans="1:39" ht="15.75" customHeight="1">
      <c r="A22" s="9"/>
      <c r="B22" s="174" t="s">
        <v>110</v>
      </c>
      <c r="C22" s="15">
        <v>1</v>
      </c>
      <c r="D22" s="173" t="s">
        <v>75</v>
      </c>
      <c r="E22" s="173" t="s">
        <v>306</v>
      </c>
      <c r="F22" s="7">
        <v>25</v>
      </c>
      <c r="G22" s="7">
        <v>25</v>
      </c>
      <c r="H22" s="7">
        <v>25</v>
      </c>
      <c r="I22" s="7">
        <v>25</v>
      </c>
      <c r="J22" s="7">
        <v>30</v>
      </c>
      <c r="K22" s="7">
        <v>30</v>
      </c>
      <c r="L22" s="7">
        <v>30</v>
      </c>
      <c r="M22" s="7">
        <v>20</v>
      </c>
      <c r="N22" s="7">
        <v>10</v>
      </c>
      <c r="O22" s="7">
        <v>15</v>
      </c>
      <c r="P22" s="7">
        <v>15</v>
      </c>
      <c r="Q22" s="7">
        <v>15</v>
      </c>
      <c r="R22" s="43">
        <f t="shared" si="0"/>
        <v>22.083333333333332</v>
      </c>
      <c r="S22" s="8">
        <v>75</v>
      </c>
      <c r="T22" s="242" t="s">
        <v>307</v>
      </c>
      <c r="W22" s="232"/>
      <c r="X22" s="852" t="s">
        <v>107</v>
      </c>
      <c r="Y22" s="853"/>
      <c r="Z22" s="853"/>
      <c r="AA22" s="853"/>
      <c r="AB22" s="853"/>
      <c r="AC22" s="853"/>
      <c r="AD22" s="853"/>
      <c r="AE22" s="853"/>
      <c r="AF22" s="853"/>
      <c r="AG22" s="853"/>
      <c r="AH22" s="853"/>
      <c r="AI22" s="853"/>
      <c r="AJ22" s="853"/>
      <c r="AK22" s="853"/>
      <c r="AL22" s="854"/>
      <c r="AM22" s="232"/>
    </row>
    <row r="23" spans="1:39" ht="15.75" customHeight="1">
      <c r="A23" s="9"/>
      <c r="B23" s="175" t="s">
        <v>110</v>
      </c>
      <c r="C23" s="11">
        <v>2</v>
      </c>
      <c r="D23" s="156" t="s">
        <v>308</v>
      </c>
      <c r="E23" s="156" t="s">
        <v>309</v>
      </c>
      <c r="F23" s="12">
        <v>25</v>
      </c>
      <c r="G23" s="12">
        <v>25</v>
      </c>
      <c r="H23" s="12">
        <v>25</v>
      </c>
      <c r="I23" s="12">
        <v>25</v>
      </c>
      <c r="J23" s="12">
        <v>30</v>
      </c>
      <c r="K23" s="12">
        <v>30</v>
      </c>
      <c r="L23" s="12">
        <v>30</v>
      </c>
      <c r="M23" s="12">
        <v>20</v>
      </c>
      <c r="N23" s="12">
        <v>10</v>
      </c>
      <c r="O23" s="12">
        <v>15</v>
      </c>
      <c r="P23" s="12">
        <v>10</v>
      </c>
      <c r="Q23" s="12">
        <v>15</v>
      </c>
      <c r="R23" s="33">
        <f t="shared" si="0"/>
        <v>21.666666666666668</v>
      </c>
      <c r="S23" s="14">
        <v>75</v>
      </c>
      <c r="T23" s="242" t="s">
        <v>310</v>
      </c>
      <c r="W23" s="232"/>
      <c r="X23" s="657"/>
      <c r="Y23" s="273"/>
      <c r="Z23" s="273"/>
      <c r="AA23" s="273"/>
      <c r="AB23" s="273"/>
      <c r="AC23" s="848" t="s">
        <v>78</v>
      </c>
      <c r="AD23" s="1161"/>
      <c r="AE23" s="1161"/>
      <c r="AF23" s="1161"/>
      <c r="AG23" s="1161"/>
      <c r="AH23" s="1161"/>
      <c r="AI23" s="1161"/>
      <c r="AJ23" s="1161"/>
      <c r="AK23" s="1161"/>
      <c r="AL23" s="1164"/>
      <c r="AM23" s="232"/>
    </row>
    <row r="24" spans="1:39" ht="15.75" customHeight="1">
      <c r="A24" s="9"/>
      <c r="B24" s="175" t="s">
        <v>110</v>
      </c>
      <c r="C24" s="11">
        <v>3</v>
      </c>
      <c r="D24" s="156" t="s">
        <v>311</v>
      </c>
      <c r="E24" s="156" t="s">
        <v>309</v>
      </c>
      <c r="F24" s="12">
        <v>25</v>
      </c>
      <c r="G24" s="12">
        <v>25</v>
      </c>
      <c r="H24" s="12">
        <v>25</v>
      </c>
      <c r="I24" s="12">
        <v>25</v>
      </c>
      <c r="J24" s="12">
        <v>30</v>
      </c>
      <c r="K24" s="12">
        <v>30</v>
      </c>
      <c r="L24" s="12">
        <v>30</v>
      </c>
      <c r="M24" s="12">
        <v>20</v>
      </c>
      <c r="N24" s="12">
        <v>10</v>
      </c>
      <c r="O24" s="12">
        <v>15</v>
      </c>
      <c r="P24" s="12">
        <v>10</v>
      </c>
      <c r="Q24" s="12">
        <v>15</v>
      </c>
      <c r="R24" s="33">
        <f t="shared" si="0"/>
        <v>21.666666666666668</v>
      </c>
      <c r="S24" s="14">
        <v>75</v>
      </c>
      <c r="T24" s="242" t="s">
        <v>312</v>
      </c>
      <c r="W24" s="232"/>
      <c r="X24" s="657" t="s">
        <v>82</v>
      </c>
      <c r="Y24" s="14" t="s">
        <v>83</v>
      </c>
      <c r="Z24" s="14" t="s">
        <v>84</v>
      </c>
      <c r="AA24" s="14" t="s">
        <v>85</v>
      </c>
      <c r="AB24" s="14" t="s">
        <v>86</v>
      </c>
      <c r="AC24" s="14" t="s">
        <v>4</v>
      </c>
      <c r="AD24" s="14" t="s">
        <v>5</v>
      </c>
      <c r="AE24" s="14" t="s">
        <v>6</v>
      </c>
      <c r="AF24" s="14" t="s">
        <v>7</v>
      </c>
      <c r="AG24" s="14" t="s">
        <v>8</v>
      </c>
      <c r="AH24" s="14" t="s">
        <v>9</v>
      </c>
      <c r="AI24" s="14" t="s">
        <v>10</v>
      </c>
      <c r="AJ24" s="14" t="s">
        <v>11</v>
      </c>
      <c r="AK24" s="14" t="s">
        <v>12</v>
      </c>
      <c r="AL24" s="658" t="s">
        <v>13</v>
      </c>
      <c r="AM24" s="232"/>
    </row>
    <row r="25" spans="1:39" ht="28.5" customHeight="1">
      <c r="A25" s="9"/>
      <c r="B25" s="174" t="s">
        <v>111</v>
      </c>
      <c r="C25" s="15">
        <v>1</v>
      </c>
      <c r="D25" s="173" t="s">
        <v>75</v>
      </c>
      <c r="E25" s="173" t="s">
        <v>306</v>
      </c>
      <c r="F25" s="128">
        <v>110000</v>
      </c>
      <c r="G25" s="128">
        <v>9200000</v>
      </c>
      <c r="H25" s="128">
        <v>490000</v>
      </c>
      <c r="I25" s="128">
        <v>230000</v>
      </c>
      <c r="J25" s="128">
        <v>2400000</v>
      </c>
      <c r="K25" s="128">
        <v>49000</v>
      </c>
      <c r="L25" s="128">
        <v>23000</v>
      </c>
      <c r="M25" s="128">
        <v>49000</v>
      </c>
      <c r="N25" s="128">
        <v>22000</v>
      </c>
      <c r="O25" s="724">
        <v>5400000</v>
      </c>
      <c r="P25" s="128">
        <v>23000</v>
      </c>
      <c r="Q25" s="128">
        <v>33000</v>
      </c>
      <c r="R25" s="46">
        <f>IFERROR(GEOMEAN(F25:Q25), 0)</f>
        <v>182476.87026577504</v>
      </c>
      <c r="S25" s="8">
        <v>200</v>
      </c>
      <c r="T25" s="242" t="s">
        <v>307</v>
      </c>
      <c r="W25" s="232"/>
      <c r="X25" s="865" t="s">
        <v>313</v>
      </c>
      <c r="Y25" s="847" t="s">
        <v>303</v>
      </c>
      <c r="Z25" s="855" t="s">
        <v>16</v>
      </c>
      <c r="AA25" s="32">
        <v>1</v>
      </c>
      <c r="AB25" s="65" t="s">
        <v>311</v>
      </c>
      <c r="AC25" s="33">
        <f>R7</f>
        <v>3.4824999999999999</v>
      </c>
      <c r="AD25" s="33">
        <f>R10</f>
        <v>8.0833333333333339</v>
      </c>
      <c r="AE25" s="33">
        <f>R13</f>
        <v>26.75</v>
      </c>
      <c r="AF25" s="33">
        <f>R16</f>
        <v>7.3241666666666667</v>
      </c>
      <c r="AG25" s="33">
        <f>R19</f>
        <v>28.683333333333334</v>
      </c>
      <c r="AH25" s="33">
        <f>R22</f>
        <v>22.083333333333332</v>
      </c>
      <c r="AI25" s="36">
        <f>R25</f>
        <v>182476.87026577504</v>
      </c>
      <c r="AJ25" s="28">
        <f>R28</f>
        <v>0.84866666666666657</v>
      </c>
      <c r="AK25" s="28">
        <f>R31</f>
        <v>0.72491666666666665</v>
      </c>
      <c r="AL25" s="663">
        <f>R34</f>
        <v>123.25</v>
      </c>
      <c r="AM25" s="232"/>
    </row>
    <row r="26" spans="1:39" ht="15.75" customHeight="1">
      <c r="A26" s="9"/>
      <c r="B26" s="175" t="s">
        <v>111</v>
      </c>
      <c r="C26" s="11">
        <v>2</v>
      </c>
      <c r="D26" s="156" t="s">
        <v>308</v>
      </c>
      <c r="E26" s="156" t="s">
        <v>309</v>
      </c>
      <c r="F26" s="129">
        <v>490000</v>
      </c>
      <c r="G26" s="129">
        <v>5400000</v>
      </c>
      <c r="H26" s="129">
        <v>790000</v>
      </c>
      <c r="I26" s="129">
        <v>170000</v>
      </c>
      <c r="J26" s="129">
        <v>490000</v>
      </c>
      <c r="K26" s="129">
        <v>110000</v>
      </c>
      <c r="L26" s="129">
        <v>70000</v>
      </c>
      <c r="M26" s="129">
        <v>70000</v>
      </c>
      <c r="N26" s="129">
        <v>35000</v>
      </c>
      <c r="O26" s="129">
        <v>5400000</v>
      </c>
      <c r="P26" s="129">
        <v>33000</v>
      </c>
      <c r="Q26" s="129">
        <v>79000</v>
      </c>
      <c r="R26" s="47">
        <f>IFERROR(GEOMEAN(F26:Q26), 0)</f>
        <v>244767.89959345351</v>
      </c>
      <c r="S26" s="14">
        <v>200</v>
      </c>
      <c r="T26" s="242" t="s">
        <v>310</v>
      </c>
      <c r="W26" s="232"/>
      <c r="X26" s="1165"/>
      <c r="Y26" s="1161"/>
      <c r="Z26" s="1161"/>
      <c r="AA26" s="32">
        <v>2</v>
      </c>
      <c r="AB26" s="65" t="s">
        <v>308</v>
      </c>
      <c r="AC26" s="33">
        <f>R8</f>
        <v>3.6058333333333343</v>
      </c>
      <c r="AD26" s="33">
        <f>R11</f>
        <v>7.666666666666667</v>
      </c>
      <c r="AE26" s="33">
        <f>R14</f>
        <v>28.083333333333332</v>
      </c>
      <c r="AF26" s="33">
        <f>R17</f>
        <v>7.2908333333333326</v>
      </c>
      <c r="AG26" s="33">
        <f>R20</f>
        <v>28.408333333333335</v>
      </c>
      <c r="AH26" s="33">
        <f>R23</f>
        <v>21.666666666666668</v>
      </c>
      <c r="AI26" s="36">
        <f>R26</f>
        <v>244767.89959345351</v>
      </c>
      <c r="AJ26" s="28">
        <f>R29</f>
        <v>0.92441666666666655</v>
      </c>
      <c r="AK26" s="28">
        <f>R32</f>
        <v>0.72391666666666665</v>
      </c>
      <c r="AL26" s="663">
        <f>R35</f>
        <v>111</v>
      </c>
      <c r="AM26" s="232"/>
    </row>
    <row r="27" spans="1:39" ht="15.75" customHeight="1">
      <c r="A27" s="9"/>
      <c r="B27" s="175" t="s">
        <v>111</v>
      </c>
      <c r="C27" s="11">
        <v>3</v>
      </c>
      <c r="D27" s="156" t="s">
        <v>311</v>
      </c>
      <c r="E27" s="156" t="s">
        <v>309</v>
      </c>
      <c r="F27" s="129">
        <v>330000</v>
      </c>
      <c r="G27" s="129">
        <v>7000000</v>
      </c>
      <c r="H27" s="129">
        <v>490000</v>
      </c>
      <c r="I27" s="129">
        <v>230000</v>
      </c>
      <c r="J27" s="129">
        <v>790000</v>
      </c>
      <c r="K27" s="129">
        <v>140000</v>
      </c>
      <c r="L27" s="129">
        <v>33000</v>
      </c>
      <c r="M27" s="129">
        <v>110000</v>
      </c>
      <c r="N27" s="129">
        <v>7000</v>
      </c>
      <c r="O27" s="129">
        <v>1100000</v>
      </c>
      <c r="P27" s="129">
        <v>130000</v>
      </c>
      <c r="Q27" s="129">
        <v>49000</v>
      </c>
      <c r="R27" s="47">
        <f>IFERROR(GEOMEAN(F27:Q27), 0)</f>
        <v>203775.66407828158</v>
      </c>
      <c r="S27" s="14">
        <v>200</v>
      </c>
      <c r="T27" s="242" t="s">
        <v>312</v>
      </c>
      <c r="W27" s="232"/>
      <c r="X27" s="1165"/>
      <c r="Y27" s="1161"/>
      <c r="Z27" s="1161"/>
      <c r="AA27" s="32">
        <v>3</v>
      </c>
      <c r="AB27" s="65" t="s">
        <v>75</v>
      </c>
      <c r="AC27" s="33">
        <f>R9</f>
        <v>3.6741666666666664</v>
      </c>
      <c r="AD27" s="33">
        <f>R12</f>
        <v>8.0833333333333339</v>
      </c>
      <c r="AE27" s="33">
        <f>R15</f>
        <v>26.083333333333332</v>
      </c>
      <c r="AF27" s="33">
        <f>R18</f>
        <v>7.314166666666666</v>
      </c>
      <c r="AG27" s="33">
        <f>R21</f>
        <v>28.125000000000004</v>
      </c>
      <c r="AH27" s="33">
        <f>R24</f>
        <v>21.666666666666668</v>
      </c>
      <c r="AI27" s="36">
        <f>R27</f>
        <v>203775.66407828158</v>
      </c>
      <c r="AJ27" s="28">
        <f>R30</f>
        <v>0.96321666666666672</v>
      </c>
      <c r="AK27" s="28">
        <f>R33</f>
        <v>0.71091666666666675</v>
      </c>
      <c r="AL27" s="663">
        <f>R36</f>
        <v>122.33333333333333</v>
      </c>
      <c r="AM27" s="232"/>
    </row>
    <row r="28" spans="1:39" ht="15.75" customHeight="1">
      <c r="A28" s="20"/>
      <c r="B28" s="176" t="s">
        <v>113</v>
      </c>
      <c r="C28" s="21">
        <v>1</v>
      </c>
      <c r="D28" s="173" t="s">
        <v>75</v>
      </c>
      <c r="E28" s="173" t="s">
        <v>306</v>
      </c>
      <c r="F28" s="22">
        <v>0.77300000000000002</v>
      </c>
      <c r="G28" s="22">
        <v>0.29699999999999999</v>
      </c>
      <c r="H28" s="22">
        <v>0.35699999999999998</v>
      </c>
      <c r="I28" s="22">
        <v>0.67400000000000004</v>
      </c>
      <c r="J28" s="22">
        <v>1.385</v>
      </c>
      <c r="K28" s="22">
        <v>1.3160000000000001</v>
      </c>
      <c r="L28" s="7">
        <v>1.44</v>
      </c>
      <c r="M28" s="22">
        <v>0.23400000000000001</v>
      </c>
      <c r="N28" s="22">
        <v>1.103</v>
      </c>
      <c r="O28" s="22">
        <v>1.333</v>
      </c>
      <c r="P28" s="22">
        <v>0.56100000000000005</v>
      </c>
      <c r="Q28" s="22">
        <v>0.71099999999999997</v>
      </c>
      <c r="R28" s="23">
        <f t="shared" ref="R28:R36" si="4">IFERROR(AVERAGE(F28:Q28), 0)</f>
        <v>0.84866666666666657</v>
      </c>
      <c r="S28" s="23">
        <v>7</v>
      </c>
      <c r="T28" s="242" t="s">
        <v>307</v>
      </c>
      <c r="W28" s="232"/>
      <c r="X28" s="862"/>
      <c r="Y28" s="848"/>
      <c r="Z28" s="848"/>
      <c r="AA28" s="848"/>
      <c r="AB28" s="848"/>
      <c r="AC28" s="848"/>
      <c r="AD28" s="848"/>
      <c r="AE28" s="848"/>
      <c r="AF28" s="848"/>
      <c r="AG28" s="848"/>
      <c r="AH28" s="848"/>
      <c r="AI28" s="848"/>
      <c r="AJ28" s="848"/>
      <c r="AK28" s="848"/>
      <c r="AL28" s="872"/>
      <c r="AM28" s="232"/>
    </row>
    <row r="29" spans="1:39" ht="15.75" customHeight="1">
      <c r="A29" s="20"/>
      <c r="B29" s="177" t="s">
        <v>114</v>
      </c>
      <c r="C29" s="25">
        <v>2</v>
      </c>
      <c r="D29" s="156" t="s">
        <v>308</v>
      </c>
      <c r="E29" s="156" t="s">
        <v>309</v>
      </c>
      <c r="F29" s="26">
        <v>0.80600000000000005</v>
      </c>
      <c r="G29" s="26">
        <v>0.16500000000000001</v>
      </c>
      <c r="H29" s="26">
        <v>0.56699999999999995</v>
      </c>
      <c r="I29" s="26">
        <v>0.55000000000000004</v>
      </c>
      <c r="J29" s="26">
        <v>1.472</v>
      </c>
      <c r="K29" s="26">
        <v>1.8029999999999999</v>
      </c>
      <c r="L29" s="12">
        <v>1.2569999999999999</v>
      </c>
      <c r="M29" s="26">
        <v>0.502</v>
      </c>
      <c r="N29" s="26">
        <v>1.19</v>
      </c>
      <c r="O29" s="26">
        <v>1.135</v>
      </c>
      <c r="P29" s="26">
        <v>0.60399999999999998</v>
      </c>
      <c r="Q29" s="26">
        <v>1.042</v>
      </c>
      <c r="R29" s="28">
        <f t="shared" si="4"/>
        <v>0.92441666666666655</v>
      </c>
      <c r="S29" s="28">
        <v>7</v>
      </c>
      <c r="T29" s="242" t="s">
        <v>310</v>
      </c>
      <c r="W29" s="232"/>
      <c r="X29" s="657" t="s">
        <v>93</v>
      </c>
      <c r="Y29" s="1162"/>
      <c r="Z29" s="1161"/>
      <c r="AA29" s="1161"/>
      <c r="AB29" s="1161"/>
      <c r="AC29" s="33">
        <f t="shared" ref="AC29:AL29" si="5">AVERAGE(AC25:AC27)</f>
        <v>3.5875000000000004</v>
      </c>
      <c r="AD29" s="33">
        <f t="shared" si="5"/>
        <v>7.9444444444444455</v>
      </c>
      <c r="AE29" s="33">
        <f t="shared" si="5"/>
        <v>26.972222222222218</v>
      </c>
      <c r="AF29" s="33">
        <f t="shared" si="5"/>
        <v>7.3097222222222209</v>
      </c>
      <c r="AG29" s="33">
        <f t="shared" si="5"/>
        <v>28.405555555555555</v>
      </c>
      <c r="AH29" s="33">
        <f t="shared" si="5"/>
        <v>21.805555555555557</v>
      </c>
      <c r="AI29" s="36">
        <f>AVERAGE(AI25:AI27)</f>
        <v>210340.1446458367</v>
      </c>
      <c r="AJ29" s="28">
        <f t="shared" si="5"/>
        <v>0.91210000000000002</v>
      </c>
      <c r="AK29" s="28">
        <f t="shared" si="5"/>
        <v>0.71991666666666676</v>
      </c>
      <c r="AL29" s="663">
        <f t="shared" si="5"/>
        <v>118.8611111111111</v>
      </c>
      <c r="AM29" s="232"/>
    </row>
    <row r="30" spans="1:39" ht="15.75" customHeight="1">
      <c r="A30" s="20"/>
      <c r="B30" s="177" t="s">
        <v>114</v>
      </c>
      <c r="C30" s="25">
        <v>3</v>
      </c>
      <c r="D30" s="156" t="s">
        <v>311</v>
      </c>
      <c r="E30" s="156" t="s">
        <v>309</v>
      </c>
      <c r="F30" s="26">
        <v>1.3360000000000001</v>
      </c>
      <c r="G30" s="26">
        <v>0.156</v>
      </c>
      <c r="H30" s="26">
        <v>0.72099999999999997</v>
      </c>
      <c r="I30" s="26">
        <v>0.69</v>
      </c>
      <c r="J30" s="26">
        <v>1.5620000000000001</v>
      </c>
      <c r="K30" s="26">
        <v>1.8460000000000001</v>
      </c>
      <c r="L30" s="12">
        <v>1.67</v>
      </c>
      <c r="M30" s="26">
        <v>0.30399999999999999</v>
      </c>
      <c r="N30" s="26">
        <v>0.995</v>
      </c>
      <c r="O30" s="26">
        <v>0.99299999999999999</v>
      </c>
      <c r="P30" s="26">
        <v>6.8599999999999994E-2</v>
      </c>
      <c r="Q30" s="26">
        <v>1.2170000000000001</v>
      </c>
      <c r="R30" s="28">
        <f t="shared" si="4"/>
        <v>0.96321666666666672</v>
      </c>
      <c r="S30" s="28">
        <v>7</v>
      </c>
      <c r="T30" s="242" t="s">
        <v>312</v>
      </c>
      <c r="W30" s="232"/>
      <c r="X30" s="657" t="s">
        <v>94</v>
      </c>
      <c r="Y30" s="1161"/>
      <c r="Z30" s="1163"/>
      <c r="AA30" s="1163"/>
      <c r="AB30" s="1161"/>
      <c r="AC30" s="33">
        <f t="shared" ref="AC30:AL30" si="6">MIN(AC25:AC27)</f>
        <v>3.4824999999999999</v>
      </c>
      <c r="AD30" s="33">
        <f t="shared" si="6"/>
        <v>7.666666666666667</v>
      </c>
      <c r="AE30" s="33">
        <f t="shared" si="6"/>
        <v>26.083333333333332</v>
      </c>
      <c r="AF30" s="33">
        <f t="shared" si="6"/>
        <v>7.2908333333333326</v>
      </c>
      <c r="AG30" s="33">
        <f t="shared" si="6"/>
        <v>28.125000000000004</v>
      </c>
      <c r="AH30" s="33">
        <f t="shared" si="6"/>
        <v>21.666666666666668</v>
      </c>
      <c r="AI30" s="36">
        <f t="shared" si="6"/>
        <v>182476.87026577504</v>
      </c>
      <c r="AJ30" s="28">
        <f t="shared" si="6"/>
        <v>0.84866666666666657</v>
      </c>
      <c r="AK30" s="28">
        <f t="shared" si="6"/>
        <v>0.71091666666666675</v>
      </c>
      <c r="AL30" s="663">
        <f t="shared" si="6"/>
        <v>111</v>
      </c>
      <c r="AM30" s="232"/>
    </row>
    <row r="31" spans="1:39" ht="15.75" customHeight="1">
      <c r="A31" s="20"/>
      <c r="B31" s="176" t="s">
        <v>115</v>
      </c>
      <c r="C31" s="21">
        <v>1</v>
      </c>
      <c r="D31" s="173" t="s">
        <v>75</v>
      </c>
      <c r="E31" s="173" t="s">
        <v>306</v>
      </c>
      <c r="F31" s="22">
        <v>0.13200000000000001</v>
      </c>
      <c r="G31" s="22">
        <v>0.76300000000000001</v>
      </c>
      <c r="H31" s="22">
        <v>0.25800000000000001</v>
      </c>
      <c r="I31" s="22">
        <v>1.3560000000000001</v>
      </c>
      <c r="J31" s="22">
        <v>1.4139999999999999</v>
      </c>
      <c r="K31" s="22">
        <v>0.70499999999999996</v>
      </c>
      <c r="L31" s="7">
        <v>0.32100000000000001</v>
      </c>
      <c r="M31" s="22">
        <v>1.2929999999999999</v>
      </c>
      <c r="N31" s="22">
        <v>0.42099999999999999</v>
      </c>
      <c r="O31" s="22">
        <v>0.745</v>
      </c>
      <c r="P31" s="22">
        <v>0.32500000000000001</v>
      </c>
      <c r="Q31" s="22">
        <v>0.96599999999999997</v>
      </c>
      <c r="R31" s="23">
        <f t="shared" si="4"/>
        <v>0.72491666666666665</v>
      </c>
      <c r="S31" s="23">
        <v>2.5000000000000001E-2</v>
      </c>
      <c r="T31" s="242" t="s">
        <v>307</v>
      </c>
      <c r="W31" s="232"/>
      <c r="X31" s="657" t="s">
        <v>95</v>
      </c>
      <c r="Y31" s="1161"/>
      <c r="Z31" s="1163"/>
      <c r="AA31" s="1163"/>
      <c r="AB31" s="1161"/>
      <c r="AC31" s="33">
        <f t="shared" ref="AC31:AL31" si="7">MAX(AC25:AC27)</f>
        <v>3.6741666666666664</v>
      </c>
      <c r="AD31" s="33">
        <f t="shared" si="7"/>
        <v>8.0833333333333339</v>
      </c>
      <c r="AE31" s="33">
        <f t="shared" si="7"/>
        <v>28.083333333333332</v>
      </c>
      <c r="AF31" s="33">
        <f t="shared" si="7"/>
        <v>7.3241666666666667</v>
      </c>
      <c r="AG31" s="33">
        <f t="shared" si="7"/>
        <v>28.683333333333334</v>
      </c>
      <c r="AH31" s="33">
        <f t="shared" si="7"/>
        <v>22.083333333333332</v>
      </c>
      <c r="AI31" s="36">
        <f t="shared" si="7"/>
        <v>244767.89959345351</v>
      </c>
      <c r="AJ31" s="28">
        <f t="shared" si="7"/>
        <v>0.96321666666666672</v>
      </c>
      <c r="AK31" s="28">
        <f t="shared" si="7"/>
        <v>0.72491666666666665</v>
      </c>
      <c r="AL31" s="663">
        <f t="shared" si="7"/>
        <v>123.25</v>
      </c>
      <c r="AM31" s="232"/>
    </row>
    <row r="32" spans="1:39" ht="15.75" customHeight="1">
      <c r="A32" s="20"/>
      <c r="B32" s="177" t="s">
        <v>116</v>
      </c>
      <c r="C32" s="25">
        <v>2</v>
      </c>
      <c r="D32" s="156" t="s">
        <v>308</v>
      </c>
      <c r="E32" s="156" t="s">
        <v>309</v>
      </c>
      <c r="F32" s="26">
        <v>0.107</v>
      </c>
      <c r="G32" s="26">
        <v>0.81499999999999995</v>
      </c>
      <c r="H32" s="26">
        <v>0.26100000000000001</v>
      </c>
      <c r="I32" s="26">
        <v>1.137</v>
      </c>
      <c r="J32" s="26">
        <v>1.5720000000000001</v>
      </c>
      <c r="K32" s="26">
        <v>0.69799999999999995</v>
      </c>
      <c r="L32" s="12">
        <v>0.32100000000000001</v>
      </c>
      <c r="M32" s="26">
        <v>1.266</v>
      </c>
      <c r="N32" s="26">
        <v>0.441</v>
      </c>
      <c r="O32" s="26">
        <v>0.76</v>
      </c>
      <c r="P32" s="26">
        <v>0.36</v>
      </c>
      <c r="Q32" s="26">
        <v>0.94899999999999995</v>
      </c>
      <c r="R32" s="28">
        <f t="shared" si="4"/>
        <v>0.72391666666666665</v>
      </c>
      <c r="S32" s="28">
        <v>2.5000000000000001E-2</v>
      </c>
      <c r="T32" s="242" t="s">
        <v>310</v>
      </c>
      <c r="W32" s="232"/>
      <c r="X32" s="660" t="s">
        <v>96</v>
      </c>
      <c r="Y32" s="1166"/>
      <c r="Z32" s="1166"/>
      <c r="AA32" s="1166"/>
      <c r="AB32" s="1166"/>
      <c r="AC32" s="661" t="s">
        <v>97</v>
      </c>
      <c r="AD32" s="661" t="s">
        <v>98</v>
      </c>
      <c r="AE32" s="661" t="s">
        <v>99</v>
      </c>
      <c r="AF32" s="661" t="s">
        <v>100</v>
      </c>
      <c r="AG32" s="661" t="s">
        <v>101</v>
      </c>
      <c r="AH32" s="661" t="s">
        <v>102</v>
      </c>
      <c r="AI32" s="661" t="s">
        <v>103</v>
      </c>
      <c r="AJ32" s="661" t="s">
        <v>98</v>
      </c>
      <c r="AK32" s="661" t="s">
        <v>104</v>
      </c>
      <c r="AL32" s="662" t="s">
        <v>105</v>
      </c>
      <c r="AM32" s="232"/>
    </row>
    <row r="33" spans="1:38" ht="15.75" customHeight="1">
      <c r="A33" s="20"/>
      <c r="B33" s="177" t="s">
        <v>116</v>
      </c>
      <c r="C33" s="25">
        <v>3</v>
      </c>
      <c r="D33" s="156" t="s">
        <v>311</v>
      </c>
      <c r="E33" s="156" t="s">
        <v>309</v>
      </c>
      <c r="F33" s="26">
        <v>0.1</v>
      </c>
      <c r="G33" s="26">
        <v>0.85</v>
      </c>
      <c r="H33" s="26">
        <v>0.33300000000000002</v>
      </c>
      <c r="I33" s="26">
        <v>1.125</v>
      </c>
      <c r="J33" s="26">
        <v>1.514</v>
      </c>
      <c r="K33" s="26">
        <v>0.73499999999999999</v>
      </c>
      <c r="L33" s="12">
        <v>0.32100000000000001</v>
      </c>
      <c r="M33" s="26">
        <v>1.1220000000000001</v>
      </c>
      <c r="N33" s="26">
        <v>0.42099999999999999</v>
      </c>
      <c r="O33" s="26">
        <v>0.78700000000000003</v>
      </c>
      <c r="P33" s="26">
        <v>0.33900000000000002</v>
      </c>
      <c r="Q33" s="26">
        <v>0.88400000000000001</v>
      </c>
      <c r="R33" s="28">
        <f t="shared" si="4"/>
        <v>0.71091666666666675</v>
      </c>
      <c r="S33" s="28">
        <v>2.5000000000000001E-2</v>
      </c>
      <c r="T33" s="242" t="s">
        <v>312</v>
      </c>
      <c r="X33" s="232"/>
      <c r="Y33" s="232"/>
      <c r="Z33" s="232"/>
      <c r="AA33" s="232"/>
      <c r="AB33" s="232"/>
      <c r="AC33" s="232"/>
      <c r="AD33" s="232"/>
      <c r="AE33" s="232"/>
      <c r="AF33" s="232"/>
      <c r="AG33" s="232"/>
      <c r="AH33" s="232"/>
      <c r="AI33" s="232"/>
      <c r="AJ33" s="232"/>
      <c r="AK33" s="232"/>
      <c r="AL33" s="232"/>
    </row>
    <row r="34" spans="1:38" ht="15.75" customHeight="1">
      <c r="A34" s="9"/>
      <c r="B34" s="174" t="s">
        <v>117</v>
      </c>
      <c r="C34" s="15">
        <v>1</v>
      </c>
      <c r="D34" s="173" t="s">
        <v>75</v>
      </c>
      <c r="E34" s="173" t="s">
        <v>306</v>
      </c>
      <c r="F34" s="7">
        <v>238</v>
      </c>
      <c r="G34" s="7">
        <v>460</v>
      </c>
      <c r="H34" s="7">
        <v>136</v>
      </c>
      <c r="I34" s="7">
        <v>379</v>
      </c>
      <c r="J34" s="7">
        <v>51</v>
      </c>
      <c r="K34" s="7">
        <v>21</v>
      </c>
      <c r="L34" s="7">
        <v>26</v>
      </c>
      <c r="M34" s="7">
        <v>35</v>
      </c>
      <c r="N34" s="7">
        <v>15</v>
      </c>
      <c r="O34" s="7">
        <v>59</v>
      </c>
      <c r="P34" s="7">
        <v>10</v>
      </c>
      <c r="Q34" s="7">
        <v>49</v>
      </c>
      <c r="R34" s="64">
        <f t="shared" si="4"/>
        <v>123.25</v>
      </c>
      <c r="S34" s="8">
        <v>350</v>
      </c>
      <c r="T34" s="242" t="s">
        <v>307</v>
      </c>
    </row>
    <row r="35" spans="1:38" ht="15.75" customHeight="1">
      <c r="A35" s="9"/>
      <c r="B35" s="175" t="s">
        <v>117</v>
      </c>
      <c r="C35" s="11">
        <v>2</v>
      </c>
      <c r="D35" s="156" t="s">
        <v>308</v>
      </c>
      <c r="E35" s="156" t="s">
        <v>309</v>
      </c>
      <c r="F35" s="12">
        <v>287</v>
      </c>
      <c r="G35" s="12">
        <v>433</v>
      </c>
      <c r="H35" s="12">
        <v>118</v>
      </c>
      <c r="I35" s="12">
        <v>203</v>
      </c>
      <c r="J35" s="12">
        <v>54</v>
      </c>
      <c r="K35" s="12">
        <v>13</v>
      </c>
      <c r="L35" s="12">
        <v>28</v>
      </c>
      <c r="M35" s="12">
        <v>45</v>
      </c>
      <c r="N35" s="12">
        <v>16</v>
      </c>
      <c r="O35" s="12">
        <v>93</v>
      </c>
      <c r="P35" s="12">
        <v>8</v>
      </c>
      <c r="Q35" s="12">
        <v>34</v>
      </c>
      <c r="R35" s="59">
        <f t="shared" si="4"/>
        <v>111</v>
      </c>
      <c r="S35" s="14">
        <v>350</v>
      </c>
      <c r="T35" s="242" t="s">
        <v>310</v>
      </c>
    </row>
    <row r="36" spans="1:38" ht="15.75" customHeight="1">
      <c r="A36" s="9"/>
      <c r="B36" s="63" t="s">
        <v>117</v>
      </c>
      <c r="C36" s="11">
        <v>3</v>
      </c>
      <c r="D36" s="156" t="s">
        <v>311</v>
      </c>
      <c r="E36" s="156" t="s">
        <v>309</v>
      </c>
      <c r="F36" s="12">
        <v>436</v>
      </c>
      <c r="G36" s="12">
        <v>407</v>
      </c>
      <c r="H36" s="12">
        <v>116</v>
      </c>
      <c r="I36" s="12">
        <v>222</v>
      </c>
      <c r="J36" s="12">
        <v>58</v>
      </c>
      <c r="K36" s="12">
        <v>20</v>
      </c>
      <c r="L36" s="12">
        <v>35</v>
      </c>
      <c r="M36" s="12">
        <v>37</v>
      </c>
      <c r="N36" s="12">
        <v>14</v>
      </c>
      <c r="O36" s="12">
        <v>80</v>
      </c>
      <c r="P36" s="12">
        <v>8</v>
      </c>
      <c r="Q36" s="12">
        <v>35</v>
      </c>
      <c r="R36" s="59">
        <f t="shared" si="4"/>
        <v>122.33333333333333</v>
      </c>
      <c r="S36" s="14">
        <v>350</v>
      </c>
      <c r="T36" s="242" t="s">
        <v>312</v>
      </c>
    </row>
    <row r="37" spans="1:38" ht="151.5">
      <c r="A37" s="9"/>
      <c r="B37" s="174" t="s">
        <v>314</v>
      </c>
      <c r="C37" s="15">
        <v>1</v>
      </c>
      <c r="D37" s="173" t="s">
        <v>75</v>
      </c>
      <c r="E37" s="173" t="s">
        <v>306</v>
      </c>
      <c r="F37" s="30" t="s">
        <v>315</v>
      </c>
      <c r="G37" s="7" t="s">
        <v>316</v>
      </c>
      <c r="H37" s="7" t="s">
        <v>315</v>
      </c>
      <c r="I37" s="7" t="s">
        <v>317</v>
      </c>
      <c r="J37" s="7" t="s">
        <v>318</v>
      </c>
      <c r="K37" s="7" t="s">
        <v>319</v>
      </c>
      <c r="L37" s="7" t="s">
        <v>320</v>
      </c>
      <c r="M37" s="7" t="s">
        <v>321</v>
      </c>
      <c r="N37" s="7" t="s">
        <v>322</v>
      </c>
      <c r="O37" s="7" t="s">
        <v>323</v>
      </c>
      <c r="P37" s="7" t="s">
        <v>324</v>
      </c>
      <c r="Q37" s="7" t="s">
        <v>325</v>
      </c>
      <c r="R37" s="1"/>
      <c r="S37" s="1"/>
      <c r="T37" s="242" t="s">
        <v>307</v>
      </c>
    </row>
    <row r="38" spans="1:38" ht="183">
      <c r="A38" s="9"/>
      <c r="B38" s="175" t="s">
        <v>117</v>
      </c>
      <c r="C38" s="11">
        <v>2</v>
      </c>
      <c r="D38" s="156" t="s">
        <v>308</v>
      </c>
      <c r="E38" s="156" t="s">
        <v>309</v>
      </c>
      <c r="F38" s="31" t="s">
        <v>326</v>
      </c>
      <c r="G38" s="12" t="s">
        <v>327</v>
      </c>
      <c r="H38" s="12" t="s">
        <v>328</v>
      </c>
      <c r="I38" s="12" t="s">
        <v>329</v>
      </c>
      <c r="J38" s="12" t="s">
        <v>330</v>
      </c>
      <c r="K38" s="12" t="s">
        <v>331</v>
      </c>
      <c r="L38" s="12" t="s">
        <v>332</v>
      </c>
      <c r="M38" s="12" t="s">
        <v>333</v>
      </c>
      <c r="N38" s="12" t="s">
        <v>334</v>
      </c>
      <c r="O38" s="12" t="s">
        <v>335</v>
      </c>
      <c r="P38" s="12" t="s">
        <v>336</v>
      </c>
      <c r="Q38" s="12" t="s">
        <v>337</v>
      </c>
      <c r="R38" s="1"/>
      <c r="S38" s="1"/>
      <c r="T38" s="242" t="s">
        <v>310</v>
      </c>
    </row>
    <row r="39" spans="1:38" ht="48.75" customHeight="1">
      <c r="A39" s="9"/>
      <c r="B39" s="63" t="s">
        <v>117</v>
      </c>
      <c r="C39" s="11">
        <v>3</v>
      </c>
      <c r="D39" s="156" t="s">
        <v>311</v>
      </c>
      <c r="E39" s="156" t="s">
        <v>309</v>
      </c>
      <c r="F39" s="31" t="s">
        <v>338</v>
      </c>
      <c r="G39" s="12" t="s">
        <v>339</v>
      </c>
      <c r="H39" s="12" t="s">
        <v>340</v>
      </c>
      <c r="I39" s="12" t="s">
        <v>341</v>
      </c>
      <c r="J39" s="12" t="s">
        <v>342</v>
      </c>
      <c r="K39" s="12" t="s">
        <v>343</v>
      </c>
      <c r="L39" s="12" t="s">
        <v>344</v>
      </c>
      <c r="M39" s="12" t="s">
        <v>321</v>
      </c>
      <c r="N39" s="12" t="s">
        <v>345</v>
      </c>
      <c r="O39" s="12" t="s">
        <v>346</v>
      </c>
      <c r="P39" s="12" t="s">
        <v>347</v>
      </c>
      <c r="Q39" s="12" t="s">
        <v>348</v>
      </c>
      <c r="R39" s="1"/>
      <c r="S39" s="1"/>
      <c r="T39" s="242" t="s">
        <v>312</v>
      </c>
    </row>
    <row r="40" spans="1:38" ht="15.75" customHeight="1">
      <c r="A40" s="1"/>
      <c r="B40" s="1"/>
      <c r="D40" s="1" t="s">
        <v>349</v>
      </c>
      <c r="E40" s="1"/>
      <c r="F40" s="1">
        <v>17</v>
      </c>
      <c r="G40" s="1">
        <v>19</v>
      </c>
      <c r="H40" s="1">
        <v>21</v>
      </c>
      <c r="I40" s="1">
        <v>11</v>
      </c>
      <c r="J40" s="1">
        <v>21</v>
      </c>
      <c r="K40" s="1">
        <v>18</v>
      </c>
      <c r="L40" s="1">
        <v>4</v>
      </c>
      <c r="M40" s="1">
        <v>8</v>
      </c>
      <c r="N40" s="1">
        <v>19</v>
      </c>
      <c r="O40" s="1">
        <v>16</v>
      </c>
      <c r="P40" s="1">
        <v>13</v>
      </c>
      <c r="Q40" s="1"/>
      <c r="R40" s="1"/>
      <c r="S40" s="1"/>
    </row>
    <row r="41" spans="1:38" ht="15.75" customHeight="1">
      <c r="A41" s="1"/>
      <c r="B41" s="1"/>
      <c r="D41" s="243"/>
      <c r="E41" s="243"/>
      <c r="F41" s="243"/>
      <c r="G41" s="243"/>
      <c r="H41" s="243"/>
      <c r="I41" s="243"/>
      <c r="J41" s="243"/>
      <c r="K41" s="243"/>
      <c r="L41" s="243"/>
      <c r="M41" s="243"/>
      <c r="N41" s="243"/>
      <c r="O41" s="243"/>
      <c r="P41" s="243"/>
      <c r="Q41" s="243"/>
      <c r="R41" s="243"/>
      <c r="S41" s="243"/>
    </row>
    <row r="42" spans="1:38" ht="15.75" customHeight="1">
      <c r="A42" s="1"/>
      <c r="B42" s="1"/>
      <c r="C42" s="243"/>
      <c r="D42" s="232"/>
      <c r="T42" s="232"/>
    </row>
    <row r="43" spans="1:38" ht="15.75" customHeight="1">
      <c r="A43" s="1"/>
      <c r="B43" s="1"/>
      <c r="C43" s="243"/>
      <c r="D43" s="232"/>
      <c r="T43" s="232"/>
    </row>
    <row r="44" spans="1:38" ht="15.75" customHeight="1">
      <c r="A44" s="1"/>
      <c r="B44" s="1"/>
      <c r="C44" s="243"/>
      <c r="D44" s="243"/>
      <c r="T44" s="232"/>
    </row>
    <row r="45" spans="1:38" ht="15.75" customHeight="1">
      <c r="A45" s="1"/>
      <c r="B45" s="1"/>
      <c r="C45" s="243"/>
      <c r="D45" s="232"/>
      <c r="T45" s="232"/>
    </row>
    <row r="46" spans="1:38" ht="28.5" customHeight="1">
      <c r="A46" s="1"/>
      <c r="B46" s="1"/>
      <c r="C46" s="243"/>
      <c r="D46" s="232"/>
      <c r="T46" s="232"/>
    </row>
    <row r="47" spans="1:38" ht="30.75" customHeight="1">
      <c r="A47" s="1"/>
      <c r="B47" s="1"/>
      <c r="C47" s="243"/>
      <c r="D47" s="232"/>
      <c r="T47" s="232"/>
    </row>
    <row r="48" spans="1:38" ht="30" customHeight="1">
      <c r="A48" s="1"/>
      <c r="B48" s="1"/>
      <c r="C48" s="243"/>
      <c r="D48" s="232"/>
      <c r="T48" s="232"/>
    </row>
    <row r="49" spans="3:20" ht="15.75" customHeight="1">
      <c r="C49" s="243"/>
      <c r="D49" s="243"/>
      <c r="T49" s="232"/>
    </row>
    <row r="50" spans="3:20" ht="15.75" customHeight="1">
      <c r="C50" s="243"/>
      <c r="D50" s="232"/>
      <c r="T50" s="232"/>
    </row>
    <row r="51" spans="3:20" ht="15.75" customHeight="1">
      <c r="C51" s="243"/>
      <c r="D51" s="232"/>
      <c r="T51" s="232"/>
    </row>
    <row r="52" spans="3:20" ht="15.75" customHeight="1">
      <c r="C52" s="243"/>
      <c r="D52" s="232"/>
      <c r="T52" s="232"/>
    </row>
    <row r="53" spans="3:20" ht="15.75" customHeight="1">
      <c r="C53" s="243"/>
      <c r="D53" s="232"/>
      <c r="T53" s="232"/>
    </row>
    <row r="54" spans="3:20" ht="15.75" customHeight="1">
      <c r="D54" s="243"/>
    </row>
    <row r="55" spans="3:20" ht="15.75" customHeight="1">
      <c r="D55" s="243"/>
    </row>
    <row r="56" spans="3:20" ht="15.75" customHeight="1">
      <c r="C56" s="243"/>
      <c r="D56" s="232"/>
      <c r="T56" s="232"/>
    </row>
    <row r="57" spans="3:20" ht="15.75" customHeight="1">
      <c r="C57" s="243"/>
      <c r="D57" s="232"/>
      <c r="T57" s="232"/>
    </row>
    <row r="58" spans="3:20" ht="15.75" customHeight="1">
      <c r="C58" s="243"/>
      <c r="D58" s="243"/>
      <c r="T58" s="232"/>
    </row>
    <row r="59" spans="3:20" ht="15.75" customHeight="1">
      <c r="C59" s="243"/>
      <c r="D59" s="232"/>
      <c r="T59" s="232"/>
    </row>
    <row r="60" spans="3:20" ht="29.25" customHeight="1">
      <c r="C60" s="243"/>
      <c r="D60" s="232"/>
      <c r="T60" s="232"/>
    </row>
    <row r="61" spans="3:20" ht="33" customHeight="1">
      <c r="C61" s="243"/>
      <c r="D61" s="232"/>
      <c r="T61" s="232"/>
    </row>
    <row r="62" spans="3:20" ht="33" customHeight="1">
      <c r="C62" s="243"/>
      <c r="D62" s="232"/>
      <c r="T62" s="232"/>
    </row>
    <row r="63" spans="3:20" ht="15.75" customHeight="1">
      <c r="C63" s="243"/>
      <c r="D63" s="243"/>
      <c r="T63" s="232"/>
    </row>
    <row r="64" spans="3:20" ht="15.75" customHeight="1">
      <c r="C64" s="243"/>
      <c r="D64" s="232"/>
      <c r="T64" s="232"/>
    </row>
    <row r="65" spans="3:20" ht="15.75" customHeight="1">
      <c r="C65" s="243"/>
      <c r="D65" s="232"/>
      <c r="T65" s="232"/>
    </row>
    <row r="66" spans="3:20" ht="15.75" customHeight="1">
      <c r="C66" s="243"/>
      <c r="D66" s="232"/>
      <c r="T66" s="232"/>
    </row>
    <row r="67" spans="3:20" ht="15.75" customHeight="1">
      <c r="C67" s="243"/>
      <c r="D67" s="232"/>
      <c r="T67" s="232"/>
    </row>
    <row r="68" spans="3:20" ht="15" customHeight="1">
      <c r="D68" s="232"/>
      <c r="E68" s="232"/>
      <c r="F68" s="232"/>
      <c r="G68" s="232"/>
      <c r="H68" s="232"/>
      <c r="I68" s="232"/>
      <c r="J68" s="232"/>
      <c r="K68" s="232"/>
      <c r="L68" s="232"/>
      <c r="M68" s="232"/>
      <c r="N68" s="232"/>
      <c r="O68" s="232"/>
      <c r="P68" s="232"/>
      <c r="Q68" s="232"/>
      <c r="R68" s="232"/>
      <c r="S68" s="232"/>
    </row>
    <row r="70" spans="3:20" ht="15" customHeight="1">
      <c r="E70" s="232" t="s">
        <v>175</v>
      </c>
      <c r="F70" s="232"/>
      <c r="G70" s="232"/>
      <c r="H70" s="232"/>
      <c r="I70" s="232"/>
      <c r="J70" s="232"/>
      <c r="K70" s="232"/>
      <c r="L70" s="232"/>
      <c r="M70" s="232"/>
      <c r="N70" s="232"/>
      <c r="O70" s="232"/>
      <c r="P70" s="232"/>
      <c r="Q70" s="232"/>
      <c r="R70" s="232"/>
      <c r="S70" s="232"/>
    </row>
    <row r="71" spans="3:20" ht="15" customHeight="1">
      <c r="D71" s="232"/>
      <c r="E71" s="873" t="s">
        <v>350</v>
      </c>
      <c r="F71" s="874"/>
      <c r="G71" s="874"/>
      <c r="H71" s="874"/>
      <c r="I71" s="874"/>
      <c r="J71" s="874"/>
      <c r="K71" s="874"/>
      <c r="L71" s="874"/>
      <c r="M71" s="874"/>
      <c r="N71" s="874"/>
      <c r="O71" s="874"/>
      <c r="P71" s="874"/>
      <c r="Q71" s="874"/>
      <c r="R71" s="874"/>
      <c r="S71" s="875"/>
      <c r="T71" s="232"/>
    </row>
    <row r="72" spans="3:20" ht="15" customHeight="1">
      <c r="D72" s="232"/>
      <c r="E72" s="876"/>
      <c r="F72" s="877"/>
      <c r="G72" s="877"/>
      <c r="H72" s="877"/>
      <c r="I72" s="877"/>
      <c r="J72" s="877"/>
      <c r="K72" s="877"/>
      <c r="L72" s="877"/>
      <c r="M72" s="877"/>
      <c r="N72" s="877"/>
      <c r="O72" s="877"/>
      <c r="P72" s="877"/>
      <c r="Q72" s="877"/>
      <c r="R72" s="877"/>
      <c r="S72" s="878"/>
      <c r="T72" s="232"/>
    </row>
    <row r="73" spans="3:20" ht="15" customHeight="1">
      <c r="D73" s="232"/>
      <c r="E73" s="876"/>
      <c r="F73" s="877"/>
      <c r="G73" s="877"/>
      <c r="H73" s="877"/>
      <c r="I73" s="877"/>
      <c r="J73" s="877"/>
      <c r="K73" s="877"/>
      <c r="L73" s="877"/>
      <c r="M73" s="877"/>
      <c r="N73" s="877"/>
      <c r="O73" s="877"/>
      <c r="P73" s="877"/>
      <c r="Q73" s="877"/>
      <c r="R73" s="877"/>
      <c r="S73" s="878"/>
      <c r="T73" s="232"/>
    </row>
    <row r="74" spans="3:20" ht="15" customHeight="1">
      <c r="D74" s="232"/>
      <c r="E74" s="876"/>
      <c r="F74" s="877"/>
      <c r="G74" s="877"/>
      <c r="H74" s="877"/>
      <c r="I74" s="877"/>
      <c r="J74" s="877"/>
      <c r="K74" s="877"/>
      <c r="L74" s="877"/>
      <c r="M74" s="877"/>
      <c r="N74" s="877"/>
      <c r="O74" s="877"/>
      <c r="P74" s="877"/>
      <c r="Q74" s="877"/>
      <c r="R74" s="877"/>
      <c r="S74" s="878"/>
      <c r="T74" s="232"/>
    </row>
    <row r="75" spans="3:20" ht="15" customHeight="1">
      <c r="D75" s="232"/>
      <c r="E75" s="876"/>
      <c r="F75" s="877"/>
      <c r="G75" s="877"/>
      <c r="H75" s="877"/>
      <c r="I75" s="877"/>
      <c r="J75" s="877"/>
      <c r="K75" s="877"/>
      <c r="L75" s="877"/>
      <c r="M75" s="877"/>
      <c r="N75" s="877"/>
      <c r="O75" s="877"/>
      <c r="P75" s="877"/>
      <c r="Q75" s="877"/>
      <c r="R75" s="877"/>
      <c r="S75" s="878"/>
      <c r="T75" s="232"/>
    </row>
    <row r="76" spans="3:20" ht="15" customHeight="1">
      <c r="D76" s="232"/>
      <c r="E76" s="876"/>
      <c r="F76" s="877"/>
      <c r="G76" s="877"/>
      <c r="H76" s="877"/>
      <c r="I76" s="877"/>
      <c r="J76" s="877"/>
      <c r="K76" s="877"/>
      <c r="L76" s="877"/>
      <c r="M76" s="877"/>
      <c r="N76" s="877"/>
      <c r="O76" s="877"/>
      <c r="P76" s="877"/>
      <c r="Q76" s="877"/>
      <c r="R76" s="877"/>
      <c r="S76" s="878"/>
      <c r="T76" s="232"/>
    </row>
    <row r="77" spans="3:20" ht="15" customHeight="1">
      <c r="D77" s="232"/>
      <c r="E77" s="876"/>
      <c r="F77" s="877"/>
      <c r="G77" s="877"/>
      <c r="H77" s="877"/>
      <c r="I77" s="877"/>
      <c r="J77" s="877"/>
      <c r="K77" s="877"/>
      <c r="L77" s="877"/>
      <c r="M77" s="877"/>
      <c r="N77" s="877"/>
      <c r="O77" s="877"/>
      <c r="P77" s="877"/>
      <c r="Q77" s="877"/>
      <c r="R77" s="877"/>
      <c r="S77" s="878"/>
      <c r="T77" s="232"/>
    </row>
    <row r="78" spans="3:20" ht="15" customHeight="1">
      <c r="D78" s="232"/>
      <c r="E78" s="876"/>
      <c r="F78" s="877"/>
      <c r="G78" s="877"/>
      <c r="H78" s="877"/>
      <c r="I78" s="877"/>
      <c r="J78" s="877"/>
      <c r="K78" s="877"/>
      <c r="L78" s="877"/>
      <c r="M78" s="877"/>
      <c r="N78" s="877"/>
      <c r="O78" s="877"/>
      <c r="P78" s="877"/>
      <c r="Q78" s="877"/>
      <c r="R78" s="877"/>
      <c r="S78" s="878"/>
      <c r="T78" s="232"/>
    </row>
    <row r="79" spans="3:20" ht="15" customHeight="1">
      <c r="D79" s="232"/>
      <c r="E79" s="876"/>
      <c r="F79" s="877"/>
      <c r="G79" s="877"/>
      <c r="H79" s="877"/>
      <c r="I79" s="877"/>
      <c r="J79" s="877"/>
      <c r="K79" s="877"/>
      <c r="L79" s="877"/>
      <c r="M79" s="877"/>
      <c r="N79" s="877"/>
      <c r="O79" s="877"/>
      <c r="P79" s="877"/>
      <c r="Q79" s="877"/>
      <c r="R79" s="877"/>
      <c r="S79" s="878"/>
      <c r="T79" s="232"/>
    </row>
    <row r="80" spans="3:20" ht="15" customHeight="1">
      <c r="D80" s="232"/>
      <c r="E80" s="876"/>
      <c r="F80" s="877"/>
      <c r="G80" s="877"/>
      <c r="H80" s="877"/>
      <c r="I80" s="877"/>
      <c r="J80" s="877"/>
      <c r="K80" s="877"/>
      <c r="L80" s="877"/>
      <c r="M80" s="877"/>
      <c r="N80" s="877"/>
      <c r="O80" s="877"/>
      <c r="P80" s="877"/>
      <c r="Q80" s="877"/>
      <c r="R80" s="877"/>
      <c r="S80" s="878"/>
      <c r="T80" s="232"/>
    </row>
    <row r="81" spans="4:20" ht="15" customHeight="1">
      <c r="D81" s="232"/>
      <c r="E81" s="876"/>
      <c r="F81" s="877"/>
      <c r="G81" s="877"/>
      <c r="H81" s="877"/>
      <c r="I81" s="877"/>
      <c r="J81" s="877"/>
      <c r="K81" s="877"/>
      <c r="L81" s="877"/>
      <c r="M81" s="877"/>
      <c r="N81" s="877"/>
      <c r="O81" s="877"/>
      <c r="P81" s="877"/>
      <c r="Q81" s="877"/>
      <c r="R81" s="877"/>
      <c r="S81" s="878"/>
      <c r="T81" s="232"/>
    </row>
    <row r="82" spans="4:20" ht="15" customHeight="1">
      <c r="D82" s="232"/>
      <c r="E82" s="876"/>
      <c r="F82" s="877"/>
      <c r="G82" s="877"/>
      <c r="H82" s="877"/>
      <c r="I82" s="877"/>
      <c r="J82" s="877"/>
      <c r="K82" s="877"/>
      <c r="L82" s="877"/>
      <c r="M82" s="877"/>
      <c r="N82" s="877"/>
      <c r="O82" s="877"/>
      <c r="P82" s="877"/>
      <c r="Q82" s="877"/>
      <c r="R82" s="877"/>
      <c r="S82" s="878"/>
      <c r="T82" s="232"/>
    </row>
    <row r="83" spans="4:20" ht="15" customHeight="1">
      <c r="D83" s="232"/>
      <c r="E83" s="879"/>
      <c r="F83" s="880"/>
      <c r="G83" s="880"/>
      <c r="H83" s="880"/>
      <c r="I83" s="880"/>
      <c r="J83" s="880"/>
      <c r="K83" s="880"/>
      <c r="L83" s="880"/>
      <c r="M83" s="880"/>
      <c r="N83" s="880"/>
      <c r="O83" s="880"/>
      <c r="P83" s="880"/>
      <c r="Q83" s="880"/>
      <c r="R83" s="880"/>
      <c r="S83" s="881"/>
      <c r="T83" s="232"/>
    </row>
    <row r="84" spans="4:20" ht="15" customHeight="1">
      <c r="E84" s="232"/>
      <c r="F84" s="232"/>
      <c r="G84" s="232"/>
      <c r="H84" s="232"/>
      <c r="I84" s="232"/>
      <c r="J84" s="232"/>
      <c r="K84" s="232"/>
      <c r="L84" s="232"/>
      <c r="M84" s="232"/>
      <c r="N84" s="232"/>
      <c r="O84" s="232"/>
      <c r="P84" s="232"/>
      <c r="Q84" s="232"/>
      <c r="R84" s="232"/>
      <c r="S84" s="232"/>
    </row>
  </sheetData>
  <mergeCells count="23">
    <mergeCell ref="E71:S83"/>
    <mergeCell ref="X7:AL7"/>
    <mergeCell ref="X8:AL8"/>
    <mergeCell ref="X9:AB9"/>
    <mergeCell ref="C1:S1"/>
    <mergeCell ref="C2:S2"/>
    <mergeCell ref="C3:S3"/>
    <mergeCell ref="C4:S4"/>
    <mergeCell ref="C5:S5"/>
    <mergeCell ref="Y29:AB32"/>
    <mergeCell ref="AC23:AL23"/>
    <mergeCell ref="X25:X27"/>
    <mergeCell ref="Y25:Y27"/>
    <mergeCell ref="AC9:AL9"/>
    <mergeCell ref="X11:X13"/>
    <mergeCell ref="Y11:Y13"/>
    <mergeCell ref="Z11:Z13"/>
    <mergeCell ref="X14:AL14"/>
    <mergeCell ref="X28:AL28"/>
    <mergeCell ref="X22:AL22"/>
    <mergeCell ref="X21:AL21"/>
    <mergeCell ref="Y15:AB18"/>
    <mergeCell ref="Z25:Z27"/>
  </mergeCells>
  <phoneticPr fontId="18" type="noConversion"/>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85623"/>
    <pageSetUpPr fitToPage="1"/>
  </sheetPr>
  <dimension ref="A1:AM92"/>
  <sheetViews>
    <sheetView workbookViewId="0">
      <pane xSplit="2" ySplit="6" topLeftCell="C7" activePane="bottomRight" state="frozen"/>
      <selection pane="bottomRight" activeCell="R13" sqref="R13:R15"/>
      <selection pane="bottomLeft" activeCell="A7" sqref="A7"/>
      <selection pane="topRight" activeCell="C1" sqref="C1"/>
    </sheetView>
  </sheetViews>
  <sheetFormatPr defaultColWidth="14.42578125" defaultRowHeight="15" customHeight="1"/>
  <cols>
    <col min="1" max="1" width="9.140625" customWidth="1"/>
    <col min="2" max="2" width="29.42578125" customWidth="1"/>
    <col min="3" max="3" width="9.140625" style="1" customWidth="1"/>
    <col min="4" max="4" width="16.28515625" customWidth="1"/>
    <col min="5" max="5" width="32.42578125" customWidth="1"/>
    <col min="6" max="6" width="15.42578125" customWidth="1"/>
    <col min="7" max="7" width="10.85546875" customWidth="1"/>
    <col min="8" max="8" width="12.7109375" customWidth="1"/>
    <col min="9" max="9" width="10.140625" customWidth="1"/>
    <col min="10" max="10" width="9.140625" customWidth="1"/>
    <col min="11" max="11" width="12.140625" customWidth="1"/>
    <col min="12" max="12" width="10.85546875" customWidth="1"/>
    <col min="13" max="13" width="13.42578125" customWidth="1"/>
    <col min="14" max="14" width="11.140625" customWidth="1"/>
    <col min="15" max="15" width="12" customWidth="1"/>
    <col min="16" max="16" width="13.7109375" customWidth="1"/>
    <col min="17" max="17" width="10.7109375" customWidth="1"/>
    <col min="18" max="18" width="18.85546875" customWidth="1"/>
    <col min="19" max="19" width="9.140625" customWidth="1"/>
    <col min="20" max="20" width="7.42578125" hidden="1" customWidth="1"/>
    <col min="21" max="23" width="8.7109375" customWidth="1"/>
    <col min="24" max="24" width="21.85546875" bestFit="1" customWidth="1"/>
    <col min="25" max="27" width="8.7109375" customWidth="1"/>
    <col min="38" max="38" width="13.28515625" bestFit="1" customWidth="1"/>
  </cols>
  <sheetData>
    <row r="1" spans="1:38">
      <c r="A1" s="60"/>
      <c r="B1" s="168"/>
      <c r="C1" s="892" t="s">
        <v>40</v>
      </c>
      <c r="D1" s="1160"/>
      <c r="E1" s="1160"/>
      <c r="F1" s="1160"/>
      <c r="G1" s="1160"/>
      <c r="H1" s="1160"/>
      <c r="I1" s="1160"/>
      <c r="J1" s="1160"/>
      <c r="K1" s="1160"/>
      <c r="L1" s="1160"/>
      <c r="M1" s="1160"/>
      <c r="N1" s="1160"/>
      <c r="O1" s="1160"/>
      <c r="P1" s="1160"/>
      <c r="Q1" s="1160"/>
      <c r="R1" s="1160"/>
      <c r="S1" s="1160"/>
    </row>
    <row r="2" spans="1:38">
      <c r="A2" s="138"/>
      <c r="B2" s="93"/>
      <c r="C2" s="868" t="s">
        <v>41</v>
      </c>
      <c r="D2" s="1158"/>
      <c r="E2" s="1158"/>
      <c r="F2" s="1158"/>
      <c r="G2" s="1158"/>
      <c r="H2" s="1158"/>
      <c r="I2" s="1158"/>
      <c r="J2" s="1158"/>
      <c r="K2" s="1158"/>
      <c r="L2" s="1158"/>
      <c r="M2" s="1158"/>
      <c r="N2" s="1158"/>
      <c r="O2" s="1158"/>
      <c r="P2" s="1158"/>
      <c r="Q2" s="1158"/>
      <c r="R2" s="1158"/>
      <c r="S2" s="1158"/>
    </row>
    <row r="3" spans="1:38">
      <c r="A3" s="139"/>
      <c r="B3" s="86"/>
      <c r="C3" s="869" t="s">
        <v>42</v>
      </c>
      <c r="D3" s="1159"/>
      <c r="E3" s="1159"/>
      <c r="F3" s="1159"/>
      <c r="G3" s="1159"/>
      <c r="H3" s="1159"/>
      <c r="I3" s="1159"/>
      <c r="J3" s="1159"/>
      <c r="K3" s="1159"/>
      <c r="L3" s="1159"/>
      <c r="M3" s="1159"/>
      <c r="N3" s="1159"/>
      <c r="O3" s="1159"/>
      <c r="P3" s="1159"/>
      <c r="Q3" s="1159"/>
      <c r="R3" s="1159"/>
      <c r="S3" s="1159"/>
    </row>
    <row r="4" spans="1:38">
      <c r="A4" s="140"/>
      <c r="B4" s="141"/>
      <c r="C4" s="870" t="s">
        <v>351</v>
      </c>
      <c r="D4" s="1160"/>
      <c r="E4" s="1160"/>
      <c r="F4" s="1160"/>
      <c r="G4" s="1160"/>
      <c r="H4" s="1160"/>
      <c r="I4" s="1160"/>
      <c r="J4" s="1160"/>
      <c r="K4" s="1160"/>
      <c r="L4" s="1160"/>
      <c r="M4" s="1160"/>
      <c r="N4" s="1160"/>
      <c r="O4" s="1160"/>
      <c r="P4" s="1160"/>
      <c r="Q4" s="1160"/>
      <c r="R4" s="1160"/>
      <c r="S4" s="1160"/>
    </row>
    <row r="5" spans="1:38">
      <c r="A5" s="88"/>
      <c r="B5" s="89"/>
      <c r="C5" s="894" t="s">
        <v>255</v>
      </c>
      <c r="D5" s="1176"/>
      <c r="E5" s="1176"/>
      <c r="F5" s="1176"/>
      <c r="G5" s="1176"/>
      <c r="H5" s="1176"/>
      <c r="I5" s="1176"/>
      <c r="J5" s="1176"/>
      <c r="K5" s="1176"/>
      <c r="L5" s="1176"/>
      <c r="M5" s="1176"/>
      <c r="N5" s="1176"/>
      <c r="O5" s="1176"/>
      <c r="P5" s="1176"/>
      <c r="Q5" s="1176"/>
      <c r="R5" s="1176"/>
      <c r="S5" s="1176"/>
    </row>
    <row r="6" spans="1:38">
      <c r="A6" s="76" t="s">
        <v>45</v>
      </c>
      <c r="B6" s="171" t="s">
        <v>46</v>
      </c>
      <c r="C6" s="171" t="s">
        <v>47</v>
      </c>
      <c r="D6" s="171" t="s">
        <v>48</v>
      </c>
      <c r="E6" s="171" t="s">
        <v>49</v>
      </c>
      <c r="F6" s="477" t="s">
        <v>352</v>
      </c>
      <c r="G6" s="477" t="s">
        <v>51</v>
      </c>
      <c r="H6" s="477" t="s">
        <v>52</v>
      </c>
      <c r="I6" s="477" t="s">
        <v>53</v>
      </c>
      <c r="J6" s="477" t="s">
        <v>54</v>
      </c>
      <c r="K6" s="477" t="s">
        <v>55</v>
      </c>
      <c r="L6" s="171" t="s">
        <v>56</v>
      </c>
      <c r="M6" s="171" t="s">
        <v>57</v>
      </c>
      <c r="N6" s="171" t="s">
        <v>58</v>
      </c>
      <c r="O6" s="171" t="s">
        <v>59</v>
      </c>
      <c r="P6" s="171" t="s">
        <v>60</v>
      </c>
      <c r="Q6" s="171" t="s">
        <v>61</v>
      </c>
      <c r="R6" s="170" t="s">
        <v>62</v>
      </c>
      <c r="S6" s="179" t="s">
        <v>63</v>
      </c>
      <c r="T6" s="253" t="s">
        <v>64</v>
      </c>
    </row>
    <row r="7" spans="1:38">
      <c r="A7" s="39" t="s">
        <v>65</v>
      </c>
      <c r="B7" s="149" t="s">
        <v>66</v>
      </c>
      <c r="C7" s="15">
        <v>1</v>
      </c>
      <c r="D7" s="91" t="s">
        <v>353</v>
      </c>
      <c r="E7" s="91" t="s">
        <v>354</v>
      </c>
      <c r="F7" s="7">
        <v>1.9</v>
      </c>
      <c r="G7" s="7">
        <v>1.59</v>
      </c>
      <c r="H7" s="7">
        <v>2.0299999999999998</v>
      </c>
      <c r="I7" s="7">
        <v>1.21</v>
      </c>
      <c r="J7" s="7">
        <v>2.16</v>
      </c>
      <c r="K7" s="7">
        <v>3.58</v>
      </c>
      <c r="L7" s="7">
        <v>4</v>
      </c>
      <c r="M7" s="7">
        <v>3.41</v>
      </c>
      <c r="N7" s="7">
        <v>3.9</v>
      </c>
      <c r="O7" s="7">
        <v>3.69</v>
      </c>
      <c r="P7" s="7">
        <v>3.29</v>
      </c>
      <c r="Q7" s="7">
        <v>2.99</v>
      </c>
      <c r="R7" s="48">
        <f t="shared" ref="R7:R24" si="0">IFERROR(AVERAGE(F7:Q7), 0)</f>
        <v>2.8125</v>
      </c>
      <c r="S7" s="8">
        <v>5</v>
      </c>
      <c r="T7" s="242" t="s">
        <v>355</v>
      </c>
      <c r="X7" s="843" t="s">
        <v>70</v>
      </c>
      <c r="Y7" s="843"/>
      <c r="Z7" s="843"/>
      <c r="AA7" s="843"/>
      <c r="AB7" s="843"/>
      <c r="AC7" s="843"/>
      <c r="AD7" s="843"/>
      <c r="AE7" s="843"/>
      <c r="AF7" s="843"/>
      <c r="AG7" s="843"/>
      <c r="AH7" s="843"/>
      <c r="AI7" s="843"/>
      <c r="AJ7" s="843"/>
      <c r="AK7" s="843"/>
      <c r="AL7" s="843"/>
    </row>
    <row r="8" spans="1:38">
      <c r="A8" s="9"/>
      <c r="B8" s="10" t="s">
        <v>66</v>
      </c>
      <c r="C8" s="11">
        <v>2</v>
      </c>
      <c r="D8" s="79" t="s">
        <v>356</v>
      </c>
      <c r="E8" s="79" t="s">
        <v>357</v>
      </c>
      <c r="F8" s="12">
        <v>2.8</v>
      </c>
      <c r="G8" s="12">
        <v>1.67</v>
      </c>
      <c r="H8" s="12">
        <v>3.12</v>
      </c>
      <c r="I8" s="12">
        <v>3.18</v>
      </c>
      <c r="J8" s="12">
        <v>2.11</v>
      </c>
      <c r="K8" s="12">
        <v>4.0999999999999996</v>
      </c>
      <c r="L8" s="12">
        <v>4.2</v>
      </c>
      <c r="M8" s="12">
        <v>3.51</v>
      </c>
      <c r="N8" s="12">
        <v>5.28</v>
      </c>
      <c r="O8" s="12">
        <v>4.8</v>
      </c>
      <c r="P8" s="12">
        <v>4.38</v>
      </c>
      <c r="Q8" s="12">
        <v>3.25</v>
      </c>
      <c r="R8" s="35">
        <f t="shared" si="0"/>
        <v>3.5333333333333332</v>
      </c>
      <c r="S8" s="14">
        <v>5</v>
      </c>
      <c r="T8" s="242" t="s">
        <v>358</v>
      </c>
      <c r="X8" s="843" t="s">
        <v>74</v>
      </c>
      <c r="Y8" s="843"/>
      <c r="Z8" s="843"/>
      <c r="AA8" s="843"/>
      <c r="AB8" s="843"/>
      <c r="AC8" s="843"/>
      <c r="AD8" s="843"/>
      <c r="AE8" s="843"/>
      <c r="AF8" s="843"/>
      <c r="AG8" s="843"/>
      <c r="AH8" s="843"/>
      <c r="AI8" s="843"/>
      <c r="AJ8" s="843"/>
      <c r="AK8" s="843"/>
      <c r="AL8" s="843"/>
    </row>
    <row r="9" spans="1:38">
      <c r="A9" s="9"/>
      <c r="B9" s="10" t="s">
        <v>66</v>
      </c>
      <c r="C9" s="11">
        <v>3</v>
      </c>
      <c r="D9" s="79" t="s">
        <v>359</v>
      </c>
      <c r="E9" s="79" t="s">
        <v>360</v>
      </c>
      <c r="F9" s="12">
        <v>2.7</v>
      </c>
      <c r="G9" s="12">
        <v>1.89</v>
      </c>
      <c r="H9" s="12">
        <v>1.1000000000000001</v>
      </c>
      <c r="I9" s="12">
        <v>1.19</v>
      </c>
      <c r="J9" s="12">
        <v>2.59</v>
      </c>
      <c r="K9" s="12">
        <v>4.18</v>
      </c>
      <c r="L9" s="12">
        <v>4.0999999999999996</v>
      </c>
      <c r="M9" s="12">
        <v>3.81</v>
      </c>
      <c r="N9" s="12">
        <v>5.25</v>
      </c>
      <c r="O9" s="12">
        <v>4.83</v>
      </c>
      <c r="P9" s="12">
        <v>4.8899999999999997</v>
      </c>
      <c r="Q9" s="12">
        <v>3.09</v>
      </c>
      <c r="R9" s="35">
        <f t="shared" si="0"/>
        <v>3.3016666666666672</v>
      </c>
      <c r="S9" s="14">
        <v>5</v>
      </c>
      <c r="T9" s="242" t="s">
        <v>361</v>
      </c>
      <c r="X9" s="844"/>
      <c r="Y9" s="845"/>
      <c r="Z9" s="845"/>
      <c r="AA9" s="845"/>
      <c r="AB9" s="846"/>
      <c r="AC9" s="848" t="s">
        <v>78</v>
      </c>
      <c r="AD9" s="1161"/>
      <c r="AE9" s="1161"/>
      <c r="AF9" s="1161"/>
      <c r="AG9" s="1161"/>
      <c r="AH9" s="1161"/>
      <c r="AI9" s="1161"/>
      <c r="AJ9" s="1161"/>
      <c r="AK9" s="1161"/>
      <c r="AL9" s="1161"/>
    </row>
    <row r="10" spans="1:38">
      <c r="A10" s="9"/>
      <c r="B10" s="149" t="s">
        <v>91</v>
      </c>
      <c r="C10" s="15">
        <v>1</v>
      </c>
      <c r="D10" s="91" t="s">
        <v>353</v>
      </c>
      <c r="E10" s="91" t="s">
        <v>354</v>
      </c>
      <c r="F10" s="7">
        <v>10</v>
      </c>
      <c r="G10" s="7">
        <v>22</v>
      </c>
      <c r="H10" s="7">
        <v>13</v>
      </c>
      <c r="I10" s="7">
        <v>24</v>
      </c>
      <c r="J10" s="7">
        <v>7</v>
      </c>
      <c r="K10" s="7">
        <v>8</v>
      </c>
      <c r="L10" s="7">
        <v>7</v>
      </c>
      <c r="M10" s="7">
        <v>11</v>
      </c>
      <c r="N10" s="7">
        <v>36</v>
      </c>
      <c r="O10" s="7">
        <v>44</v>
      </c>
      <c r="P10" s="7">
        <v>20</v>
      </c>
      <c r="Q10" s="7">
        <v>32</v>
      </c>
      <c r="R10" s="48">
        <f t="shared" si="0"/>
        <v>19.5</v>
      </c>
      <c r="S10" s="8">
        <v>7</v>
      </c>
      <c r="T10" s="242" t="s">
        <v>355</v>
      </c>
      <c r="X10" s="14" t="s">
        <v>82</v>
      </c>
      <c r="Y10" s="14" t="s">
        <v>83</v>
      </c>
      <c r="Z10" s="14" t="s">
        <v>84</v>
      </c>
      <c r="AA10" s="14" t="s">
        <v>85</v>
      </c>
      <c r="AB10" s="14" t="s">
        <v>86</v>
      </c>
      <c r="AC10" s="14" t="s">
        <v>4</v>
      </c>
      <c r="AD10" s="14" t="s">
        <v>5</v>
      </c>
      <c r="AE10" s="14" t="s">
        <v>6</v>
      </c>
      <c r="AF10" s="14" t="s">
        <v>7</v>
      </c>
      <c r="AG10" s="14" t="s">
        <v>8</v>
      </c>
      <c r="AH10" s="14" t="s">
        <v>9</v>
      </c>
      <c r="AI10" s="14" t="s">
        <v>10</v>
      </c>
      <c r="AJ10" s="14" t="s">
        <v>11</v>
      </c>
      <c r="AK10" s="14" t="s">
        <v>12</v>
      </c>
      <c r="AL10" s="14" t="s">
        <v>13</v>
      </c>
    </row>
    <row r="11" spans="1:38" ht="45.75">
      <c r="A11" s="9"/>
      <c r="B11" s="10" t="s">
        <v>91</v>
      </c>
      <c r="C11" s="11">
        <v>2</v>
      </c>
      <c r="D11" s="79" t="s">
        <v>356</v>
      </c>
      <c r="E11" s="79" t="s">
        <v>357</v>
      </c>
      <c r="F11" s="12">
        <v>6</v>
      </c>
      <c r="G11" s="12">
        <v>8</v>
      </c>
      <c r="H11" s="12">
        <v>5</v>
      </c>
      <c r="I11" s="12">
        <v>6</v>
      </c>
      <c r="J11" s="12">
        <v>6</v>
      </c>
      <c r="K11" s="12">
        <v>7</v>
      </c>
      <c r="L11" s="12">
        <v>5</v>
      </c>
      <c r="M11" s="12">
        <v>4</v>
      </c>
      <c r="N11" s="12">
        <v>11</v>
      </c>
      <c r="O11" s="12">
        <v>9</v>
      </c>
      <c r="P11" s="12">
        <v>5</v>
      </c>
      <c r="Q11" s="12">
        <v>9</v>
      </c>
      <c r="R11" s="35">
        <f t="shared" si="0"/>
        <v>6.75</v>
      </c>
      <c r="S11" s="14">
        <v>7</v>
      </c>
      <c r="T11" s="242" t="s">
        <v>358</v>
      </c>
      <c r="X11" s="847" t="s">
        <v>362</v>
      </c>
      <c r="Y11" s="847" t="s">
        <v>351</v>
      </c>
      <c r="Z11" s="855" t="s">
        <v>16</v>
      </c>
      <c r="AA11" s="32">
        <v>1</v>
      </c>
      <c r="AB11" s="65" t="s">
        <v>311</v>
      </c>
      <c r="AC11" s="33">
        <f>AVERAGE(F7:K7)</f>
        <v>2.0783333333333336</v>
      </c>
      <c r="AD11" s="33">
        <f>AVERAGE(F10:K10)</f>
        <v>14</v>
      </c>
      <c r="AE11" s="33">
        <f>AVERAGE(F13:K13)</f>
        <v>35.166666666666664</v>
      </c>
      <c r="AF11" s="33">
        <f>AVERAGE(F16:K16)</f>
        <v>7.0566666666666675</v>
      </c>
      <c r="AG11" s="33">
        <f>AVERAGE(F19:K19)</f>
        <v>28.950000000000003</v>
      </c>
      <c r="AH11" s="33">
        <f>AVERAGE(F22:K22)</f>
        <v>27.666666666666668</v>
      </c>
      <c r="AI11" s="33">
        <f>GEOMEAN(F25:K25)</f>
        <v>209496.81802558899</v>
      </c>
      <c r="AJ11" s="34">
        <f>AVERAGE(F28:K28)</f>
        <v>0.60199999999999998</v>
      </c>
      <c r="AK11" s="34">
        <f>AVERAGE(F31:K31)</f>
        <v>1.2876666666666665</v>
      </c>
      <c r="AL11" s="33">
        <f>AVERAGE(F34:K34)</f>
        <v>118.16666666666667</v>
      </c>
    </row>
    <row r="12" spans="1:38" ht="30">
      <c r="A12" s="9"/>
      <c r="B12" s="10" t="s">
        <v>91</v>
      </c>
      <c r="C12" s="11">
        <v>3</v>
      </c>
      <c r="D12" s="79" t="s">
        <v>359</v>
      </c>
      <c r="E12" s="79" t="s">
        <v>360</v>
      </c>
      <c r="F12" s="12">
        <v>23</v>
      </c>
      <c r="G12" s="12">
        <v>12</v>
      </c>
      <c r="H12" s="12">
        <v>16</v>
      </c>
      <c r="I12" s="12">
        <v>11</v>
      </c>
      <c r="J12" s="12">
        <v>6</v>
      </c>
      <c r="K12" s="12">
        <v>7</v>
      </c>
      <c r="L12" s="12">
        <v>6</v>
      </c>
      <c r="M12" s="12">
        <v>6</v>
      </c>
      <c r="N12" s="12">
        <v>12</v>
      </c>
      <c r="O12" s="12">
        <v>12</v>
      </c>
      <c r="P12" s="12">
        <v>5</v>
      </c>
      <c r="Q12" s="12">
        <v>33</v>
      </c>
      <c r="R12" s="35">
        <f t="shared" si="0"/>
        <v>12.416666666666666</v>
      </c>
      <c r="S12" s="14">
        <v>7</v>
      </c>
      <c r="T12" s="242" t="s">
        <v>361</v>
      </c>
      <c r="X12" s="1161"/>
      <c r="Y12" s="1161"/>
      <c r="Z12" s="1161"/>
      <c r="AA12" s="32">
        <v>2</v>
      </c>
      <c r="AB12" s="65" t="s">
        <v>308</v>
      </c>
      <c r="AC12" s="33">
        <f>AVERAGE(F8:K8)</f>
        <v>2.8299999999999996</v>
      </c>
      <c r="AD12" s="33">
        <f>AVERAGE(F11:K11)</f>
        <v>6.333333333333333</v>
      </c>
      <c r="AE12" s="33">
        <f>AVERAGE(F14:K14)</f>
        <v>30.166666666666668</v>
      </c>
      <c r="AF12" s="33">
        <f>AVERAGE(F17:K17)</f>
        <v>7.0783333333333331</v>
      </c>
      <c r="AG12" s="33">
        <f>AVERAGE(F20:K20)</f>
        <v>28.933333333333334</v>
      </c>
      <c r="AH12" s="33">
        <f>AVERAGE(F23:K23)</f>
        <v>23.833333333333332</v>
      </c>
      <c r="AI12" s="33">
        <f>GEOMEAN(F26:K26)</f>
        <v>120566.29272821771</v>
      </c>
      <c r="AJ12" s="34">
        <f>AVERAGE(F29:K29)</f>
        <v>0.75666666666666682</v>
      </c>
      <c r="AK12" s="34">
        <f>AVERAGE(F32:K32)</f>
        <v>0.95833333333333337</v>
      </c>
      <c r="AL12" s="33">
        <f>AVERAGE(F35:K35)</f>
        <v>133.66666666666666</v>
      </c>
    </row>
    <row r="13" spans="1:38" ht="30">
      <c r="A13" s="9"/>
      <c r="B13" s="149" t="s">
        <v>92</v>
      </c>
      <c r="C13" s="15">
        <v>1</v>
      </c>
      <c r="D13" s="91" t="s">
        <v>353</v>
      </c>
      <c r="E13" s="91" t="s">
        <v>354</v>
      </c>
      <c r="F13" s="7">
        <v>12</v>
      </c>
      <c r="G13" s="7">
        <v>16</v>
      </c>
      <c r="H13" s="7">
        <v>57</v>
      </c>
      <c r="I13" s="7">
        <v>18</v>
      </c>
      <c r="J13" s="7">
        <v>75</v>
      </c>
      <c r="K13" s="7">
        <v>33</v>
      </c>
      <c r="L13" s="7">
        <v>114</v>
      </c>
      <c r="M13" s="7">
        <v>44</v>
      </c>
      <c r="N13" s="7">
        <v>32</v>
      </c>
      <c r="O13" s="7">
        <v>22</v>
      </c>
      <c r="P13" s="7">
        <v>27</v>
      </c>
      <c r="Q13" s="7">
        <v>32</v>
      </c>
      <c r="R13" s="48">
        <f t="shared" si="0"/>
        <v>40.166666666666664</v>
      </c>
      <c r="S13" s="8">
        <v>80</v>
      </c>
      <c r="T13" s="242" t="s">
        <v>355</v>
      </c>
      <c r="X13" s="1161"/>
      <c r="Y13" s="1161"/>
      <c r="Z13" s="1161"/>
      <c r="AA13" s="32">
        <v>3</v>
      </c>
      <c r="AB13" s="65" t="s">
        <v>75</v>
      </c>
      <c r="AC13" s="33">
        <f>AVERAGE(F9:K9)</f>
        <v>2.2749999999999999</v>
      </c>
      <c r="AD13" s="33">
        <f>AVERAGE(F12:K12)</f>
        <v>12.5</v>
      </c>
      <c r="AE13" s="33">
        <f>AVERAGE(F15:K15)</f>
        <v>31.333333333333332</v>
      </c>
      <c r="AF13" s="33">
        <f>AVERAGE(F18:K18)</f>
        <v>7.0566666666666658</v>
      </c>
      <c r="AG13" s="33">
        <f>AVERAGE(F21:K21)</f>
        <v>29</v>
      </c>
      <c r="AH13" s="33">
        <f>AVERAGE(F24:K24)</f>
        <v>30.833333333333332</v>
      </c>
      <c r="AI13" s="33">
        <f>GEOMEAN(F27:K27)</f>
        <v>335839.95857078338</v>
      </c>
      <c r="AJ13" s="34">
        <f>AVERAGE(F30:K30)</f>
        <v>0.72383333333333333</v>
      </c>
      <c r="AK13" s="34">
        <f>AVERAGE(F33:K33)</f>
        <v>1.1021666666666665</v>
      </c>
      <c r="AL13" s="33">
        <f>AVERAGE(F36:K36)</f>
        <v>167</v>
      </c>
    </row>
    <row r="14" spans="1:38">
      <c r="A14" s="9"/>
      <c r="B14" s="10" t="s">
        <v>92</v>
      </c>
      <c r="C14" s="11">
        <v>2</v>
      </c>
      <c r="D14" s="79" t="s">
        <v>356</v>
      </c>
      <c r="E14" s="79" t="s">
        <v>357</v>
      </c>
      <c r="F14" s="12">
        <v>9</v>
      </c>
      <c r="G14" s="12">
        <v>12</v>
      </c>
      <c r="H14" s="12">
        <v>10</v>
      </c>
      <c r="I14" s="12">
        <v>31</v>
      </c>
      <c r="J14" s="12">
        <v>69</v>
      </c>
      <c r="K14" s="12">
        <v>50</v>
      </c>
      <c r="L14" s="12">
        <v>100</v>
      </c>
      <c r="M14" s="12">
        <v>31</v>
      </c>
      <c r="N14" s="12">
        <v>124</v>
      </c>
      <c r="O14" s="12">
        <v>34</v>
      </c>
      <c r="P14" s="12">
        <v>43</v>
      </c>
      <c r="Q14" s="12">
        <v>37</v>
      </c>
      <c r="R14" s="35">
        <f t="shared" si="0"/>
        <v>45.833333333333336</v>
      </c>
      <c r="S14" s="14">
        <v>80</v>
      </c>
      <c r="T14" s="242" t="s">
        <v>358</v>
      </c>
      <c r="X14" s="844"/>
      <c r="Y14" s="845"/>
      <c r="Z14" s="845"/>
      <c r="AA14" s="845"/>
      <c r="AB14" s="845"/>
      <c r="AC14" s="845"/>
      <c r="AD14" s="845"/>
      <c r="AE14" s="845"/>
      <c r="AF14" s="845"/>
      <c r="AG14" s="845"/>
      <c r="AH14" s="845"/>
      <c r="AI14" s="845"/>
      <c r="AJ14" s="845"/>
      <c r="AK14" s="845"/>
      <c r="AL14" s="846"/>
    </row>
    <row r="15" spans="1:38">
      <c r="A15" s="9"/>
      <c r="B15" s="10" t="s">
        <v>92</v>
      </c>
      <c r="C15" s="11">
        <v>3</v>
      </c>
      <c r="D15" s="79" t="s">
        <v>359</v>
      </c>
      <c r="E15" s="79" t="s">
        <v>360</v>
      </c>
      <c r="F15" s="12">
        <v>11</v>
      </c>
      <c r="G15" s="12">
        <v>14</v>
      </c>
      <c r="H15" s="12">
        <v>32</v>
      </c>
      <c r="I15" s="12">
        <v>9</v>
      </c>
      <c r="J15" s="12">
        <v>68</v>
      </c>
      <c r="K15" s="12">
        <v>54</v>
      </c>
      <c r="L15" s="12">
        <v>148</v>
      </c>
      <c r="M15" s="12">
        <v>32</v>
      </c>
      <c r="N15" s="12">
        <v>101</v>
      </c>
      <c r="O15" s="12">
        <v>23</v>
      </c>
      <c r="P15" s="12">
        <v>38</v>
      </c>
      <c r="Q15" s="12">
        <v>42</v>
      </c>
      <c r="R15" s="35">
        <f t="shared" si="0"/>
        <v>47.666666666666664</v>
      </c>
      <c r="S15" s="14">
        <v>80</v>
      </c>
      <c r="T15" s="242" t="s">
        <v>361</v>
      </c>
      <c r="X15" s="14" t="s">
        <v>93</v>
      </c>
      <c r="Y15" s="1162"/>
      <c r="Z15" s="1161"/>
      <c r="AA15" s="1161"/>
      <c r="AB15" s="1161"/>
      <c r="AC15" s="33">
        <f t="shared" ref="AC15:AL15" si="1">AVERAGE(AC11:AC13)</f>
        <v>2.3944444444444444</v>
      </c>
      <c r="AD15" s="33">
        <f t="shared" si="1"/>
        <v>10.944444444444443</v>
      </c>
      <c r="AE15" s="33">
        <f t="shared" si="1"/>
        <v>32.222222222222221</v>
      </c>
      <c r="AF15" s="33">
        <f t="shared" si="1"/>
        <v>7.0638888888888891</v>
      </c>
      <c r="AG15" s="33">
        <f t="shared" si="1"/>
        <v>28.961111111111112</v>
      </c>
      <c r="AH15" s="33">
        <f t="shared" si="1"/>
        <v>27.444444444444443</v>
      </c>
      <c r="AI15" s="33">
        <f t="shared" si="1"/>
        <v>221967.68977486333</v>
      </c>
      <c r="AJ15" s="34">
        <f t="shared" si="1"/>
        <v>0.69416666666666671</v>
      </c>
      <c r="AK15" s="34">
        <f t="shared" si="1"/>
        <v>1.1160555555555556</v>
      </c>
      <c r="AL15" s="33">
        <f t="shared" si="1"/>
        <v>139.61111111111111</v>
      </c>
    </row>
    <row r="16" spans="1:38">
      <c r="A16" s="9"/>
      <c r="B16" s="149" t="s">
        <v>7</v>
      </c>
      <c r="C16" s="15">
        <v>1</v>
      </c>
      <c r="D16" s="91" t="s">
        <v>353</v>
      </c>
      <c r="E16" s="91" t="s">
        <v>354</v>
      </c>
      <c r="F16" s="7">
        <v>7.1</v>
      </c>
      <c r="G16" s="7">
        <v>7.08</v>
      </c>
      <c r="H16" s="7">
        <v>7</v>
      </c>
      <c r="I16" s="7">
        <v>6.98</v>
      </c>
      <c r="J16" s="7">
        <v>7.08</v>
      </c>
      <c r="K16" s="7">
        <v>7.1</v>
      </c>
      <c r="L16" s="7">
        <v>7.05</v>
      </c>
      <c r="M16" s="7">
        <v>7.59</v>
      </c>
      <c r="N16" s="7">
        <v>7.69</v>
      </c>
      <c r="O16" s="7">
        <v>7.29</v>
      </c>
      <c r="P16" s="7">
        <v>7.03</v>
      </c>
      <c r="Q16" s="7">
        <v>7.03</v>
      </c>
      <c r="R16" s="48">
        <f t="shared" si="0"/>
        <v>7.1683333333333339</v>
      </c>
      <c r="S16" s="17" t="s">
        <v>106</v>
      </c>
      <c r="T16" s="242" t="s">
        <v>355</v>
      </c>
      <c r="X16" s="14" t="s">
        <v>94</v>
      </c>
      <c r="Y16" s="1161"/>
      <c r="Z16" s="1163"/>
      <c r="AA16" s="1163"/>
      <c r="AB16" s="1161"/>
      <c r="AC16" s="33">
        <f t="shared" ref="AC16:AL16" si="2">MIN(AC11:AC13)</f>
        <v>2.0783333333333336</v>
      </c>
      <c r="AD16" s="33">
        <f t="shared" si="2"/>
        <v>6.333333333333333</v>
      </c>
      <c r="AE16" s="33">
        <f t="shared" si="2"/>
        <v>30.166666666666668</v>
      </c>
      <c r="AF16" s="33">
        <f t="shared" si="2"/>
        <v>7.0566666666666658</v>
      </c>
      <c r="AG16" s="33">
        <f t="shared" si="2"/>
        <v>28.933333333333334</v>
      </c>
      <c r="AH16" s="33">
        <f t="shared" si="2"/>
        <v>23.833333333333332</v>
      </c>
      <c r="AI16" s="33">
        <f t="shared" si="2"/>
        <v>120566.29272821771</v>
      </c>
      <c r="AJ16" s="34">
        <f t="shared" si="2"/>
        <v>0.60199999999999998</v>
      </c>
      <c r="AK16" s="34">
        <f t="shared" si="2"/>
        <v>0.95833333333333337</v>
      </c>
      <c r="AL16" s="33">
        <f t="shared" si="2"/>
        <v>118.16666666666667</v>
      </c>
    </row>
    <row r="17" spans="1:39">
      <c r="A17" s="9"/>
      <c r="B17" s="10" t="s">
        <v>7</v>
      </c>
      <c r="C17" s="11">
        <v>2</v>
      </c>
      <c r="D17" s="79" t="s">
        <v>356</v>
      </c>
      <c r="E17" s="79" t="s">
        <v>357</v>
      </c>
      <c r="F17" s="12">
        <v>7</v>
      </c>
      <c r="G17" s="12">
        <v>7.11</v>
      </c>
      <c r="H17" s="12">
        <v>7.11</v>
      </c>
      <c r="I17" s="12">
        <v>7.03</v>
      </c>
      <c r="J17" s="12">
        <v>7.04</v>
      </c>
      <c r="K17" s="12">
        <v>7.18</v>
      </c>
      <c r="L17" s="12">
        <v>7.09</v>
      </c>
      <c r="M17" s="12">
        <v>7.63</v>
      </c>
      <c r="N17" s="12">
        <v>7.81</v>
      </c>
      <c r="O17" s="12">
        <v>7.62</v>
      </c>
      <c r="P17" s="12">
        <v>7.21</v>
      </c>
      <c r="Q17" s="12">
        <v>7.09</v>
      </c>
      <c r="R17" s="35">
        <f t="shared" si="0"/>
        <v>7.2433333333333332</v>
      </c>
      <c r="S17" s="18" t="s">
        <v>106</v>
      </c>
      <c r="T17" s="242" t="s">
        <v>358</v>
      </c>
      <c r="X17" s="14" t="s">
        <v>95</v>
      </c>
      <c r="Y17" s="1161"/>
      <c r="Z17" s="1163"/>
      <c r="AA17" s="1163"/>
      <c r="AB17" s="1161"/>
      <c r="AC17" s="33">
        <f t="shared" ref="AC17:AL17" si="3">MAX(AC11:AC13)</f>
        <v>2.8299999999999996</v>
      </c>
      <c r="AD17" s="33">
        <f t="shared" si="3"/>
        <v>14</v>
      </c>
      <c r="AE17" s="33">
        <f t="shared" si="3"/>
        <v>35.166666666666664</v>
      </c>
      <c r="AF17" s="33">
        <f t="shared" si="3"/>
        <v>7.0783333333333331</v>
      </c>
      <c r="AG17" s="33">
        <f t="shared" si="3"/>
        <v>29</v>
      </c>
      <c r="AH17" s="33">
        <f t="shared" si="3"/>
        <v>30.833333333333332</v>
      </c>
      <c r="AI17" s="33">
        <f t="shared" si="3"/>
        <v>335839.95857078338</v>
      </c>
      <c r="AJ17" s="34">
        <f t="shared" si="3"/>
        <v>0.75666666666666682</v>
      </c>
      <c r="AK17" s="34">
        <f t="shared" si="3"/>
        <v>1.2876666666666665</v>
      </c>
      <c r="AL17" s="33">
        <f t="shared" si="3"/>
        <v>167</v>
      </c>
    </row>
    <row r="18" spans="1:39">
      <c r="A18" s="9"/>
      <c r="B18" s="10" t="s">
        <v>7</v>
      </c>
      <c r="C18" s="11">
        <v>3</v>
      </c>
      <c r="D18" s="79" t="s">
        <v>359</v>
      </c>
      <c r="E18" s="79" t="s">
        <v>360</v>
      </c>
      <c r="F18" s="12">
        <v>7</v>
      </c>
      <c r="G18" s="12">
        <v>7.09</v>
      </c>
      <c r="H18" s="12">
        <v>7.02</v>
      </c>
      <c r="I18" s="12">
        <v>7.03</v>
      </c>
      <c r="J18" s="12">
        <v>7.05</v>
      </c>
      <c r="K18" s="12">
        <v>7.15</v>
      </c>
      <c r="L18" s="12">
        <v>7.1</v>
      </c>
      <c r="M18" s="12">
        <v>7.5</v>
      </c>
      <c r="N18" s="12">
        <v>7.92</v>
      </c>
      <c r="O18" s="12">
        <v>7.58</v>
      </c>
      <c r="P18" s="12">
        <v>7.15</v>
      </c>
      <c r="Q18" s="12">
        <v>7.18</v>
      </c>
      <c r="R18" s="35">
        <f t="shared" si="0"/>
        <v>7.2308333333333339</v>
      </c>
      <c r="S18" s="18" t="s">
        <v>106</v>
      </c>
      <c r="T18" s="242" t="s">
        <v>361</v>
      </c>
      <c r="X18" s="14" t="s">
        <v>96</v>
      </c>
      <c r="Y18" s="1161"/>
      <c r="Z18" s="1161"/>
      <c r="AA18" s="1161"/>
      <c r="AB18" s="1161"/>
      <c r="AC18" s="29" t="s">
        <v>97</v>
      </c>
      <c r="AD18" s="29" t="s">
        <v>98</v>
      </c>
      <c r="AE18" s="29" t="s">
        <v>99</v>
      </c>
      <c r="AF18" s="29" t="s">
        <v>100</v>
      </c>
      <c r="AG18" s="29" t="s">
        <v>101</v>
      </c>
      <c r="AH18" s="29" t="s">
        <v>102</v>
      </c>
      <c r="AI18" s="29" t="s">
        <v>103</v>
      </c>
      <c r="AJ18" s="29" t="s">
        <v>98</v>
      </c>
      <c r="AK18" s="29" t="s">
        <v>104</v>
      </c>
      <c r="AL18" s="29" t="s">
        <v>105</v>
      </c>
    </row>
    <row r="19" spans="1:39">
      <c r="A19" s="9"/>
      <c r="B19" s="149" t="s">
        <v>108</v>
      </c>
      <c r="C19" s="15">
        <v>1</v>
      </c>
      <c r="D19" s="91" t="s">
        <v>353</v>
      </c>
      <c r="E19" s="91" t="s">
        <v>354</v>
      </c>
      <c r="F19" s="7">
        <v>27.3</v>
      </c>
      <c r="G19" s="7">
        <v>29.2</v>
      </c>
      <c r="H19" s="7">
        <v>28.5</v>
      </c>
      <c r="I19" s="7">
        <v>30</v>
      </c>
      <c r="J19" s="7">
        <v>29.9</v>
      </c>
      <c r="K19" s="7">
        <v>28.8</v>
      </c>
      <c r="L19" s="7">
        <v>27.1</v>
      </c>
      <c r="M19" s="7">
        <v>30.1</v>
      </c>
      <c r="N19" s="7">
        <v>27.1</v>
      </c>
      <c r="O19" s="7">
        <v>27.5</v>
      </c>
      <c r="P19" s="7">
        <v>29.1</v>
      </c>
      <c r="Q19" s="7">
        <v>27.1</v>
      </c>
      <c r="R19" s="48">
        <f t="shared" si="0"/>
        <v>28.475000000000005</v>
      </c>
      <c r="S19" s="17" t="s">
        <v>109</v>
      </c>
      <c r="T19" s="242" t="s">
        <v>355</v>
      </c>
      <c r="X19" s="243"/>
      <c r="Y19" s="243"/>
      <c r="Z19" s="243"/>
      <c r="AA19" s="243"/>
      <c r="AB19" s="243"/>
      <c r="AC19" s="243"/>
      <c r="AD19" s="243"/>
      <c r="AE19" s="243"/>
      <c r="AF19" s="243"/>
      <c r="AG19" s="243"/>
      <c r="AH19" s="243"/>
      <c r="AI19" s="243"/>
      <c r="AJ19" s="243"/>
      <c r="AK19" s="243"/>
      <c r="AL19" s="243"/>
    </row>
    <row r="20" spans="1:39">
      <c r="A20" s="9"/>
      <c r="B20" s="10" t="s">
        <v>108</v>
      </c>
      <c r="C20" s="11">
        <v>2</v>
      </c>
      <c r="D20" s="79" t="s">
        <v>356</v>
      </c>
      <c r="E20" s="79" t="s">
        <v>357</v>
      </c>
      <c r="F20" s="12">
        <v>27</v>
      </c>
      <c r="G20" s="12">
        <v>29.2</v>
      </c>
      <c r="H20" s="12">
        <v>28.6</v>
      </c>
      <c r="I20" s="12">
        <v>30.1</v>
      </c>
      <c r="J20" s="12">
        <v>30</v>
      </c>
      <c r="K20" s="12">
        <v>28.7</v>
      </c>
      <c r="L20" s="12">
        <v>27.1</v>
      </c>
      <c r="M20" s="12">
        <v>30.1</v>
      </c>
      <c r="N20" s="12">
        <v>27.8</v>
      </c>
      <c r="O20" s="12">
        <v>27.5</v>
      </c>
      <c r="P20" s="12">
        <v>28.9</v>
      </c>
      <c r="Q20" s="12">
        <v>27.1</v>
      </c>
      <c r="R20" s="35">
        <f t="shared" si="0"/>
        <v>28.508333333333329</v>
      </c>
      <c r="S20" s="18" t="s">
        <v>109</v>
      </c>
      <c r="T20" s="242" t="s">
        <v>358</v>
      </c>
      <c r="X20" s="243"/>
      <c r="Y20" s="243"/>
      <c r="Z20" s="243"/>
      <c r="AA20" s="243"/>
      <c r="AB20" s="243"/>
      <c r="AC20" s="243"/>
      <c r="AD20" s="243"/>
      <c r="AE20" s="243"/>
      <c r="AF20" s="243"/>
      <c r="AG20" s="243"/>
      <c r="AH20" s="243"/>
      <c r="AI20" s="243"/>
      <c r="AJ20" s="243"/>
      <c r="AK20" s="243"/>
      <c r="AL20" s="243"/>
    </row>
    <row r="21" spans="1:39" ht="15.75" customHeight="1">
      <c r="A21" s="9"/>
      <c r="B21" s="10" t="s">
        <v>108</v>
      </c>
      <c r="C21" s="11">
        <v>3</v>
      </c>
      <c r="D21" s="79" t="s">
        <v>359</v>
      </c>
      <c r="E21" s="79" t="s">
        <v>360</v>
      </c>
      <c r="F21" s="12">
        <v>27</v>
      </c>
      <c r="G21" s="12">
        <v>29</v>
      </c>
      <c r="H21" s="12">
        <v>29</v>
      </c>
      <c r="I21" s="12">
        <v>30.3</v>
      </c>
      <c r="J21" s="12">
        <v>29.9</v>
      </c>
      <c r="K21" s="12">
        <v>28.8</v>
      </c>
      <c r="L21" s="12">
        <v>27.1</v>
      </c>
      <c r="M21" s="12">
        <v>30.4</v>
      </c>
      <c r="N21" s="12">
        <v>28.1</v>
      </c>
      <c r="O21" s="12">
        <v>27.5</v>
      </c>
      <c r="P21" s="12">
        <v>28.5</v>
      </c>
      <c r="Q21" s="12">
        <v>27.2</v>
      </c>
      <c r="R21" s="35">
        <f t="shared" si="0"/>
        <v>28.566666666666666</v>
      </c>
      <c r="S21" s="18" t="s">
        <v>109</v>
      </c>
      <c r="T21" s="242" t="s">
        <v>361</v>
      </c>
      <c r="W21" s="232"/>
      <c r="X21" s="849" t="s">
        <v>70</v>
      </c>
      <c r="Y21" s="850"/>
      <c r="Z21" s="850"/>
      <c r="AA21" s="850"/>
      <c r="AB21" s="850"/>
      <c r="AC21" s="850"/>
      <c r="AD21" s="850"/>
      <c r="AE21" s="850"/>
      <c r="AF21" s="850"/>
      <c r="AG21" s="850"/>
      <c r="AH21" s="850"/>
      <c r="AI21" s="850"/>
      <c r="AJ21" s="850"/>
      <c r="AK21" s="850"/>
      <c r="AL21" s="851"/>
      <c r="AM21" s="232"/>
    </row>
    <row r="22" spans="1:39" ht="15.75" customHeight="1">
      <c r="A22" s="9"/>
      <c r="B22" s="149" t="s">
        <v>110</v>
      </c>
      <c r="C22" s="15">
        <v>1</v>
      </c>
      <c r="D22" s="91" t="s">
        <v>353</v>
      </c>
      <c r="E22" s="91" t="s">
        <v>354</v>
      </c>
      <c r="F22" s="7">
        <v>25</v>
      </c>
      <c r="G22" s="7">
        <v>35</v>
      </c>
      <c r="H22" s="7">
        <v>20</v>
      </c>
      <c r="I22" s="7">
        <v>40</v>
      </c>
      <c r="J22" s="7">
        <v>25</v>
      </c>
      <c r="K22" s="7">
        <v>21</v>
      </c>
      <c r="L22" s="7">
        <v>35</v>
      </c>
      <c r="M22" s="7">
        <v>20</v>
      </c>
      <c r="N22" s="7">
        <v>35</v>
      </c>
      <c r="O22" s="7">
        <v>50</v>
      </c>
      <c r="P22" s="7">
        <v>10</v>
      </c>
      <c r="Q22" s="7">
        <v>15</v>
      </c>
      <c r="R22" s="48">
        <f t="shared" si="0"/>
        <v>27.583333333333332</v>
      </c>
      <c r="S22" s="8">
        <v>75</v>
      </c>
      <c r="T22" s="242" t="s">
        <v>355</v>
      </c>
      <c r="W22" s="232"/>
      <c r="X22" s="852" t="s">
        <v>107</v>
      </c>
      <c r="Y22" s="853"/>
      <c r="Z22" s="853"/>
      <c r="AA22" s="853"/>
      <c r="AB22" s="853"/>
      <c r="AC22" s="853"/>
      <c r="AD22" s="853"/>
      <c r="AE22" s="853"/>
      <c r="AF22" s="853"/>
      <c r="AG22" s="853"/>
      <c r="AH22" s="853"/>
      <c r="AI22" s="853"/>
      <c r="AJ22" s="853"/>
      <c r="AK22" s="853"/>
      <c r="AL22" s="854"/>
      <c r="AM22" s="232"/>
    </row>
    <row r="23" spans="1:39" ht="18.75" customHeight="1">
      <c r="A23" s="9"/>
      <c r="B23" s="10" t="s">
        <v>110</v>
      </c>
      <c r="C23" s="11">
        <v>2</v>
      </c>
      <c r="D23" s="79" t="s">
        <v>356</v>
      </c>
      <c r="E23" s="79" t="s">
        <v>357</v>
      </c>
      <c r="F23" s="12">
        <v>20</v>
      </c>
      <c r="G23" s="12">
        <v>35</v>
      </c>
      <c r="H23" s="12">
        <v>20</v>
      </c>
      <c r="I23" s="12">
        <v>20</v>
      </c>
      <c r="J23" s="12">
        <v>25</v>
      </c>
      <c r="K23" s="12">
        <v>23</v>
      </c>
      <c r="L23" s="12">
        <v>30</v>
      </c>
      <c r="M23" s="12">
        <v>10</v>
      </c>
      <c r="N23" s="12">
        <v>15</v>
      </c>
      <c r="O23" s="12">
        <v>20</v>
      </c>
      <c r="P23" s="12">
        <v>10</v>
      </c>
      <c r="Q23" s="12">
        <v>30</v>
      </c>
      <c r="R23" s="35">
        <f t="shared" si="0"/>
        <v>21.5</v>
      </c>
      <c r="S23" s="14">
        <v>75</v>
      </c>
      <c r="T23" s="242" t="s">
        <v>358</v>
      </c>
      <c r="W23" s="232"/>
      <c r="X23" s="863"/>
      <c r="Y23" s="845"/>
      <c r="Z23" s="845"/>
      <c r="AA23" s="845"/>
      <c r="AB23" s="846"/>
      <c r="AC23" s="848" t="s">
        <v>78</v>
      </c>
      <c r="AD23" s="1161"/>
      <c r="AE23" s="1161"/>
      <c r="AF23" s="1161"/>
      <c r="AG23" s="1161"/>
      <c r="AH23" s="1161"/>
      <c r="AI23" s="1161"/>
      <c r="AJ23" s="1161"/>
      <c r="AK23" s="1161"/>
      <c r="AL23" s="1164"/>
      <c r="AM23" s="232"/>
    </row>
    <row r="24" spans="1:39" ht="42.75" customHeight="1">
      <c r="A24" s="9"/>
      <c r="B24" s="10" t="s">
        <v>110</v>
      </c>
      <c r="C24" s="11">
        <v>3</v>
      </c>
      <c r="D24" s="79" t="s">
        <v>359</v>
      </c>
      <c r="E24" s="79" t="s">
        <v>360</v>
      </c>
      <c r="F24" s="12">
        <v>50</v>
      </c>
      <c r="G24" s="12">
        <v>20</v>
      </c>
      <c r="H24" s="12">
        <v>40</v>
      </c>
      <c r="I24" s="12">
        <v>25</v>
      </c>
      <c r="J24" s="12">
        <v>25</v>
      </c>
      <c r="K24" s="12">
        <v>25</v>
      </c>
      <c r="L24" s="12">
        <v>30</v>
      </c>
      <c r="M24" s="12">
        <v>15</v>
      </c>
      <c r="N24" s="12">
        <v>20</v>
      </c>
      <c r="O24" s="12">
        <v>20</v>
      </c>
      <c r="P24" s="12">
        <v>15</v>
      </c>
      <c r="Q24" s="12">
        <v>20</v>
      </c>
      <c r="R24" s="35">
        <f t="shared" si="0"/>
        <v>25.416666666666668</v>
      </c>
      <c r="S24" s="14">
        <v>75</v>
      </c>
      <c r="T24" s="242" t="s">
        <v>361</v>
      </c>
      <c r="W24" s="232"/>
      <c r="X24" s="657" t="s">
        <v>82</v>
      </c>
      <c r="Y24" s="14" t="s">
        <v>83</v>
      </c>
      <c r="Z24" s="14" t="s">
        <v>84</v>
      </c>
      <c r="AA24" s="14" t="s">
        <v>85</v>
      </c>
      <c r="AB24" s="14" t="s">
        <v>86</v>
      </c>
      <c r="AC24" s="14" t="s">
        <v>4</v>
      </c>
      <c r="AD24" s="14" t="s">
        <v>5</v>
      </c>
      <c r="AE24" s="14" t="s">
        <v>6</v>
      </c>
      <c r="AF24" s="14" t="s">
        <v>7</v>
      </c>
      <c r="AG24" s="14" t="s">
        <v>8</v>
      </c>
      <c r="AH24" s="14" t="s">
        <v>9</v>
      </c>
      <c r="AI24" s="14" t="s">
        <v>10</v>
      </c>
      <c r="AJ24" s="14" t="s">
        <v>11</v>
      </c>
      <c r="AK24" s="14" t="s">
        <v>12</v>
      </c>
      <c r="AL24" s="658" t="s">
        <v>13</v>
      </c>
      <c r="AM24" s="232"/>
    </row>
    <row r="25" spans="1:39" ht="15.75" customHeight="1">
      <c r="A25" s="9"/>
      <c r="B25" s="149" t="s">
        <v>111</v>
      </c>
      <c r="C25" s="15">
        <v>1</v>
      </c>
      <c r="D25" s="91" t="s">
        <v>353</v>
      </c>
      <c r="E25" s="91" t="s">
        <v>354</v>
      </c>
      <c r="F25" s="128">
        <v>110000</v>
      </c>
      <c r="G25" s="128">
        <v>170000</v>
      </c>
      <c r="H25" s="128">
        <v>92000</v>
      </c>
      <c r="I25" s="128">
        <v>540000</v>
      </c>
      <c r="J25" s="128">
        <v>70000</v>
      </c>
      <c r="K25" s="128">
        <v>1300000</v>
      </c>
      <c r="L25" s="128">
        <v>350000</v>
      </c>
      <c r="M25" s="128">
        <v>79000</v>
      </c>
      <c r="N25" s="128">
        <v>540000</v>
      </c>
      <c r="O25" s="128">
        <v>330000</v>
      </c>
      <c r="P25" s="128">
        <v>16000000</v>
      </c>
      <c r="Q25" s="128">
        <v>540000</v>
      </c>
      <c r="R25" s="46">
        <f>IFERROR(GEOMEAN(F25:Q25), "")</f>
        <v>351842.60729128146</v>
      </c>
      <c r="S25" s="8">
        <v>200</v>
      </c>
      <c r="T25" s="242" t="s">
        <v>355</v>
      </c>
      <c r="W25" s="232"/>
      <c r="X25" s="865" t="s">
        <v>362</v>
      </c>
      <c r="Y25" s="847" t="s">
        <v>351</v>
      </c>
      <c r="Z25" s="855" t="s">
        <v>16</v>
      </c>
      <c r="AA25" s="32">
        <v>1</v>
      </c>
      <c r="AB25" s="65" t="s">
        <v>311</v>
      </c>
      <c r="AC25" s="35">
        <f>R7</f>
        <v>2.8125</v>
      </c>
      <c r="AD25" s="35">
        <f>R10</f>
        <v>19.5</v>
      </c>
      <c r="AE25" s="35">
        <f>R13</f>
        <v>40.166666666666664</v>
      </c>
      <c r="AF25" s="35">
        <f>R16</f>
        <v>7.1683333333333339</v>
      </c>
      <c r="AG25" s="35">
        <f>R19</f>
        <v>28.475000000000005</v>
      </c>
      <c r="AH25" s="35">
        <f>R22</f>
        <v>27.583333333333332</v>
      </c>
      <c r="AI25" s="36">
        <f>R25</f>
        <v>351842.60729128146</v>
      </c>
      <c r="AJ25" s="28">
        <f>R28</f>
        <v>0.71233333333333337</v>
      </c>
      <c r="AK25" s="28">
        <f>R31</f>
        <v>1.3139999999999998</v>
      </c>
      <c r="AL25" s="659">
        <f>R34</f>
        <v>70.666666666666671</v>
      </c>
      <c r="AM25" s="232"/>
    </row>
    <row r="26" spans="1:39" ht="15.75" customHeight="1">
      <c r="A26" s="9"/>
      <c r="B26" s="10" t="s">
        <v>111</v>
      </c>
      <c r="C26" s="11">
        <v>2</v>
      </c>
      <c r="D26" s="79" t="s">
        <v>356</v>
      </c>
      <c r="E26" s="79" t="s">
        <v>357</v>
      </c>
      <c r="F26" s="129">
        <v>92000</v>
      </c>
      <c r="G26" s="129">
        <v>350000</v>
      </c>
      <c r="H26" s="129">
        <v>92000</v>
      </c>
      <c r="I26" s="129">
        <v>46000</v>
      </c>
      <c r="J26" s="129">
        <v>46000</v>
      </c>
      <c r="K26" s="129">
        <v>490000</v>
      </c>
      <c r="L26" s="129">
        <v>160000</v>
      </c>
      <c r="M26" s="129">
        <v>1600000</v>
      </c>
      <c r="N26" s="129">
        <v>240000</v>
      </c>
      <c r="O26" s="129">
        <v>460000</v>
      </c>
      <c r="P26" s="129">
        <v>140000</v>
      </c>
      <c r="Q26" s="129">
        <v>130000</v>
      </c>
      <c r="R26" s="47">
        <f>IFERROR(GEOMEAN(F26:Q26), "")</f>
        <v>184736.61818116897</v>
      </c>
      <c r="S26" s="14">
        <v>200</v>
      </c>
      <c r="T26" s="242" t="s">
        <v>358</v>
      </c>
      <c r="W26" s="232"/>
      <c r="X26" s="1165"/>
      <c r="Y26" s="1161"/>
      <c r="Z26" s="1161"/>
      <c r="AA26" s="32">
        <v>2</v>
      </c>
      <c r="AB26" s="65" t="s">
        <v>308</v>
      </c>
      <c r="AC26" s="35">
        <f>R8</f>
        <v>3.5333333333333332</v>
      </c>
      <c r="AD26" s="35">
        <f>R11</f>
        <v>6.75</v>
      </c>
      <c r="AE26" s="35">
        <f>R14</f>
        <v>45.833333333333336</v>
      </c>
      <c r="AF26" s="35">
        <f>R17</f>
        <v>7.2433333333333332</v>
      </c>
      <c r="AG26" s="35">
        <f>R20</f>
        <v>28.508333333333329</v>
      </c>
      <c r="AH26" s="35">
        <f>R23</f>
        <v>21.5</v>
      </c>
      <c r="AI26" s="36">
        <f>R26</f>
        <v>184736.61818116897</v>
      </c>
      <c r="AJ26" s="28">
        <f>R29</f>
        <v>1.0526666666666666</v>
      </c>
      <c r="AK26" s="28">
        <f>R32</f>
        <v>0.78149999999999986</v>
      </c>
      <c r="AL26" s="659">
        <f>R35</f>
        <v>80.333333333333329</v>
      </c>
      <c r="AM26" s="232"/>
    </row>
    <row r="27" spans="1:39" ht="15.75" customHeight="1">
      <c r="A27" s="9"/>
      <c r="B27" s="10" t="s">
        <v>111</v>
      </c>
      <c r="C27" s="11">
        <v>3</v>
      </c>
      <c r="D27" s="79" t="s">
        <v>359</v>
      </c>
      <c r="E27" s="79" t="s">
        <v>360</v>
      </c>
      <c r="F27" s="129">
        <v>790000</v>
      </c>
      <c r="G27" s="129">
        <v>540000</v>
      </c>
      <c r="H27" s="129">
        <v>1600000</v>
      </c>
      <c r="I27" s="129">
        <v>130000</v>
      </c>
      <c r="J27" s="129">
        <v>49000</v>
      </c>
      <c r="K27" s="129">
        <v>330000</v>
      </c>
      <c r="L27" s="129">
        <v>160000</v>
      </c>
      <c r="M27" s="129">
        <v>1100000</v>
      </c>
      <c r="N27" s="129">
        <v>350000</v>
      </c>
      <c r="O27" s="129">
        <v>490000</v>
      </c>
      <c r="P27" s="129">
        <v>70000</v>
      </c>
      <c r="Q27" s="129">
        <v>79000</v>
      </c>
      <c r="R27" s="47">
        <f>IFERROR(GEOMEAN(F27:Q27), "")</f>
        <v>280720.85467905691</v>
      </c>
      <c r="S27" s="14">
        <v>200</v>
      </c>
      <c r="T27" s="242" t="s">
        <v>361</v>
      </c>
      <c r="W27" s="232"/>
      <c r="X27" s="1165"/>
      <c r="Y27" s="1161"/>
      <c r="Z27" s="1161"/>
      <c r="AA27" s="32">
        <v>3</v>
      </c>
      <c r="AB27" s="65" t="s">
        <v>75</v>
      </c>
      <c r="AC27" s="35">
        <f>R9</f>
        <v>3.3016666666666672</v>
      </c>
      <c r="AD27" s="35">
        <f>R12</f>
        <v>12.416666666666666</v>
      </c>
      <c r="AE27" s="35">
        <f>R15</f>
        <v>47.666666666666664</v>
      </c>
      <c r="AF27" s="35">
        <f>R18</f>
        <v>7.2308333333333339</v>
      </c>
      <c r="AG27" s="35">
        <f>R21</f>
        <v>28.566666666666666</v>
      </c>
      <c r="AH27" s="35">
        <f>R24</f>
        <v>25.416666666666668</v>
      </c>
      <c r="AI27" s="36">
        <f>R27</f>
        <v>280720.85467905691</v>
      </c>
      <c r="AJ27" s="28">
        <f>R30</f>
        <v>0.8843333333333333</v>
      </c>
      <c r="AK27" s="28">
        <f>R33</f>
        <v>0.85933333333333328</v>
      </c>
      <c r="AL27" s="659">
        <f>R36</f>
        <v>93.916666666666671</v>
      </c>
      <c r="AM27" s="232"/>
    </row>
    <row r="28" spans="1:39" ht="51" customHeight="1">
      <c r="A28" s="20"/>
      <c r="B28" s="151" t="s">
        <v>113</v>
      </c>
      <c r="C28" s="21">
        <v>1</v>
      </c>
      <c r="D28" s="91" t="s">
        <v>353</v>
      </c>
      <c r="E28" s="91" t="s">
        <v>354</v>
      </c>
      <c r="F28" s="22">
        <v>9.2999999999999999E-2</v>
      </c>
      <c r="G28" s="22">
        <v>0.17</v>
      </c>
      <c r="H28" s="22">
        <v>0.41299999999999998</v>
      </c>
      <c r="I28" s="22">
        <v>0.42599999999999999</v>
      </c>
      <c r="J28" s="22">
        <v>0.68300000000000005</v>
      </c>
      <c r="K28" s="22">
        <v>1.827</v>
      </c>
      <c r="L28" s="7">
        <v>2.17</v>
      </c>
      <c r="M28" s="22">
        <v>0.94699999999999995</v>
      </c>
      <c r="N28" s="22">
        <v>0.70899999999999996</v>
      </c>
      <c r="O28" s="22">
        <v>0.67</v>
      </c>
      <c r="P28" s="22">
        <v>0.26900000000000002</v>
      </c>
      <c r="Q28" s="22">
        <v>0.17100000000000001</v>
      </c>
      <c r="R28" s="23">
        <f t="shared" ref="R28:R36" si="4">IFERROR(AVERAGE(F28:Q28), 0)</f>
        <v>0.71233333333333337</v>
      </c>
      <c r="S28" s="23">
        <v>7</v>
      </c>
      <c r="T28" s="242" t="s">
        <v>355</v>
      </c>
      <c r="W28" s="232"/>
      <c r="X28" s="862"/>
      <c r="Y28" s="848"/>
      <c r="Z28" s="848"/>
      <c r="AA28" s="848"/>
      <c r="AB28" s="848"/>
      <c r="AC28" s="848"/>
      <c r="AD28" s="848"/>
      <c r="AE28" s="848"/>
      <c r="AF28" s="848"/>
      <c r="AG28" s="848"/>
      <c r="AH28" s="848"/>
      <c r="AI28" s="848"/>
      <c r="AJ28" s="848"/>
      <c r="AK28" s="848"/>
      <c r="AL28" s="872"/>
      <c r="AM28" s="232"/>
    </row>
    <row r="29" spans="1:39" ht="15.75" customHeight="1">
      <c r="A29" s="20"/>
      <c r="B29" s="84" t="s">
        <v>114</v>
      </c>
      <c r="C29" s="25">
        <v>2</v>
      </c>
      <c r="D29" s="79" t="s">
        <v>356</v>
      </c>
      <c r="E29" s="79" t="s">
        <v>357</v>
      </c>
      <c r="F29" s="26">
        <v>0.997</v>
      </c>
      <c r="G29" s="26">
        <v>0.24099999999999999</v>
      </c>
      <c r="H29" s="26">
        <v>0.443</v>
      </c>
      <c r="I29" s="26">
        <v>0.46700000000000003</v>
      </c>
      <c r="J29" s="26">
        <v>0.78400000000000003</v>
      </c>
      <c r="K29" s="26">
        <v>1.6080000000000001</v>
      </c>
      <c r="L29" s="12">
        <v>2.7149999999999999</v>
      </c>
      <c r="M29" s="26">
        <v>1.0880000000000001</v>
      </c>
      <c r="N29" s="26">
        <v>0.85199999999999998</v>
      </c>
      <c r="O29" s="26">
        <v>1.851</v>
      </c>
      <c r="P29" s="26">
        <v>0.73899999999999999</v>
      </c>
      <c r="Q29" s="26">
        <v>0.84699999999999998</v>
      </c>
      <c r="R29" s="28">
        <f t="shared" si="4"/>
        <v>1.0526666666666666</v>
      </c>
      <c r="S29" s="28">
        <v>7</v>
      </c>
      <c r="T29" s="242" t="s">
        <v>358</v>
      </c>
      <c r="W29" s="232"/>
      <c r="X29" s="657" t="s">
        <v>93</v>
      </c>
      <c r="Y29" s="1162"/>
      <c r="Z29" s="1161"/>
      <c r="AA29" s="1161"/>
      <c r="AB29" s="1161"/>
      <c r="AC29" s="35">
        <f t="shared" ref="AC29:AL29" si="5">AVERAGE(AC25:AC27)</f>
        <v>3.2158333333333338</v>
      </c>
      <c r="AD29" s="35">
        <f t="shared" si="5"/>
        <v>12.888888888888888</v>
      </c>
      <c r="AE29" s="35">
        <f t="shared" si="5"/>
        <v>44.55555555555555</v>
      </c>
      <c r="AF29" s="35">
        <f t="shared" si="5"/>
        <v>7.2141666666666673</v>
      </c>
      <c r="AG29" s="35">
        <f t="shared" si="5"/>
        <v>28.516666666666666</v>
      </c>
      <c r="AH29" s="35">
        <f t="shared" si="5"/>
        <v>24.833333333333332</v>
      </c>
      <c r="AI29" s="36">
        <f t="shared" si="5"/>
        <v>272433.36005050247</v>
      </c>
      <c r="AJ29" s="28">
        <f t="shared" si="5"/>
        <v>0.88311111111111107</v>
      </c>
      <c r="AK29" s="28">
        <f t="shared" si="5"/>
        <v>0.98494444444444429</v>
      </c>
      <c r="AL29" s="659">
        <f t="shared" si="5"/>
        <v>81.6388888888889</v>
      </c>
      <c r="AM29" s="232"/>
    </row>
    <row r="30" spans="1:39" ht="15.75" customHeight="1">
      <c r="A30" s="20"/>
      <c r="B30" s="84" t="s">
        <v>114</v>
      </c>
      <c r="C30" s="25">
        <v>3</v>
      </c>
      <c r="D30" s="79" t="s">
        <v>359</v>
      </c>
      <c r="E30" s="79" t="s">
        <v>360</v>
      </c>
      <c r="F30" s="26">
        <v>0.98499999999999999</v>
      </c>
      <c r="G30" s="26">
        <v>0.20300000000000001</v>
      </c>
      <c r="H30" s="26">
        <v>0.627</v>
      </c>
      <c r="I30" s="26">
        <v>0.439</v>
      </c>
      <c r="J30" s="26">
        <v>0.97499999999999998</v>
      </c>
      <c r="K30" s="26">
        <v>1.1140000000000001</v>
      </c>
      <c r="L30" s="12">
        <v>2</v>
      </c>
      <c r="M30" s="26">
        <v>1.1619999999999999</v>
      </c>
      <c r="N30" s="26">
        <v>0.53300000000000003</v>
      </c>
      <c r="O30" s="26">
        <v>1.58</v>
      </c>
      <c r="P30" s="26">
        <v>0.6</v>
      </c>
      <c r="Q30" s="26">
        <v>0.39400000000000002</v>
      </c>
      <c r="R30" s="28">
        <f t="shared" si="4"/>
        <v>0.8843333333333333</v>
      </c>
      <c r="S30" s="28">
        <v>7</v>
      </c>
      <c r="T30" s="242" t="s">
        <v>361</v>
      </c>
      <c r="W30" s="232"/>
      <c r="X30" s="657" t="s">
        <v>94</v>
      </c>
      <c r="Y30" s="1161"/>
      <c r="Z30" s="1163"/>
      <c r="AA30" s="1163"/>
      <c r="AB30" s="1161"/>
      <c r="AC30" s="35">
        <f t="shared" ref="AC30:AL30" si="6">MIN(AC25:AC27)</f>
        <v>2.8125</v>
      </c>
      <c r="AD30" s="35">
        <f t="shared" si="6"/>
        <v>6.75</v>
      </c>
      <c r="AE30" s="35">
        <f t="shared" si="6"/>
        <v>40.166666666666664</v>
      </c>
      <c r="AF30" s="35">
        <f t="shared" si="6"/>
        <v>7.1683333333333339</v>
      </c>
      <c r="AG30" s="35">
        <f t="shared" si="6"/>
        <v>28.475000000000005</v>
      </c>
      <c r="AH30" s="35">
        <f t="shared" si="6"/>
        <v>21.5</v>
      </c>
      <c r="AI30" s="36">
        <f t="shared" si="6"/>
        <v>184736.61818116897</v>
      </c>
      <c r="AJ30" s="28">
        <f t="shared" si="6"/>
        <v>0.71233333333333337</v>
      </c>
      <c r="AK30" s="28">
        <f t="shared" si="6"/>
        <v>0.78149999999999986</v>
      </c>
      <c r="AL30" s="659">
        <f t="shared" si="6"/>
        <v>70.666666666666671</v>
      </c>
      <c r="AM30" s="232"/>
    </row>
    <row r="31" spans="1:39" ht="15.75" customHeight="1">
      <c r="A31" s="20"/>
      <c r="B31" s="151" t="s">
        <v>115</v>
      </c>
      <c r="C31" s="21">
        <v>1</v>
      </c>
      <c r="D31" s="91" t="s">
        <v>353</v>
      </c>
      <c r="E31" s="91" t="s">
        <v>354</v>
      </c>
      <c r="F31" s="22">
        <v>0.24199999999999999</v>
      </c>
      <c r="G31" s="22">
        <v>0.98899999999999999</v>
      </c>
      <c r="H31" s="22">
        <v>2.7789999999999999</v>
      </c>
      <c r="I31" s="22">
        <v>1.0980000000000001</v>
      </c>
      <c r="J31" s="22">
        <v>1.8640000000000001</v>
      </c>
      <c r="K31" s="22">
        <v>0.754</v>
      </c>
      <c r="L31" s="7">
        <v>0.52</v>
      </c>
      <c r="M31" s="22">
        <v>0.91700000000000004</v>
      </c>
      <c r="N31" s="22">
        <v>0.42199999999999999</v>
      </c>
      <c r="O31" s="22">
        <v>2.2629999999999999</v>
      </c>
      <c r="P31" s="22">
        <v>1.512</v>
      </c>
      <c r="Q31" s="22">
        <v>2.4079999999999999</v>
      </c>
      <c r="R31" s="23">
        <f t="shared" si="4"/>
        <v>1.3139999999999998</v>
      </c>
      <c r="S31" s="23">
        <v>2.5000000000000001E-2</v>
      </c>
      <c r="T31" s="242" t="s">
        <v>355</v>
      </c>
      <c r="W31" s="232"/>
      <c r="X31" s="657" t="s">
        <v>95</v>
      </c>
      <c r="Y31" s="1161"/>
      <c r="Z31" s="1163"/>
      <c r="AA31" s="1163"/>
      <c r="AB31" s="1161"/>
      <c r="AC31" s="35">
        <f t="shared" ref="AC31:AL31" si="7">MAX(AC25:AC27)</f>
        <v>3.5333333333333332</v>
      </c>
      <c r="AD31" s="35">
        <f t="shared" si="7"/>
        <v>19.5</v>
      </c>
      <c r="AE31" s="35">
        <f t="shared" si="7"/>
        <v>47.666666666666664</v>
      </c>
      <c r="AF31" s="35">
        <f t="shared" si="7"/>
        <v>7.2433333333333332</v>
      </c>
      <c r="AG31" s="35">
        <f t="shared" si="7"/>
        <v>28.566666666666666</v>
      </c>
      <c r="AH31" s="35">
        <f t="shared" si="7"/>
        <v>27.583333333333332</v>
      </c>
      <c r="AI31" s="36">
        <f t="shared" si="7"/>
        <v>351842.60729128146</v>
      </c>
      <c r="AJ31" s="28">
        <f t="shared" si="7"/>
        <v>1.0526666666666666</v>
      </c>
      <c r="AK31" s="28">
        <f t="shared" si="7"/>
        <v>1.3139999999999998</v>
      </c>
      <c r="AL31" s="659">
        <f t="shared" si="7"/>
        <v>93.916666666666671</v>
      </c>
      <c r="AM31" s="232"/>
    </row>
    <row r="32" spans="1:39" ht="15.75" customHeight="1">
      <c r="A32" s="20"/>
      <c r="B32" s="84" t="s">
        <v>116</v>
      </c>
      <c r="C32" s="25">
        <v>2</v>
      </c>
      <c r="D32" s="79" t="s">
        <v>356</v>
      </c>
      <c r="E32" s="79" t="s">
        <v>357</v>
      </c>
      <c r="F32" s="26">
        <v>3.5000000000000003E-2</v>
      </c>
      <c r="G32" s="26">
        <v>0.98299999999999998</v>
      </c>
      <c r="H32" s="26">
        <v>1.528</v>
      </c>
      <c r="I32" s="26">
        <v>1.079</v>
      </c>
      <c r="J32" s="26">
        <v>1.3089999999999999</v>
      </c>
      <c r="K32" s="26">
        <v>0.81599999999999995</v>
      </c>
      <c r="L32" s="12">
        <v>0.57999999999999996</v>
      </c>
      <c r="M32" s="26">
        <v>0.42199999999999999</v>
      </c>
      <c r="N32" s="26">
        <v>0.62</v>
      </c>
      <c r="O32" s="26">
        <v>0.72199999999999998</v>
      </c>
      <c r="P32" s="26">
        <v>0.43099999999999999</v>
      </c>
      <c r="Q32" s="26">
        <v>0.85299999999999998</v>
      </c>
      <c r="R32" s="28">
        <f t="shared" si="4"/>
        <v>0.78149999999999986</v>
      </c>
      <c r="S32" s="28">
        <v>2.5000000000000001E-2</v>
      </c>
      <c r="T32" s="242" t="s">
        <v>358</v>
      </c>
      <c r="W32" s="232"/>
      <c r="X32" s="660" t="s">
        <v>96</v>
      </c>
      <c r="Y32" s="1166"/>
      <c r="Z32" s="1166"/>
      <c r="AA32" s="1166"/>
      <c r="AB32" s="1166"/>
      <c r="AC32" s="661" t="s">
        <v>97</v>
      </c>
      <c r="AD32" s="661" t="s">
        <v>98</v>
      </c>
      <c r="AE32" s="661" t="s">
        <v>99</v>
      </c>
      <c r="AF32" s="661" t="s">
        <v>100</v>
      </c>
      <c r="AG32" s="661" t="s">
        <v>101</v>
      </c>
      <c r="AH32" s="661" t="s">
        <v>102</v>
      </c>
      <c r="AI32" s="661" t="s">
        <v>103</v>
      </c>
      <c r="AJ32" s="661" t="s">
        <v>98</v>
      </c>
      <c r="AK32" s="661" t="s">
        <v>104</v>
      </c>
      <c r="AL32" s="662" t="s">
        <v>105</v>
      </c>
      <c r="AM32" s="232"/>
    </row>
    <row r="33" spans="1:38" ht="15.75" customHeight="1">
      <c r="A33" s="20"/>
      <c r="B33" s="84" t="s">
        <v>116</v>
      </c>
      <c r="C33" s="25">
        <v>3</v>
      </c>
      <c r="D33" s="79" t="s">
        <v>359</v>
      </c>
      <c r="E33" s="79" t="s">
        <v>360</v>
      </c>
      <c r="F33" s="26">
        <v>0.374</v>
      </c>
      <c r="G33" s="26">
        <v>0.98699999999999999</v>
      </c>
      <c r="H33" s="26">
        <v>1.8959999999999999</v>
      </c>
      <c r="I33" s="26">
        <v>1.171</v>
      </c>
      <c r="J33" s="26">
        <v>1.327</v>
      </c>
      <c r="K33" s="26">
        <v>0.85799999999999998</v>
      </c>
      <c r="L33" s="12">
        <v>0.38</v>
      </c>
      <c r="M33" s="26">
        <v>0.48</v>
      </c>
      <c r="N33" s="26">
        <v>0.66400000000000003</v>
      </c>
      <c r="O33" s="26">
        <v>0.80300000000000005</v>
      </c>
      <c r="P33" s="26">
        <v>0.38200000000000001</v>
      </c>
      <c r="Q33" s="26">
        <v>0.99</v>
      </c>
      <c r="R33" s="28">
        <f t="shared" si="4"/>
        <v>0.85933333333333328</v>
      </c>
      <c r="S33" s="28">
        <v>2.5000000000000001E-2</v>
      </c>
      <c r="T33" s="242" t="s">
        <v>361</v>
      </c>
      <c r="X33" s="232"/>
      <c r="Y33" s="232"/>
      <c r="Z33" s="232"/>
      <c r="AA33" s="232"/>
      <c r="AB33" s="232"/>
      <c r="AC33" s="232"/>
      <c r="AD33" s="232"/>
      <c r="AE33" s="232"/>
      <c r="AF33" s="232"/>
      <c r="AG33" s="232"/>
      <c r="AH33" s="232"/>
      <c r="AI33" s="232"/>
      <c r="AJ33" s="232"/>
      <c r="AK33" s="232"/>
      <c r="AL33" s="232"/>
    </row>
    <row r="34" spans="1:38" ht="15.75" customHeight="1">
      <c r="A34" s="9"/>
      <c r="B34" s="149" t="s">
        <v>117</v>
      </c>
      <c r="C34" s="15">
        <v>1</v>
      </c>
      <c r="D34" s="91" t="s">
        <v>353</v>
      </c>
      <c r="E34" s="91" t="s">
        <v>354</v>
      </c>
      <c r="F34" s="7">
        <v>272</v>
      </c>
      <c r="G34" s="7">
        <v>59</v>
      </c>
      <c r="H34" s="7">
        <v>63</v>
      </c>
      <c r="I34" s="7">
        <v>216</v>
      </c>
      <c r="J34" s="7">
        <v>78</v>
      </c>
      <c r="K34" s="7">
        <v>21</v>
      </c>
      <c r="L34" s="7">
        <v>12</v>
      </c>
      <c r="M34" s="7">
        <v>25</v>
      </c>
      <c r="N34" s="7">
        <v>25</v>
      </c>
      <c r="O34" s="7">
        <v>28</v>
      </c>
      <c r="P34" s="7">
        <v>7</v>
      </c>
      <c r="Q34" s="7">
        <v>42</v>
      </c>
      <c r="R34" s="48">
        <f t="shared" si="4"/>
        <v>70.666666666666671</v>
      </c>
      <c r="S34" s="8">
        <v>350</v>
      </c>
      <c r="T34" s="242" t="s">
        <v>355</v>
      </c>
    </row>
    <row r="35" spans="1:38" ht="15.75" customHeight="1">
      <c r="A35" s="9"/>
      <c r="B35" s="10" t="s">
        <v>117</v>
      </c>
      <c r="C35" s="11">
        <v>2</v>
      </c>
      <c r="D35" s="79" t="s">
        <v>356</v>
      </c>
      <c r="E35" s="79" t="s">
        <v>357</v>
      </c>
      <c r="F35" s="12">
        <v>292</v>
      </c>
      <c r="G35" s="12">
        <v>73</v>
      </c>
      <c r="H35" s="12">
        <v>291</v>
      </c>
      <c r="I35" s="12">
        <v>44</v>
      </c>
      <c r="J35" s="12">
        <v>79</v>
      </c>
      <c r="K35" s="12">
        <v>23</v>
      </c>
      <c r="L35" s="12">
        <v>15</v>
      </c>
      <c r="M35" s="12">
        <v>17</v>
      </c>
      <c r="N35" s="12">
        <v>13</v>
      </c>
      <c r="O35" s="12">
        <v>21</v>
      </c>
      <c r="P35" s="12">
        <v>6</v>
      </c>
      <c r="Q35" s="12">
        <v>90</v>
      </c>
      <c r="R35" s="35">
        <f t="shared" si="4"/>
        <v>80.333333333333329</v>
      </c>
      <c r="S35" s="14">
        <v>350</v>
      </c>
      <c r="T35" s="242" t="s">
        <v>358</v>
      </c>
    </row>
    <row r="36" spans="1:38" ht="15.75" customHeight="1">
      <c r="A36" s="9"/>
      <c r="B36" s="10" t="s">
        <v>117</v>
      </c>
      <c r="C36" s="11">
        <v>3</v>
      </c>
      <c r="D36" s="79" t="s">
        <v>359</v>
      </c>
      <c r="E36" s="79" t="s">
        <v>360</v>
      </c>
      <c r="F36" s="12">
        <v>356</v>
      </c>
      <c r="G36" s="12">
        <v>128</v>
      </c>
      <c r="H36" s="12">
        <v>246</v>
      </c>
      <c r="I36" s="12">
        <v>167</v>
      </c>
      <c r="J36" s="12">
        <v>80</v>
      </c>
      <c r="K36" s="12">
        <v>25</v>
      </c>
      <c r="L36" s="12">
        <v>15</v>
      </c>
      <c r="M36" s="12">
        <v>22</v>
      </c>
      <c r="N36" s="12">
        <v>14</v>
      </c>
      <c r="O36" s="12">
        <v>21</v>
      </c>
      <c r="P36" s="12">
        <v>7</v>
      </c>
      <c r="Q36" s="12">
        <v>46</v>
      </c>
      <c r="R36" s="35">
        <f t="shared" si="4"/>
        <v>93.916666666666671</v>
      </c>
      <c r="S36" s="14">
        <v>350</v>
      </c>
      <c r="T36" s="242" t="s">
        <v>361</v>
      </c>
    </row>
    <row r="37" spans="1:38" ht="54.75" customHeight="1">
      <c r="A37" s="14"/>
      <c r="B37" s="14" t="s">
        <v>314</v>
      </c>
      <c r="C37" s="15">
        <v>1</v>
      </c>
      <c r="D37" s="91" t="s">
        <v>353</v>
      </c>
      <c r="E37" s="91" t="s">
        <v>354</v>
      </c>
      <c r="F37" s="92" t="s">
        <v>363</v>
      </c>
      <c r="G37" s="92" t="s">
        <v>135</v>
      </c>
      <c r="H37" s="257" t="s">
        <v>364</v>
      </c>
      <c r="I37" s="268" t="s">
        <v>365</v>
      </c>
      <c r="J37" s="92" t="s">
        <v>365</v>
      </c>
      <c r="K37" s="92" t="s">
        <v>366</v>
      </c>
      <c r="L37" s="92" t="s">
        <v>367</v>
      </c>
      <c r="M37" s="92" t="s">
        <v>368</v>
      </c>
      <c r="N37" s="92" t="s">
        <v>369</v>
      </c>
      <c r="O37" s="92" t="s">
        <v>370</v>
      </c>
      <c r="P37" s="92" t="s">
        <v>371</v>
      </c>
      <c r="Q37" s="92" t="s">
        <v>372</v>
      </c>
      <c r="R37" s="1"/>
      <c r="S37" s="1"/>
      <c r="T37" s="242" t="s">
        <v>355</v>
      </c>
    </row>
    <row r="38" spans="1:38" ht="51" customHeight="1">
      <c r="A38" s="14"/>
      <c r="B38" s="14"/>
      <c r="C38" s="11">
        <v>2</v>
      </c>
      <c r="D38" s="79" t="s">
        <v>356</v>
      </c>
      <c r="E38" s="79" t="s">
        <v>357</v>
      </c>
      <c r="F38" s="65" t="s">
        <v>373</v>
      </c>
      <c r="G38" s="65" t="s">
        <v>374</v>
      </c>
      <c r="H38" s="258" t="s">
        <v>375</v>
      </c>
      <c r="I38" s="269" t="s">
        <v>376</v>
      </c>
      <c r="J38" s="269" t="s">
        <v>376</v>
      </c>
      <c r="K38" s="65" t="s">
        <v>377</v>
      </c>
      <c r="L38" s="65" t="s">
        <v>377</v>
      </c>
      <c r="M38" s="65" t="s">
        <v>378</v>
      </c>
      <c r="N38" s="65" t="s">
        <v>379</v>
      </c>
      <c r="O38" s="65" t="s">
        <v>380</v>
      </c>
      <c r="P38" s="65" t="s">
        <v>381</v>
      </c>
      <c r="Q38" s="65" t="s">
        <v>382</v>
      </c>
      <c r="R38" s="1"/>
      <c r="S38" s="1"/>
      <c r="T38" s="242" t="s">
        <v>358</v>
      </c>
    </row>
    <row r="39" spans="1:38" ht="60.75" customHeight="1">
      <c r="A39" s="14"/>
      <c r="B39" s="14"/>
      <c r="C39" s="11">
        <v>3</v>
      </c>
      <c r="D39" s="79" t="s">
        <v>359</v>
      </c>
      <c r="E39" s="79" t="s">
        <v>360</v>
      </c>
      <c r="F39" s="65" t="s">
        <v>383</v>
      </c>
      <c r="G39" s="90" t="s">
        <v>316</v>
      </c>
      <c r="H39" s="258" t="s">
        <v>384</v>
      </c>
      <c r="I39" s="269" t="s">
        <v>385</v>
      </c>
      <c r="J39" s="269" t="s">
        <v>228</v>
      </c>
      <c r="K39" s="65" t="s">
        <v>386</v>
      </c>
      <c r="L39" s="65" t="s">
        <v>367</v>
      </c>
      <c r="M39" s="65" t="s">
        <v>387</v>
      </c>
      <c r="N39" s="65" t="s">
        <v>388</v>
      </c>
      <c r="O39" s="65" t="s">
        <v>323</v>
      </c>
      <c r="P39" s="65" t="s">
        <v>387</v>
      </c>
      <c r="Q39" s="65" t="s">
        <v>389</v>
      </c>
      <c r="R39" s="1"/>
      <c r="S39" s="1"/>
      <c r="T39" s="242" t="s">
        <v>361</v>
      </c>
    </row>
    <row r="40" spans="1:38" ht="15.75" customHeight="1">
      <c r="A40" s="1"/>
      <c r="B40" s="1"/>
      <c r="C40" s="1" t="s">
        <v>349</v>
      </c>
      <c r="D40" s="1"/>
      <c r="E40" s="1"/>
      <c r="F40" s="1">
        <v>16</v>
      </c>
      <c r="G40" s="1">
        <v>18</v>
      </c>
      <c r="H40" s="1">
        <v>19</v>
      </c>
      <c r="I40" s="1">
        <v>11</v>
      </c>
      <c r="J40" s="1">
        <v>23</v>
      </c>
      <c r="K40" s="1">
        <v>18</v>
      </c>
      <c r="L40" s="1">
        <v>3</v>
      </c>
      <c r="M40" s="1">
        <v>27</v>
      </c>
      <c r="N40" s="1">
        <v>19</v>
      </c>
      <c r="O40" s="1">
        <v>16</v>
      </c>
      <c r="P40" s="1">
        <v>13</v>
      </c>
      <c r="Q40" s="1"/>
      <c r="R40" s="1"/>
      <c r="S40" s="1"/>
    </row>
    <row r="41" spans="1:38" ht="15.75" customHeight="1">
      <c r="A41" s="1"/>
      <c r="B41" s="1"/>
      <c r="D41" s="243"/>
      <c r="E41" s="243"/>
      <c r="F41" s="243"/>
      <c r="G41" s="243"/>
      <c r="H41" s="243"/>
      <c r="I41" s="243"/>
      <c r="J41" s="243"/>
      <c r="K41" s="243"/>
      <c r="L41" s="243"/>
      <c r="M41" s="243"/>
      <c r="N41" s="243"/>
      <c r="O41" s="243"/>
      <c r="P41" s="243"/>
      <c r="Q41" s="243"/>
      <c r="R41" s="243"/>
      <c r="S41" s="243"/>
    </row>
    <row r="42" spans="1:38" ht="15.75" customHeight="1">
      <c r="A42" s="1"/>
      <c r="B42" s="1"/>
      <c r="C42" s="243"/>
      <c r="D42" s="232"/>
      <c r="T42" s="232"/>
    </row>
    <row r="43" spans="1:38" ht="15.75" customHeight="1">
      <c r="A43" s="1"/>
      <c r="B43" s="1"/>
      <c r="C43" s="243"/>
      <c r="D43" s="232"/>
      <c r="T43" s="232"/>
    </row>
    <row r="44" spans="1:38" ht="15.75" customHeight="1">
      <c r="A44" s="1"/>
      <c r="B44" s="1"/>
      <c r="C44" s="243"/>
      <c r="D44" s="243"/>
      <c r="T44" s="232"/>
    </row>
    <row r="45" spans="1:38" ht="15.75" customHeight="1">
      <c r="A45" s="1"/>
      <c r="B45" s="1"/>
      <c r="C45" s="243"/>
      <c r="D45" s="232"/>
      <c r="T45" s="232"/>
    </row>
    <row r="46" spans="1:38" ht="15.75" customHeight="1">
      <c r="A46" s="1"/>
      <c r="B46" s="1"/>
      <c r="C46" s="243"/>
      <c r="D46" s="232"/>
      <c r="T46" s="232"/>
    </row>
    <row r="47" spans="1:38" ht="15.75" customHeight="1">
      <c r="A47" s="1"/>
      <c r="B47" s="1"/>
      <c r="C47" s="243"/>
      <c r="D47" s="232"/>
      <c r="T47" s="232"/>
    </row>
    <row r="48" spans="1:38" ht="15.75" customHeight="1">
      <c r="A48" s="1"/>
      <c r="B48" s="1"/>
      <c r="C48" s="243"/>
      <c r="D48" s="232"/>
      <c r="T48" s="232"/>
    </row>
    <row r="49" spans="3:20" ht="15.75" customHeight="1">
      <c r="C49" s="243"/>
      <c r="D49" s="243"/>
      <c r="T49" s="232"/>
    </row>
    <row r="50" spans="3:20" ht="15.75" customHeight="1">
      <c r="C50" s="243"/>
      <c r="D50" s="232"/>
      <c r="T50" s="232"/>
    </row>
    <row r="51" spans="3:20" ht="15.75" customHeight="1">
      <c r="C51" s="243"/>
      <c r="D51" s="232"/>
      <c r="T51" s="232"/>
    </row>
    <row r="52" spans="3:20" ht="15.75" customHeight="1">
      <c r="C52" s="243"/>
      <c r="D52" s="232"/>
      <c r="T52" s="232"/>
    </row>
    <row r="53" spans="3:20" ht="15.75" customHeight="1">
      <c r="C53" s="243"/>
      <c r="D53" s="232"/>
      <c r="T53" s="232"/>
    </row>
    <row r="54" spans="3:20" ht="15.75" customHeight="1">
      <c r="D54" s="243"/>
    </row>
    <row r="55" spans="3:20" ht="15.75" customHeight="1">
      <c r="D55" s="243"/>
    </row>
    <row r="56" spans="3:20" ht="15.75" customHeight="1">
      <c r="C56" s="243"/>
      <c r="D56" s="232"/>
      <c r="T56" s="232"/>
    </row>
    <row r="57" spans="3:20" ht="15.75" customHeight="1">
      <c r="C57" s="243"/>
      <c r="D57" s="232"/>
      <c r="T57" s="232"/>
    </row>
    <row r="58" spans="3:20" ht="15.75" customHeight="1">
      <c r="C58" s="243"/>
      <c r="D58" s="243"/>
      <c r="T58" s="232"/>
    </row>
    <row r="59" spans="3:20" ht="15.75" customHeight="1">
      <c r="C59" s="243"/>
      <c r="D59" s="232"/>
      <c r="T59" s="232"/>
    </row>
    <row r="60" spans="3:20" ht="15.75" customHeight="1">
      <c r="C60" s="243"/>
      <c r="D60" s="232"/>
      <c r="T60" s="232"/>
    </row>
    <row r="61" spans="3:20" ht="15.75" customHeight="1">
      <c r="C61" s="243"/>
      <c r="D61" s="232"/>
      <c r="T61" s="232"/>
    </row>
    <row r="62" spans="3:20" ht="15.75" customHeight="1">
      <c r="C62" s="243"/>
      <c r="D62" s="232"/>
      <c r="T62" s="232"/>
    </row>
    <row r="63" spans="3:20" ht="15.75" customHeight="1">
      <c r="C63" s="243"/>
      <c r="D63" s="243"/>
      <c r="T63" s="232"/>
    </row>
    <row r="64" spans="3:20" ht="15.75" customHeight="1">
      <c r="C64" s="243"/>
      <c r="D64" s="232"/>
      <c r="T64" s="232"/>
    </row>
    <row r="65" spans="3:20" ht="15.75" customHeight="1">
      <c r="C65" s="243"/>
      <c r="D65" s="232"/>
      <c r="T65" s="232"/>
    </row>
    <row r="66" spans="3:20" ht="15.75" customHeight="1">
      <c r="C66" s="243"/>
      <c r="D66" s="232"/>
      <c r="T66" s="232"/>
    </row>
    <row r="67" spans="3:20" ht="15.75" customHeight="1">
      <c r="D67" s="232"/>
      <c r="T67" s="232"/>
    </row>
    <row r="68" spans="3:20">
      <c r="E68" s="232"/>
      <c r="F68" s="232"/>
      <c r="G68" s="232"/>
      <c r="H68" s="232"/>
      <c r="I68" s="232"/>
      <c r="J68" s="232"/>
      <c r="K68" s="232"/>
      <c r="L68" s="232"/>
      <c r="M68" s="232"/>
      <c r="N68" s="232"/>
      <c r="O68" s="232"/>
      <c r="P68" s="232"/>
      <c r="Q68" s="232"/>
      <c r="R68" s="232"/>
      <c r="S68" s="232"/>
    </row>
    <row r="71" spans="3:20">
      <c r="E71" s="232" t="s">
        <v>175</v>
      </c>
      <c r="F71" s="232"/>
      <c r="G71" s="232"/>
      <c r="H71" s="232"/>
      <c r="I71" s="232"/>
      <c r="J71" s="232"/>
      <c r="K71" s="232"/>
      <c r="L71" s="232"/>
      <c r="M71" s="232"/>
      <c r="N71" s="232"/>
      <c r="O71" s="232"/>
      <c r="P71" s="232"/>
      <c r="Q71" s="232"/>
      <c r="R71" s="232"/>
      <c r="S71" s="232"/>
    </row>
    <row r="72" spans="3:20">
      <c r="D72" s="232"/>
      <c r="E72" s="873" t="s">
        <v>390</v>
      </c>
      <c r="F72" s="874"/>
      <c r="G72" s="874"/>
      <c r="H72" s="874"/>
      <c r="I72" s="874"/>
      <c r="J72" s="874"/>
      <c r="K72" s="874"/>
      <c r="L72" s="874"/>
      <c r="M72" s="874"/>
      <c r="N72" s="874"/>
      <c r="O72" s="874"/>
      <c r="P72" s="874"/>
      <c r="Q72" s="874"/>
      <c r="R72" s="874"/>
      <c r="S72" s="875"/>
      <c r="T72" s="232"/>
    </row>
    <row r="73" spans="3:20">
      <c r="D73" s="232"/>
      <c r="E73" s="876"/>
      <c r="F73" s="877"/>
      <c r="G73" s="877"/>
      <c r="H73" s="877"/>
      <c r="I73" s="877"/>
      <c r="J73" s="877"/>
      <c r="K73" s="877"/>
      <c r="L73" s="877"/>
      <c r="M73" s="877"/>
      <c r="N73" s="877"/>
      <c r="O73" s="877"/>
      <c r="P73" s="877"/>
      <c r="Q73" s="877"/>
      <c r="R73" s="877"/>
      <c r="S73" s="878"/>
      <c r="T73" s="232"/>
    </row>
    <row r="74" spans="3:20">
      <c r="D74" s="232"/>
      <c r="E74" s="876"/>
      <c r="F74" s="877"/>
      <c r="G74" s="877"/>
      <c r="H74" s="877"/>
      <c r="I74" s="877"/>
      <c r="J74" s="877"/>
      <c r="K74" s="877"/>
      <c r="L74" s="877"/>
      <c r="M74" s="877"/>
      <c r="N74" s="877"/>
      <c r="O74" s="877"/>
      <c r="P74" s="877"/>
      <c r="Q74" s="877"/>
      <c r="R74" s="877"/>
      <c r="S74" s="878"/>
      <c r="T74" s="232"/>
    </row>
    <row r="75" spans="3:20">
      <c r="D75" s="232"/>
      <c r="E75" s="876"/>
      <c r="F75" s="877"/>
      <c r="G75" s="877"/>
      <c r="H75" s="877"/>
      <c r="I75" s="877"/>
      <c r="J75" s="877"/>
      <c r="K75" s="877"/>
      <c r="L75" s="877"/>
      <c r="M75" s="877"/>
      <c r="N75" s="877"/>
      <c r="O75" s="877"/>
      <c r="P75" s="877"/>
      <c r="Q75" s="877"/>
      <c r="R75" s="877"/>
      <c r="S75" s="878"/>
      <c r="T75" s="232"/>
    </row>
    <row r="76" spans="3:20">
      <c r="D76" s="232"/>
      <c r="E76" s="876"/>
      <c r="F76" s="877"/>
      <c r="G76" s="877"/>
      <c r="H76" s="877"/>
      <c r="I76" s="877"/>
      <c r="J76" s="877"/>
      <c r="K76" s="877"/>
      <c r="L76" s="877"/>
      <c r="M76" s="877"/>
      <c r="N76" s="877"/>
      <c r="O76" s="877"/>
      <c r="P76" s="877"/>
      <c r="Q76" s="877"/>
      <c r="R76" s="877"/>
      <c r="S76" s="878"/>
      <c r="T76" s="232"/>
    </row>
    <row r="77" spans="3:20">
      <c r="D77" s="232"/>
      <c r="E77" s="876"/>
      <c r="F77" s="877"/>
      <c r="G77" s="877"/>
      <c r="H77" s="877"/>
      <c r="I77" s="877"/>
      <c r="J77" s="877"/>
      <c r="K77" s="877"/>
      <c r="L77" s="877"/>
      <c r="M77" s="877"/>
      <c r="N77" s="877"/>
      <c r="O77" s="877"/>
      <c r="P77" s="877"/>
      <c r="Q77" s="877"/>
      <c r="R77" s="877"/>
      <c r="S77" s="878"/>
      <c r="T77" s="232"/>
    </row>
    <row r="78" spans="3:20">
      <c r="D78" s="232"/>
      <c r="E78" s="876"/>
      <c r="F78" s="877"/>
      <c r="G78" s="877"/>
      <c r="H78" s="877"/>
      <c r="I78" s="877"/>
      <c r="J78" s="877"/>
      <c r="K78" s="877"/>
      <c r="L78" s="877"/>
      <c r="M78" s="877"/>
      <c r="N78" s="877"/>
      <c r="O78" s="877"/>
      <c r="P78" s="877"/>
      <c r="Q78" s="877"/>
      <c r="R78" s="877"/>
      <c r="S78" s="878"/>
      <c r="T78" s="232"/>
    </row>
    <row r="79" spans="3:20">
      <c r="D79" s="232"/>
      <c r="E79" s="876"/>
      <c r="F79" s="877"/>
      <c r="G79" s="877"/>
      <c r="H79" s="877"/>
      <c r="I79" s="877"/>
      <c r="J79" s="877"/>
      <c r="K79" s="877"/>
      <c r="L79" s="877"/>
      <c r="M79" s="877"/>
      <c r="N79" s="877"/>
      <c r="O79" s="877"/>
      <c r="P79" s="877"/>
      <c r="Q79" s="877"/>
      <c r="R79" s="877"/>
      <c r="S79" s="878"/>
      <c r="T79" s="232"/>
    </row>
    <row r="80" spans="3:20">
      <c r="D80" s="232"/>
      <c r="E80" s="876"/>
      <c r="F80" s="877"/>
      <c r="G80" s="877"/>
      <c r="H80" s="877"/>
      <c r="I80" s="877"/>
      <c r="J80" s="877"/>
      <c r="K80" s="877"/>
      <c r="L80" s="877"/>
      <c r="M80" s="877"/>
      <c r="N80" s="877"/>
      <c r="O80" s="877"/>
      <c r="P80" s="877"/>
      <c r="Q80" s="877"/>
      <c r="R80" s="877"/>
      <c r="S80" s="878"/>
      <c r="T80" s="232"/>
    </row>
    <row r="81" spans="4:20">
      <c r="D81" s="232"/>
      <c r="E81" s="876"/>
      <c r="F81" s="877"/>
      <c r="G81" s="877"/>
      <c r="H81" s="877"/>
      <c r="I81" s="877"/>
      <c r="J81" s="877"/>
      <c r="K81" s="877"/>
      <c r="L81" s="877"/>
      <c r="M81" s="877"/>
      <c r="N81" s="877"/>
      <c r="O81" s="877"/>
      <c r="P81" s="877"/>
      <c r="Q81" s="877"/>
      <c r="R81" s="877"/>
      <c r="S81" s="878"/>
      <c r="T81" s="232"/>
    </row>
    <row r="82" spans="4:20">
      <c r="D82" s="232"/>
      <c r="E82" s="876"/>
      <c r="F82" s="877"/>
      <c r="G82" s="877"/>
      <c r="H82" s="877"/>
      <c r="I82" s="877"/>
      <c r="J82" s="877"/>
      <c r="K82" s="877"/>
      <c r="L82" s="877"/>
      <c r="M82" s="877"/>
      <c r="N82" s="877"/>
      <c r="O82" s="877"/>
      <c r="P82" s="877"/>
      <c r="Q82" s="877"/>
      <c r="R82" s="877"/>
      <c r="S82" s="878"/>
      <c r="T82" s="232"/>
    </row>
    <row r="83" spans="4:20">
      <c r="D83" s="232"/>
      <c r="E83" s="876"/>
      <c r="F83" s="877"/>
      <c r="G83" s="877"/>
      <c r="H83" s="877"/>
      <c r="I83" s="877"/>
      <c r="J83" s="877"/>
      <c r="K83" s="877"/>
      <c r="L83" s="877"/>
      <c r="M83" s="877"/>
      <c r="N83" s="877"/>
      <c r="O83" s="877"/>
      <c r="P83" s="877"/>
      <c r="Q83" s="877"/>
      <c r="R83" s="877"/>
      <c r="S83" s="878"/>
      <c r="T83" s="232"/>
    </row>
    <row r="84" spans="4:20">
      <c r="D84" s="232"/>
      <c r="E84" s="876"/>
      <c r="F84" s="877"/>
      <c r="G84" s="877"/>
      <c r="H84" s="877"/>
      <c r="I84" s="877"/>
      <c r="J84" s="877"/>
      <c r="K84" s="877"/>
      <c r="L84" s="877"/>
      <c r="M84" s="877"/>
      <c r="N84" s="877"/>
      <c r="O84" s="877"/>
      <c r="P84" s="877"/>
      <c r="Q84" s="877"/>
      <c r="R84" s="877"/>
      <c r="S84" s="878"/>
      <c r="T84" s="232"/>
    </row>
    <row r="85" spans="4:20">
      <c r="D85" s="232"/>
      <c r="E85" s="879"/>
      <c r="F85" s="880"/>
      <c r="G85" s="880"/>
      <c r="H85" s="880"/>
      <c r="I85" s="880"/>
      <c r="J85" s="880"/>
      <c r="K85" s="880"/>
      <c r="L85" s="880"/>
      <c r="M85" s="880"/>
      <c r="N85" s="880"/>
      <c r="O85" s="880"/>
      <c r="P85" s="880"/>
      <c r="Q85" s="880"/>
      <c r="R85" s="880"/>
      <c r="S85" s="881"/>
      <c r="T85" s="232"/>
    </row>
    <row r="86" spans="4:20" ht="15" customHeight="1">
      <c r="E86" s="232"/>
      <c r="F86" s="232"/>
      <c r="G86" s="232"/>
      <c r="H86" s="232"/>
      <c r="I86" s="232"/>
      <c r="J86" s="232"/>
      <c r="K86" s="232"/>
      <c r="L86" s="232"/>
      <c r="M86" s="232"/>
      <c r="N86" s="554"/>
      <c r="O86" s="232"/>
      <c r="P86" s="232"/>
      <c r="Q86" s="232"/>
      <c r="R86" s="232"/>
      <c r="S86" s="232"/>
    </row>
    <row r="87" spans="4:20" ht="15" customHeight="1">
      <c r="L87" s="232"/>
      <c r="M87" s="232"/>
      <c r="N87" s="554"/>
      <c r="O87" s="232"/>
      <c r="P87" s="232"/>
      <c r="Q87" s="232"/>
    </row>
    <row r="88" spans="4:20" ht="15" customHeight="1">
      <c r="L88" s="232"/>
      <c r="M88" s="232"/>
      <c r="N88" s="232"/>
      <c r="O88" s="232"/>
      <c r="P88" s="232"/>
      <c r="Q88" s="232"/>
    </row>
    <row r="89" spans="4:20" ht="15" customHeight="1">
      <c r="L89" s="232"/>
      <c r="M89" s="232"/>
      <c r="N89" s="232"/>
      <c r="O89" s="232"/>
      <c r="P89" s="232"/>
      <c r="Q89" s="232"/>
    </row>
    <row r="90" spans="4:20" ht="15" customHeight="1">
      <c r="L90" s="232"/>
      <c r="M90" s="232"/>
      <c r="N90" s="232"/>
      <c r="O90" s="232"/>
      <c r="P90" s="232"/>
      <c r="Q90" s="232"/>
    </row>
    <row r="91" spans="4:20" ht="15" customHeight="1">
      <c r="L91" s="232"/>
      <c r="M91" s="232"/>
      <c r="N91" s="232"/>
      <c r="O91" s="232"/>
      <c r="P91" s="232"/>
      <c r="Q91" s="232"/>
    </row>
    <row r="92" spans="4:20" ht="15" customHeight="1">
      <c r="M92" s="232"/>
      <c r="N92" s="232"/>
      <c r="O92" s="232"/>
      <c r="P92" s="232"/>
    </row>
  </sheetData>
  <mergeCells count="24">
    <mergeCell ref="E72:S85"/>
    <mergeCell ref="X7:AL7"/>
    <mergeCell ref="X8:AL8"/>
    <mergeCell ref="X9:AB9"/>
    <mergeCell ref="C1:S1"/>
    <mergeCell ref="C2:S2"/>
    <mergeCell ref="C3:S3"/>
    <mergeCell ref="C4:S4"/>
    <mergeCell ref="C5:S5"/>
    <mergeCell ref="AC9:AL9"/>
    <mergeCell ref="X11:X13"/>
    <mergeCell ref="Y11:Y13"/>
    <mergeCell ref="Z11:Z13"/>
    <mergeCell ref="Y15:AB18"/>
    <mergeCell ref="Y29:AB32"/>
    <mergeCell ref="X28:AL28"/>
    <mergeCell ref="AC23:AL23"/>
    <mergeCell ref="X25:X27"/>
    <mergeCell ref="Y25:Y27"/>
    <mergeCell ref="X14:AL14"/>
    <mergeCell ref="X21:AL21"/>
    <mergeCell ref="X22:AL22"/>
    <mergeCell ref="Z25:Z27"/>
    <mergeCell ref="X23:AB23"/>
  </mergeCells>
  <phoneticPr fontId="18" type="noConversion"/>
  <pageMargins left="0.7" right="0.7" top="0.75" bottom="0.75" header="0" footer="0"/>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385623"/>
    <outlinePr summaryBelow="0" summaryRight="0"/>
  </sheetPr>
  <dimension ref="A1:AE66"/>
  <sheetViews>
    <sheetView workbookViewId="0">
      <pane xSplit="2" topLeftCell="P1" activePane="topRight" state="frozen"/>
      <selection pane="topRight" activeCell="AB21" sqref="AB21"/>
    </sheetView>
  </sheetViews>
  <sheetFormatPr defaultColWidth="14.42578125" defaultRowHeight="15" customHeight="1"/>
  <cols>
    <col min="2" max="2" width="21.5703125" customWidth="1"/>
    <col min="4" max="4" width="35" bestFit="1" customWidth="1"/>
    <col min="5" max="5" width="27.28515625" customWidth="1"/>
    <col min="6" max="6" width="16.42578125" customWidth="1"/>
    <col min="12" max="12" width="7.28515625" hidden="1" customWidth="1"/>
    <col min="16" max="16" width="21.85546875" bestFit="1" customWidth="1"/>
  </cols>
  <sheetData>
    <row r="1" spans="1:31">
      <c r="A1" s="93"/>
      <c r="B1" s="93"/>
      <c r="C1" s="907" t="s">
        <v>40</v>
      </c>
      <c r="D1" s="1158"/>
      <c r="E1" s="1158"/>
      <c r="F1" s="1158"/>
      <c r="G1" s="1158"/>
      <c r="H1" s="1158"/>
      <c r="I1" s="1158"/>
      <c r="J1" s="1158"/>
      <c r="K1" s="1158"/>
    </row>
    <row r="2" spans="1:31">
      <c r="A2" s="93"/>
      <c r="B2" s="93"/>
      <c r="C2" s="907" t="s">
        <v>41</v>
      </c>
      <c r="D2" s="1158"/>
      <c r="E2" s="1158"/>
      <c r="F2" s="1158"/>
      <c r="G2" s="1158"/>
      <c r="H2" s="1158"/>
      <c r="I2" s="1158"/>
      <c r="J2" s="1158"/>
      <c r="K2" s="1158"/>
    </row>
    <row r="3" spans="1:31">
      <c r="A3" s="86"/>
      <c r="B3" s="86"/>
      <c r="C3" s="908" t="s">
        <v>42</v>
      </c>
      <c r="D3" s="1159"/>
      <c r="E3" s="1159"/>
      <c r="F3" s="1159"/>
      <c r="G3" s="1159"/>
      <c r="H3" s="1159"/>
      <c r="I3" s="1159"/>
      <c r="J3" s="1159"/>
      <c r="K3" s="1159"/>
    </row>
    <row r="4" spans="1:31">
      <c r="A4" s="140"/>
      <c r="B4" s="141"/>
      <c r="C4" s="870" t="s">
        <v>391</v>
      </c>
      <c r="D4" s="1160"/>
      <c r="E4" s="1160"/>
      <c r="F4" s="1160"/>
      <c r="G4" s="1160"/>
      <c r="H4" s="1160"/>
      <c r="I4" s="1160"/>
      <c r="J4" s="1160"/>
      <c r="K4" s="1160"/>
    </row>
    <row r="5" spans="1:31">
      <c r="A5" s="155"/>
      <c r="B5" s="94"/>
      <c r="C5" s="889" t="s">
        <v>255</v>
      </c>
      <c r="D5" s="1177"/>
      <c r="E5" s="1177"/>
      <c r="F5" s="1177"/>
      <c r="G5" s="1177"/>
      <c r="H5" s="1177"/>
      <c r="I5" s="1177"/>
      <c r="J5" s="1177"/>
      <c r="K5" s="1177"/>
      <c r="P5" s="232"/>
      <c r="Q5" s="232"/>
      <c r="R5" s="232"/>
      <c r="S5" s="232"/>
      <c r="T5" s="232"/>
      <c r="U5" s="232"/>
      <c r="V5" s="232"/>
      <c r="W5" s="232"/>
      <c r="X5" s="232"/>
      <c r="Y5" s="232"/>
      <c r="Z5" s="232"/>
      <c r="AA5" s="232"/>
      <c r="AB5" s="232"/>
      <c r="AC5" s="232"/>
      <c r="AD5" s="232"/>
    </row>
    <row r="6" spans="1:31">
      <c r="A6" s="76" t="s">
        <v>45</v>
      </c>
      <c r="B6" s="171" t="s">
        <v>46</v>
      </c>
      <c r="C6" s="171" t="s">
        <v>47</v>
      </c>
      <c r="D6" s="477" t="s">
        <v>48</v>
      </c>
      <c r="E6" s="171" t="s">
        <v>49</v>
      </c>
      <c r="F6" s="171" t="s">
        <v>392</v>
      </c>
      <c r="G6" s="171" t="s">
        <v>393</v>
      </c>
      <c r="H6" s="171" t="s">
        <v>394</v>
      </c>
      <c r="I6" s="171" t="s">
        <v>395</v>
      </c>
      <c r="J6" s="170" t="s">
        <v>62</v>
      </c>
      <c r="K6" s="179" t="s">
        <v>63</v>
      </c>
      <c r="L6" s="253" t="s">
        <v>64</v>
      </c>
      <c r="O6" s="232"/>
      <c r="P6" s="849" t="s">
        <v>70</v>
      </c>
      <c r="Q6" s="850"/>
      <c r="R6" s="850"/>
      <c r="S6" s="850"/>
      <c r="T6" s="850"/>
      <c r="U6" s="850"/>
      <c r="V6" s="850"/>
      <c r="W6" s="850"/>
      <c r="X6" s="850"/>
      <c r="Y6" s="850"/>
      <c r="Z6" s="850"/>
      <c r="AA6" s="850"/>
      <c r="AB6" s="850"/>
      <c r="AC6" s="850"/>
      <c r="AD6" s="851"/>
      <c r="AE6" s="232"/>
    </row>
    <row r="7" spans="1:31">
      <c r="A7" s="144" t="s">
        <v>65</v>
      </c>
      <c r="B7" s="895" t="s">
        <v>66</v>
      </c>
      <c r="C7" s="145">
        <v>1</v>
      </c>
      <c r="D7" s="183" t="s">
        <v>396</v>
      </c>
      <c r="E7" s="183" t="s">
        <v>397</v>
      </c>
      <c r="F7" s="278">
        <v>1.51</v>
      </c>
      <c r="G7" s="278">
        <v>0.7</v>
      </c>
      <c r="H7" s="278">
        <v>0.5</v>
      </c>
      <c r="I7" s="161">
        <v>4.0999999999999996</v>
      </c>
      <c r="J7" s="184">
        <f>IFERROR(AVERAGE(F7:I7), 0)</f>
        <v>1.7024999999999999</v>
      </c>
      <c r="K7" s="182">
        <v>5</v>
      </c>
      <c r="L7" s="242" t="s">
        <v>398</v>
      </c>
      <c r="O7" s="232"/>
      <c r="P7" s="852" t="s">
        <v>107</v>
      </c>
      <c r="Q7" s="853"/>
      <c r="R7" s="853"/>
      <c r="S7" s="853"/>
      <c r="T7" s="853"/>
      <c r="U7" s="853"/>
      <c r="V7" s="853"/>
      <c r="W7" s="853"/>
      <c r="X7" s="853"/>
      <c r="Y7" s="853"/>
      <c r="Z7" s="853"/>
      <c r="AA7" s="853"/>
      <c r="AB7" s="853"/>
      <c r="AC7" s="853"/>
      <c r="AD7" s="854"/>
      <c r="AE7" s="232"/>
    </row>
    <row r="8" spans="1:31">
      <c r="A8" s="9"/>
      <c r="B8" s="896"/>
      <c r="C8" s="11">
        <v>2</v>
      </c>
      <c r="D8" s="185" t="s">
        <v>399</v>
      </c>
      <c r="E8" s="295" t="s">
        <v>397</v>
      </c>
      <c r="F8" s="277">
        <v>0.43</v>
      </c>
      <c r="G8" s="277">
        <v>0.55000000000000004</v>
      </c>
      <c r="H8" s="277">
        <v>0.1</v>
      </c>
      <c r="I8" s="57">
        <v>3.53</v>
      </c>
      <c r="J8" s="33">
        <f t="shared" ref="J7:J24" si="0">IFERROR(AVERAGE(F8:I8), 0)</f>
        <v>1.1524999999999999</v>
      </c>
      <c r="K8" s="14">
        <v>5</v>
      </c>
      <c r="L8" s="242" t="s">
        <v>400</v>
      </c>
      <c r="O8" s="232"/>
      <c r="P8" s="862"/>
      <c r="Q8" s="848"/>
      <c r="R8" s="848"/>
      <c r="S8" s="848"/>
      <c r="T8" s="848"/>
      <c r="U8" s="848" t="s">
        <v>78</v>
      </c>
      <c r="V8" s="1161"/>
      <c r="W8" s="1161"/>
      <c r="X8" s="1161"/>
      <c r="Y8" s="1161"/>
      <c r="Z8" s="1161"/>
      <c r="AA8" s="1161"/>
      <c r="AB8" s="1161"/>
      <c r="AC8" s="1161"/>
      <c r="AD8" s="1164"/>
      <c r="AE8" s="232"/>
    </row>
    <row r="9" spans="1:31">
      <c r="A9" s="9"/>
      <c r="B9" s="897"/>
      <c r="C9" s="11">
        <v>3</v>
      </c>
      <c r="D9" s="208" t="s">
        <v>401</v>
      </c>
      <c r="E9" s="295" t="s">
        <v>402</v>
      </c>
      <c r="F9" s="277">
        <v>0.47</v>
      </c>
      <c r="G9" s="277">
        <v>1.28</v>
      </c>
      <c r="H9" s="277">
        <v>2.2000000000000002</v>
      </c>
      <c r="I9" s="57">
        <v>3.18</v>
      </c>
      <c r="J9" s="33">
        <f t="shared" si="0"/>
        <v>1.7825000000000002</v>
      </c>
      <c r="K9" s="14">
        <v>5</v>
      </c>
      <c r="L9" s="242" t="s">
        <v>403</v>
      </c>
      <c r="O9" s="232"/>
      <c r="P9" s="657" t="s">
        <v>82</v>
      </c>
      <c r="Q9" s="14" t="s">
        <v>83</v>
      </c>
      <c r="R9" s="14" t="s">
        <v>84</v>
      </c>
      <c r="S9" s="14" t="s">
        <v>85</v>
      </c>
      <c r="T9" s="14" t="s">
        <v>86</v>
      </c>
      <c r="U9" s="14" t="s">
        <v>4</v>
      </c>
      <c r="V9" s="14" t="s">
        <v>5</v>
      </c>
      <c r="W9" s="14" t="s">
        <v>6</v>
      </c>
      <c r="X9" s="14" t="s">
        <v>7</v>
      </c>
      <c r="Y9" s="14" t="s">
        <v>8</v>
      </c>
      <c r="Z9" s="14" t="s">
        <v>9</v>
      </c>
      <c r="AA9" s="14" t="s">
        <v>10</v>
      </c>
      <c r="AB9" s="14" t="s">
        <v>11</v>
      </c>
      <c r="AC9" s="14" t="s">
        <v>12</v>
      </c>
      <c r="AD9" s="658" t="s">
        <v>13</v>
      </c>
      <c r="AE9" s="232"/>
    </row>
    <row r="10" spans="1:31" ht="45.75">
      <c r="A10" s="9"/>
      <c r="B10" s="895" t="s">
        <v>404</v>
      </c>
      <c r="C10" s="15">
        <v>1</v>
      </c>
      <c r="D10" s="183" t="s">
        <v>396</v>
      </c>
      <c r="E10" s="183" t="s">
        <v>397</v>
      </c>
      <c r="F10" s="276">
        <v>11</v>
      </c>
      <c r="G10" s="276">
        <v>19</v>
      </c>
      <c r="H10" s="276">
        <v>8</v>
      </c>
      <c r="I10" s="161">
        <v>21</v>
      </c>
      <c r="J10" s="48">
        <f>IFERROR(AVERAGE(F10:I10), 0)</f>
        <v>14.75</v>
      </c>
      <c r="K10" s="8">
        <v>7</v>
      </c>
      <c r="L10" s="242" t="s">
        <v>398</v>
      </c>
      <c r="O10" s="232"/>
      <c r="P10" s="865" t="s">
        <v>405</v>
      </c>
      <c r="Q10" s="847" t="s">
        <v>391</v>
      </c>
      <c r="R10" s="855" t="s">
        <v>16</v>
      </c>
      <c r="S10" s="32">
        <v>1</v>
      </c>
      <c r="T10" s="65" t="s">
        <v>396</v>
      </c>
      <c r="U10" s="33">
        <f>AVERAGE(F7:I7)</f>
        <v>1.7024999999999999</v>
      </c>
      <c r="V10" s="33">
        <f>AVERAGE(F10:I10)</f>
        <v>14.75</v>
      </c>
      <c r="W10" s="33">
        <f>AVERAGE(F13:I13)</f>
        <v>21.5</v>
      </c>
      <c r="X10" s="33">
        <f>AVERAGE(E16:J16)</f>
        <v>7.3474999999999993</v>
      </c>
      <c r="Y10" s="33">
        <f>AVERAGE(F19:I19)</f>
        <v>29.2</v>
      </c>
      <c r="Z10" s="33">
        <f>AVERAGE(F22:I22)</f>
        <v>30</v>
      </c>
      <c r="AA10" s="33">
        <f>GEOMEAN(F25:I25)</f>
        <v>84093.593459922675</v>
      </c>
      <c r="AB10" s="34">
        <f>AVERAGE(F28:I28)</f>
        <v>0.17549999999999999</v>
      </c>
      <c r="AC10" s="34">
        <f>AVERAGE(F31:I31)</f>
        <v>0.34399999999999997</v>
      </c>
      <c r="AD10" s="664">
        <f>AVERAGE(F34:I34)</f>
        <v>111</v>
      </c>
      <c r="AE10" s="232"/>
    </row>
    <row r="11" spans="1:31">
      <c r="A11" s="9"/>
      <c r="B11" s="896"/>
      <c r="C11" s="11">
        <v>2</v>
      </c>
      <c r="D11" s="185" t="s">
        <v>399</v>
      </c>
      <c r="E11" s="295" t="s">
        <v>397</v>
      </c>
      <c r="F11" s="277">
        <v>22</v>
      </c>
      <c r="G11" s="277">
        <v>24</v>
      </c>
      <c r="H11" s="277">
        <v>15</v>
      </c>
      <c r="I11" s="57">
        <v>22</v>
      </c>
      <c r="J11" s="35">
        <f t="shared" si="0"/>
        <v>20.75</v>
      </c>
      <c r="K11" s="14">
        <v>7</v>
      </c>
      <c r="L11" s="242" t="s">
        <v>400</v>
      </c>
      <c r="O11" s="232"/>
      <c r="P11" s="1165"/>
      <c r="Q11" s="1161"/>
      <c r="R11" s="1161"/>
      <c r="S11" s="32">
        <v>2</v>
      </c>
      <c r="T11" s="65" t="s">
        <v>399</v>
      </c>
      <c r="U11" s="33">
        <f>AVERAGE(F8:I8)</f>
        <v>1.1524999999999999</v>
      </c>
      <c r="V11" s="33">
        <f>AVERAGE(F11:I11)</f>
        <v>20.75</v>
      </c>
      <c r="W11" s="33">
        <f>AVERAGE(F14:I14)</f>
        <v>20.25</v>
      </c>
      <c r="X11" s="33">
        <f>AVERAGE(E17:J17)</f>
        <v>7.2174999999999994</v>
      </c>
      <c r="Y11" s="33">
        <f>AVERAGE(F20:I20)</f>
        <v>29.450000000000003</v>
      </c>
      <c r="Z11" s="33">
        <f>AVERAGE(F23:I23)</f>
        <v>41.25</v>
      </c>
      <c r="AA11" s="33">
        <f>GEOMEAN(F26:I26)</f>
        <v>116974.22980185662</v>
      </c>
      <c r="AB11" s="34">
        <f>AVERAGE(F29:I29)</f>
        <v>0.15925</v>
      </c>
      <c r="AC11" s="34">
        <f>AVERAGE(F32:I32)</f>
        <v>0.52024999999999999</v>
      </c>
      <c r="AD11" s="664">
        <f>AVERAGE(F35:I35)</f>
        <v>167.25</v>
      </c>
      <c r="AE11" s="232"/>
    </row>
    <row r="12" spans="1:31">
      <c r="A12" s="9"/>
      <c r="B12" s="897"/>
      <c r="C12" s="11">
        <v>3</v>
      </c>
      <c r="D12" s="208" t="s">
        <v>401</v>
      </c>
      <c r="E12" s="295" t="s">
        <v>402</v>
      </c>
      <c r="F12" s="277">
        <v>6</v>
      </c>
      <c r="G12" s="277">
        <v>16</v>
      </c>
      <c r="H12" s="277">
        <v>4</v>
      </c>
      <c r="I12" s="716">
        <v>21</v>
      </c>
      <c r="J12" s="35">
        <f t="shared" si="0"/>
        <v>11.75</v>
      </c>
      <c r="K12" s="14">
        <v>7</v>
      </c>
      <c r="L12" s="242" t="s">
        <v>403</v>
      </c>
      <c r="O12" s="232"/>
      <c r="P12" s="1165"/>
      <c r="Q12" s="1161"/>
      <c r="R12" s="1161"/>
      <c r="S12" s="32">
        <v>3</v>
      </c>
      <c r="T12" s="65" t="s">
        <v>401</v>
      </c>
      <c r="U12" s="33">
        <f>AVERAGE(F9:I9)</f>
        <v>1.7825000000000002</v>
      </c>
      <c r="V12" s="33">
        <f>AVERAGE(F12:I12)</f>
        <v>11.75</v>
      </c>
      <c r="W12" s="33">
        <f>AVERAGE(F15:I15)</f>
        <v>38.75</v>
      </c>
      <c r="X12" s="33">
        <f>AVERAGE(E18:J18)</f>
        <v>7.4874999999999998</v>
      </c>
      <c r="Y12" s="33">
        <f>AVERAGE(F21:I21)</f>
        <v>30.25</v>
      </c>
      <c r="Z12" s="33">
        <f>AVERAGE(F24:I24)</f>
        <v>32.5</v>
      </c>
      <c r="AA12" s="33">
        <f>GEOMEAN(F27:I27)</f>
        <v>116947.78000258503</v>
      </c>
      <c r="AB12" s="34">
        <f>AVERAGE(F30:I30)</f>
        <v>0.15825</v>
      </c>
      <c r="AC12" s="34">
        <f>AVERAGE(F33:I33)</f>
        <v>0.58350000000000002</v>
      </c>
      <c r="AD12" s="664">
        <f>AVERAGE(F36:I36)</f>
        <v>52</v>
      </c>
      <c r="AE12" s="232"/>
    </row>
    <row r="13" spans="1:31">
      <c r="A13" s="9"/>
      <c r="B13" s="895" t="s">
        <v>92</v>
      </c>
      <c r="C13" s="15">
        <v>1</v>
      </c>
      <c r="D13" s="183" t="s">
        <v>396</v>
      </c>
      <c r="E13" s="183" t="s">
        <v>397</v>
      </c>
      <c r="F13" s="276">
        <v>16</v>
      </c>
      <c r="G13" s="276">
        <v>21</v>
      </c>
      <c r="H13" s="679">
        <v>22</v>
      </c>
      <c r="I13" s="717">
        <v>27</v>
      </c>
      <c r="J13" s="718">
        <f t="shared" si="0"/>
        <v>21.5</v>
      </c>
      <c r="K13" s="8">
        <v>80</v>
      </c>
      <c r="L13" s="242" t="s">
        <v>398</v>
      </c>
      <c r="O13" s="232"/>
      <c r="P13" s="862"/>
      <c r="Q13" s="848"/>
      <c r="R13" s="848"/>
      <c r="S13" s="848"/>
      <c r="T13" s="848"/>
      <c r="U13" s="848"/>
      <c r="V13" s="848"/>
      <c r="W13" s="848"/>
      <c r="X13" s="848"/>
      <c r="Y13" s="848"/>
      <c r="Z13" s="848"/>
      <c r="AA13" s="848"/>
      <c r="AB13" s="848"/>
      <c r="AC13" s="848"/>
      <c r="AD13" s="872"/>
      <c r="AE13" s="232"/>
    </row>
    <row r="14" spans="1:31">
      <c r="A14" s="9"/>
      <c r="B14" s="896"/>
      <c r="C14" s="11">
        <v>2</v>
      </c>
      <c r="D14" s="185" t="s">
        <v>399</v>
      </c>
      <c r="E14" s="295" t="s">
        <v>397</v>
      </c>
      <c r="F14" s="277">
        <v>6</v>
      </c>
      <c r="G14" s="277">
        <v>27</v>
      </c>
      <c r="H14" s="680">
        <v>14</v>
      </c>
      <c r="I14" s="719">
        <v>34</v>
      </c>
      <c r="J14" s="720">
        <f t="shared" si="0"/>
        <v>20.25</v>
      </c>
      <c r="K14" s="14">
        <v>80</v>
      </c>
      <c r="L14" s="242" t="s">
        <v>400</v>
      </c>
      <c r="O14" s="232"/>
      <c r="P14" s="657" t="s">
        <v>93</v>
      </c>
      <c r="Q14" s="1162"/>
      <c r="R14" s="1161"/>
      <c r="S14" s="1161"/>
      <c r="T14" s="1161"/>
      <c r="U14" s="33">
        <f t="shared" ref="U14:AD14" si="1">AVERAGE(U10:U12)</f>
        <v>1.5458333333333332</v>
      </c>
      <c r="V14" s="33">
        <f t="shared" si="1"/>
        <v>15.75</v>
      </c>
      <c r="W14" s="33">
        <f t="shared" si="1"/>
        <v>26.833333333333332</v>
      </c>
      <c r="X14" s="33">
        <f t="shared" si="1"/>
        <v>7.3508333333333331</v>
      </c>
      <c r="Y14" s="33">
        <f t="shared" si="1"/>
        <v>29.633333333333336</v>
      </c>
      <c r="Z14" s="33">
        <f t="shared" si="1"/>
        <v>34.583333333333336</v>
      </c>
      <c r="AA14" s="33">
        <f>AVERAGE(AA10:AA12)</f>
        <v>106005.20108812144</v>
      </c>
      <c r="AB14" s="34">
        <f t="shared" si="1"/>
        <v>0.16433333333333333</v>
      </c>
      <c r="AC14" s="34">
        <f t="shared" si="1"/>
        <v>0.48258333333333336</v>
      </c>
      <c r="AD14" s="664">
        <f t="shared" si="1"/>
        <v>110.08333333333333</v>
      </c>
      <c r="AE14" s="232"/>
    </row>
    <row r="15" spans="1:31">
      <c r="A15" s="9"/>
      <c r="B15" s="897"/>
      <c r="C15" s="11">
        <v>3</v>
      </c>
      <c r="D15" s="208" t="s">
        <v>401</v>
      </c>
      <c r="E15" s="295" t="s">
        <v>402</v>
      </c>
      <c r="F15" s="277">
        <v>10</v>
      </c>
      <c r="G15" s="277">
        <v>96</v>
      </c>
      <c r="H15" s="680">
        <v>24</v>
      </c>
      <c r="I15" s="719">
        <v>25</v>
      </c>
      <c r="J15" s="720">
        <f t="shared" si="0"/>
        <v>38.75</v>
      </c>
      <c r="K15" s="14">
        <v>80</v>
      </c>
      <c r="L15" s="242" t="s">
        <v>403</v>
      </c>
      <c r="O15" s="232"/>
      <c r="P15" s="657" t="s">
        <v>94</v>
      </c>
      <c r="Q15" s="1161"/>
      <c r="R15" s="1163"/>
      <c r="S15" s="1163"/>
      <c r="T15" s="1161"/>
      <c r="U15" s="33">
        <f t="shared" ref="U15:AD15" si="2">MIN(U10:U12)</f>
        <v>1.1524999999999999</v>
      </c>
      <c r="V15" s="33">
        <f t="shared" si="2"/>
        <v>11.75</v>
      </c>
      <c r="W15" s="33">
        <f t="shared" si="2"/>
        <v>20.25</v>
      </c>
      <c r="X15" s="33">
        <f t="shared" si="2"/>
        <v>7.2174999999999994</v>
      </c>
      <c r="Y15" s="33">
        <f t="shared" si="2"/>
        <v>29.2</v>
      </c>
      <c r="Z15" s="33">
        <f t="shared" si="2"/>
        <v>30</v>
      </c>
      <c r="AA15" s="33">
        <f t="shared" si="2"/>
        <v>84093.593459922675</v>
      </c>
      <c r="AB15" s="34">
        <f t="shared" si="2"/>
        <v>0.15825</v>
      </c>
      <c r="AC15" s="34">
        <f t="shared" si="2"/>
        <v>0.34399999999999997</v>
      </c>
      <c r="AD15" s="664">
        <f t="shared" si="2"/>
        <v>52</v>
      </c>
      <c r="AE15" s="232"/>
    </row>
    <row r="16" spans="1:31">
      <c r="A16" s="9"/>
      <c r="B16" s="895" t="s">
        <v>7</v>
      </c>
      <c r="C16" s="15">
        <v>1</v>
      </c>
      <c r="D16" s="183" t="s">
        <v>396</v>
      </c>
      <c r="E16" s="183" t="s">
        <v>397</v>
      </c>
      <c r="F16" s="276">
        <v>7.68</v>
      </c>
      <c r="G16" s="276">
        <v>6.82</v>
      </c>
      <c r="H16" s="679">
        <v>7.18</v>
      </c>
      <c r="I16" s="67">
        <v>7.71</v>
      </c>
      <c r="J16" s="718">
        <f>IFERROR(AVERAGE(F16:I16), 0)</f>
        <v>7.3475000000000001</v>
      </c>
      <c r="K16" s="17" t="s">
        <v>106</v>
      </c>
      <c r="L16" s="242" t="s">
        <v>398</v>
      </c>
      <c r="O16" s="232"/>
      <c r="P16" s="657" t="s">
        <v>95</v>
      </c>
      <c r="Q16" s="1161"/>
      <c r="R16" s="1163"/>
      <c r="S16" s="1163"/>
      <c r="T16" s="1161"/>
      <c r="U16" s="33">
        <f t="shared" ref="U16:AD16" si="3">MAX(U10:U12)</f>
        <v>1.7825000000000002</v>
      </c>
      <c r="V16" s="33">
        <f t="shared" si="3"/>
        <v>20.75</v>
      </c>
      <c r="W16" s="33">
        <f t="shared" si="3"/>
        <v>38.75</v>
      </c>
      <c r="X16" s="33">
        <f t="shared" si="3"/>
        <v>7.4874999999999998</v>
      </c>
      <c r="Y16" s="33">
        <f t="shared" si="3"/>
        <v>30.25</v>
      </c>
      <c r="Z16" s="33">
        <f t="shared" si="3"/>
        <v>41.25</v>
      </c>
      <c r="AA16" s="33">
        <f t="shared" si="3"/>
        <v>116974.22980185662</v>
      </c>
      <c r="AB16" s="34">
        <f t="shared" si="3"/>
        <v>0.17549999999999999</v>
      </c>
      <c r="AC16" s="34">
        <f t="shared" si="3"/>
        <v>0.58350000000000002</v>
      </c>
      <c r="AD16" s="664">
        <f t="shared" si="3"/>
        <v>167.25</v>
      </c>
      <c r="AE16" s="232"/>
    </row>
    <row r="17" spans="1:31">
      <c r="A17" s="9"/>
      <c r="B17" s="896"/>
      <c r="C17" s="11">
        <v>2</v>
      </c>
      <c r="D17" s="185" t="s">
        <v>399</v>
      </c>
      <c r="E17" s="295" t="s">
        <v>397</v>
      </c>
      <c r="F17" s="277">
        <v>7.51</v>
      </c>
      <c r="G17" s="277">
        <v>6.74</v>
      </c>
      <c r="H17" s="277">
        <v>7.11</v>
      </c>
      <c r="I17" s="721">
        <v>7.51</v>
      </c>
      <c r="J17" s="33">
        <f>IFERROR(AVERAGE(F17:I17), 0)</f>
        <v>7.2174999999999994</v>
      </c>
      <c r="K17" s="18" t="s">
        <v>106</v>
      </c>
      <c r="L17" s="242" t="s">
        <v>400</v>
      </c>
      <c r="O17" s="232"/>
      <c r="P17" s="660" t="s">
        <v>96</v>
      </c>
      <c r="Q17" s="1166"/>
      <c r="R17" s="1166"/>
      <c r="S17" s="1166"/>
      <c r="T17" s="1166"/>
      <c r="U17" s="661" t="s">
        <v>97</v>
      </c>
      <c r="V17" s="661" t="s">
        <v>98</v>
      </c>
      <c r="W17" s="661" t="s">
        <v>99</v>
      </c>
      <c r="X17" s="661" t="s">
        <v>100</v>
      </c>
      <c r="Y17" s="661" t="s">
        <v>101</v>
      </c>
      <c r="Z17" s="661" t="s">
        <v>102</v>
      </c>
      <c r="AA17" s="661" t="s">
        <v>103</v>
      </c>
      <c r="AB17" s="661" t="s">
        <v>98</v>
      </c>
      <c r="AC17" s="661" t="s">
        <v>104</v>
      </c>
      <c r="AD17" s="662" t="s">
        <v>105</v>
      </c>
      <c r="AE17" s="232"/>
    </row>
    <row r="18" spans="1:31">
      <c r="A18" s="9"/>
      <c r="B18" s="897"/>
      <c r="C18" s="11">
        <v>3</v>
      </c>
      <c r="D18" s="208" t="s">
        <v>401</v>
      </c>
      <c r="E18" s="295" t="s">
        <v>402</v>
      </c>
      <c r="F18" s="277">
        <v>7.62</v>
      </c>
      <c r="G18" s="277">
        <v>7.2</v>
      </c>
      <c r="H18" s="277">
        <v>7.5</v>
      </c>
      <c r="I18" s="57">
        <v>7.63</v>
      </c>
      <c r="J18" s="33">
        <f>IFERROR(AVERAGE(F18:I18), 0)</f>
        <v>7.4874999999999998</v>
      </c>
      <c r="K18" s="18" t="s">
        <v>106</v>
      </c>
      <c r="L18" s="242" t="s">
        <v>403</v>
      </c>
      <c r="P18" s="232"/>
      <c r="Q18" s="232"/>
      <c r="R18" s="232"/>
      <c r="S18" s="232"/>
      <c r="T18" s="232"/>
      <c r="U18" s="232"/>
      <c r="V18" s="232"/>
      <c r="W18" s="232"/>
      <c r="X18" s="232"/>
      <c r="Y18" s="232"/>
      <c r="Z18" s="232"/>
      <c r="AA18" s="232"/>
      <c r="AB18" s="232"/>
      <c r="AC18" s="232"/>
      <c r="AD18" s="232"/>
    </row>
    <row r="19" spans="1:31">
      <c r="A19" s="9"/>
      <c r="B19" s="895" t="s">
        <v>108</v>
      </c>
      <c r="C19" s="15">
        <v>1</v>
      </c>
      <c r="D19" s="183" t="s">
        <v>396</v>
      </c>
      <c r="E19" s="183" t="s">
        <v>397</v>
      </c>
      <c r="F19" s="276">
        <v>26.9</v>
      </c>
      <c r="G19" s="276">
        <v>30.4</v>
      </c>
      <c r="H19" s="276">
        <v>30</v>
      </c>
      <c r="I19" s="161">
        <v>29.5</v>
      </c>
      <c r="J19" s="48">
        <f t="shared" si="0"/>
        <v>29.2</v>
      </c>
      <c r="K19" s="17" t="s">
        <v>109</v>
      </c>
      <c r="L19" s="242" t="s">
        <v>398</v>
      </c>
    </row>
    <row r="20" spans="1:31">
      <c r="A20" s="9"/>
      <c r="B20" s="896"/>
      <c r="C20" s="11">
        <v>2</v>
      </c>
      <c r="D20" s="185" t="s">
        <v>399</v>
      </c>
      <c r="E20" s="295" t="s">
        <v>397</v>
      </c>
      <c r="F20" s="277">
        <v>27.1</v>
      </c>
      <c r="G20" s="277">
        <v>30.9</v>
      </c>
      <c r="H20" s="277">
        <v>30.9</v>
      </c>
      <c r="I20" s="57">
        <v>28.9</v>
      </c>
      <c r="J20" s="35">
        <f t="shared" si="0"/>
        <v>29.450000000000003</v>
      </c>
      <c r="K20" s="18" t="s">
        <v>109</v>
      </c>
      <c r="L20" s="242" t="s">
        <v>400</v>
      </c>
    </row>
    <row r="21" spans="1:31">
      <c r="A21" s="9"/>
      <c r="B21" s="897"/>
      <c r="C21" s="11">
        <v>3</v>
      </c>
      <c r="D21" s="208" t="s">
        <v>401</v>
      </c>
      <c r="E21" s="295" t="s">
        <v>402</v>
      </c>
      <c r="F21" s="277">
        <v>27.7</v>
      </c>
      <c r="G21" s="277">
        <v>33.9</v>
      </c>
      <c r="H21" s="277">
        <v>30.5</v>
      </c>
      <c r="I21" s="57">
        <v>28.9</v>
      </c>
      <c r="J21" s="35">
        <f t="shared" si="0"/>
        <v>30.25</v>
      </c>
      <c r="K21" s="18" t="s">
        <v>109</v>
      </c>
      <c r="L21" s="242" t="s">
        <v>403</v>
      </c>
    </row>
    <row r="22" spans="1:31">
      <c r="A22" s="9"/>
      <c r="B22" s="895" t="s">
        <v>110</v>
      </c>
      <c r="C22" s="15">
        <v>1</v>
      </c>
      <c r="D22" s="183" t="s">
        <v>396</v>
      </c>
      <c r="E22" s="183" t="s">
        <v>397</v>
      </c>
      <c r="F22" s="276">
        <v>30</v>
      </c>
      <c r="G22" s="276">
        <v>30</v>
      </c>
      <c r="H22" s="276">
        <v>40</v>
      </c>
      <c r="I22" s="161">
        <v>20</v>
      </c>
      <c r="J22" s="48">
        <f t="shared" si="0"/>
        <v>30</v>
      </c>
      <c r="K22" s="8">
        <v>75</v>
      </c>
      <c r="L22" s="242" t="s">
        <v>398</v>
      </c>
    </row>
    <row r="23" spans="1:31">
      <c r="A23" s="9"/>
      <c r="B23" s="896"/>
      <c r="C23" s="11">
        <v>2</v>
      </c>
      <c r="D23" s="185" t="s">
        <v>399</v>
      </c>
      <c r="E23" s="295" t="s">
        <v>397</v>
      </c>
      <c r="F23" s="277">
        <v>25</v>
      </c>
      <c r="G23" s="277">
        <v>35</v>
      </c>
      <c r="H23" s="277">
        <v>65</v>
      </c>
      <c r="I23" s="57">
        <v>40</v>
      </c>
      <c r="J23" s="35">
        <f t="shared" si="0"/>
        <v>41.25</v>
      </c>
      <c r="K23" s="90">
        <v>75</v>
      </c>
      <c r="L23" s="242" t="s">
        <v>400</v>
      </c>
    </row>
    <row r="24" spans="1:31">
      <c r="A24" s="9"/>
      <c r="B24" s="897"/>
      <c r="C24" s="11">
        <v>3</v>
      </c>
      <c r="D24" s="208" t="s">
        <v>401</v>
      </c>
      <c r="E24" s="295" t="s">
        <v>402</v>
      </c>
      <c r="F24" s="277">
        <v>25</v>
      </c>
      <c r="G24" s="277">
        <v>35</v>
      </c>
      <c r="H24" s="277">
        <v>40</v>
      </c>
      <c r="I24" s="57">
        <v>30</v>
      </c>
      <c r="J24" s="35">
        <f t="shared" si="0"/>
        <v>32.5</v>
      </c>
      <c r="K24" s="14">
        <v>75</v>
      </c>
      <c r="L24" s="242" t="s">
        <v>403</v>
      </c>
    </row>
    <row r="25" spans="1:31" ht="27.75" customHeight="1">
      <c r="A25" s="9"/>
      <c r="B25" s="895" t="s">
        <v>111</v>
      </c>
      <c r="C25" s="15">
        <v>1</v>
      </c>
      <c r="D25" s="183" t="s">
        <v>396</v>
      </c>
      <c r="E25" s="183" t="s">
        <v>397</v>
      </c>
      <c r="F25" s="276">
        <v>4900</v>
      </c>
      <c r="G25" s="278">
        <v>540000</v>
      </c>
      <c r="H25" s="278">
        <v>350000</v>
      </c>
      <c r="I25" s="161">
        <v>54000</v>
      </c>
      <c r="J25" s="49">
        <f>IFERROR(GEOMEAN(F25:I25), "")</f>
        <v>84093.593459922675</v>
      </c>
      <c r="K25" s="8">
        <v>200</v>
      </c>
      <c r="L25" s="242" t="s">
        <v>398</v>
      </c>
    </row>
    <row r="26" spans="1:31" ht="27.75" customHeight="1">
      <c r="A26" s="9"/>
      <c r="B26" s="896"/>
      <c r="C26" s="11">
        <v>2</v>
      </c>
      <c r="D26" s="185" t="s">
        <v>399</v>
      </c>
      <c r="E26" s="295" t="s">
        <v>397</v>
      </c>
      <c r="F26" s="277">
        <v>7900</v>
      </c>
      <c r="G26" s="277">
        <v>280000</v>
      </c>
      <c r="H26" s="277">
        <v>920000</v>
      </c>
      <c r="I26" s="57">
        <v>92000</v>
      </c>
      <c r="J26" s="36">
        <f>IFERROR(GEOMEAN(F26:I26), "")</f>
        <v>116974.22980185662</v>
      </c>
      <c r="K26" s="14">
        <v>200</v>
      </c>
      <c r="L26" s="242" t="s">
        <v>400</v>
      </c>
    </row>
    <row r="27" spans="1:31">
      <c r="A27" s="9"/>
      <c r="B27" s="897"/>
      <c r="C27" s="11">
        <v>3</v>
      </c>
      <c r="D27" s="208" t="s">
        <v>401</v>
      </c>
      <c r="E27" s="295" t="s">
        <v>402</v>
      </c>
      <c r="F27" s="277">
        <v>13000</v>
      </c>
      <c r="G27" s="277">
        <v>1700000</v>
      </c>
      <c r="H27" s="277">
        <v>92000</v>
      </c>
      <c r="I27" s="57">
        <v>92000</v>
      </c>
      <c r="J27" s="36">
        <f>IFERROR(GEOMEAN(F27:I27), "")</f>
        <v>116947.78000258503</v>
      </c>
      <c r="K27" s="14">
        <v>200</v>
      </c>
      <c r="L27" s="242" t="s">
        <v>403</v>
      </c>
    </row>
    <row r="28" spans="1:31">
      <c r="A28" s="9"/>
      <c r="B28" s="895" t="s">
        <v>113</v>
      </c>
      <c r="C28" s="15">
        <v>1</v>
      </c>
      <c r="D28" s="183" t="s">
        <v>396</v>
      </c>
      <c r="E28" s="183" t="s">
        <v>397</v>
      </c>
      <c r="F28" s="279">
        <v>0.42499999999999999</v>
      </c>
      <c r="G28" s="444">
        <v>0.115</v>
      </c>
      <c r="H28" s="444">
        <v>7.3999999999999996E-2</v>
      </c>
      <c r="I28" s="722">
        <v>8.7999999999999995E-2</v>
      </c>
      <c r="J28" s="70">
        <f t="shared" ref="J28:J36" si="4">IFERROR(AVERAGE(F28:I28), 0)</f>
        <v>0.17549999999999999</v>
      </c>
      <c r="K28" s="8">
        <v>7</v>
      </c>
      <c r="L28" s="242" t="s">
        <v>398</v>
      </c>
    </row>
    <row r="29" spans="1:31">
      <c r="A29" s="9"/>
      <c r="B29" s="896"/>
      <c r="C29" s="11">
        <v>2</v>
      </c>
      <c r="D29" s="185" t="s">
        <v>399</v>
      </c>
      <c r="E29" s="295" t="s">
        <v>397</v>
      </c>
      <c r="F29" s="280">
        <v>0.33100000000000002</v>
      </c>
      <c r="G29" s="280">
        <v>7.9000000000000001E-2</v>
      </c>
      <c r="H29" s="280">
        <v>7.5999999999999998E-2</v>
      </c>
      <c r="I29" s="723">
        <v>0.151</v>
      </c>
      <c r="J29" s="34">
        <f t="shared" si="4"/>
        <v>0.15925</v>
      </c>
      <c r="K29" s="14">
        <v>7</v>
      </c>
      <c r="L29" s="242" t="s">
        <v>400</v>
      </c>
    </row>
    <row r="30" spans="1:31">
      <c r="A30" s="9"/>
      <c r="B30" s="897"/>
      <c r="C30" s="11">
        <v>3</v>
      </c>
      <c r="D30" s="208" t="s">
        <v>401</v>
      </c>
      <c r="E30" s="295" t="s">
        <v>402</v>
      </c>
      <c r="F30" s="280">
        <v>0.16600000000000001</v>
      </c>
      <c r="G30" s="280">
        <v>0.23100000000000001</v>
      </c>
      <c r="H30" s="280">
        <v>9.7000000000000003E-2</v>
      </c>
      <c r="I30" s="723">
        <v>0.13900000000000001</v>
      </c>
      <c r="J30" s="34">
        <f t="shared" si="4"/>
        <v>0.15825</v>
      </c>
      <c r="K30" s="14">
        <v>7</v>
      </c>
      <c r="L30" s="242" t="s">
        <v>403</v>
      </c>
    </row>
    <row r="31" spans="1:31">
      <c r="A31" s="9"/>
      <c r="B31" s="895" t="s">
        <v>115</v>
      </c>
      <c r="C31" s="15">
        <v>1</v>
      </c>
      <c r="D31" s="183" t="s">
        <v>396</v>
      </c>
      <c r="E31" s="183" t="s">
        <v>397</v>
      </c>
      <c r="F31" s="279">
        <v>4.7E-2</v>
      </c>
      <c r="G31" s="279">
        <v>0.35799999999999998</v>
      </c>
      <c r="H31" s="279">
        <v>0.56899999999999995</v>
      </c>
      <c r="I31" s="722">
        <v>0.40200000000000002</v>
      </c>
      <c r="J31" s="70">
        <f t="shared" si="4"/>
        <v>0.34399999999999997</v>
      </c>
      <c r="K31" s="8">
        <v>2.5000000000000001E-2</v>
      </c>
      <c r="L31" s="242" t="s">
        <v>398</v>
      </c>
    </row>
    <row r="32" spans="1:31">
      <c r="A32" s="9"/>
      <c r="B32" s="896"/>
      <c r="C32" s="11">
        <v>2</v>
      </c>
      <c r="D32" s="185" t="s">
        <v>399</v>
      </c>
      <c r="E32" s="295" t="s">
        <v>397</v>
      </c>
      <c r="F32" s="280">
        <v>2.3E-2</v>
      </c>
      <c r="G32" s="280">
        <v>0.95799999999999996</v>
      </c>
      <c r="H32" s="280">
        <v>0.69199999999999995</v>
      </c>
      <c r="I32" s="723">
        <v>0.40799999999999997</v>
      </c>
      <c r="J32" s="34">
        <f t="shared" si="4"/>
        <v>0.52024999999999999</v>
      </c>
      <c r="K32" s="14">
        <v>2.5000000000000001E-2</v>
      </c>
      <c r="L32" s="242" t="s">
        <v>400</v>
      </c>
    </row>
    <row r="33" spans="1:12">
      <c r="A33" s="9"/>
      <c r="B33" s="897"/>
      <c r="C33" s="11">
        <v>3</v>
      </c>
      <c r="D33" s="208" t="s">
        <v>401</v>
      </c>
      <c r="E33" s="295" t="s">
        <v>402</v>
      </c>
      <c r="F33" s="280">
        <v>1.0999999999999999E-2</v>
      </c>
      <c r="G33" s="280">
        <v>0.93300000000000005</v>
      </c>
      <c r="H33" s="280">
        <v>0.52700000000000002</v>
      </c>
      <c r="I33" s="723">
        <v>0.86299999999999999</v>
      </c>
      <c r="J33" s="34">
        <f t="shared" si="4"/>
        <v>0.58350000000000002</v>
      </c>
      <c r="K33" s="14">
        <v>2.5000000000000001E-2</v>
      </c>
      <c r="L33" s="242" t="s">
        <v>403</v>
      </c>
    </row>
    <row r="34" spans="1:12">
      <c r="A34" s="9"/>
      <c r="B34" s="895" t="s">
        <v>117</v>
      </c>
      <c r="C34" s="15">
        <v>1</v>
      </c>
      <c r="D34" s="183" t="s">
        <v>396</v>
      </c>
      <c r="E34" s="183" t="s">
        <v>397</v>
      </c>
      <c r="F34" s="276">
        <v>159</v>
      </c>
      <c r="G34" s="276">
        <v>138</v>
      </c>
      <c r="H34" s="276">
        <v>111</v>
      </c>
      <c r="I34" s="161">
        <v>36</v>
      </c>
      <c r="J34" s="48">
        <f t="shared" si="4"/>
        <v>111</v>
      </c>
      <c r="K34" s="8">
        <v>350</v>
      </c>
      <c r="L34" s="242" t="s">
        <v>398</v>
      </c>
    </row>
    <row r="35" spans="1:12">
      <c r="A35" s="9"/>
      <c r="B35" s="896"/>
      <c r="C35" s="11">
        <v>2</v>
      </c>
      <c r="D35" s="185" t="s">
        <v>399</v>
      </c>
      <c r="E35" s="295" t="s">
        <v>397</v>
      </c>
      <c r="F35" s="277">
        <v>297</v>
      </c>
      <c r="G35" s="277">
        <v>148</v>
      </c>
      <c r="H35" s="277">
        <v>198</v>
      </c>
      <c r="I35" s="57">
        <v>26</v>
      </c>
      <c r="J35" s="35">
        <f t="shared" si="4"/>
        <v>167.25</v>
      </c>
      <c r="K35" s="14">
        <v>350</v>
      </c>
      <c r="L35" s="242" t="s">
        <v>400</v>
      </c>
    </row>
    <row r="36" spans="1:12">
      <c r="A36" s="9"/>
      <c r="B36" s="897"/>
      <c r="C36" s="11">
        <v>3</v>
      </c>
      <c r="D36" s="208" t="s">
        <v>401</v>
      </c>
      <c r="E36" s="295" t="s">
        <v>402</v>
      </c>
      <c r="F36" s="277">
        <v>66</v>
      </c>
      <c r="G36" s="277">
        <v>42</v>
      </c>
      <c r="H36" s="277">
        <v>66</v>
      </c>
      <c r="I36" s="57">
        <v>34</v>
      </c>
      <c r="J36" s="35">
        <f t="shared" si="4"/>
        <v>52</v>
      </c>
      <c r="K36" s="14">
        <v>350</v>
      </c>
      <c r="L36" s="242" t="s">
        <v>403</v>
      </c>
    </row>
    <row r="37" spans="1:12" ht="117" customHeight="1">
      <c r="A37" s="9"/>
      <c r="B37" s="149" t="s">
        <v>314</v>
      </c>
      <c r="C37" s="15">
        <v>1</v>
      </c>
      <c r="D37" s="183" t="s">
        <v>396</v>
      </c>
      <c r="E37" s="183" t="s">
        <v>397</v>
      </c>
      <c r="F37" s="267" t="s">
        <v>406</v>
      </c>
      <c r="G37" s="162" t="s">
        <v>407</v>
      </c>
      <c r="H37" s="162" t="s">
        <v>408</v>
      </c>
      <c r="I37" s="162" t="s">
        <v>409</v>
      </c>
      <c r="L37" s="242" t="s">
        <v>398</v>
      </c>
    </row>
    <row r="38" spans="1:12" ht="111.75" customHeight="1">
      <c r="A38" s="9"/>
      <c r="B38" s="10" t="s">
        <v>117</v>
      </c>
      <c r="C38" s="11">
        <v>2</v>
      </c>
      <c r="D38" s="185" t="s">
        <v>399</v>
      </c>
      <c r="E38" s="295" t="s">
        <v>397</v>
      </c>
      <c r="F38" s="266" t="s">
        <v>410</v>
      </c>
      <c r="G38" s="12" t="s">
        <v>411</v>
      </c>
      <c r="H38" s="12" t="s">
        <v>412</v>
      </c>
      <c r="I38" s="12" t="s">
        <v>413</v>
      </c>
      <c r="L38" s="242" t="s">
        <v>400</v>
      </c>
    </row>
    <row r="39" spans="1:12" ht="98.25" customHeight="1">
      <c r="A39" s="9"/>
      <c r="B39" s="10" t="s">
        <v>117</v>
      </c>
      <c r="C39" s="11">
        <v>3</v>
      </c>
      <c r="D39" s="208" t="s">
        <v>401</v>
      </c>
      <c r="E39" s="295" t="s">
        <v>402</v>
      </c>
      <c r="F39" s="266" t="s">
        <v>414</v>
      </c>
      <c r="G39" s="12" t="s">
        <v>415</v>
      </c>
      <c r="H39" s="12" t="s">
        <v>416</v>
      </c>
      <c r="I39" s="12" t="s">
        <v>417</v>
      </c>
      <c r="L39" s="242" t="s">
        <v>403</v>
      </c>
    </row>
    <row r="56" spans="3:19" ht="15" customHeight="1">
      <c r="D56" s="232" t="s">
        <v>418</v>
      </c>
      <c r="E56" s="232"/>
      <c r="F56" s="232"/>
      <c r="G56" s="232"/>
      <c r="H56" s="232"/>
      <c r="I56" s="232"/>
      <c r="J56" s="232"/>
      <c r="K56" s="232"/>
      <c r="L56" s="232"/>
      <c r="M56" s="232"/>
      <c r="N56" s="232"/>
      <c r="O56" s="232"/>
      <c r="P56" s="232"/>
      <c r="Q56" s="232"/>
      <c r="R56" s="232"/>
    </row>
    <row r="57" spans="3:19" ht="15" customHeight="1">
      <c r="C57" s="232"/>
      <c r="D57" s="898" t="s">
        <v>419</v>
      </c>
      <c r="E57" s="899"/>
      <c r="F57" s="899"/>
      <c r="G57" s="899"/>
      <c r="H57" s="899"/>
      <c r="I57" s="899"/>
      <c r="J57" s="899"/>
      <c r="K57" s="899"/>
      <c r="L57" s="899"/>
      <c r="M57" s="899"/>
      <c r="N57" s="899"/>
      <c r="O57" s="899"/>
      <c r="P57" s="899"/>
      <c r="Q57" s="899"/>
      <c r="R57" s="900"/>
      <c r="S57" s="232"/>
    </row>
    <row r="58" spans="3:19" ht="15" customHeight="1">
      <c r="C58" s="232"/>
      <c r="D58" s="901"/>
      <c r="E58" s="902"/>
      <c r="F58" s="902"/>
      <c r="G58" s="902"/>
      <c r="H58" s="902"/>
      <c r="I58" s="902"/>
      <c r="J58" s="902"/>
      <c r="K58" s="902"/>
      <c r="L58" s="902"/>
      <c r="M58" s="902"/>
      <c r="N58" s="902"/>
      <c r="O58" s="902"/>
      <c r="P58" s="902"/>
      <c r="Q58" s="902"/>
      <c r="R58" s="903"/>
      <c r="S58" s="232"/>
    </row>
    <row r="59" spans="3:19" ht="15" customHeight="1">
      <c r="C59" s="232"/>
      <c r="D59" s="901"/>
      <c r="E59" s="902"/>
      <c r="F59" s="902"/>
      <c r="G59" s="902"/>
      <c r="H59" s="902"/>
      <c r="I59" s="902"/>
      <c r="J59" s="902"/>
      <c r="K59" s="902"/>
      <c r="L59" s="902"/>
      <c r="M59" s="902"/>
      <c r="N59" s="902"/>
      <c r="O59" s="902"/>
      <c r="P59" s="902"/>
      <c r="Q59" s="902"/>
      <c r="R59" s="903"/>
      <c r="S59" s="232"/>
    </row>
    <row r="60" spans="3:19" ht="15" customHeight="1">
      <c r="C60" s="232"/>
      <c r="D60" s="901"/>
      <c r="E60" s="902"/>
      <c r="F60" s="902"/>
      <c r="G60" s="902"/>
      <c r="H60" s="902"/>
      <c r="I60" s="902"/>
      <c r="J60" s="902"/>
      <c r="K60" s="902"/>
      <c r="L60" s="902"/>
      <c r="M60" s="902"/>
      <c r="N60" s="902"/>
      <c r="O60" s="902"/>
      <c r="P60" s="902"/>
      <c r="Q60" s="902"/>
      <c r="R60" s="903"/>
      <c r="S60" s="232"/>
    </row>
    <row r="61" spans="3:19" ht="15" customHeight="1">
      <c r="C61" s="232"/>
      <c r="D61" s="901"/>
      <c r="E61" s="902"/>
      <c r="F61" s="902"/>
      <c r="G61" s="902"/>
      <c r="H61" s="902"/>
      <c r="I61" s="902"/>
      <c r="J61" s="902"/>
      <c r="K61" s="902"/>
      <c r="L61" s="902"/>
      <c r="M61" s="902"/>
      <c r="N61" s="902"/>
      <c r="O61" s="902"/>
      <c r="P61" s="902"/>
      <c r="Q61" s="902"/>
      <c r="R61" s="903"/>
      <c r="S61" s="232"/>
    </row>
    <row r="62" spans="3:19" ht="15" customHeight="1">
      <c r="C62" s="232"/>
      <c r="D62" s="901"/>
      <c r="E62" s="902"/>
      <c r="F62" s="902"/>
      <c r="G62" s="902"/>
      <c r="H62" s="902"/>
      <c r="I62" s="902"/>
      <c r="J62" s="902"/>
      <c r="K62" s="902"/>
      <c r="L62" s="902"/>
      <c r="M62" s="902"/>
      <c r="N62" s="902"/>
      <c r="O62" s="902"/>
      <c r="P62" s="902"/>
      <c r="Q62" s="902"/>
      <c r="R62" s="903"/>
      <c r="S62" s="232"/>
    </row>
    <row r="63" spans="3:19" ht="15" customHeight="1">
      <c r="C63" s="232"/>
      <c r="D63" s="901"/>
      <c r="E63" s="902"/>
      <c r="F63" s="902"/>
      <c r="G63" s="902"/>
      <c r="H63" s="902"/>
      <c r="I63" s="902"/>
      <c r="J63" s="902"/>
      <c r="K63" s="902"/>
      <c r="L63" s="902"/>
      <c r="M63" s="902"/>
      <c r="N63" s="902"/>
      <c r="O63" s="902"/>
      <c r="P63" s="902"/>
      <c r="Q63" s="902"/>
      <c r="R63" s="903"/>
      <c r="S63" s="232"/>
    </row>
    <row r="64" spans="3:19" ht="15" customHeight="1">
      <c r="C64" s="232"/>
      <c r="D64" s="901"/>
      <c r="E64" s="902"/>
      <c r="F64" s="902"/>
      <c r="G64" s="902"/>
      <c r="H64" s="902"/>
      <c r="I64" s="902"/>
      <c r="J64" s="902"/>
      <c r="K64" s="902"/>
      <c r="L64" s="902"/>
      <c r="M64" s="902"/>
      <c r="N64" s="902"/>
      <c r="O64" s="902"/>
      <c r="P64" s="902"/>
      <c r="Q64" s="902"/>
      <c r="R64" s="903"/>
      <c r="S64" s="232"/>
    </row>
    <row r="65" spans="3:19" ht="15" customHeight="1">
      <c r="C65" s="232"/>
      <c r="D65" s="904"/>
      <c r="E65" s="905"/>
      <c r="F65" s="905"/>
      <c r="G65" s="905"/>
      <c r="H65" s="905"/>
      <c r="I65" s="905"/>
      <c r="J65" s="905"/>
      <c r="K65" s="905"/>
      <c r="L65" s="905"/>
      <c r="M65" s="905"/>
      <c r="N65" s="905"/>
      <c r="O65" s="905"/>
      <c r="P65" s="905"/>
      <c r="Q65" s="905"/>
      <c r="R65" s="906"/>
      <c r="S65" s="232"/>
    </row>
    <row r="66" spans="3:19" ht="15" customHeight="1">
      <c r="D66" s="232"/>
      <c r="E66" s="232"/>
      <c r="F66" s="232"/>
      <c r="G66" s="232"/>
      <c r="H66" s="232"/>
      <c r="I66" s="232"/>
      <c r="J66" s="232"/>
      <c r="K66" s="232"/>
      <c r="L66" s="232"/>
      <c r="M66" s="232"/>
      <c r="N66" s="232"/>
      <c r="O66" s="232"/>
      <c r="P66" s="232"/>
      <c r="Q66" s="232"/>
      <c r="R66" s="232"/>
    </row>
  </sheetData>
  <mergeCells count="25">
    <mergeCell ref="D57:R65"/>
    <mergeCell ref="C1:K1"/>
    <mergeCell ref="C2:K2"/>
    <mergeCell ref="C3:K3"/>
    <mergeCell ref="C4:K4"/>
    <mergeCell ref="C5:K5"/>
    <mergeCell ref="P13:AD13"/>
    <mergeCell ref="Q14:T17"/>
    <mergeCell ref="P6:AD6"/>
    <mergeCell ref="P7:AD7"/>
    <mergeCell ref="P8:T8"/>
    <mergeCell ref="U8:AD8"/>
    <mergeCell ref="P10:P12"/>
    <mergeCell ref="Q10:Q12"/>
    <mergeCell ref="R10:R12"/>
    <mergeCell ref="B7:B9"/>
    <mergeCell ref="B10:B12"/>
    <mergeCell ref="B13:B15"/>
    <mergeCell ref="B16:B18"/>
    <mergeCell ref="B19:B21"/>
    <mergeCell ref="B22:B24"/>
    <mergeCell ref="B25:B27"/>
    <mergeCell ref="B28:B30"/>
    <mergeCell ref="B31:B33"/>
    <mergeCell ref="B34:B36"/>
  </mergeCells>
  <phoneticPr fontId="18" type="noConversion"/>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385623"/>
    <outlinePr summaryBelow="0" summaryRight="0"/>
  </sheetPr>
  <dimension ref="A1:AD72"/>
  <sheetViews>
    <sheetView workbookViewId="0">
      <pane xSplit="2" ySplit="6" topLeftCell="C7" activePane="bottomRight" state="frozen"/>
      <selection pane="bottomRight" sqref="A1:K71"/>
      <selection pane="bottomLeft" activeCell="A7" sqref="A7"/>
      <selection pane="topRight" activeCell="C1" sqref="C1"/>
    </sheetView>
  </sheetViews>
  <sheetFormatPr defaultColWidth="14.42578125" defaultRowHeight="15" customHeight="1"/>
  <cols>
    <col min="2" max="2" width="21.85546875" customWidth="1"/>
    <col min="4" max="5" width="37.85546875" customWidth="1"/>
    <col min="6" max="6" width="25" customWidth="1"/>
    <col min="12" max="12" width="7.7109375" hidden="1" customWidth="1"/>
    <col min="18" max="18" width="11.85546875" customWidth="1"/>
    <col min="19" max="19" width="35.28515625" bestFit="1" customWidth="1"/>
  </cols>
  <sheetData>
    <row r="1" spans="1:30">
      <c r="A1" s="138"/>
      <c r="B1" s="93"/>
      <c r="C1" s="868" t="s">
        <v>40</v>
      </c>
      <c r="D1" s="1158"/>
      <c r="E1" s="1158"/>
      <c r="F1" s="1158"/>
      <c r="G1" s="1158"/>
      <c r="H1" s="1158"/>
      <c r="I1" s="1158"/>
      <c r="J1" s="1158"/>
      <c r="K1" s="1158"/>
    </row>
    <row r="2" spans="1:30">
      <c r="A2" s="138"/>
      <c r="B2" s="93"/>
      <c r="C2" s="868" t="s">
        <v>41</v>
      </c>
      <c r="D2" s="1158"/>
      <c r="E2" s="1158"/>
      <c r="F2" s="1158"/>
      <c r="G2" s="1158"/>
      <c r="H2" s="1158"/>
      <c r="I2" s="1158"/>
      <c r="J2" s="1158"/>
      <c r="K2" s="1158"/>
    </row>
    <row r="3" spans="1:30">
      <c r="A3" s="139"/>
      <c r="B3" s="86"/>
      <c r="C3" s="869" t="s">
        <v>42</v>
      </c>
      <c r="D3" s="1159"/>
      <c r="E3" s="1159"/>
      <c r="F3" s="1159"/>
      <c r="G3" s="1159"/>
      <c r="H3" s="1159"/>
      <c r="I3" s="1159"/>
      <c r="J3" s="1159"/>
      <c r="K3" s="1159"/>
    </row>
    <row r="4" spans="1:30">
      <c r="A4" s="140"/>
      <c r="B4" s="141"/>
      <c r="C4" s="870" t="s">
        <v>420</v>
      </c>
      <c r="D4" s="1160"/>
      <c r="E4" s="1160"/>
      <c r="F4" s="1160"/>
      <c r="G4" s="1160"/>
      <c r="H4" s="1160"/>
      <c r="I4" s="1160"/>
      <c r="J4" s="1160"/>
      <c r="K4" s="1160"/>
    </row>
    <row r="5" spans="1:30">
      <c r="A5" s="2"/>
      <c r="B5" s="142"/>
      <c r="C5" s="871" t="s">
        <v>421</v>
      </c>
      <c r="D5" s="1159"/>
      <c r="E5" s="1159"/>
      <c r="F5" s="1159"/>
      <c r="G5" s="1159"/>
      <c r="H5" s="1159"/>
      <c r="I5" s="1159"/>
      <c r="J5" s="1159"/>
      <c r="K5" s="1159"/>
    </row>
    <row r="6" spans="1:30">
      <c r="A6" s="3" t="s">
        <v>45</v>
      </c>
      <c r="B6" s="4" t="s">
        <v>46</v>
      </c>
      <c r="C6" s="4" t="s">
        <v>47</v>
      </c>
      <c r="D6" s="4" t="s">
        <v>48</v>
      </c>
      <c r="E6" s="4" t="s">
        <v>49</v>
      </c>
      <c r="F6" s="5" t="s">
        <v>392</v>
      </c>
      <c r="G6" s="4" t="s">
        <v>393</v>
      </c>
      <c r="H6" s="136" t="s">
        <v>394</v>
      </c>
      <c r="I6" s="4" t="s">
        <v>395</v>
      </c>
      <c r="J6" s="3" t="s">
        <v>62</v>
      </c>
      <c r="K6" s="38" t="s">
        <v>63</v>
      </c>
      <c r="L6" s="253" t="s">
        <v>64</v>
      </c>
      <c r="O6" s="232"/>
      <c r="P6" s="232"/>
      <c r="Q6" s="232"/>
      <c r="R6" s="232"/>
      <c r="S6" s="232"/>
      <c r="T6" s="232"/>
      <c r="U6" s="232"/>
      <c r="V6" s="232"/>
      <c r="W6" s="232"/>
      <c r="X6" s="232"/>
      <c r="Y6" s="232"/>
      <c r="Z6" s="232"/>
      <c r="AA6" s="232"/>
      <c r="AB6" s="232"/>
      <c r="AC6" s="232"/>
    </row>
    <row r="7" spans="1:30">
      <c r="A7" s="39" t="s">
        <v>65</v>
      </c>
      <c r="B7" s="6" t="s">
        <v>66</v>
      </c>
      <c r="C7" s="15">
        <v>1</v>
      </c>
      <c r="D7" s="41" t="s">
        <v>422</v>
      </c>
      <c r="E7" s="41" t="s">
        <v>423</v>
      </c>
      <c r="F7" s="261">
        <v>3.54</v>
      </c>
      <c r="G7" s="42">
        <v>3.33</v>
      </c>
      <c r="H7" s="42">
        <v>5.25</v>
      </c>
      <c r="I7" s="42">
        <v>5.03</v>
      </c>
      <c r="J7" s="43">
        <f t="shared" ref="J7:J30" si="0">IFERROR(AVERAGE(F7:I7), 0)</f>
        <v>4.2875000000000005</v>
      </c>
      <c r="K7" s="8">
        <v>5</v>
      </c>
      <c r="L7" s="250" t="s">
        <v>424</v>
      </c>
      <c r="N7" s="232"/>
      <c r="O7" s="853" t="s">
        <v>70</v>
      </c>
      <c r="P7" s="853"/>
      <c r="Q7" s="853"/>
      <c r="R7" s="853"/>
      <c r="S7" s="853"/>
      <c r="T7" s="853"/>
      <c r="U7" s="853"/>
      <c r="V7" s="853"/>
      <c r="W7" s="853"/>
      <c r="X7" s="853"/>
      <c r="Y7" s="853"/>
      <c r="Z7" s="853"/>
      <c r="AA7" s="853"/>
      <c r="AB7" s="853"/>
      <c r="AC7" s="853"/>
      <c r="AD7" s="232"/>
    </row>
    <row r="8" spans="1:30">
      <c r="A8" s="9"/>
      <c r="B8" s="10" t="s">
        <v>66</v>
      </c>
      <c r="C8" s="11">
        <v>2</v>
      </c>
      <c r="D8" s="156" t="s">
        <v>425</v>
      </c>
      <c r="E8" s="296" t="s">
        <v>426</v>
      </c>
      <c r="F8" s="262">
        <v>2.58</v>
      </c>
      <c r="G8" s="45">
        <v>3.28</v>
      </c>
      <c r="H8" s="45">
        <v>4.97</v>
      </c>
      <c r="I8" s="45">
        <v>4.95</v>
      </c>
      <c r="J8" s="33">
        <f t="shared" si="0"/>
        <v>3.9449999999999994</v>
      </c>
      <c r="K8" s="14">
        <v>5</v>
      </c>
      <c r="L8" s="250" t="s">
        <v>427</v>
      </c>
      <c r="N8" s="232"/>
      <c r="O8" s="853" t="s">
        <v>107</v>
      </c>
      <c r="P8" s="853"/>
      <c r="Q8" s="853"/>
      <c r="R8" s="853"/>
      <c r="S8" s="853"/>
      <c r="T8" s="853"/>
      <c r="U8" s="853"/>
      <c r="V8" s="853"/>
      <c r="W8" s="853"/>
      <c r="X8" s="853"/>
      <c r="Y8" s="853"/>
      <c r="Z8" s="853"/>
      <c r="AA8" s="853"/>
      <c r="AB8" s="853"/>
      <c r="AC8" s="853"/>
      <c r="AD8" s="232"/>
    </row>
    <row r="9" spans="1:30">
      <c r="A9" s="9"/>
      <c r="B9" s="10" t="s">
        <v>66</v>
      </c>
      <c r="C9" s="11">
        <v>3</v>
      </c>
      <c r="D9" s="156" t="s">
        <v>428</v>
      </c>
      <c r="E9" s="296" t="s">
        <v>429</v>
      </c>
      <c r="F9" s="262">
        <v>4.03</v>
      </c>
      <c r="G9" s="45">
        <v>3.51</v>
      </c>
      <c r="H9" s="45">
        <v>4.83</v>
      </c>
      <c r="I9" s="45">
        <v>5.25</v>
      </c>
      <c r="J9" s="33">
        <f t="shared" si="0"/>
        <v>4.4050000000000002</v>
      </c>
      <c r="K9" s="14">
        <v>5</v>
      </c>
      <c r="L9" s="250" t="s">
        <v>430</v>
      </c>
      <c r="N9" s="232"/>
      <c r="O9" s="848"/>
      <c r="P9" s="848"/>
      <c r="Q9" s="848"/>
      <c r="R9" s="848"/>
      <c r="S9" s="848"/>
      <c r="T9" s="848" t="s">
        <v>78</v>
      </c>
      <c r="U9" s="1161"/>
      <c r="V9" s="1161"/>
      <c r="W9" s="1161"/>
      <c r="X9" s="1161"/>
      <c r="Y9" s="1161"/>
      <c r="Z9" s="1161"/>
      <c r="AA9" s="1161"/>
      <c r="AB9" s="1161"/>
      <c r="AC9" s="1161"/>
      <c r="AD9" s="232"/>
    </row>
    <row r="10" spans="1:30">
      <c r="A10" s="9"/>
      <c r="B10" s="10" t="s">
        <v>66</v>
      </c>
      <c r="C10" s="11">
        <v>4</v>
      </c>
      <c r="D10" s="156" t="s">
        <v>431</v>
      </c>
      <c r="E10" s="296" t="s">
        <v>432</v>
      </c>
      <c r="F10" s="262">
        <v>2.33</v>
      </c>
      <c r="G10" s="45">
        <v>3.17</v>
      </c>
      <c r="H10" s="45">
        <v>4.8600000000000003</v>
      </c>
      <c r="I10" s="45">
        <v>5.13</v>
      </c>
      <c r="J10" s="33">
        <f t="shared" si="0"/>
        <v>3.8724999999999996</v>
      </c>
      <c r="K10" s="14">
        <v>5</v>
      </c>
      <c r="L10" s="250" t="s">
        <v>433</v>
      </c>
      <c r="N10" s="232"/>
      <c r="O10" s="14" t="s">
        <v>82</v>
      </c>
      <c r="P10" s="14" t="s">
        <v>83</v>
      </c>
      <c r="Q10" s="14" t="s">
        <v>84</v>
      </c>
      <c r="R10" s="14" t="s">
        <v>85</v>
      </c>
      <c r="S10" s="14" t="s">
        <v>86</v>
      </c>
      <c r="T10" s="14" t="s">
        <v>4</v>
      </c>
      <c r="U10" s="14" t="s">
        <v>5</v>
      </c>
      <c r="V10" s="14" t="s">
        <v>6</v>
      </c>
      <c r="W10" s="14" t="s">
        <v>7</v>
      </c>
      <c r="X10" s="14" t="s">
        <v>8</v>
      </c>
      <c r="Y10" s="14" t="s">
        <v>9</v>
      </c>
      <c r="Z10" s="14" t="s">
        <v>10</v>
      </c>
      <c r="AA10" s="14" t="s">
        <v>11</v>
      </c>
      <c r="AB10" s="14" t="s">
        <v>12</v>
      </c>
      <c r="AC10" s="14" t="s">
        <v>13</v>
      </c>
      <c r="AD10" s="232"/>
    </row>
    <row r="11" spans="1:30" ht="15" customHeight="1">
      <c r="A11" s="9"/>
      <c r="B11" s="149" t="s">
        <v>91</v>
      </c>
      <c r="C11" s="15">
        <v>1</v>
      </c>
      <c r="D11" s="41" t="s">
        <v>422</v>
      </c>
      <c r="E11" s="41" t="s">
        <v>423</v>
      </c>
      <c r="F11" s="263">
        <v>5</v>
      </c>
      <c r="G11" s="42">
        <v>4</v>
      </c>
      <c r="H11" s="42">
        <v>6</v>
      </c>
      <c r="I11" s="42">
        <v>8</v>
      </c>
      <c r="J11" s="43">
        <f t="shared" si="0"/>
        <v>5.75</v>
      </c>
      <c r="K11" s="8">
        <v>7</v>
      </c>
      <c r="L11" s="250" t="s">
        <v>424</v>
      </c>
      <c r="N11" s="232"/>
      <c r="O11" s="909" t="s">
        <v>434</v>
      </c>
      <c r="P11" s="909" t="s">
        <v>420</v>
      </c>
      <c r="Q11" s="909" t="s">
        <v>16</v>
      </c>
      <c r="R11" s="32">
        <v>1</v>
      </c>
      <c r="S11" s="65" t="s">
        <v>422</v>
      </c>
      <c r="T11" s="33">
        <f>J7</f>
        <v>4.2875000000000005</v>
      </c>
      <c r="U11" s="33">
        <f>J11</f>
        <v>5.75</v>
      </c>
      <c r="V11" s="33">
        <f>J15</f>
        <v>33.5</v>
      </c>
      <c r="W11" s="33">
        <f>J19</f>
        <v>7.46</v>
      </c>
      <c r="X11" s="33">
        <f>J23</f>
        <v>28.024999999999999</v>
      </c>
      <c r="Y11" s="33">
        <f>J27</f>
        <v>21.25</v>
      </c>
      <c r="Z11" s="33">
        <f>J31</f>
        <v>28359.103838367741</v>
      </c>
      <c r="AA11" s="34">
        <f>J35</f>
        <v>0.50249999999999995</v>
      </c>
      <c r="AB11" s="34">
        <f>J39</f>
        <v>0.26700000000000002</v>
      </c>
      <c r="AC11" s="33">
        <f>J43</f>
        <v>77.25</v>
      </c>
      <c r="AD11" s="232"/>
    </row>
    <row r="12" spans="1:30">
      <c r="A12" s="9"/>
      <c r="B12" s="10" t="s">
        <v>91</v>
      </c>
      <c r="C12" s="11">
        <v>2</v>
      </c>
      <c r="D12" s="156" t="s">
        <v>425</v>
      </c>
      <c r="E12" s="296" t="s">
        <v>426</v>
      </c>
      <c r="F12" s="262">
        <v>5</v>
      </c>
      <c r="G12" s="45">
        <v>4</v>
      </c>
      <c r="H12" s="45">
        <v>4</v>
      </c>
      <c r="I12" s="45">
        <v>6</v>
      </c>
      <c r="J12" s="33">
        <f t="shared" si="0"/>
        <v>4.75</v>
      </c>
      <c r="K12" s="14">
        <v>7</v>
      </c>
      <c r="L12" s="250" t="s">
        <v>427</v>
      </c>
      <c r="N12" s="232"/>
      <c r="O12" s="910"/>
      <c r="P12" s="910"/>
      <c r="Q12" s="910"/>
      <c r="R12" s="32">
        <v>2</v>
      </c>
      <c r="S12" s="65" t="s">
        <v>425</v>
      </c>
      <c r="T12" s="33">
        <f t="shared" ref="T12:T14" si="1">J8</f>
        <v>3.9449999999999994</v>
      </c>
      <c r="U12" s="33">
        <f t="shared" ref="U12:U14" si="2">J12</f>
        <v>4.75</v>
      </c>
      <c r="V12" s="33">
        <f t="shared" ref="V12:V14" si="3">J16</f>
        <v>20</v>
      </c>
      <c r="W12" s="33">
        <f t="shared" ref="W12:W14" si="4">J20</f>
        <v>7.5650000000000004</v>
      </c>
      <c r="X12" s="33">
        <f t="shared" ref="X12:X14" si="5">J24</f>
        <v>28.182500000000001</v>
      </c>
      <c r="Y12" s="33">
        <f t="shared" ref="Y12:Y14" si="6">J28</f>
        <v>21.25</v>
      </c>
      <c r="Z12" s="33">
        <f t="shared" ref="Z12:Z14" si="7">J32</f>
        <v>111878.81219421793</v>
      </c>
      <c r="AA12" s="34">
        <f t="shared" ref="AA12:AA14" si="8">J36</f>
        <v>0.46549999999999997</v>
      </c>
      <c r="AB12" s="34">
        <f t="shared" ref="AB12:AB14" si="9">J40</f>
        <v>0.29700000000000004</v>
      </c>
      <c r="AC12" s="33">
        <f t="shared" ref="AC12:AC14" si="10">J44</f>
        <v>71.25</v>
      </c>
      <c r="AD12" s="232"/>
    </row>
    <row r="13" spans="1:30">
      <c r="A13" s="9"/>
      <c r="B13" s="10" t="s">
        <v>91</v>
      </c>
      <c r="C13" s="11">
        <v>3</v>
      </c>
      <c r="D13" s="156" t="s">
        <v>428</v>
      </c>
      <c r="E13" s="296" t="s">
        <v>429</v>
      </c>
      <c r="F13" s="262">
        <v>5</v>
      </c>
      <c r="G13" s="45">
        <v>5</v>
      </c>
      <c r="H13" s="45">
        <v>4</v>
      </c>
      <c r="I13" s="45">
        <v>5</v>
      </c>
      <c r="J13" s="33">
        <f t="shared" si="0"/>
        <v>4.75</v>
      </c>
      <c r="K13" s="14">
        <v>7</v>
      </c>
      <c r="L13" s="250" t="s">
        <v>430</v>
      </c>
      <c r="N13" s="232"/>
      <c r="O13" s="910"/>
      <c r="P13" s="910"/>
      <c r="Q13" s="910"/>
      <c r="R13" s="32">
        <v>3</v>
      </c>
      <c r="S13" s="65" t="s">
        <v>428</v>
      </c>
      <c r="T13" s="33">
        <f t="shared" si="1"/>
        <v>4.4050000000000002</v>
      </c>
      <c r="U13" s="33">
        <f t="shared" si="2"/>
        <v>4.75</v>
      </c>
      <c r="V13" s="33">
        <f t="shared" si="3"/>
        <v>30.5</v>
      </c>
      <c r="W13" s="33">
        <f t="shared" si="4"/>
        <v>7.5774999999999997</v>
      </c>
      <c r="X13" s="33">
        <f t="shared" si="5"/>
        <v>28.35</v>
      </c>
      <c r="Y13" s="33">
        <f t="shared" si="6"/>
        <v>20</v>
      </c>
      <c r="Z13" s="33">
        <f t="shared" si="7"/>
        <v>58420.173238636045</v>
      </c>
      <c r="AA13" s="34">
        <f t="shared" si="8"/>
        <v>0.39249999999999996</v>
      </c>
      <c r="AB13" s="34">
        <f t="shared" si="9"/>
        <v>0.27124999999999999</v>
      </c>
      <c r="AC13" s="33">
        <f t="shared" si="10"/>
        <v>51.25</v>
      </c>
      <c r="AD13" s="232"/>
    </row>
    <row r="14" spans="1:30">
      <c r="A14" s="9"/>
      <c r="B14" s="10" t="s">
        <v>91</v>
      </c>
      <c r="C14" s="11">
        <v>4</v>
      </c>
      <c r="D14" s="156" t="s">
        <v>431</v>
      </c>
      <c r="E14" s="296" t="s">
        <v>432</v>
      </c>
      <c r="F14" s="262">
        <v>3</v>
      </c>
      <c r="G14" s="45">
        <v>6</v>
      </c>
      <c r="H14" s="45">
        <v>6</v>
      </c>
      <c r="I14" s="45">
        <v>4</v>
      </c>
      <c r="J14" s="33">
        <f t="shared" si="0"/>
        <v>4.75</v>
      </c>
      <c r="K14" s="14">
        <v>7</v>
      </c>
      <c r="L14" s="250" t="s">
        <v>433</v>
      </c>
      <c r="N14" s="232"/>
      <c r="O14" s="911"/>
      <c r="P14" s="911"/>
      <c r="Q14" s="911"/>
      <c r="R14" s="231">
        <v>4</v>
      </c>
      <c r="S14" s="231" t="s">
        <v>431</v>
      </c>
      <c r="T14" s="33">
        <f t="shared" si="1"/>
        <v>3.8724999999999996</v>
      </c>
      <c r="U14" s="33">
        <f t="shared" si="2"/>
        <v>4.75</v>
      </c>
      <c r="V14" s="33">
        <f t="shared" si="3"/>
        <v>29.5</v>
      </c>
      <c r="W14" s="33">
        <f t="shared" si="4"/>
        <v>7.5424999999999995</v>
      </c>
      <c r="X14" s="33">
        <f t="shared" si="5"/>
        <v>28.457499999999996</v>
      </c>
      <c r="Y14" s="33">
        <f t="shared" si="6"/>
        <v>18.75</v>
      </c>
      <c r="Z14" s="33">
        <f t="shared" si="7"/>
        <v>34760.199836456894</v>
      </c>
      <c r="AA14" s="34">
        <f t="shared" si="8"/>
        <v>0.33899999999999997</v>
      </c>
      <c r="AB14" s="34">
        <f t="shared" si="9"/>
        <v>0.30449999999999999</v>
      </c>
      <c r="AC14" s="33">
        <f t="shared" si="10"/>
        <v>186.5</v>
      </c>
      <c r="AD14" s="232"/>
    </row>
    <row r="15" spans="1:30">
      <c r="A15" s="9"/>
      <c r="B15" s="149" t="s">
        <v>92</v>
      </c>
      <c r="C15" s="15">
        <v>1</v>
      </c>
      <c r="D15" s="41" t="s">
        <v>422</v>
      </c>
      <c r="E15" s="41" t="s">
        <v>423</v>
      </c>
      <c r="F15" s="263">
        <v>53</v>
      </c>
      <c r="G15" s="42">
        <v>16</v>
      </c>
      <c r="H15" s="42">
        <v>16</v>
      </c>
      <c r="I15" s="42">
        <v>49</v>
      </c>
      <c r="J15" s="48">
        <f t="shared" si="0"/>
        <v>33.5</v>
      </c>
      <c r="K15" s="8">
        <v>80</v>
      </c>
      <c r="L15" s="250" t="s">
        <v>424</v>
      </c>
      <c r="N15" s="232"/>
      <c r="O15" s="848"/>
      <c r="P15" s="848"/>
      <c r="Q15" s="848"/>
      <c r="R15" s="848"/>
      <c r="S15" s="848"/>
      <c r="T15" s="848"/>
      <c r="U15" s="848"/>
      <c r="V15" s="848"/>
      <c r="W15" s="848"/>
      <c r="X15" s="848"/>
      <c r="Y15" s="848"/>
      <c r="Z15" s="848"/>
      <c r="AA15" s="848"/>
      <c r="AB15" s="848"/>
      <c r="AC15" s="848"/>
      <c r="AD15" s="232"/>
    </row>
    <row r="16" spans="1:30">
      <c r="A16" s="9"/>
      <c r="B16" s="10" t="s">
        <v>92</v>
      </c>
      <c r="C16" s="11">
        <v>2</v>
      </c>
      <c r="D16" s="156" t="s">
        <v>425</v>
      </c>
      <c r="E16" s="296" t="s">
        <v>426</v>
      </c>
      <c r="F16" s="262">
        <v>25</v>
      </c>
      <c r="G16" s="45">
        <v>16</v>
      </c>
      <c r="H16" s="45">
        <v>11</v>
      </c>
      <c r="I16" s="45">
        <v>28</v>
      </c>
      <c r="J16" s="35">
        <f t="shared" si="0"/>
        <v>20</v>
      </c>
      <c r="K16" s="14">
        <v>80</v>
      </c>
      <c r="L16" s="250" t="s">
        <v>427</v>
      </c>
      <c r="N16" s="232"/>
      <c r="O16" s="14" t="s">
        <v>93</v>
      </c>
      <c r="P16" s="14"/>
      <c r="Q16" s="273"/>
      <c r="R16" s="273"/>
      <c r="S16" s="273"/>
      <c r="T16" s="33">
        <f>AVERAGE(T11:T13)</f>
        <v>4.2124999999999995</v>
      </c>
      <c r="U16" s="33">
        <f>AVERAGE(U11:U13)</f>
        <v>5.083333333333333</v>
      </c>
      <c r="V16" s="33">
        <f>AVERAGE(V11:V13)</f>
        <v>28</v>
      </c>
      <c r="W16" s="33">
        <f>AVERAGE(W11:W13)</f>
        <v>7.5341666666666667</v>
      </c>
      <c r="X16" s="33">
        <f>AVERAGE(X11:X13)</f>
        <v>28.185833333333335</v>
      </c>
      <c r="Y16" s="33">
        <f>AVERAGE(Y11:Y13)</f>
        <v>20.833333333333332</v>
      </c>
      <c r="Z16" s="33">
        <f>AVERAGE(Z11:Z13)</f>
        <v>66219.363090407234</v>
      </c>
      <c r="AA16" s="33">
        <f>AVERAGE(AA11:AA13)</f>
        <v>0.45350000000000001</v>
      </c>
      <c r="AB16" s="33">
        <f>AVERAGE(AB11:AB13)</f>
        <v>0.2784166666666667</v>
      </c>
      <c r="AC16" s="33">
        <f>AVERAGE(AC11:AC13)</f>
        <v>66.583333333333329</v>
      </c>
      <c r="AD16" s="232"/>
    </row>
    <row r="17" spans="1:30">
      <c r="A17" s="9"/>
      <c r="B17" s="10" t="s">
        <v>92</v>
      </c>
      <c r="C17" s="11">
        <v>3</v>
      </c>
      <c r="D17" s="156" t="s">
        <v>428</v>
      </c>
      <c r="E17" s="296" t="s">
        <v>429</v>
      </c>
      <c r="F17" s="262">
        <v>29</v>
      </c>
      <c r="G17" s="45">
        <v>55</v>
      </c>
      <c r="H17" s="45">
        <v>13</v>
      </c>
      <c r="I17" s="45">
        <v>25</v>
      </c>
      <c r="J17" s="35">
        <f t="shared" si="0"/>
        <v>30.5</v>
      </c>
      <c r="K17" s="14">
        <v>80</v>
      </c>
      <c r="L17" s="250" t="s">
        <v>430</v>
      </c>
      <c r="N17" s="232"/>
      <c r="O17" s="14" t="s">
        <v>94</v>
      </c>
      <c r="P17" s="273"/>
      <c r="Q17" s="231"/>
      <c r="R17" s="231"/>
      <c r="S17" s="273"/>
      <c r="T17" s="33">
        <f>MIN(T11:T13)</f>
        <v>3.9449999999999994</v>
      </c>
      <c r="U17" s="33">
        <f>MIN(U11:U13)</f>
        <v>4.75</v>
      </c>
      <c r="V17" s="33">
        <f>MIN(V11:V13)</f>
        <v>20</v>
      </c>
      <c r="W17" s="33">
        <f>MIN(W11:W13)</f>
        <v>7.46</v>
      </c>
      <c r="X17" s="33">
        <f>MIN(X11:X13)</f>
        <v>28.024999999999999</v>
      </c>
      <c r="Y17" s="33">
        <f>MIN(Y11:Y13)</f>
        <v>20</v>
      </c>
      <c r="Z17" s="33">
        <f>MIN(Z11:Z13)</f>
        <v>28359.103838367741</v>
      </c>
      <c r="AA17" s="33">
        <f>MIN(AA11:AA13)</f>
        <v>0.39249999999999996</v>
      </c>
      <c r="AB17" s="33">
        <f>MIN(AB11:AB13)</f>
        <v>0.26700000000000002</v>
      </c>
      <c r="AC17" s="33">
        <f>MIN(AC11:AC13)</f>
        <v>51.25</v>
      </c>
      <c r="AD17" s="232"/>
    </row>
    <row r="18" spans="1:30">
      <c r="A18" s="9"/>
      <c r="B18" s="10" t="s">
        <v>92</v>
      </c>
      <c r="C18" s="11">
        <v>4</v>
      </c>
      <c r="D18" s="156" t="s">
        <v>431</v>
      </c>
      <c r="E18" s="296" t="s">
        <v>432</v>
      </c>
      <c r="F18" s="262">
        <v>52</v>
      </c>
      <c r="G18" s="45">
        <v>28</v>
      </c>
      <c r="H18" s="45">
        <v>5</v>
      </c>
      <c r="I18" s="45">
        <v>33</v>
      </c>
      <c r="J18" s="35">
        <f t="shared" si="0"/>
        <v>29.5</v>
      </c>
      <c r="K18" s="14">
        <v>80</v>
      </c>
      <c r="L18" s="250" t="s">
        <v>433</v>
      </c>
      <c r="N18" s="232"/>
      <c r="O18" s="14" t="s">
        <v>95</v>
      </c>
      <c r="P18" s="273"/>
      <c r="Q18" s="231"/>
      <c r="R18" s="231"/>
      <c r="S18" s="273"/>
      <c r="T18" s="33">
        <f>MAX(T11:T13)</f>
        <v>4.4050000000000002</v>
      </c>
      <c r="U18" s="33">
        <f>MAX(U11:U13)</f>
        <v>5.75</v>
      </c>
      <c r="V18" s="33">
        <f>MAX(V11:V13)</f>
        <v>33.5</v>
      </c>
      <c r="W18" s="33">
        <f>MAX(W11:W13)</f>
        <v>7.5774999999999997</v>
      </c>
      <c r="X18" s="33">
        <f>MAX(X11:X13)</f>
        <v>28.35</v>
      </c>
      <c r="Y18" s="33">
        <f>MAX(Y11:Y13)</f>
        <v>21.25</v>
      </c>
      <c r="Z18" s="33">
        <f>MAX(Z11:Z13)</f>
        <v>111878.81219421793</v>
      </c>
      <c r="AA18" s="33">
        <f>MAX(AA11:AA13)</f>
        <v>0.50249999999999995</v>
      </c>
      <c r="AB18" s="33">
        <f>MAX(AB11:AB13)</f>
        <v>0.29700000000000004</v>
      </c>
      <c r="AC18" s="33">
        <f>MAX(AC11:AC13)</f>
        <v>77.25</v>
      </c>
      <c r="AD18" s="232"/>
    </row>
    <row r="19" spans="1:30">
      <c r="A19" s="9"/>
      <c r="B19" s="149" t="s">
        <v>7</v>
      </c>
      <c r="C19" s="15">
        <v>1</v>
      </c>
      <c r="D19" s="41" t="s">
        <v>422</v>
      </c>
      <c r="E19" s="41" t="s">
        <v>423</v>
      </c>
      <c r="F19" s="263">
        <v>7.84</v>
      </c>
      <c r="G19" s="42">
        <v>7.2</v>
      </c>
      <c r="H19" s="42">
        <v>7.21</v>
      </c>
      <c r="I19" s="42">
        <v>7.59</v>
      </c>
      <c r="J19" s="48">
        <f t="shared" si="0"/>
        <v>7.46</v>
      </c>
      <c r="K19" s="17" t="s">
        <v>106</v>
      </c>
      <c r="L19" s="250" t="s">
        <v>424</v>
      </c>
      <c r="N19" s="232"/>
      <c r="O19" s="14" t="s">
        <v>96</v>
      </c>
      <c r="P19" s="273"/>
      <c r="Q19" s="273"/>
      <c r="R19" s="273"/>
      <c r="S19" s="273"/>
      <c r="T19" s="29" t="s">
        <v>97</v>
      </c>
      <c r="U19" s="29" t="s">
        <v>98</v>
      </c>
      <c r="V19" s="29" t="s">
        <v>99</v>
      </c>
      <c r="W19" s="29" t="s">
        <v>100</v>
      </c>
      <c r="X19" s="29" t="s">
        <v>101</v>
      </c>
      <c r="Y19" s="29" t="s">
        <v>102</v>
      </c>
      <c r="Z19" s="29" t="s">
        <v>103</v>
      </c>
      <c r="AA19" s="29" t="s">
        <v>98</v>
      </c>
      <c r="AB19" s="29" t="s">
        <v>104</v>
      </c>
      <c r="AC19" s="29" t="s">
        <v>105</v>
      </c>
      <c r="AD19" s="232"/>
    </row>
    <row r="20" spans="1:30">
      <c r="A20" s="9"/>
      <c r="B20" s="10" t="s">
        <v>7</v>
      </c>
      <c r="C20" s="11">
        <v>2</v>
      </c>
      <c r="D20" s="156" t="s">
        <v>425</v>
      </c>
      <c r="E20" s="296" t="s">
        <v>426</v>
      </c>
      <c r="F20" s="262">
        <v>8.02</v>
      </c>
      <c r="G20" s="45">
        <v>7.35</v>
      </c>
      <c r="H20" s="45">
        <v>7.23</v>
      </c>
      <c r="I20" s="45">
        <v>7.66</v>
      </c>
      <c r="J20" s="35">
        <f t="shared" si="0"/>
        <v>7.5650000000000004</v>
      </c>
      <c r="K20" s="18" t="s">
        <v>106</v>
      </c>
      <c r="L20" s="250" t="s">
        <v>427</v>
      </c>
      <c r="O20" s="232"/>
      <c r="P20" s="232"/>
      <c r="Q20" s="232"/>
      <c r="R20" s="232"/>
      <c r="S20" s="232"/>
      <c r="T20" s="232"/>
      <c r="U20" s="232"/>
      <c r="V20" s="232"/>
      <c r="W20" s="232"/>
      <c r="X20" s="232"/>
      <c r="Y20" s="232"/>
      <c r="Z20" s="232"/>
      <c r="AA20" s="232"/>
      <c r="AB20" s="232"/>
      <c r="AC20" s="232"/>
    </row>
    <row r="21" spans="1:30">
      <c r="A21" s="9"/>
      <c r="B21" s="10" t="s">
        <v>7</v>
      </c>
      <c r="C21" s="11">
        <v>3</v>
      </c>
      <c r="D21" s="156" t="s">
        <v>428</v>
      </c>
      <c r="E21" s="296" t="s">
        <v>429</v>
      </c>
      <c r="F21" s="262">
        <v>8.1999999999999993</v>
      </c>
      <c r="G21" s="45">
        <v>7.31</v>
      </c>
      <c r="H21" s="45">
        <v>7.21</v>
      </c>
      <c r="I21" s="45">
        <v>7.59</v>
      </c>
      <c r="J21" s="35">
        <f t="shared" si="0"/>
        <v>7.5774999999999997</v>
      </c>
      <c r="K21" s="18" t="s">
        <v>106</v>
      </c>
      <c r="L21" s="250" t="s">
        <v>430</v>
      </c>
    </row>
    <row r="22" spans="1:30">
      <c r="A22" s="9"/>
      <c r="B22" s="10" t="s">
        <v>7</v>
      </c>
      <c r="C22" s="11">
        <v>4</v>
      </c>
      <c r="D22" s="156" t="s">
        <v>431</v>
      </c>
      <c r="E22" s="296" t="s">
        <v>432</v>
      </c>
      <c r="F22" s="262">
        <v>8.06</v>
      </c>
      <c r="G22" s="45">
        <v>7.28</v>
      </c>
      <c r="H22" s="45">
        <v>7.2</v>
      </c>
      <c r="I22" s="45">
        <v>7.63</v>
      </c>
      <c r="J22" s="35">
        <f t="shared" si="0"/>
        <v>7.5424999999999995</v>
      </c>
      <c r="K22" s="18" t="s">
        <v>106</v>
      </c>
      <c r="L22" s="250" t="s">
        <v>433</v>
      </c>
    </row>
    <row r="23" spans="1:30">
      <c r="A23" s="9"/>
      <c r="B23" s="149" t="s">
        <v>108</v>
      </c>
      <c r="C23" s="15">
        <v>1</v>
      </c>
      <c r="D23" s="41" t="s">
        <v>422</v>
      </c>
      <c r="E23" s="41" t="s">
        <v>423</v>
      </c>
      <c r="F23" s="263">
        <v>26.2</v>
      </c>
      <c r="G23" s="42">
        <v>27.4</v>
      </c>
      <c r="H23" s="42">
        <v>29.8</v>
      </c>
      <c r="I23" s="42">
        <v>28.7</v>
      </c>
      <c r="J23" s="48">
        <f t="shared" si="0"/>
        <v>28.024999999999999</v>
      </c>
      <c r="K23" s="17" t="s">
        <v>109</v>
      </c>
      <c r="L23" s="250" t="s">
        <v>424</v>
      </c>
    </row>
    <row r="24" spans="1:30">
      <c r="A24" s="9"/>
      <c r="B24" s="10" t="s">
        <v>108</v>
      </c>
      <c r="C24" s="11">
        <v>2</v>
      </c>
      <c r="D24" s="156" t="s">
        <v>425</v>
      </c>
      <c r="E24" s="296" t="s">
        <v>426</v>
      </c>
      <c r="F24" s="262">
        <v>26.78</v>
      </c>
      <c r="G24" s="45">
        <v>27.45</v>
      </c>
      <c r="H24" s="45">
        <v>29.8</v>
      </c>
      <c r="I24" s="45">
        <v>28.7</v>
      </c>
      <c r="J24" s="35">
        <f t="shared" si="0"/>
        <v>28.182500000000001</v>
      </c>
      <c r="K24" s="18" t="s">
        <v>109</v>
      </c>
      <c r="L24" s="250" t="s">
        <v>427</v>
      </c>
    </row>
    <row r="25" spans="1:30">
      <c r="A25" s="9"/>
      <c r="B25" s="10" t="s">
        <v>108</v>
      </c>
      <c r="C25" s="11">
        <v>3</v>
      </c>
      <c r="D25" s="156" t="s">
        <v>428</v>
      </c>
      <c r="E25" s="296" t="s">
        <v>429</v>
      </c>
      <c r="F25" s="262">
        <v>27.3</v>
      </c>
      <c r="G25" s="45">
        <v>27.6</v>
      </c>
      <c r="H25" s="45">
        <v>29.8</v>
      </c>
      <c r="I25" s="45">
        <v>28.7</v>
      </c>
      <c r="J25" s="35">
        <f t="shared" si="0"/>
        <v>28.35</v>
      </c>
      <c r="K25" s="18" t="s">
        <v>109</v>
      </c>
      <c r="L25" s="250" t="s">
        <v>430</v>
      </c>
    </row>
    <row r="26" spans="1:30">
      <c r="A26" s="9"/>
      <c r="B26" s="10" t="s">
        <v>108</v>
      </c>
      <c r="C26" s="11">
        <v>4</v>
      </c>
      <c r="D26" s="156" t="s">
        <v>431</v>
      </c>
      <c r="E26" s="296" t="s">
        <v>432</v>
      </c>
      <c r="F26" s="262">
        <v>26.68</v>
      </c>
      <c r="G26" s="45">
        <v>27.45</v>
      </c>
      <c r="H26" s="45">
        <v>29.8</v>
      </c>
      <c r="I26" s="45">
        <v>29.9</v>
      </c>
      <c r="J26" s="35">
        <f t="shared" si="0"/>
        <v>28.457499999999996</v>
      </c>
      <c r="K26" s="18" t="s">
        <v>109</v>
      </c>
      <c r="L26" s="250" t="s">
        <v>433</v>
      </c>
    </row>
    <row r="27" spans="1:30">
      <c r="A27" s="9"/>
      <c r="B27" s="149" t="s">
        <v>110</v>
      </c>
      <c r="C27" s="15">
        <v>1</v>
      </c>
      <c r="D27" s="41" t="s">
        <v>422</v>
      </c>
      <c r="E27" s="41" t="s">
        <v>423</v>
      </c>
      <c r="F27" s="263">
        <v>15</v>
      </c>
      <c r="G27" s="42">
        <v>30</v>
      </c>
      <c r="H27" s="42">
        <v>20</v>
      </c>
      <c r="I27" s="42">
        <v>20</v>
      </c>
      <c r="J27" s="48">
        <f t="shared" si="0"/>
        <v>21.25</v>
      </c>
      <c r="K27" s="8">
        <v>75</v>
      </c>
      <c r="L27" s="250" t="s">
        <v>424</v>
      </c>
    </row>
    <row r="28" spans="1:30">
      <c r="A28" s="9"/>
      <c r="B28" s="10" t="s">
        <v>110</v>
      </c>
      <c r="C28" s="11">
        <v>2</v>
      </c>
      <c r="D28" s="156" t="s">
        <v>425</v>
      </c>
      <c r="E28" s="296" t="s">
        <v>426</v>
      </c>
      <c r="F28" s="262">
        <v>15</v>
      </c>
      <c r="G28" s="45">
        <v>30</v>
      </c>
      <c r="H28" s="45">
        <v>20</v>
      </c>
      <c r="I28" s="45">
        <v>20</v>
      </c>
      <c r="J28" s="35">
        <f t="shared" si="0"/>
        <v>21.25</v>
      </c>
      <c r="K28" s="14">
        <v>75</v>
      </c>
      <c r="L28" s="250" t="s">
        <v>427</v>
      </c>
    </row>
    <row r="29" spans="1:30">
      <c r="A29" s="9"/>
      <c r="B29" s="10" t="s">
        <v>110</v>
      </c>
      <c r="C29" s="11">
        <v>3</v>
      </c>
      <c r="D29" s="156" t="s">
        <v>428</v>
      </c>
      <c r="E29" s="296" t="s">
        <v>429</v>
      </c>
      <c r="F29" s="262">
        <v>15</v>
      </c>
      <c r="G29" s="45">
        <v>25</v>
      </c>
      <c r="H29" s="45">
        <v>20</v>
      </c>
      <c r="I29" s="45">
        <v>20</v>
      </c>
      <c r="J29" s="35">
        <f t="shared" si="0"/>
        <v>20</v>
      </c>
      <c r="K29" s="14">
        <v>75</v>
      </c>
      <c r="L29" s="250" t="s">
        <v>430</v>
      </c>
    </row>
    <row r="30" spans="1:30">
      <c r="A30" s="9"/>
      <c r="B30" s="10" t="s">
        <v>110</v>
      </c>
      <c r="C30" s="11">
        <v>4</v>
      </c>
      <c r="D30" s="156" t="s">
        <v>431</v>
      </c>
      <c r="E30" s="296" t="s">
        <v>432</v>
      </c>
      <c r="F30" s="262">
        <v>15</v>
      </c>
      <c r="G30" s="45">
        <v>25</v>
      </c>
      <c r="H30" s="45">
        <v>20</v>
      </c>
      <c r="I30" s="45">
        <v>15</v>
      </c>
      <c r="J30" s="35">
        <f t="shared" si="0"/>
        <v>18.75</v>
      </c>
      <c r="K30" s="14">
        <v>75</v>
      </c>
      <c r="L30" s="250" t="s">
        <v>433</v>
      </c>
    </row>
    <row r="31" spans="1:30" ht="28.5">
      <c r="A31" s="9"/>
      <c r="B31" s="149" t="s">
        <v>111</v>
      </c>
      <c r="C31" s="15">
        <v>1</v>
      </c>
      <c r="D31" s="41" t="s">
        <v>422</v>
      </c>
      <c r="E31" s="41" t="s">
        <v>423</v>
      </c>
      <c r="F31" s="264">
        <v>35000</v>
      </c>
      <c r="G31" s="42">
        <v>22000</v>
      </c>
      <c r="H31" s="42">
        <v>35000</v>
      </c>
      <c r="I31" s="42">
        <v>24000</v>
      </c>
      <c r="J31" s="49">
        <f>IFERROR(GEOMEAN(F31:I31), "")</f>
        <v>28359.103838367741</v>
      </c>
      <c r="K31" s="8">
        <v>200</v>
      </c>
      <c r="L31" s="250" t="s">
        <v>424</v>
      </c>
    </row>
    <row r="32" spans="1:30" ht="28.5">
      <c r="A32" s="9"/>
      <c r="B32" s="10" t="s">
        <v>111</v>
      </c>
      <c r="C32" s="11">
        <v>2</v>
      </c>
      <c r="D32" s="156" t="s">
        <v>425</v>
      </c>
      <c r="E32" s="296" t="s">
        <v>426</v>
      </c>
      <c r="F32" s="265">
        <v>24000</v>
      </c>
      <c r="G32" s="45">
        <v>240000</v>
      </c>
      <c r="H32" s="45">
        <v>160000</v>
      </c>
      <c r="I32" s="45">
        <v>170000</v>
      </c>
      <c r="J32" s="36">
        <f>IFERROR(GEOMEAN(F32:I32), "")</f>
        <v>111878.81219421793</v>
      </c>
      <c r="K32" s="14">
        <v>200</v>
      </c>
      <c r="L32" s="250" t="s">
        <v>427</v>
      </c>
    </row>
    <row r="33" spans="1:12" ht="28.5">
      <c r="A33" s="9"/>
      <c r="B33" s="10" t="s">
        <v>111</v>
      </c>
      <c r="C33" s="11">
        <v>3</v>
      </c>
      <c r="D33" s="156" t="s">
        <v>428</v>
      </c>
      <c r="E33" s="296" t="s">
        <v>429</v>
      </c>
      <c r="F33" s="265">
        <v>13000</v>
      </c>
      <c r="G33" s="45">
        <v>160000</v>
      </c>
      <c r="H33" s="45">
        <v>160000</v>
      </c>
      <c r="I33" s="45">
        <v>35000</v>
      </c>
      <c r="J33" s="36">
        <f>IFERROR(GEOMEAN(F33:I33), "")</f>
        <v>58420.173238636045</v>
      </c>
      <c r="K33" s="14">
        <v>200</v>
      </c>
      <c r="L33" s="250" t="s">
        <v>430</v>
      </c>
    </row>
    <row r="34" spans="1:12" ht="28.5">
      <c r="A34" s="9"/>
      <c r="B34" s="10" t="s">
        <v>111</v>
      </c>
      <c r="C34" s="11">
        <v>4</v>
      </c>
      <c r="D34" s="156" t="s">
        <v>431</v>
      </c>
      <c r="E34" s="296" t="s">
        <v>432</v>
      </c>
      <c r="F34" s="265">
        <v>7900</v>
      </c>
      <c r="G34" s="45">
        <v>35000</v>
      </c>
      <c r="H34" s="45">
        <v>220000</v>
      </c>
      <c r="I34" s="45">
        <v>24000</v>
      </c>
      <c r="J34" s="36">
        <f>IFERROR(GEOMEAN(F34:I34), "")</f>
        <v>34760.199836456894</v>
      </c>
      <c r="K34" s="14">
        <v>200</v>
      </c>
      <c r="L34" s="250" t="s">
        <v>433</v>
      </c>
    </row>
    <row r="35" spans="1:12" ht="17.25">
      <c r="A35" s="9"/>
      <c r="B35" s="149" t="s">
        <v>113</v>
      </c>
      <c r="C35" s="15">
        <v>1</v>
      </c>
      <c r="D35" s="41" t="s">
        <v>422</v>
      </c>
      <c r="E35" s="41" t="s">
        <v>423</v>
      </c>
      <c r="F35" s="263">
        <v>0.78500000000000003</v>
      </c>
      <c r="G35" s="52">
        <v>0.29499999999999998</v>
      </c>
      <c r="H35" s="52">
        <v>0.432</v>
      </c>
      <c r="I35" s="42">
        <v>0.498</v>
      </c>
      <c r="J35" s="48">
        <f t="shared" ref="J35:J46" si="11">IFERROR(AVERAGE(F35:I35), 0)</f>
        <v>0.50249999999999995</v>
      </c>
      <c r="K35" s="8">
        <v>7</v>
      </c>
      <c r="L35" s="250" t="s">
        <v>424</v>
      </c>
    </row>
    <row r="36" spans="1:12" ht="17.25">
      <c r="A36" s="9"/>
      <c r="B36" s="10" t="s">
        <v>114</v>
      </c>
      <c r="C36" s="11">
        <v>2</v>
      </c>
      <c r="D36" s="156" t="s">
        <v>425</v>
      </c>
      <c r="E36" s="296" t="s">
        <v>426</v>
      </c>
      <c r="F36" s="262">
        <v>0.72499999999999998</v>
      </c>
      <c r="G36" s="53">
        <v>0.152</v>
      </c>
      <c r="H36" s="53">
        <v>0.47099999999999997</v>
      </c>
      <c r="I36" s="45">
        <v>0.51400000000000001</v>
      </c>
      <c r="J36" s="35">
        <f t="shared" si="11"/>
        <v>0.46549999999999997</v>
      </c>
      <c r="K36" s="14">
        <v>7</v>
      </c>
      <c r="L36" s="250" t="s">
        <v>427</v>
      </c>
    </row>
    <row r="37" spans="1:12" ht="17.25">
      <c r="A37" s="9"/>
      <c r="B37" s="10" t="s">
        <v>114</v>
      </c>
      <c r="C37" s="11">
        <v>3</v>
      </c>
      <c r="D37" s="156" t="s">
        <v>428</v>
      </c>
      <c r="E37" s="296" t="s">
        <v>429</v>
      </c>
      <c r="F37" s="262">
        <v>0.245</v>
      </c>
      <c r="G37" s="53">
        <v>0.24299999999999999</v>
      </c>
      <c r="H37" s="53">
        <v>0.48199999999999998</v>
      </c>
      <c r="I37" s="45">
        <v>0.6</v>
      </c>
      <c r="J37" s="35">
        <f t="shared" si="11"/>
        <v>0.39249999999999996</v>
      </c>
      <c r="K37" s="14">
        <v>7</v>
      </c>
      <c r="L37" s="250" t="s">
        <v>430</v>
      </c>
    </row>
    <row r="38" spans="1:12" ht="17.25">
      <c r="A38" s="9"/>
      <c r="B38" s="10" t="s">
        <v>114</v>
      </c>
      <c r="C38" s="11">
        <v>4</v>
      </c>
      <c r="D38" s="156" t="s">
        <v>431</v>
      </c>
      <c r="E38" s="296" t="s">
        <v>432</v>
      </c>
      <c r="F38" s="262">
        <v>0.311</v>
      </c>
      <c r="G38" s="53">
        <v>4.2999999999999997E-2</v>
      </c>
      <c r="H38" s="53">
        <v>0.39800000000000002</v>
      </c>
      <c r="I38" s="45">
        <v>0.60399999999999998</v>
      </c>
      <c r="J38" s="35">
        <f t="shared" si="11"/>
        <v>0.33899999999999997</v>
      </c>
      <c r="K38" s="14">
        <v>7</v>
      </c>
      <c r="L38" s="250" t="s">
        <v>433</v>
      </c>
    </row>
    <row r="39" spans="1:12" ht="17.25">
      <c r="A39" s="9"/>
      <c r="B39" s="149" t="s">
        <v>115</v>
      </c>
      <c r="C39" s="15">
        <v>1</v>
      </c>
      <c r="D39" s="41" t="s">
        <v>422</v>
      </c>
      <c r="E39" s="41" t="s">
        <v>423</v>
      </c>
      <c r="F39" s="263">
        <v>3.7999999999999999E-2</v>
      </c>
      <c r="G39" s="52">
        <v>0.48899999999999999</v>
      </c>
      <c r="H39" s="52">
        <v>0.42199999999999999</v>
      </c>
      <c r="I39" s="42">
        <v>0.11899999999999999</v>
      </c>
      <c r="J39" s="48">
        <f t="shared" si="11"/>
        <v>0.26700000000000002</v>
      </c>
      <c r="K39" s="8">
        <v>2.5000000000000001E-2</v>
      </c>
      <c r="L39" s="250" t="s">
        <v>424</v>
      </c>
    </row>
    <row r="40" spans="1:12" ht="17.25">
      <c r="A40" s="9"/>
      <c r="B40" s="10" t="s">
        <v>116</v>
      </c>
      <c r="C40" s="11">
        <v>2</v>
      </c>
      <c r="D40" s="156" t="s">
        <v>425</v>
      </c>
      <c r="E40" s="296" t="s">
        <v>426</v>
      </c>
      <c r="F40" s="262">
        <v>3.5000000000000003E-2</v>
      </c>
      <c r="G40" s="53">
        <v>0.58399999999999996</v>
      </c>
      <c r="H40" s="53">
        <v>0.443</v>
      </c>
      <c r="I40" s="45">
        <v>0.126</v>
      </c>
      <c r="J40" s="35">
        <f t="shared" si="11"/>
        <v>0.29700000000000004</v>
      </c>
      <c r="K40" s="14">
        <v>2.5000000000000001E-2</v>
      </c>
      <c r="L40" s="250" t="s">
        <v>427</v>
      </c>
    </row>
    <row r="41" spans="1:12" ht="17.25">
      <c r="A41" s="9"/>
      <c r="B41" s="10" t="s">
        <v>116</v>
      </c>
      <c r="C41" s="11">
        <v>3</v>
      </c>
      <c r="D41" s="156" t="s">
        <v>428</v>
      </c>
      <c r="E41" s="296" t="s">
        <v>429</v>
      </c>
      <c r="F41" s="262">
        <v>1.2E-2</v>
      </c>
      <c r="G41" s="53">
        <v>0.61899999999999999</v>
      </c>
      <c r="H41" s="53">
        <v>0.36799999999999999</v>
      </c>
      <c r="I41" s="45">
        <v>8.5999999999999993E-2</v>
      </c>
      <c r="J41" s="35">
        <f t="shared" si="11"/>
        <v>0.27124999999999999</v>
      </c>
      <c r="K41" s="14">
        <v>2.5000000000000001E-2</v>
      </c>
      <c r="L41" s="250" t="s">
        <v>430</v>
      </c>
    </row>
    <row r="42" spans="1:12" ht="17.25">
      <c r="A42" s="9"/>
      <c r="B42" s="10" t="s">
        <v>116</v>
      </c>
      <c r="C42" s="11">
        <v>4</v>
      </c>
      <c r="D42" s="156" t="s">
        <v>431</v>
      </c>
      <c r="E42" s="296" t="s">
        <v>432</v>
      </c>
      <c r="F42" s="262">
        <v>1.0999999999999999E-2</v>
      </c>
      <c r="G42" s="53">
        <v>0.69399999999999995</v>
      </c>
      <c r="H42" s="53">
        <v>0.39800000000000002</v>
      </c>
      <c r="I42" s="45">
        <v>0.115</v>
      </c>
      <c r="J42" s="35">
        <f t="shared" si="11"/>
        <v>0.30449999999999999</v>
      </c>
      <c r="K42" s="14">
        <v>2.5000000000000001E-2</v>
      </c>
      <c r="L42" s="250" t="s">
        <v>433</v>
      </c>
    </row>
    <row r="43" spans="1:12">
      <c r="A43" s="9"/>
      <c r="B43" s="149" t="s">
        <v>117</v>
      </c>
      <c r="C43" s="15">
        <v>1</v>
      </c>
      <c r="D43" s="41" t="s">
        <v>422</v>
      </c>
      <c r="E43" s="41" t="s">
        <v>423</v>
      </c>
      <c r="F43" s="263">
        <v>137</v>
      </c>
      <c r="G43" s="42">
        <v>101</v>
      </c>
      <c r="H43" s="42">
        <v>30</v>
      </c>
      <c r="I43" s="42">
        <v>41</v>
      </c>
      <c r="J43" s="48">
        <f t="shared" si="11"/>
        <v>77.25</v>
      </c>
      <c r="K43" s="8">
        <v>350</v>
      </c>
      <c r="L43" s="250" t="s">
        <v>424</v>
      </c>
    </row>
    <row r="44" spans="1:12">
      <c r="A44" s="9"/>
      <c r="B44" s="10" t="s">
        <v>117</v>
      </c>
      <c r="C44" s="11">
        <v>2</v>
      </c>
      <c r="D44" s="156" t="s">
        <v>425</v>
      </c>
      <c r="E44" s="296" t="s">
        <v>426</v>
      </c>
      <c r="F44" s="262">
        <v>98</v>
      </c>
      <c r="G44" s="45">
        <v>104</v>
      </c>
      <c r="H44" s="45">
        <v>28</v>
      </c>
      <c r="I44" s="45">
        <v>55</v>
      </c>
      <c r="J44" s="35">
        <f t="shared" si="11"/>
        <v>71.25</v>
      </c>
      <c r="K44" s="14">
        <v>350</v>
      </c>
      <c r="L44" s="250" t="s">
        <v>427</v>
      </c>
    </row>
    <row r="45" spans="1:12">
      <c r="A45" s="9"/>
      <c r="B45" s="10" t="s">
        <v>117</v>
      </c>
      <c r="C45" s="11">
        <v>3</v>
      </c>
      <c r="D45" s="156" t="s">
        <v>428</v>
      </c>
      <c r="E45" s="296" t="s">
        <v>429</v>
      </c>
      <c r="F45" s="262">
        <v>59</v>
      </c>
      <c r="G45" s="45">
        <v>52</v>
      </c>
      <c r="H45" s="45">
        <v>43</v>
      </c>
      <c r="I45" s="45">
        <v>51</v>
      </c>
      <c r="J45" s="35">
        <f t="shared" si="11"/>
        <v>51.25</v>
      </c>
      <c r="K45" s="14">
        <v>350</v>
      </c>
      <c r="L45" s="250" t="s">
        <v>430</v>
      </c>
    </row>
    <row r="46" spans="1:12">
      <c r="A46" s="9"/>
      <c r="B46" s="150" t="s">
        <v>117</v>
      </c>
      <c r="C46" s="233">
        <v>4</v>
      </c>
      <c r="D46" s="156" t="s">
        <v>431</v>
      </c>
      <c r="E46" s="296" t="s">
        <v>432</v>
      </c>
      <c r="F46" s="286">
        <v>407</v>
      </c>
      <c r="G46" s="287">
        <v>37</v>
      </c>
      <c r="H46" s="287">
        <v>257</v>
      </c>
      <c r="I46" s="287">
        <v>45</v>
      </c>
      <c r="J46" s="35">
        <f t="shared" si="11"/>
        <v>186.5</v>
      </c>
      <c r="K46" s="14">
        <v>350</v>
      </c>
      <c r="L46" s="250" t="s">
        <v>433</v>
      </c>
    </row>
    <row r="47" spans="1:12" ht="90.75" customHeight="1">
      <c r="A47" s="232"/>
      <c r="B47" s="271" t="s">
        <v>314</v>
      </c>
      <c r="C47" s="283">
        <v>1</v>
      </c>
      <c r="D47" s="41" t="s">
        <v>422</v>
      </c>
      <c r="E47" s="41" t="s">
        <v>423</v>
      </c>
      <c r="F47" s="284" t="s">
        <v>435</v>
      </c>
      <c r="G47" s="288" t="s">
        <v>436</v>
      </c>
      <c r="H47" s="288" t="s">
        <v>437</v>
      </c>
      <c r="I47" s="288" t="s">
        <v>438</v>
      </c>
      <c r="J47" s="232"/>
    </row>
    <row r="48" spans="1:12" ht="66" customHeight="1">
      <c r="A48" s="232"/>
      <c r="B48" s="231"/>
      <c r="C48" s="283">
        <v>2</v>
      </c>
      <c r="D48" s="156" t="s">
        <v>425</v>
      </c>
      <c r="E48" s="296" t="s">
        <v>426</v>
      </c>
      <c r="F48" s="284" t="s">
        <v>439</v>
      </c>
      <c r="G48" s="288" t="s">
        <v>440</v>
      </c>
      <c r="H48" s="288" t="s">
        <v>321</v>
      </c>
      <c r="I48" s="288" t="s">
        <v>368</v>
      </c>
      <c r="J48" s="232"/>
    </row>
    <row r="49" spans="1:12" ht="70.5" customHeight="1">
      <c r="A49" s="232"/>
      <c r="B49" s="231"/>
      <c r="C49" s="283">
        <v>3</v>
      </c>
      <c r="D49" s="156" t="s">
        <v>428</v>
      </c>
      <c r="E49" s="296" t="s">
        <v>429</v>
      </c>
      <c r="F49" s="284" t="s">
        <v>441</v>
      </c>
      <c r="G49" s="288" t="s">
        <v>442</v>
      </c>
      <c r="H49" s="288" t="s">
        <v>321</v>
      </c>
      <c r="I49" s="288" t="s">
        <v>368</v>
      </c>
      <c r="J49" s="232"/>
    </row>
    <row r="50" spans="1:12" ht="91.5" customHeight="1">
      <c r="A50" s="232"/>
      <c r="B50" s="446"/>
      <c r="C50" s="447">
        <v>4</v>
      </c>
      <c r="D50" s="156" t="s">
        <v>431</v>
      </c>
      <c r="E50" s="296" t="s">
        <v>432</v>
      </c>
      <c r="F50" s="448" t="s">
        <v>443</v>
      </c>
      <c r="G50" s="449" t="s">
        <v>444</v>
      </c>
      <c r="H50" s="449" t="s">
        <v>321</v>
      </c>
      <c r="I50" s="449" t="s">
        <v>368</v>
      </c>
      <c r="J50" s="232"/>
    </row>
    <row r="51" spans="1:12" ht="74.25" customHeight="1">
      <c r="A51" s="232"/>
      <c r="B51" s="231" t="s">
        <v>445</v>
      </c>
      <c r="C51" s="231"/>
      <c r="D51" s="231"/>
      <c r="E51" s="231"/>
      <c r="F51" s="231"/>
      <c r="G51" s="231"/>
      <c r="H51" s="507">
        <v>45877</v>
      </c>
      <c r="I51" s="641">
        <v>45960</v>
      </c>
      <c r="J51" s="232"/>
    </row>
    <row r="52" spans="1:12" ht="15" customHeight="1">
      <c r="B52" s="232"/>
      <c r="C52" s="232"/>
      <c r="D52" s="232"/>
      <c r="E52" s="232"/>
      <c r="F52" s="232"/>
      <c r="G52" s="232"/>
      <c r="H52" s="232"/>
      <c r="I52" s="232"/>
    </row>
    <row r="55" spans="1:12" ht="15" customHeight="1">
      <c r="B55" s="232" t="s">
        <v>175</v>
      </c>
      <c r="C55" s="232"/>
      <c r="D55" s="232"/>
      <c r="E55" s="232"/>
      <c r="F55" s="232"/>
      <c r="G55" s="232"/>
      <c r="H55" s="232"/>
      <c r="I55" s="232"/>
      <c r="J55" s="232"/>
      <c r="K55" s="232"/>
    </row>
    <row r="56" spans="1:12" ht="15" customHeight="1">
      <c r="A56" s="232"/>
      <c r="B56" s="873" t="s">
        <v>446</v>
      </c>
      <c r="C56" s="874"/>
      <c r="D56" s="874"/>
      <c r="E56" s="874"/>
      <c r="F56" s="874"/>
      <c r="G56" s="874"/>
      <c r="H56" s="874"/>
      <c r="I56" s="874"/>
      <c r="J56" s="874"/>
      <c r="K56" s="875"/>
      <c r="L56" s="232"/>
    </row>
    <row r="57" spans="1:12" ht="15" customHeight="1">
      <c r="A57" s="232"/>
      <c r="B57" s="876"/>
      <c r="C57" s="877"/>
      <c r="D57" s="877"/>
      <c r="E57" s="877"/>
      <c r="F57" s="877"/>
      <c r="G57" s="877"/>
      <c r="H57" s="877"/>
      <c r="I57" s="877"/>
      <c r="J57" s="877"/>
      <c r="K57" s="878"/>
      <c r="L57" s="232"/>
    </row>
    <row r="58" spans="1:12" ht="15" customHeight="1">
      <c r="A58" s="232"/>
      <c r="B58" s="876"/>
      <c r="C58" s="877"/>
      <c r="D58" s="877"/>
      <c r="E58" s="877"/>
      <c r="F58" s="877"/>
      <c r="G58" s="877"/>
      <c r="H58" s="877"/>
      <c r="I58" s="877"/>
      <c r="J58" s="877"/>
      <c r="K58" s="878"/>
      <c r="L58" s="232"/>
    </row>
    <row r="59" spans="1:12" ht="15" customHeight="1">
      <c r="A59" s="232"/>
      <c r="B59" s="876"/>
      <c r="C59" s="877"/>
      <c r="D59" s="877"/>
      <c r="E59" s="877"/>
      <c r="F59" s="877"/>
      <c r="G59" s="877"/>
      <c r="H59" s="877"/>
      <c r="I59" s="877"/>
      <c r="J59" s="877"/>
      <c r="K59" s="878"/>
      <c r="L59" s="232"/>
    </row>
    <row r="60" spans="1:12" ht="15" customHeight="1">
      <c r="A60" s="232"/>
      <c r="B60" s="876"/>
      <c r="C60" s="877"/>
      <c r="D60" s="877"/>
      <c r="E60" s="877"/>
      <c r="F60" s="877"/>
      <c r="G60" s="877"/>
      <c r="H60" s="877"/>
      <c r="I60" s="877"/>
      <c r="J60" s="877"/>
      <c r="K60" s="878"/>
      <c r="L60" s="232"/>
    </row>
    <row r="61" spans="1:12" ht="15" customHeight="1">
      <c r="A61" s="232"/>
      <c r="B61" s="876"/>
      <c r="C61" s="877"/>
      <c r="D61" s="877"/>
      <c r="E61" s="877"/>
      <c r="F61" s="877"/>
      <c r="G61" s="877"/>
      <c r="H61" s="877"/>
      <c r="I61" s="877"/>
      <c r="J61" s="877"/>
      <c r="K61" s="878"/>
      <c r="L61" s="232"/>
    </row>
    <row r="62" spans="1:12" ht="15" customHeight="1">
      <c r="A62" s="232"/>
      <c r="B62" s="876"/>
      <c r="C62" s="877"/>
      <c r="D62" s="877"/>
      <c r="E62" s="877"/>
      <c r="F62" s="877"/>
      <c r="G62" s="877"/>
      <c r="H62" s="877"/>
      <c r="I62" s="877"/>
      <c r="J62" s="877"/>
      <c r="K62" s="878"/>
      <c r="L62" s="232"/>
    </row>
    <row r="63" spans="1:12" ht="15" customHeight="1">
      <c r="A63" s="232"/>
      <c r="B63" s="876"/>
      <c r="C63" s="877"/>
      <c r="D63" s="877"/>
      <c r="E63" s="877"/>
      <c r="F63" s="877"/>
      <c r="G63" s="877"/>
      <c r="H63" s="877"/>
      <c r="I63" s="877"/>
      <c r="J63" s="877"/>
      <c r="K63" s="878"/>
      <c r="L63" s="232"/>
    </row>
    <row r="64" spans="1:12" ht="15" customHeight="1">
      <c r="A64" s="232"/>
      <c r="B64" s="876"/>
      <c r="C64" s="877"/>
      <c r="D64" s="877"/>
      <c r="E64" s="877"/>
      <c r="F64" s="877"/>
      <c r="G64" s="877"/>
      <c r="H64" s="877"/>
      <c r="I64" s="877"/>
      <c r="J64" s="877"/>
      <c r="K64" s="878"/>
      <c r="L64" s="232"/>
    </row>
    <row r="65" spans="1:12" ht="15" customHeight="1">
      <c r="A65" s="232"/>
      <c r="B65" s="876"/>
      <c r="C65" s="877"/>
      <c r="D65" s="877"/>
      <c r="E65" s="877"/>
      <c r="F65" s="877"/>
      <c r="G65" s="877"/>
      <c r="H65" s="877"/>
      <c r="I65" s="877"/>
      <c r="J65" s="877"/>
      <c r="K65" s="878"/>
      <c r="L65" s="232"/>
    </row>
    <row r="66" spans="1:12" ht="15" customHeight="1">
      <c r="A66" s="232"/>
      <c r="B66" s="876"/>
      <c r="C66" s="877"/>
      <c r="D66" s="877"/>
      <c r="E66" s="877"/>
      <c r="F66" s="877"/>
      <c r="G66" s="877"/>
      <c r="H66" s="877"/>
      <c r="I66" s="877"/>
      <c r="J66" s="877"/>
      <c r="K66" s="878"/>
      <c r="L66" s="232"/>
    </row>
    <row r="67" spans="1:12" ht="15" customHeight="1">
      <c r="A67" s="232"/>
      <c r="B67" s="876"/>
      <c r="C67" s="877"/>
      <c r="D67" s="877"/>
      <c r="E67" s="877"/>
      <c r="F67" s="877"/>
      <c r="G67" s="877"/>
      <c r="H67" s="877"/>
      <c r="I67" s="877"/>
      <c r="J67" s="877"/>
      <c r="K67" s="878"/>
      <c r="L67" s="232"/>
    </row>
    <row r="68" spans="1:12" ht="15" customHeight="1">
      <c r="A68" s="232"/>
      <c r="B68" s="876"/>
      <c r="C68" s="877"/>
      <c r="D68" s="877"/>
      <c r="E68" s="877"/>
      <c r="F68" s="877"/>
      <c r="G68" s="877"/>
      <c r="H68" s="877"/>
      <c r="I68" s="877"/>
      <c r="J68" s="877"/>
      <c r="K68" s="878"/>
      <c r="L68" s="232"/>
    </row>
    <row r="69" spans="1:12" ht="15" customHeight="1">
      <c r="A69" s="232"/>
      <c r="B69" s="876"/>
      <c r="C69" s="877"/>
      <c r="D69" s="877"/>
      <c r="E69" s="877"/>
      <c r="F69" s="877"/>
      <c r="G69" s="877"/>
      <c r="H69" s="877"/>
      <c r="I69" s="877"/>
      <c r="J69" s="877"/>
      <c r="K69" s="878"/>
      <c r="L69" s="232"/>
    </row>
    <row r="70" spans="1:12" ht="15" customHeight="1">
      <c r="A70" s="232"/>
      <c r="B70" s="876"/>
      <c r="C70" s="877"/>
      <c r="D70" s="877"/>
      <c r="E70" s="877"/>
      <c r="F70" s="877"/>
      <c r="G70" s="877"/>
      <c r="H70" s="877"/>
      <c r="I70" s="877"/>
      <c r="J70" s="877"/>
      <c r="K70" s="878"/>
      <c r="L70" s="232"/>
    </row>
    <row r="71" spans="1:12" ht="15" customHeight="1">
      <c r="A71" s="232"/>
      <c r="B71" s="879"/>
      <c r="C71" s="880"/>
      <c r="D71" s="880"/>
      <c r="E71" s="880"/>
      <c r="F71" s="880"/>
      <c r="G71" s="880"/>
      <c r="H71" s="880"/>
      <c r="I71" s="880"/>
      <c r="J71" s="880"/>
      <c r="K71" s="881"/>
      <c r="L71" s="232"/>
    </row>
    <row r="72" spans="1:12" ht="15" customHeight="1">
      <c r="B72" s="232"/>
      <c r="C72" s="232"/>
      <c r="D72" s="232"/>
      <c r="E72" s="232"/>
      <c r="F72" s="232"/>
      <c r="G72" s="232"/>
      <c r="H72" s="232"/>
      <c r="I72" s="232"/>
      <c r="J72" s="232"/>
      <c r="K72" s="232"/>
    </row>
  </sheetData>
  <mergeCells count="14">
    <mergeCell ref="C1:K1"/>
    <mergeCell ref="C2:K2"/>
    <mergeCell ref="C3:K3"/>
    <mergeCell ref="C4:K4"/>
    <mergeCell ref="C5:K5"/>
    <mergeCell ref="O7:AC7"/>
    <mergeCell ref="O8:AC8"/>
    <mergeCell ref="O9:S9"/>
    <mergeCell ref="T9:AC9"/>
    <mergeCell ref="B56:K71"/>
    <mergeCell ref="O15:AC15"/>
    <mergeCell ref="Q11:Q14"/>
    <mergeCell ref="P11:P14"/>
    <mergeCell ref="O11:O14"/>
  </mergeCells>
  <phoneticPr fontId="18" type="noConversion"/>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85623"/>
  </sheetPr>
  <dimension ref="A1:AH68"/>
  <sheetViews>
    <sheetView workbookViewId="0">
      <pane xSplit="2" ySplit="6" topLeftCell="C7" activePane="bottomRight" state="frozen"/>
      <selection pane="bottomRight" activeCell="M25" sqref="M25"/>
      <selection pane="bottomLeft" activeCell="A7" sqref="A7"/>
      <selection pane="topRight" activeCell="C1" sqref="C1"/>
    </sheetView>
  </sheetViews>
  <sheetFormatPr defaultColWidth="14.42578125" defaultRowHeight="15" customHeight="1"/>
  <cols>
    <col min="1" max="1" width="9.140625" customWidth="1"/>
    <col min="2" max="2" width="14.85546875" customWidth="1"/>
    <col min="3" max="3" width="9.140625" style="1" customWidth="1"/>
    <col min="4" max="4" width="17.7109375" customWidth="1"/>
    <col min="5" max="5" width="27.7109375" bestFit="1" customWidth="1"/>
    <col min="6" max="7" width="11.28515625" customWidth="1"/>
    <col min="8" max="8" width="13.42578125" bestFit="1" customWidth="1"/>
    <col min="9" max="9" width="15.28515625" bestFit="1" customWidth="1"/>
    <col min="10" max="10" width="18.7109375" customWidth="1"/>
    <col min="11" max="11" width="9.140625" customWidth="1"/>
    <col min="12" max="12" width="7.42578125" hidden="1" customWidth="1"/>
    <col min="13" max="15" width="8.7109375" customWidth="1"/>
    <col min="16" max="16" width="19.85546875" bestFit="1" customWidth="1"/>
    <col min="17" max="18" width="8.7109375" customWidth="1"/>
    <col min="19" max="19" width="13.28515625" bestFit="1" customWidth="1"/>
  </cols>
  <sheetData>
    <row r="1" spans="1:33">
      <c r="A1" s="60"/>
      <c r="B1" s="168"/>
      <c r="C1" s="892" t="s">
        <v>40</v>
      </c>
      <c r="D1" s="1160"/>
      <c r="E1" s="1160"/>
      <c r="F1" s="1160"/>
      <c r="G1" s="1160"/>
      <c r="H1" s="1160"/>
      <c r="I1" s="1160"/>
      <c r="J1" s="1160"/>
      <c r="K1" s="1160"/>
    </row>
    <row r="2" spans="1:33">
      <c r="A2" s="138"/>
      <c r="B2" s="93"/>
      <c r="C2" s="868" t="s">
        <v>41</v>
      </c>
      <c r="D2" s="1158"/>
      <c r="E2" s="1158"/>
      <c r="F2" s="1158"/>
      <c r="G2" s="1158"/>
      <c r="H2" s="1158"/>
      <c r="I2" s="1158"/>
      <c r="J2" s="1158"/>
      <c r="K2" s="1158"/>
    </row>
    <row r="3" spans="1:33">
      <c r="A3" s="139"/>
      <c r="B3" s="86"/>
      <c r="C3" s="869" t="s">
        <v>42</v>
      </c>
      <c r="D3" s="1159"/>
      <c r="E3" s="1159"/>
      <c r="F3" s="1159"/>
      <c r="G3" s="1159"/>
      <c r="H3" s="1159"/>
      <c r="I3" s="1159"/>
      <c r="J3" s="1159"/>
      <c r="K3" s="1159"/>
    </row>
    <row r="4" spans="1:33">
      <c r="A4" s="140"/>
      <c r="B4" s="445"/>
      <c r="C4" s="870" t="s">
        <v>447</v>
      </c>
      <c r="D4" s="1160"/>
      <c r="E4" s="1160"/>
      <c r="F4" s="1160"/>
      <c r="G4" s="1160"/>
      <c r="H4" s="1160"/>
      <c r="I4" s="1160"/>
      <c r="J4" s="1160"/>
      <c r="K4" s="1160"/>
    </row>
    <row r="5" spans="1:33">
      <c r="A5" s="2"/>
      <c r="B5" s="142"/>
      <c r="C5" s="871" t="s">
        <v>255</v>
      </c>
      <c r="D5" s="1159"/>
      <c r="E5" s="1159"/>
      <c r="F5" s="1159"/>
      <c r="G5" s="1159"/>
      <c r="H5" s="1159"/>
      <c r="I5" s="1159"/>
      <c r="J5" s="1159"/>
      <c r="K5" s="1159"/>
    </row>
    <row r="6" spans="1:33">
      <c r="A6" s="76" t="s">
        <v>45</v>
      </c>
      <c r="B6" s="171" t="s">
        <v>46</v>
      </c>
      <c r="C6" s="171" t="s">
        <v>47</v>
      </c>
      <c r="D6" s="171" t="s">
        <v>48</v>
      </c>
      <c r="E6" s="171" t="s">
        <v>49</v>
      </c>
      <c r="F6" s="171" t="s">
        <v>392</v>
      </c>
      <c r="G6" s="171" t="s">
        <v>393</v>
      </c>
      <c r="H6" s="171" t="s">
        <v>394</v>
      </c>
      <c r="I6" s="171" t="s">
        <v>448</v>
      </c>
      <c r="J6" s="170" t="s">
        <v>62</v>
      </c>
      <c r="K6" s="179" t="s">
        <v>63</v>
      </c>
      <c r="L6" s="253" t="s">
        <v>64</v>
      </c>
    </row>
    <row r="7" spans="1:33">
      <c r="A7" s="39" t="s">
        <v>65</v>
      </c>
      <c r="B7" s="149" t="s">
        <v>66</v>
      </c>
      <c r="C7" s="15">
        <v>1</v>
      </c>
      <c r="D7" s="77" t="s">
        <v>449</v>
      </c>
      <c r="E7" s="77" t="s">
        <v>450</v>
      </c>
      <c r="F7" s="78">
        <v>3.96</v>
      </c>
      <c r="G7" s="78">
        <v>3.28</v>
      </c>
      <c r="H7" s="78">
        <v>3.3</v>
      </c>
      <c r="I7" s="78">
        <v>5.23</v>
      </c>
      <c r="J7" s="48">
        <f t="shared" ref="J7:J24" si="0">IFERROR(AVERAGE(F7:I7), 0)</f>
        <v>3.9424999999999999</v>
      </c>
      <c r="K7" s="8">
        <v>5</v>
      </c>
      <c r="L7" s="249" t="s">
        <v>451</v>
      </c>
      <c r="S7" s="921" t="s">
        <v>70</v>
      </c>
      <c r="T7" s="921"/>
      <c r="U7" s="921"/>
      <c r="V7" s="921"/>
      <c r="W7" s="921"/>
      <c r="X7" s="921"/>
      <c r="Y7" s="921"/>
      <c r="Z7" s="921"/>
      <c r="AA7" s="921"/>
      <c r="AB7" s="921"/>
      <c r="AC7" s="921"/>
      <c r="AD7" s="921"/>
      <c r="AE7" s="921"/>
      <c r="AF7" s="921"/>
      <c r="AG7" s="921"/>
    </row>
    <row r="8" spans="1:33">
      <c r="A8" s="9"/>
      <c r="B8" s="10" t="s">
        <v>66</v>
      </c>
      <c r="C8" s="11">
        <v>2</v>
      </c>
      <c r="D8" s="79" t="s">
        <v>452</v>
      </c>
      <c r="E8" s="79" t="s">
        <v>453</v>
      </c>
      <c r="F8" s="80">
        <v>3.72</v>
      </c>
      <c r="G8" s="80">
        <v>3.18</v>
      </c>
      <c r="H8" s="80">
        <v>3.2</v>
      </c>
      <c r="I8" s="80">
        <v>5.18</v>
      </c>
      <c r="J8" s="35">
        <f t="shared" si="0"/>
        <v>3.8200000000000003</v>
      </c>
      <c r="K8" s="14">
        <v>5</v>
      </c>
      <c r="L8" s="249" t="s">
        <v>454</v>
      </c>
      <c r="S8" s="921" t="s">
        <v>74</v>
      </c>
      <c r="T8" s="921"/>
      <c r="U8" s="921"/>
      <c r="V8" s="921"/>
      <c r="W8" s="921"/>
      <c r="X8" s="921"/>
      <c r="Y8" s="921"/>
      <c r="Z8" s="921"/>
      <c r="AA8" s="921"/>
      <c r="AB8" s="921"/>
      <c r="AC8" s="921"/>
      <c r="AD8" s="921"/>
      <c r="AE8" s="921"/>
      <c r="AF8" s="921"/>
      <c r="AG8" s="921"/>
    </row>
    <row r="9" spans="1:33">
      <c r="A9" s="9"/>
      <c r="B9" s="10" t="s">
        <v>66</v>
      </c>
      <c r="C9" s="11">
        <v>3</v>
      </c>
      <c r="D9" s="79" t="s">
        <v>455</v>
      </c>
      <c r="E9" s="79" t="s">
        <v>456</v>
      </c>
      <c r="F9" s="80">
        <v>4.01</v>
      </c>
      <c r="G9" s="80">
        <v>3.29</v>
      </c>
      <c r="H9" s="80">
        <v>4</v>
      </c>
      <c r="I9" s="80">
        <v>5.25</v>
      </c>
      <c r="J9" s="35">
        <f t="shared" si="0"/>
        <v>4.1375000000000002</v>
      </c>
      <c r="K9" s="14">
        <v>5</v>
      </c>
      <c r="L9" s="249" t="s">
        <v>457</v>
      </c>
      <c r="S9" s="848"/>
      <c r="T9" s="848"/>
      <c r="U9" s="848"/>
      <c r="V9" s="848"/>
      <c r="W9" s="848"/>
      <c r="X9" s="478" t="s">
        <v>78</v>
      </c>
      <c r="Y9" s="273"/>
      <c r="Z9" s="273"/>
      <c r="AA9" s="273"/>
      <c r="AB9" s="273"/>
      <c r="AC9" s="273"/>
      <c r="AD9" s="273"/>
      <c r="AE9" s="273"/>
      <c r="AF9" s="273"/>
      <c r="AG9" s="273"/>
    </row>
    <row r="10" spans="1:33">
      <c r="A10" s="9"/>
      <c r="B10" s="149" t="s">
        <v>91</v>
      </c>
      <c r="C10" s="15">
        <v>1</v>
      </c>
      <c r="D10" s="77" t="s">
        <v>449</v>
      </c>
      <c r="E10" s="77" t="s">
        <v>450</v>
      </c>
      <c r="F10" s="81">
        <v>4</v>
      </c>
      <c r="G10" s="78">
        <v>5</v>
      </c>
      <c r="H10" s="78">
        <v>3.4</v>
      </c>
      <c r="I10" s="78">
        <v>7</v>
      </c>
      <c r="J10" s="48">
        <f t="shared" si="0"/>
        <v>4.8499999999999996</v>
      </c>
      <c r="K10" s="8">
        <v>7</v>
      </c>
      <c r="L10" s="249" t="s">
        <v>451</v>
      </c>
      <c r="S10" s="14" t="s">
        <v>82</v>
      </c>
      <c r="T10" s="14" t="s">
        <v>83</v>
      </c>
      <c r="U10" s="14" t="s">
        <v>84</v>
      </c>
      <c r="V10" s="14" t="s">
        <v>85</v>
      </c>
      <c r="W10" s="14" t="s">
        <v>86</v>
      </c>
      <c r="X10" s="14" t="s">
        <v>4</v>
      </c>
      <c r="Y10" s="14" t="s">
        <v>5</v>
      </c>
      <c r="Z10" s="14" t="s">
        <v>6</v>
      </c>
      <c r="AA10" s="14" t="s">
        <v>7</v>
      </c>
      <c r="AB10" s="14" t="s">
        <v>8</v>
      </c>
      <c r="AC10" s="14" t="s">
        <v>9</v>
      </c>
      <c r="AD10" s="14" t="s">
        <v>10</v>
      </c>
      <c r="AE10" s="14" t="s">
        <v>11</v>
      </c>
      <c r="AF10" s="14" t="s">
        <v>12</v>
      </c>
      <c r="AG10" s="14" t="s">
        <v>13</v>
      </c>
    </row>
    <row r="11" spans="1:33" ht="29.25">
      <c r="A11" s="9"/>
      <c r="B11" s="10" t="s">
        <v>91</v>
      </c>
      <c r="C11" s="11">
        <v>2</v>
      </c>
      <c r="D11" s="79" t="s">
        <v>452</v>
      </c>
      <c r="E11" s="79" t="s">
        <v>453</v>
      </c>
      <c r="F11" s="82">
        <v>4</v>
      </c>
      <c r="G11" s="80">
        <v>3</v>
      </c>
      <c r="H11" s="80">
        <v>3.8</v>
      </c>
      <c r="I11" s="80">
        <v>4</v>
      </c>
      <c r="J11" s="35">
        <f t="shared" si="0"/>
        <v>3.7</v>
      </c>
      <c r="K11" s="14">
        <v>7</v>
      </c>
      <c r="L11" s="249" t="s">
        <v>454</v>
      </c>
      <c r="S11" s="924" t="s">
        <v>458</v>
      </c>
      <c r="T11" s="909" t="s">
        <v>447</v>
      </c>
      <c r="U11" s="909" t="s">
        <v>16</v>
      </c>
      <c r="V11" s="32">
        <v>1</v>
      </c>
      <c r="W11" s="65" t="s">
        <v>449</v>
      </c>
      <c r="X11" s="33">
        <f>AVERAGE(F7:G7)</f>
        <v>3.62</v>
      </c>
      <c r="Y11" s="47">
        <f>AVERAGE(F10:G10)</f>
        <v>4.5</v>
      </c>
      <c r="Z11" s="47">
        <f>AVERAGE(F13:G13)</f>
        <v>13</v>
      </c>
      <c r="AA11" s="33">
        <f>AVERAGE(F16:G16)</f>
        <v>7.0649999999999995</v>
      </c>
      <c r="AB11" s="33">
        <f>AVERAGE(F19:G19)</f>
        <v>29.200000000000003</v>
      </c>
      <c r="AC11" s="47">
        <f>AVERAGE(F22:G22)</f>
        <v>15</v>
      </c>
      <c r="AD11" s="47">
        <f>GEOMEAN(F25:G25)</f>
        <v>17663.521732655692</v>
      </c>
      <c r="AE11" s="34">
        <f>AVERAGE(F28:G28)</f>
        <v>0.14549999999999999</v>
      </c>
      <c r="AF11" s="34">
        <f>AVERAGE(F31:G31)</f>
        <v>0.63549999999999995</v>
      </c>
      <c r="AG11" s="47">
        <f>AVERAGE(F34:G34)</f>
        <v>183.5</v>
      </c>
    </row>
    <row r="12" spans="1:33" ht="29.25">
      <c r="A12" s="9"/>
      <c r="B12" s="10" t="s">
        <v>91</v>
      </c>
      <c r="C12" s="11">
        <v>3</v>
      </c>
      <c r="D12" s="79" t="s">
        <v>455</v>
      </c>
      <c r="E12" s="79" t="s">
        <v>456</v>
      </c>
      <c r="F12" s="82">
        <v>3</v>
      </c>
      <c r="G12" s="80">
        <v>5</v>
      </c>
      <c r="H12" s="80">
        <v>7.1</v>
      </c>
      <c r="I12" s="80">
        <v>5</v>
      </c>
      <c r="J12" s="35">
        <f t="shared" si="0"/>
        <v>5.0250000000000004</v>
      </c>
      <c r="K12" s="14">
        <v>7</v>
      </c>
      <c r="L12" s="249" t="s">
        <v>457</v>
      </c>
      <c r="S12" s="924"/>
      <c r="T12" s="910"/>
      <c r="U12" s="910"/>
      <c r="V12" s="32">
        <v>2</v>
      </c>
      <c r="W12" s="65" t="s">
        <v>452</v>
      </c>
      <c r="X12" s="33">
        <f>AVERAGE(F8:G8)</f>
        <v>3.45</v>
      </c>
      <c r="Y12" s="47">
        <f>AVERAGE(F11:G11)</f>
        <v>3.5</v>
      </c>
      <c r="Z12" s="47">
        <f>AVERAGE(F14:G14)</f>
        <v>22.5</v>
      </c>
      <c r="AA12" s="33">
        <f>AVERAGE(F17:G17)</f>
        <v>7.2200000000000006</v>
      </c>
      <c r="AB12" s="33">
        <f>AVERAGE(F20:G20)</f>
        <v>29</v>
      </c>
      <c r="AC12" s="47">
        <f>AVERAGE(F23:G23)</f>
        <v>15</v>
      </c>
      <c r="AD12" s="47">
        <f>GEOMEAN(F26:G26)</f>
        <v>43474.130238568316</v>
      </c>
      <c r="AE12" s="34">
        <f>AVERAGE(F29:G29)</f>
        <v>0.159</v>
      </c>
      <c r="AF12" s="34">
        <f>AVERAGE(F32:G32)</f>
        <v>0.86650000000000005</v>
      </c>
      <c r="AG12" s="47">
        <f>AVERAGE(F35:G35)</f>
        <v>140</v>
      </c>
    </row>
    <row r="13" spans="1:33">
      <c r="A13" s="9"/>
      <c r="B13" s="149" t="s">
        <v>92</v>
      </c>
      <c r="C13" s="15">
        <v>1</v>
      </c>
      <c r="D13" s="77" t="s">
        <v>449</v>
      </c>
      <c r="E13" s="77" t="s">
        <v>450</v>
      </c>
      <c r="F13" s="81">
        <v>17</v>
      </c>
      <c r="G13" s="78">
        <v>9</v>
      </c>
      <c r="H13" s="78">
        <v>45</v>
      </c>
      <c r="I13" s="78">
        <v>40</v>
      </c>
      <c r="J13" s="48">
        <f t="shared" si="0"/>
        <v>27.75</v>
      </c>
      <c r="K13" s="8">
        <v>80</v>
      </c>
      <c r="L13" s="249" t="s">
        <v>451</v>
      </c>
      <c r="S13" s="924"/>
      <c r="T13" s="911"/>
      <c r="U13" s="911"/>
      <c r="V13" s="32">
        <v>3</v>
      </c>
      <c r="W13" s="65" t="s">
        <v>455</v>
      </c>
      <c r="X13" s="33">
        <f>AVERAGE(F9:G9)</f>
        <v>3.65</v>
      </c>
      <c r="Y13" s="47">
        <f>AVERAGE(F12:G12)</f>
        <v>4</v>
      </c>
      <c r="Z13" s="47">
        <f>AVERAGE(F15:G15)</f>
        <v>17.5</v>
      </c>
      <c r="AA13" s="33">
        <f>AVERAGE(F18:G18)</f>
        <v>7.17</v>
      </c>
      <c r="AB13" s="33">
        <f>AVERAGE(F21:G21)</f>
        <v>28.200000000000003</v>
      </c>
      <c r="AC13" s="47">
        <f>AVERAGE(F24:G24)</f>
        <v>15</v>
      </c>
      <c r="AD13" s="47">
        <f>GEOMEAN(F27:G27)</f>
        <v>6221.736092120912</v>
      </c>
      <c r="AE13" s="34">
        <f>AVERAGE(F30:G30)</f>
        <v>0.15</v>
      </c>
      <c r="AF13" s="34">
        <f>AVERAGE(F33:G33)</f>
        <v>0.66900000000000004</v>
      </c>
      <c r="AG13" s="47">
        <f>AVERAGE(F36:G36)</f>
        <v>191.5</v>
      </c>
    </row>
    <row r="14" spans="1:33">
      <c r="A14" s="9"/>
      <c r="B14" s="10" t="s">
        <v>92</v>
      </c>
      <c r="C14" s="11">
        <v>2</v>
      </c>
      <c r="D14" s="79" t="s">
        <v>452</v>
      </c>
      <c r="E14" s="79" t="s">
        <v>453</v>
      </c>
      <c r="F14" s="82">
        <v>25</v>
      </c>
      <c r="G14" s="80">
        <v>20</v>
      </c>
      <c r="H14" s="80">
        <v>59</v>
      </c>
      <c r="I14" s="80">
        <v>28</v>
      </c>
      <c r="J14" s="35">
        <f t="shared" si="0"/>
        <v>33</v>
      </c>
      <c r="K14" s="14">
        <v>80</v>
      </c>
      <c r="L14" s="249" t="s">
        <v>454</v>
      </c>
      <c r="S14" s="848"/>
      <c r="T14" s="848"/>
      <c r="U14" s="848"/>
      <c r="V14" s="848"/>
      <c r="W14" s="848"/>
      <c r="X14" s="848"/>
      <c r="Y14" s="848"/>
      <c r="Z14" s="848"/>
      <c r="AA14" s="848"/>
      <c r="AB14" s="848"/>
      <c r="AC14" s="848"/>
      <c r="AD14" s="848"/>
      <c r="AE14" s="848"/>
      <c r="AF14" s="848"/>
      <c r="AG14" s="848"/>
    </row>
    <row r="15" spans="1:33">
      <c r="A15" s="9"/>
      <c r="B15" s="10" t="s">
        <v>92</v>
      </c>
      <c r="C15" s="11">
        <v>3</v>
      </c>
      <c r="D15" s="79" t="s">
        <v>455</v>
      </c>
      <c r="E15" s="79" t="s">
        <v>456</v>
      </c>
      <c r="F15" s="82">
        <v>14</v>
      </c>
      <c r="G15" s="80">
        <v>21</v>
      </c>
      <c r="H15" s="80">
        <v>84</v>
      </c>
      <c r="I15" s="80">
        <v>40</v>
      </c>
      <c r="J15" s="35">
        <f t="shared" si="0"/>
        <v>39.75</v>
      </c>
      <c r="K15" s="14">
        <v>80</v>
      </c>
      <c r="L15" s="249" t="s">
        <v>457</v>
      </c>
      <c r="S15" s="14" t="s">
        <v>93</v>
      </c>
      <c r="T15" s="848"/>
      <c r="U15" s="848"/>
      <c r="V15" s="848"/>
      <c r="W15" s="848"/>
      <c r="X15" s="33">
        <f t="shared" ref="X15:AG15" si="1">AVERAGE(X11:X13)</f>
        <v>3.5733333333333337</v>
      </c>
      <c r="Y15" s="47">
        <f t="shared" si="1"/>
        <v>4</v>
      </c>
      <c r="Z15" s="47">
        <f t="shared" si="1"/>
        <v>17.666666666666668</v>
      </c>
      <c r="AA15" s="33">
        <f t="shared" si="1"/>
        <v>7.1516666666666664</v>
      </c>
      <c r="AB15" s="33">
        <f t="shared" si="1"/>
        <v>28.8</v>
      </c>
      <c r="AC15" s="47">
        <f t="shared" si="1"/>
        <v>15</v>
      </c>
      <c r="AD15" s="47">
        <f t="shared" si="1"/>
        <v>22453.129354448309</v>
      </c>
      <c r="AE15" s="34">
        <f t="shared" si="1"/>
        <v>0.1515</v>
      </c>
      <c r="AF15" s="34">
        <f t="shared" si="1"/>
        <v>0.72366666666666679</v>
      </c>
      <c r="AG15" s="47">
        <f t="shared" si="1"/>
        <v>171.66666666666666</v>
      </c>
    </row>
    <row r="16" spans="1:33">
      <c r="A16" s="9"/>
      <c r="B16" s="149" t="s">
        <v>7</v>
      </c>
      <c r="C16" s="15">
        <v>1</v>
      </c>
      <c r="D16" s="77" t="s">
        <v>449</v>
      </c>
      <c r="E16" s="77" t="s">
        <v>450</v>
      </c>
      <c r="F16" s="78">
        <v>7.04</v>
      </c>
      <c r="G16" s="78">
        <v>7.09</v>
      </c>
      <c r="H16" s="78">
        <v>8.02</v>
      </c>
      <c r="I16" s="78">
        <v>7.75</v>
      </c>
      <c r="J16" s="48">
        <f t="shared" si="0"/>
        <v>7.4749999999999996</v>
      </c>
      <c r="K16" s="17" t="s">
        <v>106</v>
      </c>
      <c r="L16" s="249" t="s">
        <v>451</v>
      </c>
      <c r="S16" s="14" t="s">
        <v>94</v>
      </c>
      <c r="T16" s="848"/>
      <c r="U16" s="848"/>
      <c r="V16" s="848"/>
      <c r="W16" s="848"/>
      <c r="X16" s="33">
        <f t="shared" ref="X16:AG16" si="2">MIN(X11:X13)</f>
        <v>3.45</v>
      </c>
      <c r="Y16" s="47">
        <f t="shared" si="2"/>
        <v>3.5</v>
      </c>
      <c r="Z16" s="47">
        <f t="shared" si="2"/>
        <v>13</v>
      </c>
      <c r="AA16" s="33">
        <f t="shared" si="2"/>
        <v>7.0649999999999995</v>
      </c>
      <c r="AB16" s="33">
        <f t="shared" si="2"/>
        <v>28.200000000000003</v>
      </c>
      <c r="AC16" s="47">
        <f t="shared" si="2"/>
        <v>15</v>
      </c>
      <c r="AD16" s="47">
        <f t="shared" si="2"/>
        <v>6221.736092120912</v>
      </c>
      <c r="AE16" s="34">
        <f t="shared" si="2"/>
        <v>0.14549999999999999</v>
      </c>
      <c r="AF16" s="34">
        <f t="shared" si="2"/>
        <v>0.63549999999999995</v>
      </c>
      <c r="AG16" s="47">
        <f t="shared" si="2"/>
        <v>140</v>
      </c>
    </row>
    <row r="17" spans="1:34">
      <c r="A17" s="9"/>
      <c r="B17" s="10" t="s">
        <v>7</v>
      </c>
      <c r="C17" s="11">
        <v>2</v>
      </c>
      <c r="D17" s="79" t="s">
        <v>452</v>
      </c>
      <c r="E17" s="79" t="s">
        <v>453</v>
      </c>
      <c r="F17" s="80">
        <v>7.16</v>
      </c>
      <c r="G17" s="80">
        <v>7.28</v>
      </c>
      <c r="H17" s="80">
        <v>7.83</v>
      </c>
      <c r="I17" s="80">
        <v>7.77</v>
      </c>
      <c r="J17" s="35">
        <f t="shared" si="0"/>
        <v>7.5100000000000007</v>
      </c>
      <c r="K17" s="18" t="s">
        <v>106</v>
      </c>
      <c r="L17" s="249" t="s">
        <v>454</v>
      </c>
      <c r="S17" s="14" t="s">
        <v>95</v>
      </c>
      <c r="T17" s="848"/>
      <c r="U17" s="848"/>
      <c r="V17" s="848"/>
      <c r="W17" s="848"/>
      <c r="X17" s="33">
        <f t="shared" ref="X17:AG17" si="3">MAX(X11:X13)</f>
        <v>3.65</v>
      </c>
      <c r="Y17" s="47">
        <f t="shared" si="3"/>
        <v>4.5</v>
      </c>
      <c r="Z17" s="47">
        <f t="shared" si="3"/>
        <v>22.5</v>
      </c>
      <c r="AA17" s="33">
        <f t="shared" si="3"/>
        <v>7.2200000000000006</v>
      </c>
      <c r="AB17" s="33">
        <f t="shared" si="3"/>
        <v>29.200000000000003</v>
      </c>
      <c r="AC17" s="47">
        <f t="shared" si="3"/>
        <v>15</v>
      </c>
      <c r="AD17" s="47">
        <f t="shared" si="3"/>
        <v>43474.130238568316</v>
      </c>
      <c r="AE17" s="34">
        <f t="shared" si="3"/>
        <v>0.159</v>
      </c>
      <c r="AF17" s="34">
        <f t="shared" si="3"/>
        <v>0.86650000000000005</v>
      </c>
      <c r="AG17" s="47">
        <f t="shared" si="3"/>
        <v>191.5</v>
      </c>
    </row>
    <row r="18" spans="1:34">
      <c r="A18" s="9"/>
      <c r="B18" s="10" t="s">
        <v>7</v>
      </c>
      <c r="C18" s="11">
        <v>3</v>
      </c>
      <c r="D18" s="79" t="s">
        <v>455</v>
      </c>
      <c r="E18" s="79" t="s">
        <v>456</v>
      </c>
      <c r="F18" s="80">
        <v>7.09</v>
      </c>
      <c r="G18" s="80">
        <v>7.25</v>
      </c>
      <c r="H18" s="80">
        <v>8.44</v>
      </c>
      <c r="I18" s="80">
        <v>7.81</v>
      </c>
      <c r="J18" s="35">
        <f t="shared" si="0"/>
        <v>7.6475</v>
      </c>
      <c r="K18" s="18" t="s">
        <v>106</v>
      </c>
      <c r="L18" s="249" t="s">
        <v>457</v>
      </c>
      <c r="S18" s="14" t="s">
        <v>96</v>
      </c>
      <c r="T18" s="848"/>
      <c r="U18" s="848"/>
      <c r="V18" s="848"/>
      <c r="W18" s="848"/>
      <c r="X18" s="29" t="s">
        <v>97</v>
      </c>
      <c r="Y18" s="29" t="s">
        <v>98</v>
      </c>
      <c r="Z18" s="29" t="s">
        <v>99</v>
      </c>
      <c r="AA18" s="29" t="s">
        <v>100</v>
      </c>
      <c r="AB18" s="29" t="s">
        <v>101</v>
      </c>
      <c r="AC18" s="29" t="s">
        <v>102</v>
      </c>
      <c r="AD18" s="29" t="s">
        <v>103</v>
      </c>
      <c r="AE18" s="29" t="s">
        <v>98</v>
      </c>
      <c r="AF18" s="29" t="s">
        <v>104</v>
      </c>
      <c r="AG18" s="29" t="s">
        <v>105</v>
      </c>
    </row>
    <row r="19" spans="1:34">
      <c r="A19" s="9"/>
      <c r="B19" s="149" t="s">
        <v>108</v>
      </c>
      <c r="C19" s="15">
        <v>1</v>
      </c>
      <c r="D19" s="77" t="s">
        <v>449</v>
      </c>
      <c r="E19" s="77" t="s">
        <v>450</v>
      </c>
      <c r="F19" s="78">
        <v>29.1</v>
      </c>
      <c r="G19" s="78">
        <v>29.3</v>
      </c>
      <c r="H19" s="78">
        <v>28.6</v>
      </c>
      <c r="I19" s="78">
        <v>28.3</v>
      </c>
      <c r="J19" s="48">
        <f t="shared" si="0"/>
        <v>28.824999999999999</v>
      </c>
      <c r="K19" s="17" t="s">
        <v>109</v>
      </c>
      <c r="L19" s="249" t="s">
        <v>451</v>
      </c>
    </row>
    <row r="20" spans="1:34">
      <c r="A20" s="9"/>
      <c r="B20" s="10" t="s">
        <v>108</v>
      </c>
      <c r="C20" s="11">
        <v>2</v>
      </c>
      <c r="D20" s="79" t="s">
        <v>452</v>
      </c>
      <c r="E20" s="79" t="s">
        <v>453</v>
      </c>
      <c r="F20" s="80">
        <v>28.6</v>
      </c>
      <c r="G20" s="80">
        <v>29.4</v>
      </c>
      <c r="H20" s="80">
        <v>28.6</v>
      </c>
      <c r="I20" s="80">
        <v>28.3</v>
      </c>
      <c r="J20" s="35">
        <f t="shared" si="0"/>
        <v>28.724999999999998</v>
      </c>
      <c r="K20" s="18" t="s">
        <v>109</v>
      </c>
      <c r="L20" s="249" t="s">
        <v>454</v>
      </c>
    </row>
    <row r="21" spans="1:34" ht="15.75" customHeight="1">
      <c r="A21" s="9"/>
      <c r="B21" s="10" t="s">
        <v>108</v>
      </c>
      <c r="C21" s="11">
        <v>3</v>
      </c>
      <c r="D21" s="79" t="s">
        <v>455</v>
      </c>
      <c r="E21" s="79" t="s">
        <v>456</v>
      </c>
      <c r="F21" s="80">
        <v>27.3</v>
      </c>
      <c r="G21" s="80">
        <v>29.1</v>
      </c>
      <c r="H21" s="80">
        <v>28.8</v>
      </c>
      <c r="I21" s="80">
        <v>28.3</v>
      </c>
      <c r="J21" s="35">
        <f t="shared" si="0"/>
        <v>28.375</v>
      </c>
      <c r="K21" s="18" t="s">
        <v>109</v>
      </c>
      <c r="L21" s="249" t="s">
        <v>457</v>
      </c>
    </row>
    <row r="22" spans="1:34" ht="15.75" customHeight="1">
      <c r="A22" s="9"/>
      <c r="B22" s="149" t="s">
        <v>110</v>
      </c>
      <c r="C22" s="15">
        <v>1</v>
      </c>
      <c r="D22" s="77" t="s">
        <v>449</v>
      </c>
      <c r="E22" s="77" t="s">
        <v>450</v>
      </c>
      <c r="F22" s="81">
        <v>15</v>
      </c>
      <c r="G22" s="78">
        <v>15</v>
      </c>
      <c r="H22" s="78">
        <v>15</v>
      </c>
      <c r="I22" s="78">
        <v>15</v>
      </c>
      <c r="J22" s="48">
        <f t="shared" si="0"/>
        <v>15</v>
      </c>
      <c r="K22" s="8">
        <v>75</v>
      </c>
      <c r="L22" s="249" t="s">
        <v>451</v>
      </c>
    </row>
    <row r="23" spans="1:34" ht="15.75" customHeight="1">
      <c r="A23" s="9"/>
      <c r="B23" s="10" t="s">
        <v>110</v>
      </c>
      <c r="C23" s="11">
        <v>2</v>
      </c>
      <c r="D23" s="79" t="s">
        <v>452</v>
      </c>
      <c r="E23" s="79" t="s">
        <v>453</v>
      </c>
      <c r="F23" s="82">
        <v>15</v>
      </c>
      <c r="G23" s="80">
        <v>15</v>
      </c>
      <c r="H23" s="80">
        <v>15</v>
      </c>
      <c r="I23" s="80">
        <v>15</v>
      </c>
      <c r="J23" s="35">
        <f t="shared" si="0"/>
        <v>15</v>
      </c>
      <c r="K23" s="14">
        <v>75</v>
      </c>
      <c r="L23" s="249" t="s">
        <v>454</v>
      </c>
    </row>
    <row r="24" spans="1:34" ht="15.75" customHeight="1">
      <c r="A24" s="9"/>
      <c r="B24" s="10" t="s">
        <v>110</v>
      </c>
      <c r="C24" s="11">
        <v>3</v>
      </c>
      <c r="D24" s="79" t="s">
        <v>455</v>
      </c>
      <c r="E24" s="79" t="s">
        <v>456</v>
      </c>
      <c r="F24" s="82">
        <v>15</v>
      </c>
      <c r="G24" s="80">
        <v>15</v>
      </c>
      <c r="H24" s="80">
        <v>20</v>
      </c>
      <c r="I24" s="80">
        <v>15</v>
      </c>
      <c r="J24" s="35">
        <f t="shared" si="0"/>
        <v>16.25</v>
      </c>
      <c r="K24" s="14">
        <v>75</v>
      </c>
      <c r="L24" s="249" t="s">
        <v>457</v>
      </c>
      <c r="S24" s="232"/>
      <c r="T24" s="232"/>
      <c r="U24" s="232"/>
      <c r="V24" s="232"/>
      <c r="W24" s="232"/>
      <c r="X24" s="232"/>
      <c r="Y24" s="232"/>
      <c r="Z24" s="232"/>
      <c r="AA24" s="232"/>
      <c r="AB24" s="232"/>
      <c r="AC24" s="232"/>
      <c r="AD24" s="232"/>
      <c r="AE24" s="232"/>
      <c r="AF24" s="232"/>
      <c r="AG24" s="232"/>
    </row>
    <row r="25" spans="1:34" ht="28.5">
      <c r="A25" s="9"/>
      <c r="B25" s="149" t="s">
        <v>111</v>
      </c>
      <c r="C25" s="15">
        <v>1</v>
      </c>
      <c r="D25" s="77" t="s">
        <v>449</v>
      </c>
      <c r="E25" s="77" t="s">
        <v>450</v>
      </c>
      <c r="F25" s="81">
        <v>13000</v>
      </c>
      <c r="G25" s="78">
        <v>24000</v>
      </c>
      <c r="H25" s="78">
        <v>35000</v>
      </c>
      <c r="I25" s="78">
        <v>7900</v>
      </c>
      <c r="J25" s="49">
        <f>IFERROR(GEOMEAN(F25:I25), 0)</f>
        <v>17138.090522230315</v>
      </c>
      <c r="K25" s="8">
        <v>200</v>
      </c>
      <c r="L25" s="249" t="s">
        <v>451</v>
      </c>
      <c r="R25" s="232"/>
      <c r="S25" s="849" t="s">
        <v>70</v>
      </c>
      <c r="T25" s="850"/>
      <c r="U25" s="850"/>
      <c r="V25" s="850"/>
      <c r="W25" s="850"/>
      <c r="X25" s="850"/>
      <c r="Y25" s="850"/>
      <c r="Z25" s="850"/>
      <c r="AA25" s="850"/>
      <c r="AB25" s="850"/>
      <c r="AC25" s="850"/>
      <c r="AD25" s="850"/>
      <c r="AE25" s="850"/>
      <c r="AF25" s="850"/>
      <c r="AG25" s="851"/>
      <c r="AH25" s="232"/>
    </row>
    <row r="26" spans="1:34" ht="15.75" customHeight="1">
      <c r="A26" s="9"/>
      <c r="B26" s="10" t="s">
        <v>111</v>
      </c>
      <c r="C26" s="11">
        <v>2</v>
      </c>
      <c r="D26" s="79" t="s">
        <v>452</v>
      </c>
      <c r="E26" s="79" t="s">
        <v>453</v>
      </c>
      <c r="F26" s="82">
        <v>54000</v>
      </c>
      <c r="G26" s="80">
        <v>35000</v>
      </c>
      <c r="H26" s="80">
        <v>160000</v>
      </c>
      <c r="I26" s="80">
        <v>4900</v>
      </c>
      <c r="J26" s="36">
        <f>IFERROR(GEOMEAN(F26:I26), 0)</f>
        <v>34889.477592533724</v>
      </c>
      <c r="K26" s="14">
        <v>200</v>
      </c>
      <c r="L26" s="249" t="s">
        <v>454</v>
      </c>
      <c r="R26" s="232"/>
      <c r="S26" s="852" t="s">
        <v>107</v>
      </c>
      <c r="T26" s="853"/>
      <c r="U26" s="853"/>
      <c r="V26" s="853"/>
      <c r="W26" s="853"/>
      <c r="X26" s="853"/>
      <c r="Y26" s="853"/>
      <c r="Z26" s="853"/>
      <c r="AA26" s="853"/>
      <c r="AB26" s="853"/>
      <c r="AC26" s="853"/>
      <c r="AD26" s="853"/>
      <c r="AE26" s="853"/>
      <c r="AF26" s="853"/>
      <c r="AG26" s="854"/>
      <c r="AH26" s="232"/>
    </row>
    <row r="27" spans="1:34" ht="15.75" customHeight="1">
      <c r="A27" s="9"/>
      <c r="B27" s="10" t="s">
        <v>111</v>
      </c>
      <c r="C27" s="11">
        <v>3</v>
      </c>
      <c r="D27" s="79" t="s">
        <v>455</v>
      </c>
      <c r="E27" s="79" t="s">
        <v>456</v>
      </c>
      <c r="F27" s="82">
        <v>4900</v>
      </c>
      <c r="G27" s="80">
        <v>7900</v>
      </c>
      <c r="H27" s="80">
        <v>35000</v>
      </c>
      <c r="I27" s="80">
        <v>7900</v>
      </c>
      <c r="J27" s="36">
        <f>IFERROR(GEOMEAN(F27:I27), 0)</f>
        <v>10171.372903610381</v>
      </c>
      <c r="K27" s="14">
        <v>200</v>
      </c>
      <c r="L27" s="249" t="s">
        <v>457</v>
      </c>
      <c r="R27" s="232"/>
      <c r="S27" s="862"/>
      <c r="T27" s="848"/>
      <c r="U27" s="848"/>
      <c r="V27" s="848"/>
      <c r="W27" s="848"/>
      <c r="X27" s="478" t="s">
        <v>78</v>
      </c>
      <c r="Y27" s="273"/>
      <c r="Z27" s="273"/>
      <c r="AA27" s="273"/>
      <c r="AB27" s="273"/>
      <c r="AC27" s="273"/>
      <c r="AD27" s="273"/>
      <c r="AE27" s="273"/>
      <c r="AF27" s="273"/>
      <c r="AG27" s="665"/>
      <c r="AH27" s="232"/>
    </row>
    <row r="28" spans="1:34" ht="15.75" customHeight="1">
      <c r="A28" s="20"/>
      <c r="B28" s="151" t="s">
        <v>113</v>
      </c>
      <c r="C28" s="21">
        <v>1</v>
      </c>
      <c r="D28" s="77" t="s">
        <v>449</v>
      </c>
      <c r="E28" s="77" t="s">
        <v>450</v>
      </c>
      <c r="F28" s="83">
        <v>0.248</v>
      </c>
      <c r="G28" s="83">
        <v>4.2999999999999997E-2</v>
      </c>
      <c r="H28" s="78">
        <v>0.2</v>
      </c>
      <c r="I28" s="83">
        <v>0.51600000000000001</v>
      </c>
      <c r="J28" s="23">
        <f t="shared" ref="J28:J36" si="4">IFERROR(AVERAGE(F28:I28), 0)</f>
        <v>0.25175000000000003</v>
      </c>
      <c r="K28" s="23">
        <v>7</v>
      </c>
      <c r="L28" s="249" t="s">
        <v>451</v>
      </c>
      <c r="R28" s="232"/>
      <c r="S28" s="657" t="s">
        <v>82</v>
      </c>
      <c r="T28" s="14" t="s">
        <v>83</v>
      </c>
      <c r="U28" s="14" t="s">
        <v>84</v>
      </c>
      <c r="V28" s="14" t="s">
        <v>85</v>
      </c>
      <c r="W28" s="14" t="s">
        <v>86</v>
      </c>
      <c r="X28" s="14" t="s">
        <v>4</v>
      </c>
      <c r="Y28" s="14" t="s">
        <v>5</v>
      </c>
      <c r="Z28" s="14" t="s">
        <v>6</v>
      </c>
      <c r="AA28" s="14" t="s">
        <v>7</v>
      </c>
      <c r="AB28" s="14" t="s">
        <v>8</v>
      </c>
      <c r="AC28" s="14" t="s">
        <v>9</v>
      </c>
      <c r="AD28" s="14" t="s">
        <v>10</v>
      </c>
      <c r="AE28" s="14" t="s">
        <v>11</v>
      </c>
      <c r="AF28" s="14" t="s">
        <v>12</v>
      </c>
      <c r="AG28" s="658" t="s">
        <v>13</v>
      </c>
      <c r="AH28" s="232"/>
    </row>
    <row r="29" spans="1:34" ht="15.75" customHeight="1">
      <c r="A29" s="20"/>
      <c r="B29" s="84" t="s">
        <v>114</v>
      </c>
      <c r="C29" s="25">
        <v>2</v>
      </c>
      <c r="D29" s="79" t="s">
        <v>452</v>
      </c>
      <c r="E29" s="79" t="s">
        <v>453</v>
      </c>
      <c r="F29" s="85">
        <v>0.27500000000000002</v>
      </c>
      <c r="G29" s="85">
        <v>4.2999999999999997E-2</v>
      </c>
      <c r="H29" s="80">
        <v>0.128</v>
      </c>
      <c r="I29" s="85">
        <v>0.27900000000000003</v>
      </c>
      <c r="J29" s="28">
        <f t="shared" si="4"/>
        <v>0.18125000000000002</v>
      </c>
      <c r="K29" s="28">
        <v>7</v>
      </c>
      <c r="L29" s="249" t="s">
        <v>454</v>
      </c>
      <c r="R29" s="232"/>
      <c r="S29" s="923" t="s">
        <v>458</v>
      </c>
      <c r="T29" s="855" t="s">
        <v>447</v>
      </c>
      <c r="U29" s="855" t="s">
        <v>16</v>
      </c>
      <c r="V29" s="32">
        <v>1</v>
      </c>
      <c r="W29" s="65" t="s">
        <v>449</v>
      </c>
      <c r="X29" s="35">
        <f>J7</f>
        <v>3.9424999999999999</v>
      </c>
      <c r="Y29" s="35">
        <f>J10</f>
        <v>4.8499999999999996</v>
      </c>
      <c r="Z29" s="35">
        <f>J13</f>
        <v>27.75</v>
      </c>
      <c r="AA29" s="35">
        <f>J16</f>
        <v>7.4749999999999996</v>
      </c>
      <c r="AB29" s="35">
        <f>J19</f>
        <v>28.824999999999999</v>
      </c>
      <c r="AC29" s="35">
        <f>J22</f>
        <v>15</v>
      </c>
      <c r="AD29" s="36">
        <f>J25</f>
        <v>17138.090522230315</v>
      </c>
      <c r="AE29" s="28">
        <f>J28</f>
        <v>0.25175000000000003</v>
      </c>
      <c r="AF29" s="28">
        <f>J31</f>
        <v>0.38749999999999996</v>
      </c>
      <c r="AG29" s="659">
        <f>J34</f>
        <v>96.25</v>
      </c>
      <c r="AH29" s="232"/>
    </row>
    <row r="30" spans="1:34" ht="15.75" customHeight="1">
      <c r="A30" s="20"/>
      <c r="B30" s="84" t="s">
        <v>114</v>
      </c>
      <c r="C30" s="25">
        <v>3</v>
      </c>
      <c r="D30" s="79" t="s">
        <v>455</v>
      </c>
      <c r="E30" s="79" t="s">
        <v>456</v>
      </c>
      <c r="F30" s="85">
        <v>0.25700000000000001</v>
      </c>
      <c r="G30" s="85">
        <v>4.2999999999999997E-2</v>
      </c>
      <c r="H30" s="80">
        <v>0.23899999999999999</v>
      </c>
      <c r="I30" s="85">
        <v>0.28299999999999997</v>
      </c>
      <c r="J30" s="28">
        <f t="shared" si="4"/>
        <v>0.20549999999999996</v>
      </c>
      <c r="K30" s="28">
        <v>7</v>
      </c>
      <c r="L30" s="249" t="s">
        <v>457</v>
      </c>
      <c r="R30" s="232"/>
      <c r="S30" s="923"/>
      <c r="T30" s="855"/>
      <c r="U30" s="855"/>
      <c r="V30" s="32">
        <v>2</v>
      </c>
      <c r="W30" s="65" t="s">
        <v>452</v>
      </c>
      <c r="X30" s="35">
        <f>J8</f>
        <v>3.8200000000000003</v>
      </c>
      <c r="Y30" s="35">
        <f>J11</f>
        <v>3.7</v>
      </c>
      <c r="Z30" s="35">
        <f>J14</f>
        <v>33</v>
      </c>
      <c r="AA30" s="35">
        <f>J17</f>
        <v>7.5100000000000007</v>
      </c>
      <c r="AB30" s="35">
        <f>J20</f>
        <v>28.724999999999998</v>
      </c>
      <c r="AC30" s="35">
        <f>J23</f>
        <v>15</v>
      </c>
      <c r="AD30" s="36">
        <f>J26</f>
        <v>34889.477592533724</v>
      </c>
      <c r="AE30" s="28">
        <f>J29</f>
        <v>0.18125000000000002</v>
      </c>
      <c r="AF30" s="28">
        <f>J32</f>
        <v>0.5</v>
      </c>
      <c r="AG30" s="659">
        <f>J35</f>
        <v>79.75</v>
      </c>
      <c r="AH30" s="232"/>
    </row>
    <row r="31" spans="1:34" ht="15.75" customHeight="1">
      <c r="A31" s="20"/>
      <c r="B31" s="151" t="s">
        <v>115</v>
      </c>
      <c r="C31" s="21">
        <v>1</v>
      </c>
      <c r="D31" s="77" t="s">
        <v>449</v>
      </c>
      <c r="E31" s="77" t="s">
        <v>450</v>
      </c>
      <c r="F31" s="83">
        <v>0.83899999999999997</v>
      </c>
      <c r="G31" s="83">
        <v>0.432</v>
      </c>
      <c r="H31" s="78">
        <v>0.13800000000000001</v>
      </c>
      <c r="I31" s="83">
        <v>0.14099999999999999</v>
      </c>
      <c r="J31" s="23">
        <f t="shared" si="4"/>
        <v>0.38749999999999996</v>
      </c>
      <c r="K31" s="23">
        <v>2.5000000000000001E-2</v>
      </c>
      <c r="L31" s="249" t="s">
        <v>451</v>
      </c>
      <c r="R31" s="232"/>
      <c r="S31" s="923"/>
      <c r="T31" s="855"/>
      <c r="U31" s="855"/>
      <c r="V31" s="32">
        <v>3</v>
      </c>
      <c r="W31" s="65" t="s">
        <v>455</v>
      </c>
      <c r="X31" s="35">
        <f>J9</f>
        <v>4.1375000000000002</v>
      </c>
      <c r="Y31" s="35">
        <f>J12</f>
        <v>5.0250000000000004</v>
      </c>
      <c r="Z31" s="35">
        <f>J15</f>
        <v>39.75</v>
      </c>
      <c r="AA31" s="35">
        <f>J18</f>
        <v>7.6475</v>
      </c>
      <c r="AB31" s="35">
        <f>J21</f>
        <v>28.375</v>
      </c>
      <c r="AC31" s="35">
        <f>J24</f>
        <v>16.25</v>
      </c>
      <c r="AD31" s="36">
        <f>J27</f>
        <v>10171.372903610381</v>
      </c>
      <c r="AE31" s="28">
        <f>J30</f>
        <v>0.20549999999999996</v>
      </c>
      <c r="AF31" s="28">
        <f>J33</f>
        <v>0.41625000000000001</v>
      </c>
      <c r="AG31" s="659">
        <f>J36</f>
        <v>107</v>
      </c>
      <c r="AH31" s="232"/>
    </row>
    <row r="32" spans="1:34" ht="15.75" customHeight="1">
      <c r="A32" s="20"/>
      <c r="B32" s="84" t="s">
        <v>116</v>
      </c>
      <c r="C32" s="25">
        <v>2</v>
      </c>
      <c r="D32" s="79" t="s">
        <v>452</v>
      </c>
      <c r="E32" s="79" t="s">
        <v>453</v>
      </c>
      <c r="F32" s="85">
        <v>1.0509999999999999</v>
      </c>
      <c r="G32" s="85">
        <v>0.68200000000000005</v>
      </c>
      <c r="H32" s="80">
        <v>0.155</v>
      </c>
      <c r="I32" s="85">
        <v>0.112</v>
      </c>
      <c r="J32" s="28">
        <f t="shared" si="4"/>
        <v>0.5</v>
      </c>
      <c r="K32" s="28">
        <v>2.5000000000000001E-2</v>
      </c>
      <c r="L32" s="249" t="s">
        <v>454</v>
      </c>
      <c r="R32" s="232"/>
      <c r="S32" s="862"/>
      <c r="T32" s="848"/>
      <c r="U32" s="848"/>
      <c r="V32" s="848"/>
      <c r="W32" s="848"/>
      <c r="X32" s="848"/>
      <c r="Y32" s="848"/>
      <c r="Z32" s="848"/>
      <c r="AA32" s="848"/>
      <c r="AB32" s="848"/>
      <c r="AC32" s="848"/>
      <c r="AD32" s="848"/>
      <c r="AE32" s="848"/>
      <c r="AF32" s="848"/>
      <c r="AG32" s="872"/>
      <c r="AH32" s="232"/>
    </row>
    <row r="33" spans="1:34" ht="15.75" customHeight="1">
      <c r="A33" s="20"/>
      <c r="B33" s="84" t="s">
        <v>116</v>
      </c>
      <c r="C33" s="25">
        <v>3</v>
      </c>
      <c r="D33" s="79" t="s">
        <v>455</v>
      </c>
      <c r="E33" s="79" t="s">
        <v>456</v>
      </c>
      <c r="F33" s="85">
        <v>1.006</v>
      </c>
      <c r="G33" s="85">
        <v>0.33200000000000002</v>
      </c>
      <c r="H33" s="80">
        <v>0.182</v>
      </c>
      <c r="I33" s="85">
        <v>0.14499999999999999</v>
      </c>
      <c r="J33" s="28">
        <f t="shared" si="4"/>
        <v>0.41625000000000001</v>
      </c>
      <c r="K33" s="28">
        <v>2.5000000000000001E-2</v>
      </c>
      <c r="L33" s="249" t="s">
        <v>457</v>
      </c>
      <c r="R33" s="232"/>
      <c r="S33" s="657" t="s">
        <v>93</v>
      </c>
      <c r="T33" s="848"/>
      <c r="U33" s="848"/>
      <c r="V33" s="848"/>
      <c r="W33" s="848"/>
      <c r="X33" s="35">
        <f t="shared" ref="X33:AG33" si="5">AVERAGE(X29:X31)</f>
        <v>3.9666666666666668</v>
      </c>
      <c r="Y33" s="35">
        <f t="shared" si="5"/>
        <v>4.5250000000000004</v>
      </c>
      <c r="Z33" s="35">
        <f t="shared" si="5"/>
        <v>33.5</v>
      </c>
      <c r="AA33" s="35">
        <f t="shared" si="5"/>
        <v>7.5441666666666665</v>
      </c>
      <c r="AB33" s="35">
        <f t="shared" si="5"/>
        <v>28.641666666666666</v>
      </c>
      <c r="AC33" s="35">
        <f t="shared" si="5"/>
        <v>15.416666666666666</v>
      </c>
      <c r="AD33" s="36">
        <f t="shared" si="5"/>
        <v>20732.980339458143</v>
      </c>
      <c r="AE33" s="28">
        <f t="shared" si="5"/>
        <v>0.21283333333333335</v>
      </c>
      <c r="AF33" s="28">
        <f t="shared" si="5"/>
        <v>0.43458333333333332</v>
      </c>
      <c r="AG33" s="659">
        <f t="shared" si="5"/>
        <v>94.333333333333329</v>
      </c>
      <c r="AH33" s="232"/>
    </row>
    <row r="34" spans="1:34" ht="15.75" customHeight="1">
      <c r="A34" s="9"/>
      <c r="B34" s="149" t="s">
        <v>117</v>
      </c>
      <c r="C34" s="15">
        <v>1</v>
      </c>
      <c r="D34" s="77" t="s">
        <v>449</v>
      </c>
      <c r="E34" s="77" t="s">
        <v>450</v>
      </c>
      <c r="F34" s="81">
        <v>151</v>
      </c>
      <c r="G34" s="78">
        <v>216</v>
      </c>
      <c r="H34" s="78">
        <v>7</v>
      </c>
      <c r="I34" s="78">
        <v>11</v>
      </c>
      <c r="J34" s="48">
        <f t="shared" si="4"/>
        <v>96.25</v>
      </c>
      <c r="K34" s="8">
        <v>350</v>
      </c>
      <c r="L34" s="249" t="s">
        <v>451</v>
      </c>
      <c r="R34" s="232"/>
      <c r="S34" s="657" t="s">
        <v>94</v>
      </c>
      <c r="T34" s="848"/>
      <c r="U34" s="848"/>
      <c r="V34" s="848"/>
      <c r="W34" s="848"/>
      <c r="X34" s="35">
        <f t="shared" ref="X34:AG34" si="6">MIN(X29:X31)</f>
        <v>3.8200000000000003</v>
      </c>
      <c r="Y34" s="35">
        <f t="shared" si="6"/>
        <v>3.7</v>
      </c>
      <c r="Z34" s="35">
        <f t="shared" si="6"/>
        <v>27.75</v>
      </c>
      <c r="AA34" s="35">
        <f t="shared" si="6"/>
        <v>7.4749999999999996</v>
      </c>
      <c r="AB34" s="35">
        <f t="shared" si="6"/>
        <v>28.375</v>
      </c>
      <c r="AC34" s="35">
        <f t="shared" si="6"/>
        <v>15</v>
      </c>
      <c r="AD34" s="36">
        <f t="shared" si="6"/>
        <v>10171.372903610381</v>
      </c>
      <c r="AE34" s="28">
        <f t="shared" si="6"/>
        <v>0.18125000000000002</v>
      </c>
      <c r="AF34" s="28">
        <f t="shared" si="6"/>
        <v>0.38749999999999996</v>
      </c>
      <c r="AG34" s="659">
        <f t="shared" si="6"/>
        <v>79.75</v>
      </c>
      <c r="AH34" s="232"/>
    </row>
    <row r="35" spans="1:34" ht="15.75" customHeight="1">
      <c r="A35" s="9"/>
      <c r="B35" s="10" t="s">
        <v>117</v>
      </c>
      <c r="C35" s="11">
        <v>2</v>
      </c>
      <c r="D35" s="79" t="s">
        <v>452</v>
      </c>
      <c r="E35" s="79" t="s">
        <v>453</v>
      </c>
      <c r="F35" s="82">
        <v>236</v>
      </c>
      <c r="G35" s="80">
        <v>44</v>
      </c>
      <c r="H35" s="80">
        <v>7</v>
      </c>
      <c r="I35" s="80">
        <v>32</v>
      </c>
      <c r="J35" s="35">
        <f t="shared" si="4"/>
        <v>79.75</v>
      </c>
      <c r="K35" s="14">
        <v>350</v>
      </c>
      <c r="L35" s="249" t="s">
        <v>454</v>
      </c>
      <c r="R35" s="232"/>
      <c r="S35" s="657" t="s">
        <v>95</v>
      </c>
      <c r="T35" s="848"/>
      <c r="U35" s="848"/>
      <c r="V35" s="848"/>
      <c r="W35" s="848"/>
      <c r="X35" s="35">
        <f t="shared" ref="X35:AG35" si="7">MAX(X29:X31)</f>
        <v>4.1375000000000002</v>
      </c>
      <c r="Y35" s="35">
        <f t="shared" si="7"/>
        <v>5.0250000000000004</v>
      </c>
      <c r="Z35" s="35">
        <f t="shared" si="7"/>
        <v>39.75</v>
      </c>
      <c r="AA35" s="35">
        <f t="shared" si="7"/>
        <v>7.6475</v>
      </c>
      <c r="AB35" s="35">
        <f t="shared" si="7"/>
        <v>28.824999999999999</v>
      </c>
      <c r="AC35" s="35">
        <f t="shared" si="7"/>
        <v>16.25</v>
      </c>
      <c r="AD35" s="36">
        <f t="shared" si="7"/>
        <v>34889.477592533724</v>
      </c>
      <c r="AE35" s="28">
        <f t="shared" si="7"/>
        <v>0.25175000000000003</v>
      </c>
      <c r="AF35" s="28">
        <f t="shared" si="7"/>
        <v>0.5</v>
      </c>
      <c r="AG35" s="659">
        <f t="shared" si="7"/>
        <v>107</v>
      </c>
      <c r="AH35" s="232"/>
    </row>
    <row r="36" spans="1:34" ht="15.75" customHeight="1">
      <c r="A36" s="9"/>
      <c r="B36" s="10" t="s">
        <v>117</v>
      </c>
      <c r="C36" s="11">
        <v>3</v>
      </c>
      <c r="D36" s="79" t="s">
        <v>455</v>
      </c>
      <c r="E36" s="79" t="s">
        <v>456</v>
      </c>
      <c r="F36" s="82">
        <v>216</v>
      </c>
      <c r="G36" s="80">
        <v>167</v>
      </c>
      <c r="H36" s="80">
        <v>14</v>
      </c>
      <c r="I36" s="80">
        <v>31</v>
      </c>
      <c r="J36" s="35">
        <f t="shared" si="4"/>
        <v>107</v>
      </c>
      <c r="K36" s="14">
        <v>350</v>
      </c>
      <c r="L36" s="249" t="s">
        <v>457</v>
      </c>
      <c r="R36" s="232"/>
      <c r="S36" s="660" t="s">
        <v>96</v>
      </c>
      <c r="T36" s="922"/>
      <c r="U36" s="922"/>
      <c r="V36" s="922"/>
      <c r="W36" s="922"/>
      <c r="X36" s="661" t="s">
        <v>97</v>
      </c>
      <c r="Y36" s="661" t="s">
        <v>98</v>
      </c>
      <c r="Z36" s="661" t="s">
        <v>99</v>
      </c>
      <c r="AA36" s="661" t="s">
        <v>100</v>
      </c>
      <c r="AB36" s="661" t="s">
        <v>101</v>
      </c>
      <c r="AC36" s="661" t="s">
        <v>102</v>
      </c>
      <c r="AD36" s="661" t="s">
        <v>103</v>
      </c>
      <c r="AE36" s="661" t="s">
        <v>98</v>
      </c>
      <c r="AF36" s="661" t="s">
        <v>104</v>
      </c>
      <c r="AG36" s="662" t="s">
        <v>105</v>
      </c>
      <c r="AH36" s="232"/>
    </row>
    <row r="37" spans="1:34" ht="45.75" customHeight="1">
      <c r="A37" s="9"/>
      <c r="B37" s="149" t="s">
        <v>314</v>
      </c>
      <c r="C37" s="15">
        <v>1</v>
      </c>
      <c r="D37" s="77" t="s">
        <v>449</v>
      </c>
      <c r="E37" s="77" t="s">
        <v>450</v>
      </c>
      <c r="F37" s="78" t="s">
        <v>459</v>
      </c>
      <c r="G37" s="78" t="s">
        <v>460</v>
      </c>
      <c r="H37" s="78" t="s">
        <v>461</v>
      </c>
      <c r="I37" s="78" t="s">
        <v>462</v>
      </c>
      <c r="J37" s="1"/>
      <c r="K37" s="1"/>
      <c r="L37" s="249" t="s">
        <v>451</v>
      </c>
      <c r="S37" s="232"/>
      <c r="T37" s="232"/>
      <c r="U37" s="232"/>
      <c r="V37" s="232"/>
      <c r="W37" s="232"/>
      <c r="X37" s="232"/>
      <c r="Y37" s="232"/>
      <c r="Z37" s="232"/>
      <c r="AA37" s="232"/>
      <c r="AB37" s="232"/>
      <c r="AC37" s="232"/>
      <c r="AD37" s="232"/>
      <c r="AE37" s="232"/>
      <c r="AF37" s="232"/>
      <c r="AG37" s="232"/>
    </row>
    <row r="38" spans="1:34" ht="48" customHeight="1">
      <c r="A38" s="9"/>
      <c r="B38" s="10" t="s">
        <v>117</v>
      </c>
      <c r="C38" s="11">
        <v>2</v>
      </c>
      <c r="D38" s="79" t="s">
        <v>452</v>
      </c>
      <c r="E38" s="79" t="s">
        <v>453</v>
      </c>
      <c r="F38" s="80" t="s">
        <v>463</v>
      </c>
      <c r="G38" s="80" t="s">
        <v>464</v>
      </c>
      <c r="H38" s="80" t="s">
        <v>465</v>
      </c>
      <c r="I38" s="80" t="s">
        <v>466</v>
      </c>
      <c r="J38" s="1"/>
      <c r="K38" s="1"/>
      <c r="L38" s="249" t="s">
        <v>454</v>
      </c>
    </row>
    <row r="39" spans="1:34" ht="45.75" customHeight="1">
      <c r="A39" s="9"/>
      <c r="B39" s="10" t="s">
        <v>117</v>
      </c>
      <c r="C39" s="11">
        <v>3</v>
      </c>
      <c r="D39" s="79" t="s">
        <v>455</v>
      </c>
      <c r="E39" s="79" t="s">
        <v>456</v>
      </c>
      <c r="F39" s="80" t="s">
        <v>467</v>
      </c>
      <c r="G39" s="80" t="s">
        <v>464</v>
      </c>
      <c r="H39" s="80" t="s">
        <v>465</v>
      </c>
      <c r="I39" s="80" t="s">
        <v>468</v>
      </c>
      <c r="J39" s="1"/>
      <c r="K39" s="1"/>
      <c r="L39" s="249" t="s">
        <v>457</v>
      </c>
    </row>
    <row r="40" spans="1:34" ht="15.75" customHeight="1">
      <c r="A40" s="1"/>
      <c r="B40" s="1"/>
      <c r="C40" s="1" t="s">
        <v>349</v>
      </c>
      <c r="D40" s="1"/>
      <c r="E40" s="1"/>
      <c r="F40" s="1">
        <v>24</v>
      </c>
      <c r="G40" s="1">
        <v>30</v>
      </c>
      <c r="H40" s="519">
        <v>45898</v>
      </c>
      <c r="I40" s="519">
        <v>45960</v>
      </c>
      <c r="J40" s="1"/>
      <c r="K40" s="1"/>
    </row>
    <row r="41" spans="1:34" ht="15.75" customHeight="1">
      <c r="A41" s="1"/>
      <c r="B41" s="1"/>
      <c r="D41" s="243"/>
      <c r="E41" s="243"/>
      <c r="F41" s="243"/>
      <c r="G41" s="243"/>
      <c r="H41" s="243"/>
      <c r="I41" s="243"/>
      <c r="J41" s="243"/>
      <c r="K41" s="243"/>
      <c r="L41" s="232"/>
      <c r="M41" s="232"/>
      <c r="N41" s="232"/>
      <c r="O41" s="232"/>
      <c r="P41" s="232"/>
      <c r="Q41" s="232"/>
      <c r="R41" s="232"/>
      <c r="S41" s="232"/>
    </row>
    <row r="42" spans="1:34" ht="15.75" customHeight="1">
      <c r="A42" s="1"/>
      <c r="B42" s="1"/>
      <c r="C42" s="243" t="s">
        <v>175</v>
      </c>
      <c r="D42" s="232"/>
      <c r="E42" s="232"/>
      <c r="F42" s="232"/>
      <c r="G42" s="232"/>
      <c r="H42" s="232"/>
      <c r="I42" s="232"/>
      <c r="J42" s="232"/>
      <c r="K42" s="232"/>
      <c r="T42" s="232"/>
    </row>
    <row r="43" spans="1:34" ht="15.75" customHeight="1">
      <c r="A43" s="1"/>
      <c r="B43" s="243"/>
      <c r="C43" s="912" t="s">
        <v>469</v>
      </c>
      <c r="D43" s="913"/>
      <c r="E43" s="913"/>
      <c r="F43" s="913"/>
      <c r="G43" s="913"/>
      <c r="H43" s="913"/>
      <c r="I43" s="913"/>
      <c r="J43" s="913"/>
      <c r="K43" s="914"/>
      <c r="L43" s="232"/>
      <c r="T43" s="232"/>
    </row>
    <row r="44" spans="1:34" ht="15.75" customHeight="1">
      <c r="A44" s="1"/>
      <c r="B44" s="243"/>
      <c r="C44" s="915"/>
      <c r="D44" s="916"/>
      <c r="E44" s="916"/>
      <c r="F44" s="916"/>
      <c r="G44" s="916"/>
      <c r="H44" s="916"/>
      <c r="I44" s="916"/>
      <c r="J44" s="916"/>
      <c r="K44" s="917"/>
      <c r="L44" s="232"/>
      <c r="T44" s="232"/>
    </row>
    <row r="45" spans="1:34" ht="15.75" customHeight="1">
      <c r="A45" s="1"/>
      <c r="B45" s="243"/>
      <c r="C45" s="915"/>
      <c r="D45" s="916"/>
      <c r="E45" s="916"/>
      <c r="F45" s="916"/>
      <c r="G45" s="916"/>
      <c r="H45" s="916"/>
      <c r="I45" s="916"/>
      <c r="J45" s="916"/>
      <c r="K45" s="917"/>
      <c r="L45" s="232"/>
      <c r="T45" s="232"/>
    </row>
    <row r="46" spans="1:34">
      <c r="A46" s="1"/>
      <c r="B46" s="243"/>
      <c r="C46" s="915"/>
      <c r="D46" s="916"/>
      <c r="E46" s="916"/>
      <c r="F46" s="916"/>
      <c r="G46" s="916"/>
      <c r="H46" s="916"/>
      <c r="I46" s="916"/>
      <c r="J46" s="916"/>
      <c r="K46" s="917"/>
      <c r="L46" s="232"/>
      <c r="T46" s="232"/>
    </row>
    <row r="47" spans="1:34">
      <c r="A47" s="1"/>
      <c r="B47" s="243"/>
      <c r="C47" s="915"/>
      <c r="D47" s="916"/>
      <c r="E47" s="916"/>
      <c r="F47" s="916"/>
      <c r="G47" s="916"/>
      <c r="H47" s="916"/>
      <c r="I47" s="916"/>
      <c r="J47" s="916"/>
      <c r="K47" s="917"/>
      <c r="L47" s="232"/>
      <c r="T47" s="232"/>
    </row>
    <row r="48" spans="1:34">
      <c r="A48" s="1"/>
      <c r="B48" s="243"/>
      <c r="C48" s="915"/>
      <c r="D48" s="916"/>
      <c r="E48" s="916"/>
      <c r="F48" s="916"/>
      <c r="G48" s="916"/>
      <c r="H48" s="916"/>
      <c r="I48" s="916"/>
      <c r="J48" s="916"/>
      <c r="K48" s="917"/>
      <c r="L48" s="232"/>
      <c r="T48" s="232"/>
    </row>
    <row r="49" spans="2:20" ht="15.75" customHeight="1">
      <c r="B49" s="232"/>
      <c r="C49" s="915"/>
      <c r="D49" s="916"/>
      <c r="E49" s="916"/>
      <c r="F49" s="916"/>
      <c r="G49" s="916"/>
      <c r="H49" s="916"/>
      <c r="I49" s="916"/>
      <c r="J49" s="916"/>
      <c r="K49" s="917"/>
      <c r="L49" s="232"/>
      <c r="T49" s="232"/>
    </row>
    <row r="50" spans="2:20" ht="15.75" customHeight="1">
      <c r="B50" s="232"/>
      <c r="C50" s="915"/>
      <c r="D50" s="916"/>
      <c r="E50" s="916"/>
      <c r="F50" s="916"/>
      <c r="G50" s="916"/>
      <c r="H50" s="916"/>
      <c r="I50" s="916"/>
      <c r="J50" s="916"/>
      <c r="K50" s="917"/>
      <c r="L50" s="232"/>
      <c r="T50" s="232"/>
    </row>
    <row r="51" spans="2:20" ht="15.75" customHeight="1">
      <c r="B51" s="232"/>
      <c r="C51" s="915"/>
      <c r="D51" s="916"/>
      <c r="E51" s="916"/>
      <c r="F51" s="916"/>
      <c r="G51" s="916"/>
      <c r="H51" s="916"/>
      <c r="I51" s="916"/>
      <c r="J51" s="916"/>
      <c r="K51" s="917"/>
      <c r="L51" s="232"/>
      <c r="T51" s="232"/>
    </row>
    <row r="52" spans="2:20" ht="15.75" customHeight="1">
      <c r="B52" s="232"/>
      <c r="C52" s="915"/>
      <c r="D52" s="916"/>
      <c r="E52" s="916"/>
      <c r="F52" s="916"/>
      <c r="G52" s="916"/>
      <c r="H52" s="916"/>
      <c r="I52" s="916"/>
      <c r="J52" s="916"/>
      <c r="K52" s="917"/>
      <c r="L52" s="232"/>
      <c r="T52" s="232"/>
    </row>
    <row r="53" spans="2:20" ht="15.75" customHeight="1">
      <c r="B53" s="232"/>
      <c r="C53" s="915"/>
      <c r="D53" s="916"/>
      <c r="E53" s="916"/>
      <c r="F53" s="916"/>
      <c r="G53" s="916"/>
      <c r="H53" s="916"/>
      <c r="I53" s="916"/>
      <c r="J53" s="916"/>
      <c r="K53" s="917"/>
      <c r="L53" s="232"/>
      <c r="T53" s="232"/>
    </row>
    <row r="54" spans="2:20" ht="15.75" customHeight="1">
      <c r="B54" s="232"/>
      <c r="C54" s="915"/>
      <c r="D54" s="916"/>
      <c r="E54" s="916"/>
      <c r="F54" s="916"/>
      <c r="G54" s="916"/>
      <c r="H54" s="916"/>
      <c r="I54" s="916"/>
      <c r="J54" s="916"/>
      <c r="K54" s="917"/>
      <c r="L54" s="232"/>
      <c r="M54" s="232"/>
      <c r="N54" s="232"/>
      <c r="O54" s="232"/>
      <c r="P54" s="232"/>
      <c r="Q54" s="232"/>
      <c r="R54" s="232"/>
      <c r="S54" s="232"/>
    </row>
    <row r="55" spans="2:20" ht="15.75" customHeight="1">
      <c r="B55" s="232"/>
      <c r="C55" s="915"/>
      <c r="D55" s="916"/>
      <c r="E55" s="916"/>
      <c r="F55" s="916"/>
      <c r="G55" s="916"/>
      <c r="H55" s="916"/>
      <c r="I55" s="916"/>
      <c r="J55" s="916"/>
      <c r="K55" s="917"/>
      <c r="L55" s="232"/>
      <c r="M55" s="232"/>
      <c r="N55" s="232"/>
      <c r="O55" s="232"/>
      <c r="P55" s="232"/>
      <c r="Q55" s="232"/>
      <c r="R55" s="232"/>
      <c r="S55" s="232"/>
    </row>
    <row r="56" spans="2:20" ht="15.75" customHeight="1">
      <c r="B56" s="232"/>
      <c r="C56" s="915"/>
      <c r="D56" s="916"/>
      <c r="E56" s="916"/>
      <c r="F56" s="916"/>
      <c r="G56" s="916"/>
      <c r="H56" s="916"/>
      <c r="I56" s="916"/>
      <c r="J56" s="916"/>
      <c r="K56" s="917"/>
      <c r="L56" s="232"/>
      <c r="T56" s="232"/>
    </row>
    <row r="57" spans="2:20" ht="15.75" customHeight="1">
      <c r="B57" s="232"/>
      <c r="C57" s="915"/>
      <c r="D57" s="916"/>
      <c r="E57" s="916"/>
      <c r="F57" s="916"/>
      <c r="G57" s="916"/>
      <c r="H57" s="916"/>
      <c r="I57" s="916"/>
      <c r="J57" s="916"/>
      <c r="K57" s="917"/>
      <c r="L57" s="232"/>
      <c r="T57" s="232"/>
    </row>
    <row r="58" spans="2:20" ht="15.75" customHeight="1">
      <c r="B58" s="232"/>
      <c r="C58" s="915"/>
      <c r="D58" s="916"/>
      <c r="E58" s="916"/>
      <c r="F58" s="916"/>
      <c r="G58" s="916"/>
      <c r="H58" s="916"/>
      <c r="I58" s="916"/>
      <c r="J58" s="916"/>
      <c r="K58" s="917"/>
      <c r="L58" s="232"/>
      <c r="T58" s="232"/>
    </row>
    <row r="59" spans="2:20" ht="15.75" customHeight="1">
      <c r="B59" s="232"/>
      <c r="C59" s="915"/>
      <c r="D59" s="916"/>
      <c r="E59" s="916"/>
      <c r="F59" s="916"/>
      <c r="G59" s="916"/>
      <c r="H59" s="916"/>
      <c r="I59" s="916"/>
      <c r="J59" s="916"/>
      <c r="K59" s="917"/>
      <c r="L59" s="232"/>
      <c r="T59" s="232"/>
    </row>
    <row r="60" spans="2:20" ht="15.75" customHeight="1">
      <c r="B60" s="232"/>
      <c r="C60" s="918"/>
      <c r="D60" s="919"/>
      <c r="E60" s="919"/>
      <c r="F60" s="919"/>
      <c r="G60" s="919"/>
      <c r="H60" s="919"/>
      <c r="I60" s="919"/>
      <c r="J60" s="919"/>
      <c r="K60" s="920"/>
      <c r="L60" s="232"/>
      <c r="T60" s="232"/>
    </row>
    <row r="61" spans="2:20" ht="15.75" customHeight="1">
      <c r="C61" s="243"/>
      <c r="D61" s="232"/>
      <c r="E61" s="232"/>
      <c r="F61" s="232"/>
      <c r="G61" s="232"/>
      <c r="H61" s="232"/>
      <c r="I61" s="232"/>
      <c r="J61" s="232"/>
      <c r="K61" s="232"/>
      <c r="T61" s="232"/>
    </row>
    <row r="62" spans="2:20" ht="15.75" customHeight="1">
      <c r="C62" s="243"/>
      <c r="D62" s="232"/>
      <c r="T62" s="232"/>
    </row>
    <row r="63" spans="2:20" ht="15.75" customHeight="1">
      <c r="C63" s="243"/>
      <c r="D63" s="243"/>
      <c r="T63" s="232"/>
    </row>
    <row r="64" spans="2:20" ht="15.75" customHeight="1">
      <c r="C64" s="243"/>
      <c r="D64" s="232"/>
      <c r="T64" s="232"/>
    </row>
    <row r="65" spans="3:20" ht="15.75" customHeight="1">
      <c r="C65" s="243"/>
      <c r="D65" s="232"/>
      <c r="T65" s="232"/>
    </row>
    <row r="66" spans="3:20" ht="15.75" customHeight="1">
      <c r="C66" s="243"/>
      <c r="D66" s="232"/>
      <c r="T66" s="232"/>
    </row>
    <row r="67" spans="3:20" ht="15.75" customHeight="1">
      <c r="C67" s="243"/>
      <c r="D67" s="232"/>
      <c r="T67" s="232"/>
    </row>
    <row r="68" spans="3:20" ht="15" customHeight="1">
      <c r="D68" s="232"/>
      <c r="E68" s="232"/>
      <c r="F68" s="232"/>
      <c r="G68" s="232"/>
      <c r="H68" s="232"/>
      <c r="I68" s="232"/>
      <c r="J68" s="232"/>
      <c r="K68" s="232"/>
      <c r="L68" s="232"/>
      <c r="M68" s="232"/>
      <c r="N68" s="232"/>
      <c r="O68" s="232"/>
      <c r="P68" s="232"/>
      <c r="Q68" s="232"/>
      <c r="R68" s="232"/>
      <c r="S68" s="232"/>
    </row>
  </sheetData>
  <mergeCells count="22">
    <mergeCell ref="C43:K60"/>
    <mergeCell ref="S7:AG7"/>
    <mergeCell ref="S8:AG8"/>
    <mergeCell ref="S9:W9"/>
    <mergeCell ref="T11:T13"/>
    <mergeCell ref="T33:W36"/>
    <mergeCell ref="S32:AG32"/>
    <mergeCell ref="U11:U13"/>
    <mergeCell ref="S25:AG25"/>
    <mergeCell ref="S26:AG26"/>
    <mergeCell ref="S27:W27"/>
    <mergeCell ref="S29:S31"/>
    <mergeCell ref="T29:T31"/>
    <mergeCell ref="U29:U31"/>
    <mergeCell ref="S11:S13"/>
    <mergeCell ref="T15:W18"/>
    <mergeCell ref="S14:AG14"/>
    <mergeCell ref="C1:K1"/>
    <mergeCell ref="C2:K2"/>
    <mergeCell ref="C3:K3"/>
    <mergeCell ref="C4:K4"/>
    <mergeCell ref="C5:K5"/>
  </mergeCells>
  <phoneticPr fontId="18" type="noConversion"/>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outlinePr summaryBelow="0" summaryRight="0"/>
  </sheetPr>
  <dimension ref="A1:AN145"/>
  <sheetViews>
    <sheetView workbookViewId="0">
      <pane xSplit="4" topLeftCell="R57" activePane="topRight" state="frozen"/>
      <selection pane="topRight" activeCell="R23" sqref="R23:R30"/>
      <selection activeCell="A7" sqref="A7"/>
    </sheetView>
  </sheetViews>
  <sheetFormatPr defaultColWidth="14.42578125" defaultRowHeight="15" customHeight="1"/>
  <cols>
    <col min="1" max="1" width="16.28515625" customWidth="1"/>
    <col min="2" max="2" width="16.42578125" style="221" customWidth="1"/>
    <col min="3" max="3" width="14.42578125" style="98"/>
    <col min="4" max="5" width="22" customWidth="1"/>
    <col min="7" max="7" width="16.42578125" customWidth="1"/>
    <col min="13" max="13" width="29.28515625" customWidth="1"/>
    <col min="17" max="17" width="22.28515625" customWidth="1"/>
    <col min="18" max="18" width="67.85546875" bestFit="1" customWidth="1"/>
    <col min="20" max="20" width="7" hidden="1" customWidth="1"/>
  </cols>
  <sheetData>
    <row r="1" spans="1:39">
      <c r="A1" s="97"/>
      <c r="B1" s="168"/>
      <c r="C1" s="957" t="s">
        <v>40</v>
      </c>
      <c r="D1" s="1160"/>
      <c r="E1" s="1160"/>
      <c r="F1" s="1160"/>
      <c r="G1" s="1160"/>
      <c r="H1" s="1160"/>
      <c r="I1" s="1160"/>
      <c r="J1" s="1160"/>
      <c r="K1" s="1160"/>
      <c r="L1" s="1160"/>
      <c r="M1" s="1160"/>
      <c r="N1" s="1160"/>
      <c r="O1" s="1160"/>
      <c r="P1" s="1160"/>
      <c r="Q1" s="1160"/>
      <c r="R1" s="1160"/>
      <c r="S1" s="1160"/>
    </row>
    <row r="2" spans="1:39">
      <c r="A2" s="187"/>
      <c r="B2" s="93"/>
      <c r="C2" s="958" t="s">
        <v>41</v>
      </c>
      <c r="D2" s="1158"/>
      <c r="E2" s="1158"/>
      <c r="F2" s="1158"/>
      <c r="G2" s="1158"/>
      <c r="H2" s="1158"/>
      <c r="I2" s="1158"/>
      <c r="J2" s="1158"/>
      <c r="K2" s="1158"/>
      <c r="L2" s="1158"/>
      <c r="M2" s="1158"/>
      <c r="N2" s="1158"/>
      <c r="O2" s="1158"/>
      <c r="P2" s="1158"/>
      <c r="Q2" s="1158"/>
      <c r="R2" s="1158"/>
      <c r="S2" s="1158"/>
    </row>
    <row r="3" spans="1:39">
      <c r="A3" s="188"/>
      <c r="B3" s="86"/>
      <c r="C3" s="959" t="s">
        <v>42</v>
      </c>
      <c r="D3" s="1159"/>
      <c r="E3" s="1159"/>
      <c r="F3" s="1159"/>
      <c r="G3" s="1159"/>
      <c r="H3" s="1159"/>
      <c r="I3" s="1159"/>
      <c r="J3" s="1159"/>
      <c r="K3" s="1159"/>
      <c r="L3" s="1159"/>
      <c r="M3" s="1159"/>
      <c r="N3" s="1159"/>
      <c r="O3" s="1159"/>
      <c r="P3" s="1159"/>
      <c r="Q3" s="1159"/>
      <c r="R3" s="1159"/>
      <c r="S3" s="1159"/>
    </row>
    <row r="4" spans="1:39">
      <c r="A4" s="928"/>
      <c r="B4" s="929"/>
      <c r="C4" s="894" t="s">
        <v>470</v>
      </c>
      <c r="D4" s="1176"/>
      <c r="E4" s="1176"/>
      <c r="F4" s="1176"/>
      <c r="G4" s="1176"/>
      <c r="H4" s="1176"/>
      <c r="I4" s="1176"/>
      <c r="J4" s="1176"/>
      <c r="K4" s="1176"/>
      <c r="L4" s="1176"/>
      <c r="M4" s="1176"/>
      <c r="N4" s="1176"/>
      <c r="O4" s="1176"/>
      <c r="P4" s="1176"/>
      <c r="Q4" s="1176"/>
      <c r="R4" s="1176"/>
      <c r="S4" s="1176"/>
    </row>
    <row r="5" spans="1:39">
      <c r="A5" s="930"/>
      <c r="B5" s="931"/>
      <c r="C5" s="871" t="s">
        <v>471</v>
      </c>
      <c r="D5" s="1159"/>
      <c r="E5" s="1159"/>
      <c r="F5" s="1159"/>
      <c r="G5" s="1159"/>
      <c r="H5" s="1159"/>
      <c r="I5" s="1159"/>
      <c r="J5" s="1159"/>
      <c r="K5" s="1159"/>
      <c r="L5" s="1159"/>
      <c r="M5" s="1159"/>
      <c r="N5" s="1159"/>
      <c r="O5" s="1159"/>
      <c r="P5" s="1159"/>
      <c r="Q5" s="1159"/>
      <c r="R5" s="1159"/>
      <c r="S5" s="1159"/>
    </row>
    <row r="6" spans="1:39">
      <c r="A6" s="189" t="s">
        <v>45</v>
      </c>
      <c r="B6" s="425" t="s">
        <v>46</v>
      </c>
      <c r="C6" s="99" t="s">
        <v>47</v>
      </c>
      <c r="D6" s="99" t="s">
        <v>48</v>
      </c>
      <c r="E6" s="99" t="s">
        <v>49</v>
      </c>
      <c r="F6" s="254" t="s">
        <v>472</v>
      </c>
      <c r="G6" s="254" t="s">
        <v>473</v>
      </c>
      <c r="H6" s="254" t="s">
        <v>474</v>
      </c>
      <c r="I6" s="254" t="s">
        <v>475</v>
      </c>
      <c r="J6" s="254" t="s">
        <v>54</v>
      </c>
      <c r="K6" s="254" t="s">
        <v>476</v>
      </c>
      <c r="L6" s="254" t="s">
        <v>477</v>
      </c>
      <c r="M6" s="254" t="s">
        <v>478</v>
      </c>
      <c r="N6" s="254" t="s">
        <v>479</v>
      </c>
      <c r="O6" s="254" t="s">
        <v>480</v>
      </c>
      <c r="P6" s="254" t="s">
        <v>481</v>
      </c>
      <c r="Q6" s="254" t="s">
        <v>482</v>
      </c>
      <c r="R6" s="255" t="s">
        <v>483</v>
      </c>
      <c r="S6" s="256" t="s">
        <v>63</v>
      </c>
      <c r="T6" s="253" t="s">
        <v>64</v>
      </c>
    </row>
    <row r="7" spans="1:39">
      <c r="A7" s="182" t="s">
        <v>65</v>
      </c>
      <c r="B7" s="895" t="s">
        <v>66</v>
      </c>
      <c r="C7" s="190">
        <v>1</v>
      </c>
      <c r="D7" s="429" t="s">
        <v>484</v>
      </c>
      <c r="E7" s="430" t="s">
        <v>485</v>
      </c>
      <c r="F7" s="430">
        <v>3.47</v>
      </c>
      <c r="G7" s="430">
        <v>2.1</v>
      </c>
      <c r="H7" s="430">
        <v>1.33</v>
      </c>
      <c r="I7" s="430">
        <v>3.53</v>
      </c>
      <c r="J7" s="430">
        <v>2.4</v>
      </c>
      <c r="K7" s="430">
        <v>3.21</v>
      </c>
      <c r="L7" s="430">
        <v>3.65</v>
      </c>
      <c r="M7" s="101">
        <v>3.18</v>
      </c>
      <c r="N7" s="101">
        <v>3.3</v>
      </c>
      <c r="O7" s="101">
        <v>5.0999999999999996</v>
      </c>
      <c r="P7" s="101">
        <v>4.83</v>
      </c>
      <c r="Q7" s="101">
        <v>4.7300000000000004</v>
      </c>
      <c r="R7" s="102">
        <f t="shared" ref="R7:R54" si="0">IFERROR(AVERAGE(F7:Q7), 0)</f>
        <v>3.4024999999999999</v>
      </c>
      <c r="S7" s="103">
        <v>5</v>
      </c>
      <c r="T7" s="252" t="s">
        <v>486</v>
      </c>
      <c r="X7" s="889" t="s">
        <v>70</v>
      </c>
      <c r="Y7" s="890"/>
      <c r="Z7" s="1177"/>
      <c r="AA7" s="1177"/>
      <c r="AB7" s="1177"/>
      <c r="AC7" s="1177"/>
      <c r="AD7" s="1177"/>
      <c r="AE7" s="1177"/>
      <c r="AF7" s="1177"/>
      <c r="AG7" s="1177"/>
      <c r="AH7" s="1177"/>
      <c r="AI7" s="1177"/>
      <c r="AJ7" s="1177"/>
      <c r="AK7" s="1177"/>
      <c r="AL7" s="1177"/>
      <c r="AM7" s="1178"/>
    </row>
    <row r="8" spans="1:39">
      <c r="A8" s="104"/>
      <c r="B8" s="896"/>
      <c r="C8" s="191">
        <v>2</v>
      </c>
      <c r="D8" s="192" t="s">
        <v>487</v>
      </c>
      <c r="E8" s="196" t="s">
        <v>485</v>
      </c>
      <c r="F8" s="196">
        <v>3.48</v>
      </c>
      <c r="G8" s="196">
        <v>2.36</v>
      </c>
      <c r="H8" s="196">
        <v>1.25</v>
      </c>
      <c r="I8" s="196">
        <v>3.81</v>
      </c>
      <c r="J8" s="196">
        <v>2.23</v>
      </c>
      <c r="K8" s="196">
        <v>3.15</v>
      </c>
      <c r="L8" s="196">
        <v>3.8</v>
      </c>
      <c r="M8" s="193">
        <v>4.24</v>
      </c>
      <c r="N8" s="193">
        <v>3.1</v>
      </c>
      <c r="O8" s="193">
        <v>4.83</v>
      </c>
      <c r="P8" s="193">
        <v>4.95</v>
      </c>
      <c r="Q8" s="193">
        <v>4.8499999999999996</v>
      </c>
      <c r="R8" s="194">
        <f t="shared" si="0"/>
        <v>3.5041666666666669</v>
      </c>
      <c r="S8" s="195">
        <v>5</v>
      </c>
      <c r="T8" s="252" t="s">
        <v>488</v>
      </c>
      <c r="X8" s="889" t="s">
        <v>74</v>
      </c>
      <c r="Y8" s="890"/>
      <c r="Z8" s="1177"/>
      <c r="AA8" s="1177"/>
      <c r="AB8" s="1177"/>
      <c r="AC8" s="1177"/>
      <c r="AD8" s="1177"/>
      <c r="AE8" s="1177"/>
      <c r="AF8" s="1177"/>
      <c r="AG8" s="1177"/>
      <c r="AH8" s="1177"/>
      <c r="AI8" s="1177"/>
      <c r="AJ8" s="1177"/>
      <c r="AK8" s="1177"/>
      <c r="AL8" s="1177"/>
      <c r="AM8" s="1178"/>
    </row>
    <row r="9" spans="1:39">
      <c r="A9" s="104"/>
      <c r="B9" s="896"/>
      <c r="C9" s="191">
        <v>3</v>
      </c>
      <c r="D9" s="192" t="s">
        <v>489</v>
      </c>
      <c r="E9" s="193" t="s">
        <v>490</v>
      </c>
      <c r="F9" s="193">
        <v>5.5</v>
      </c>
      <c r="G9" s="193">
        <v>3.07</v>
      </c>
      <c r="H9" s="193">
        <v>3.1</v>
      </c>
      <c r="I9" s="193">
        <v>5.08</v>
      </c>
      <c r="J9" s="193">
        <v>8</v>
      </c>
      <c r="K9" s="193">
        <v>3.53</v>
      </c>
      <c r="L9" s="193">
        <v>3.66</v>
      </c>
      <c r="M9" s="193">
        <v>3.25</v>
      </c>
      <c r="N9" s="193">
        <v>4.2</v>
      </c>
      <c r="O9" s="193">
        <v>3.88</v>
      </c>
      <c r="P9" s="193">
        <v>5.2</v>
      </c>
      <c r="Q9" s="193">
        <v>5.2</v>
      </c>
      <c r="R9" s="194">
        <f t="shared" si="0"/>
        <v>4.472500000000001</v>
      </c>
      <c r="S9" s="195">
        <v>5</v>
      </c>
      <c r="T9" s="252" t="s">
        <v>491</v>
      </c>
      <c r="X9" s="1179"/>
      <c r="Y9" s="1180"/>
      <c r="Z9" s="1177"/>
      <c r="AA9" s="1177"/>
      <c r="AB9" s="1177"/>
      <c r="AC9" s="1178"/>
      <c r="AD9" s="844" t="s">
        <v>78</v>
      </c>
      <c r="AE9" s="1177"/>
      <c r="AF9" s="1177"/>
      <c r="AG9" s="1177"/>
      <c r="AH9" s="1177"/>
      <c r="AI9" s="1177"/>
      <c r="AJ9" s="1177"/>
      <c r="AK9" s="1177"/>
      <c r="AL9" s="1177"/>
      <c r="AM9" s="1178"/>
    </row>
    <row r="10" spans="1:39" ht="30">
      <c r="A10" s="104"/>
      <c r="B10" s="896"/>
      <c r="C10" s="191">
        <v>4</v>
      </c>
      <c r="D10" s="192" t="s">
        <v>492</v>
      </c>
      <c r="E10" s="193" t="s">
        <v>493</v>
      </c>
      <c r="F10" s="193">
        <v>3.5</v>
      </c>
      <c r="G10" s="193">
        <v>0.69</v>
      </c>
      <c r="H10" s="193">
        <v>0.91</v>
      </c>
      <c r="I10" s="193">
        <v>1.38</v>
      </c>
      <c r="J10" s="193">
        <v>0.05</v>
      </c>
      <c r="K10" s="193">
        <v>4.1900000000000004</v>
      </c>
      <c r="L10" s="193">
        <v>2.15</v>
      </c>
      <c r="M10" s="193">
        <v>3.18</v>
      </c>
      <c r="N10" s="193">
        <v>0.2</v>
      </c>
      <c r="O10" s="193">
        <v>2.98</v>
      </c>
      <c r="P10" s="193">
        <v>2.93</v>
      </c>
      <c r="Q10" s="193">
        <v>2.9</v>
      </c>
      <c r="R10" s="194">
        <f>IFERROR(AVERAGE(F10:Q10), 0)</f>
        <v>2.0883333333333334</v>
      </c>
      <c r="S10" s="195">
        <v>5</v>
      </c>
      <c r="T10" s="252" t="s">
        <v>494</v>
      </c>
      <c r="X10" s="14" t="s">
        <v>82</v>
      </c>
      <c r="Y10" s="14"/>
      <c r="Z10" s="14" t="s">
        <v>83</v>
      </c>
      <c r="AA10" s="14" t="s">
        <v>84</v>
      </c>
      <c r="AB10" s="14" t="s">
        <v>85</v>
      </c>
      <c r="AC10" s="14" t="s">
        <v>86</v>
      </c>
      <c r="AD10" s="14" t="s">
        <v>4</v>
      </c>
      <c r="AE10" s="14" t="s">
        <v>5</v>
      </c>
      <c r="AF10" s="14" t="s">
        <v>6</v>
      </c>
      <c r="AG10" s="14" t="s">
        <v>7</v>
      </c>
      <c r="AH10" s="14" t="s">
        <v>8</v>
      </c>
      <c r="AI10" s="14" t="s">
        <v>9</v>
      </c>
      <c r="AJ10" s="14" t="s">
        <v>10</v>
      </c>
      <c r="AK10" s="14" t="s">
        <v>11</v>
      </c>
      <c r="AL10" s="14" t="s">
        <v>12</v>
      </c>
      <c r="AM10" s="14" t="s">
        <v>13</v>
      </c>
    </row>
    <row r="11" spans="1:39" ht="30">
      <c r="A11" s="104"/>
      <c r="B11" s="896"/>
      <c r="C11" s="191">
        <v>5</v>
      </c>
      <c r="D11" s="192" t="s">
        <v>495</v>
      </c>
      <c r="E11" s="193" t="s">
        <v>496</v>
      </c>
      <c r="F11" s="193">
        <v>0.89</v>
      </c>
      <c r="G11" s="193">
        <v>1.58</v>
      </c>
      <c r="H11" s="193">
        <v>1.54</v>
      </c>
      <c r="I11" s="193">
        <v>1.75</v>
      </c>
      <c r="J11" s="193">
        <v>0.1</v>
      </c>
      <c r="K11" s="193">
        <v>2.91</v>
      </c>
      <c r="L11" s="193">
        <v>2.71</v>
      </c>
      <c r="M11" s="193">
        <v>2.25</v>
      </c>
      <c r="N11" s="193">
        <v>0.3</v>
      </c>
      <c r="O11" s="193">
        <v>2.98</v>
      </c>
      <c r="P11" s="193">
        <v>2.86</v>
      </c>
      <c r="Q11" s="193">
        <v>2.83</v>
      </c>
      <c r="R11" s="194">
        <f t="shared" si="0"/>
        <v>1.8916666666666668</v>
      </c>
      <c r="S11" s="195">
        <v>5</v>
      </c>
      <c r="T11" s="252" t="s">
        <v>497</v>
      </c>
      <c r="X11" s="947" t="s">
        <v>498</v>
      </c>
      <c r="Y11" s="909" t="s">
        <v>499</v>
      </c>
      <c r="Z11" s="947" t="s">
        <v>500</v>
      </c>
      <c r="AA11" s="909" t="s">
        <v>16</v>
      </c>
      <c r="AB11" s="32">
        <v>1</v>
      </c>
      <c r="AC11" s="111" t="s">
        <v>501</v>
      </c>
      <c r="AD11" s="33">
        <f>AVERAGE(F7:K7)</f>
        <v>2.6733333333333333</v>
      </c>
      <c r="AE11" s="47">
        <f>AVERAGE(F15:K15)</f>
        <v>22.333333333333332</v>
      </c>
      <c r="AF11" s="47">
        <f>AVERAGE(F23:K23)</f>
        <v>28.166666666666668</v>
      </c>
      <c r="AG11" s="33">
        <f>AVERAGE(F31:K31)</f>
        <v>7.2183333333333337</v>
      </c>
      <c r="AH11" s="33">
        <f>AVERAGE(F39:K39)</f>
        <v>29.574999999999999</v>
      </c>
      <c r="AI11" s="47">
        <f>AVERAGE(F47:K47)</f>
        <v>13.333333333333334</v>
      </c>
      <c r="AJ11" s="47">
        <f>GEOMEAN(F55:K55)</f>
        <v>1867969.5885928669</v>
      </c>
      <c r="AK11" s="34">
        <f>AVERAGE(F63:K63)</f>
        <v>0.55149999999999999</v>
      </c>
      <c r="AL11" s="34">
        <f>AVERAGE(F71:K71)</f>
        <v>0.84850000000000003</v>
      </c>
      <c r="AM11" s="47">
        <f>AVERAGE(F79:K79)</f>
        <v>88.666666666666671</v>
      </c>
    </row>
    <row r="12" spans="1:39" ht="30">
      <c r="A12" s="104"/>
      <c r="B12" s="896"/>
      <c r="C12" s="191">
        <v>6</v>
      </c>
      <c r="D12" s="192" t="s">
        <v>502</v>
      </c>
      <c r="E12" s="193" t="s">
        <v>503</v>
      </c>
      <c r="F12" s="193">
        <v>0.9</v>
      </c>
      <c r="G12" s="193">
        <v>1.7</v>
      </c>
      <c r="H12" s="193">
        <v>2.98</v>
      </c>
      <c r="I12" s="193">
        <v>3.64</v>
      </c>
      <c r="J12" s="193">
        <v>2.02</v>
      </c>
      <c r="K12" s="193">
        <v>3.45</v>
      </c>
      <c r="L12" s="193">
        <v>3.77</v>
      </c>
      <c r="M12" s="193">
        <v>4.8499999999999996</v>
      </c>
      <c r="N12" s="193">
        <v>1.4</v>
      </c>
      <c r="O12" s="193">
        <v>4.53</v>
      </c>
      <c r="P12" s="193">
        <v>3.66</v>
      </c>
      <c r="Q12" s="193">
        <v>3.56</v>
      </c>
      <c r="R12" s="194">
        <f t="shared" si="0"/>
        <v>3.038333333333334</v>
      </c>
      <c r="S12" s="195">
        <v>5</v>
      </c>
      <c r="T12" s="252" t="s">
        <v>504</v>
      </c>
      <c r="X12" s="938"/>
      <c r="Y12" s="910"/>
      <c r="Z12" s="938"/>
      <c r="AA12" s="938"/>
      <c r="AB12" s="32">
        <v>2</v>
      </c>
      <c r="AC12" s="111" t="s">
        <v>505</v>
      </c>
      <c r="AD12" s="33">
        <f>AVERAGE(F8:K8)</f>
        <v>2.7133333333333334</v>
      </c>
      <c r="AE12" s="47">
        <f>AVERAGE(F16:K16)</f>
        <v>16.833333333333332</v>
      </c>
      <c r="AF12" s="47">
        <f>AVERAGE(F24:K24)</f>
        <v>27.166666666666668</v>
      </c>
      <c r="AG12" s="33">
        <f>AVERAGE(F32:K32)</f>
        <v>7.2066666666666661</v>
      </c>
      <c r="AH12" s="33">
        <f>AVERAGE(F40:K40)</f>
        <v>29.8</v>
      </c>
      <c r="AI12" s="47">
        <f>AVERAGE(F48:K48)</f>
        <v>13.333333333333334</v>
      </c>
      <c r="AJ12" s="47">
        <f>GEOMEAN(F56:K56)</f>
        <v>1149171.3420050347</v>
      </c>
      <c r="AK12" s="34">
        <f>AVERAGE(F64:K64)</f>
        <v>0.51516666666666666</v>
      </c>
      <c r="AL12" s="34">
        <f>AVERAGE(F72:K72)</f>
        <v>0.96650000000000003</v>
      </c>
      <c r="AM12" s="47">
        <f>AVERAGE(F80:K80)</f>
        <v>99.5</v>
      </c>
    </row>
    <row r="13" spans="1:39">
      <c r="A13" s="104"/>
      <c r="B13" s="896"/>
      <c r="C13" s="191">
        <v>7</v>
      </c>
      <c r="D13" s="192" t="s">
        <v>505</v>
      </c>
      <c r="E13" s="193" t="s">
        <v>506</v>
      </c>
      <c r="F13" s="193">
        <v>6.34</v>
      </c>
      <c r="G13" s="193">
        <v>2.1</v>
      </c>
      <c r="H13" s="193">
        <v>5.25</v>
      </c>
      <c r="I13" s="193">
        <v>4.16</v>
      </c>
      <c r="J13" s="193">
        <v>3.1</v>
      </c>
      <c r="K13" s="193">
        <v>5.25</v>
      </c>
      <c r="L13" s="193">
        <v>4.3099999999999996</v>
      </c>
      <c r="M13" s="196">
        <v>4.59</v>
      </c>
      <c r="N13" s="196">
        <v>3.6</v>
      </c>
      <c r="O13" s="196">
        <v>4.38</v>
      </c>
      <c r="P13" s="196">
        <v>4.33</v>
      </c>
      <c r="Q13" s="196">
        <v>4.1500000000000004</v>
      </c>
      <c r="R13" s="194">
        <f t="shared" si="0"/>
        <v>4.2966666666666669</v>
      </c>
      <c r="S13" s="195">
        <v>5</v>
      </c>
      <c r="T13" s="252" t="s">
        <v>507</v>
      </c>
      <c r="X13" s="938"/>
      <c r="Y13" s="910"/>
      <c r="Z13" s="938"/>
      <c r="AA13" s="938"/>
      <c r="AB13" s="32">
        <v>3</v>
      </c>
      <c r="AC13" s="111" t="s">
        <v>502</v>
      </c>
      <c r="AD13" s="33">
        <f>AVERAGE(F9:K9)</f>
        <v>4.7133333333333338</v>
      </c>
      <c r="AE13" s="47">
        <f>AVERAGE(F17:K17)</f>
        <v>6.666666666666667</v>
      </c>
      <c r="AF13" s="47">
        <f>AVERAGE(F25:K25)</f>
        <v>38.333333333333336</v>
      </c>
      <c r="AG13" s="33">
        <f>AVERAGE(F33:K33)</f>
        <v>7.1916666666666664</v>
      </c>
      <c r="AH13" s="33">
        <f>AVERAGE(F41:K41)</f>
        <v>29.533333333333335</v>
      </c>
      <c r="AI13" s="47">
        <f>AVERAGE(F49:K49)</f>
        <v>11.666666666666666</v>
      </c>
      <c r="AJ13" s="47">
        <f>GEOMEAN(F57:K57)</f>
        <v>46859.934591178055</v>
      </c>
      <c r="AK13" s="34">
        <f>AVERAGE(F65:K65)</f>
        <v>0.97266666666666668</v>
      </c>
      <c r="AL13" s="34">
        <f>AVERAGE(F73:K73)</f>
        <v>0.76900000000000013</v>
      </c>
      <c r="AM13" s="47">
        <f>AVERAGE(F81:K81)</f>
        <v>134.83333333333334</v>
      </c>
    </row>
    <row r="14" spans="1:39" ht="30">
      <c r="A14" s="104"/>
      <c r="B14" s="897"/>
      <c r="C14" s="191">
        <v>8</v>
      </c>
      <c r="D14" s="428" t="s">
        <v>501</v>
      </c>
      <c r="E14" s="193" t="s">
        <v>506</v>
      </c>
      <c r="F14" s="193">
        <v>3.42</v>
      </c>
      <c r="G14" s="196">
        <v>1.58</v>
      </c>
      <c r="H14" s="193">
        <v>2.71</v>
      </c>
      <c r="I14" s="193">
        <v>3.24</v>
      </c>
      <c r="J14" s="193">
        <v>3.15</v>
      </c>
      <c r="K14" s="193">
        <v>5.38</v>
      </c>
      <c r="L14" s="193">
        <v>4.3600000000000003</v>
      </c>
      <c r="M14" s="196">
        <v>4.6100000000000003</v>
      </c>
      <c r="N14" s="196">
        <v>3.1</v>
      </c>
      <c r="O14" s="196">
        <v>4.25</v>
      </c>
      <c r="P14" s="196">
        <v>4</v>
      </c>
      <c r="Q14" s="196">
        <v>4.28</v>
      </c>
      <c r="R14" s="194">
        <f t="shared" si="0"/>
        <v>3.6733333333333333</v>
      </c>
      <c r="S14" s="195">
        <v>5</v>
      </c>
      <c r="T14" s="252" t="s">
        <v>508</v>
      </c>
      <c r="X14" s="938"/>
      <c r="Y14" s="910"/>
      <c r="Z14" s="938"/>
      <c r="AA14" s="938"/>
      <c r="AB14" s="32">
        <v>4</v>
      </c>
      <c r="AC14" s="111" t="s">
        <v>495</v>
      </c>
      <c r="AD14" s="33">
        <f>AVERAGE(F10:K10)</f>
        <v>1.7866666666666664</v>
      </c>
      <c r="AE14" s="47">
        <f>AVERAGE(F18:K18)</f>
        <v>38.5</v>
      </c>
      <c r="AF14" s="47">
        <f>AVERAGE(F26:K26)</f>
        <v>33</v>
      </c>
      <c r="AG14" s="33">
        <f>AVERAGE(F34:K34)</f>
        <v>7.291666666666667</v>
      </c>
      <c r="AH14" s="33">
        <f>AVERAGE(F42:K42)</f>
        <v>29.099999999999998</v>
      </c>
      <c r="AI14" s="47">
        <f>AVERAGE(F50:K50)</f>
        <v>29.166666666666668</v>
      </c>
      <c r="AJ14" s="47">
        <f>GEOMEAN(F58:K58)</f>
        <v>1782806.2596750518</v>
      </c>
      <c r="AK14" s="34">
        <f>AVERAGE(F66:K66)</f>
        <v>0.314</v>
      </c>
      <c r="AL14" s="34">
        <f>AVERAGE(F74:K74)</f>
        <v>1.7456666666666667</v>
      </c>
      <c r="AM14" s="47">
        <f>AVERAGE(F82:K82)</f>
        <v>142.16666666666666</v>
      </c>
    </row>
    <row r="15" spans="1:39" ht="30">
      <c r="A15" s="104"/>
      <c r="B15" s="895" t="s">
        <v>91</v>
      </c>
      <c r="C15" s="190">
        <v>1</v>
      </c>
      <c r="D15" s="429" t="s">
        <v>484</v>
      </c>
      <c r="E15" s="430" t="s">
        <v>485</v>
      </c>
      <c r="F15" s="430">
        <v>40</v>
      </c>
      <c r="G15" s="430">
        <v>17</v>
      </c>
      <c r="H15" s="430">
        <v>12</v>
      </c>
      <c r="I15" s="430">
        <v>36</v>
      </c>
      <c r="J15" s="430">
        <v>12</v>
      </c>
      <c r="K15" s="430">
        <v>17</v>
      </c>
      <c r="L15" s="430">
        <v>23</v>
      </c>
      <c r="M15" s="101">
        <v>15</v>
      </c>
      <c r="N15" s="101">
        <v>12</v>
      </c>
      <c r="O15" s="101">
        <v>12</v>
      </c>
      <c r="P15" s="101">
        <v>10</v>
      </c>
      <c r="Q15" s="101">
        <v>30</v>
      </c>
      <c r="R15" s="102">
        <f t="shared" si="0"/>
        <v>19.666666666666668</v>
      </c>
      <c r="S15" s="103">
        <v>7</v>
      </c>
      <c r="T15" s="252" t="s">
        <v>486</v>
      </c>
      <c r="X15" s="938"/>
      <c r="Y15" s="910"/>
      <c r="Z15" s="938"/>
      <c r="AA15" s="938"/>
      <c r="AB15" s="32">
        <v>5</v>
      </c>
      <c r="AC15" s="111" t="s">
        <v>492</v>
      </c>
      <c r="AD15" s="33">
        <f>AVERAGE(F11:K11)</f>
        <v>1.4616666666666667</v>
      </c>
      <c r="AE15" s="47">
        <f>AVERAGE(F19:K19)</f>
        <v>11</v>
      </c>
      <c r="AF15" s="47">
        <f>AVERAGE(F27:K27)</f>
        <v>14.5</v>
      </c>
      <c r="AG15" s="33">
        <f>AVERAGE(F35:K35)</f>
        <v>7.1350000000000007</v>
      </c>
      <c r="AH15" s="33">
        <f>AVERAGE(F43:K43)</f>
        <v>28.679999999999996</v>
      </c>
      <c r="AI15" s="47">
        <f>AVERAGE(F51:K51)</f>
        <v>34.166666666666664</v>
      </c>
      <c r="AJ15" s="47">
        <f>GEOMEAN(F59:K59)</f>
        <v>77070.752071005802</v>
      </c>
      <c r="AK15" s="34">
        <f>AVERAGE(F67:K67)</f>
        <v>0.30749999999999994</v>
      </c>
      <c r="AL15" s="34">
        <f>AVERAGE(F75:K75)</f>
        <v>1.4375</v>
      </c>
      <c r="AM15" s="47">
        <f>AVERAGE(F83:K83)</f>
        <v>156.16666666666666</v>
      </c>
    </row>
    <row r="16" spans="1:39">
      <c r="A16" s="104"/>
      <c r="B16" s="896"/>
      <c r="C16" s="191">
        <v>2</v>
      </c>
      <c r="D16" s="192" t="s">
        <v>487</v>
      </c>
      <c r="E16" s="196" t="s">
        <v>485</v>
      </c>
      <c r="F16" s="196">
        <v>32</v>
      </c>
      <c r="G16" s="196">
        <v>16</v>
      </c>
      <c r="H16" s="196">
        <v>14</v>
      </c>
      <c r="I16" s="196">
        <v>18</v>
      </c>
      <c r="J16" s="196">
        <v>12</v>
      </c>
      <c r="K16" s="196">
        <v>9</v>
      </c>
      <c r="L16" s="196">
        <v>22</v>
      </c>
      <c r="M16" s="193">
        <v>18</v>
      </c>
      <c r="N16" s="193">
        <v>13</v>
      </c>
      <c r="O16" s="193">
        <v>16</v>
      </c>
      <c r="P16" s="193">
        <v>13</v>
      </c>
      <c r="Q16" s="193">
        <v>29</v>
      </c>
      <c r="R16" s="194">
        <f t="shared" si="0"/>
        <v>17.666666666666668</v>
      </c>
      <c r="S16" s="195">
        <v>7</v>
      </c>
      <c r="T16" s="252" t="s">
        <v>488</v>
      </c>
      <c r="X16" s="938"/>
      <c r="Y16" s="910"/>
      <c r="Z16" s="938"/>
      <c r="AA16" s="938"/>
      <c r="AB16" s="32">
        <v>6</v>
      </c>
      <c r="AC16" s="111" t="s">
        <v>489</v>
      </c>
      <c r="AD16" s="33">
        <f>AVERAGE(F12:K12)</f>
        <v>2.4483333333333337</v>
      </c>
      <c r="AE16" s="47">
        <f>AVERAGE(F20:K20)</f>
        <v>7.833333333333333</v>
      </c>
      <c r="AF16" s="47">
        <f>AVERAGE(F28:K28)</f>
        <v>24.666666666666668</v>
      </c>
      <c r="AG16" s="33">
        <f>AVERAGE(F36:K36)</f>
        <v>7.1116666666666655</v>
      </c>
      <c r="AH16" s="33">
        <f>AVERAGE(F44:K44)</f>
        <v>28.471666666666668</v>
      </c>
      <c r="AI16" s="47">
        <f>AVERAGE(F52:K52)</f>
        <v>33.333333333333336</v>
      </c>
      <c r="AJ16" s="47">
        <f>GEOMEAN(F60:K60)</f>
        <v>36457.827724253075</v>
      </c>
      <c r="AK16" s="34">
        <f>AVERAGE(F68:K68)</f>
        <v>0.26999999999999996</v>
      </c>
      <c r="AL16" s="34">
        <f>AVERAGE(F76:K76)</f>
        <v>1.0629999999999999</v>
      </c>
      <c r="AM16" s="47">
        <f>AVERAGE(F84:K84)</f>
        <v>209.83333333333334</v>
      </c>
    </row>
    <row r="17" spans="1:40" ht="30">
      <c r="A17" s="104"/>
      <c r="B17" s="896"/>
      <c r="C17" s="191">
        <v>3</v>
      </c>
      <c r="D17" s="192" t="s">
        <v>489</v>
      </c>
      <c r="E17" s="193" t="s">
        <v>490</v>
      </c>
      <c r="F17" s="193">
        <v>5</v>
      </c>
      <c r="G17" s="193">
        <v>6</v>
      </c>
      <c r="H17" s="193">
        <v>6</v>
      </c>
      <c r="I17" s="193">
        <v>9</v>
      </c>
      <c r="J17" s="193">
        <v>6</v>
      </c>
      <c r="K17" s="193">
        <v>8</v>
      </c>
      <c r="L17" s="193">
        <v>4</v>
      </c>
      <c r="M17" s="193">
        <v>8</v>
      </c>
      <c r="N17" s="193">
        <v>9</v>
      </c>
      <c r="O17" s="193">
        <v>7</v>
      </c>
      <c r="P17" s="193">
        <v>7</v>
      </c>
      <c r="Q17" s="193">
        <v>9</v>
      </c>
      <c r="R17" s="194">
        <f t="shared" si="0"/>
        <v>7</v>
      </c>
      <c r="S17" s="195">
        <v>7</v>
      </c>
      <c r="T17" s="252" t="s">
        <v>491</v>
      </c>
      <c r="X17" s="938"/>
      <c r="Y17" s="910"/>
      <c r="Z17" s="938"/>
      <c r="AA17" s="938"/>
      <c r="AB17" s="32">
        <v>7</v>
      </c>
      <c r="AC17" s="111" t="s">
        <v>487</v>
      </c>
      <c r="AD17" s="33">
        <f>AVERAGE(F13:K13)</f>
        <v>4.3666666666666671</v>
      </c>
      <c r="AE17" s="47">
        <f>AVERAGE(F21:K21)</f>
        <v>10.666666666666666</v>
      </c>
      <c r="AF17" s="47">
        <f>AVERAGE(F29:K29)</f>
        <v>76.333333333333329</v>
      </c>
      <c r="AG17" s="33">
        <f>AVERAGE(F37:K37)</f>
        <v>7.16</v>
      </c>
      <c r="AH17" s="33">
        <f>AVERAGE(F45:K45)</f>
        <v>28.533333333333331</v>
      </c>
      <c r="AI17" s="47">
        <f>AVERAGE(F53:K53)</f>
        <v>35</v>
      </c>
      <c r="AJ17" s="47">
        <f>GEOMEAN(F61:K61)</f>
        <v>17007.853289226714</v>
      </c>
      <c r="AK17" s="34">
        <f>AVERAGE(F69:K69)</f>
        <v>0.5761666666666666</v>
      </c>
      <c r="AL17" s="34">
        <f>AVERAGE(F77:K77)</f>
        <v>0.67600000000000005</v>
      </c>
      <c r="AM17" s="47">
        <f>AVERAGE(F85:K85)</f>
        <v>241.83333333333334</v>
      </c>
    </row>
    <row r="18" spans="1:40" ht="30">
      <c r="A18" s="104"/>
      <c r="B18" s="896"/>
      <c r="C18" s="191">
        <v>4</v>
      </c>
      <c r="D18" s="192" t="s">
        <v>492</v>
      </c>
      <c r="E18" s="193" t="s">
        <v>493</v>
      </c>
      <c r="F18" s="193">
        <v>18</v>
      </c>
      <c r="G18" s="193">
        <v>35</v>
      </c>
      <c r="H18" s="193">
        <v>19</v>
      </c>
      <c r="I18" s="193">
        <v>67</v>
      </c>
      <c r="J18" s="193">
        <v>71</v>
      </c>
      <c r="K18" s="193">
        <v>21</v>
      </c>
      <c r="L18" s="193">
        <v>63</v>
      </c>
      <c r="M18" s="193">
        <v>17</v>
      </c>
      <c r="N18" s="193">
        <v>16</v>
      </c>
      <c r="O18" s="193">
        <v>21</v>
      </c>
      <c r="P18" s="193">
        <v>20</v>
      </c>
      <c r="Q18" s="193">
        <v>19</v>
      </c>
      <c r="R18" s="194">
        <f t="shared" si="0"/>
        <v>32.25</v>
      </c>
      <c r="S18" s="195">
        <v>7</v>
      </c>
      <c r="T18" s="252" t="s">
        <v>494</v>
      </c>
      <c r="X18" s="939"/>
      <c r="Y18" s="911"/>
      <c r="Z18" s="939"/>
      <c r="AA18" s="939"/>
      <c r="AB18" s="32">
        <v>8</v>
      </c>
      <c r="AC18" s="111" t="s">
        <v>484</v>
      </c>
      <c r="AD18" s="33">
        <f>AVERAGE(F14:K14)</f>
        <v>3.2466666666666666</v>
      </c>
      <c r="AE18" s="47">
        <f>AVERAGE(F22:K22)</f>
        <v>8</v>
      </c>
      <c r="AF18" s="47">
        <f>AVERAGE(F30:K30)</f>
        <v>142.83333333333334</v>
      </c>
      <c r="AG18" s="33">
        <f>AVERAGE(F38:K38)</f>
        <v>7.131666666666665</v>
      </c>
      <c r="AH18" s="33">
        <f>AVERAGE(F46:K46)</f>
        <v>28.533333333333335</v>
      </c>
      <c r="AI18" s="47">
        <f>AVERAGE(F54:K54)</f>
        <v>25.833333333333332</v>
      </c>
      <c r="AJ18" s="47">
        <f>GEOMEAN(F62:K62)</f>
        <v>42481.573610358573</v>
      </c>
      <c r="AK18" s="34">
        <f>AVERAGE(F70:K70)</f>
        <v>0.70483333333333331</v>
      </c>
      <c r="AL18" s="34">
        <f>AVERAGE(F78:K78)</f>
        <v>0.60733333333333339</v>
      </c>
      <c r="AM18" s="47">
        <f>AVERAGE(F86:K86)</f>
        <v>240.5</v>
      </c>
    </row>
    <row r="19" spans="1:40">
      <c r="A19" s="104"/>
      <c r="B19" s="896"/>
      <c r="C19" s="191">
        <v>5</v>
      </c>
      <c r="D19" s="192" t="s">
        <v>495</v>
      </c>
      <c r="E19" s="193" t="s">
        <v>496</v>
      </c>
      <c r="F19" s="193">
        <v>16</v>
      </c>
      <c r="G19" s="193">
        <v>9</v>
      </c>
      <c r="H19" s="193">
        <v>8</v>
      </c>
      <c r="I19" s="193">
        <v>8</v>
      </c>
      <c r="J19" s="193">
        <v>9</v>
      </c>
      <c r="K19" s="193">
        <v>16</v>
      </c>
      <c r="L19" s="193">
        <v>10</v>
      </c>
      <c r="M19" s="193">
        <v>10</v>
      </c>
      <c r="N19" s="193">
        <v>16</v>
      </c>
      <c r="O19" s="193">
        <v>8</v>
      </c>
      <c r="P19" s="193">
        <v>7</v>
      </c>
      <c r="Q19" s="193">
        <v>19</v>
      </c>
      <c r="R19" s="194">
        <f t="shared" si="0"/>
        <v>11.333333333333334</v>
      </c>
      <c r="S19" s="195">
        <v>7</v>
      </c>
      <c r="T19" s="252" t="s">
        <v>497</v>
      </c>
      <c r="X19" s="1179"/>
      <c r="Y19" s="1180"/>
      <c r="Z19" s="1177"/>
      <c r="AA19" s="1177"/>
      <c r="AB19" s="1177"/>
      <c r="AC19" s="1177"/>
      <c r="AD19" s="1177"/>
      <c r="AE19" s="1177"/>
      <c r="AF19" s="1177"/>
      <c r="AG19" s="1177"/>
      <c r="AH19" s="1177"/>
      <c r="AI19" s="1177"/>
      <c r="AJ19" s="1177"/>
      <c r="AK19" s="1177"/>
      <c r="AL19" s="1177"/>
      <c r="AM19" s="1178"/>
    </row>
    <row r="20" spans="1:40">
      <c r="A20" s="104"/>
      <c r="B20" s="896"/>
      <c r="C20" s="191">
        <v>6</v>
      </c>
      <c r="D20" s="192" t="s">
        <v>502</v>
      </c>
      <c r="E20" s="193" t="s">
        <v>503</v>
      </c>
      <c r="F20" s="193">
        <v>8</v>
      </c>
      <c r="G20" s="193">
        <v>7</v>
      </c>
      <c r="H20" s="193">
        <v>5</v>
      </c>
      <c r="I20" s="193">
        <v>9</v>
      </c>
      <c r="J20" s="193">
        <v>12</v>
      </c>
      <c r="K20" s="193">
        <v>6</v>
      </c>
      <c r="L20" s="193">
        <v>8</v>
      </c>
      <c r="M20" s="193">
        <v>9</v>
      </c>
      <c r="N20" s="193">
        <v>10</v>
      </c>
      <c r="O20" s="193">
        <v>7</v>
      </c>
      <c r="P20" s="193">
        <v>5</v>
      </c>
      <c r="Q20" s="193">
        <v>10</v>
      </c>
      <c r="R20" s="194">
        <f t="shared" si="0"/>
        <v>8</v>
      </c>
      <c r="S20" s="195">
        <v>7</v>
      </c>
      <c r="T20" s="252" t="s">
        <v>504</v>
      </c>
      <c r="X20" s="14" t="s">
        <v>93</v>
      </c>
      <c r="Y20" s="291"/>
      <c r="Z20" s="1167"/>
      <c r="AA20" s="1160"/>
      <c r="AB20" s="1160"/>
      <c r="AC20" s="1181"/>
      <c r="AD20" s="33">
        <f t="shared" ref="AD20:AM20" si="1">AVERAGE(AD11:AD18)</f>
        <v>2.92625</v>
      </c>
      <c r="AE20" s="47">
        <f t="shared" si="1"/>
        <v>15.229166666666666</v>
      </c>
      <c r="AF20" s="47">
        <f t="shared" si="1"/>
        <v>48.125</v>
      </c>
      <c r="AG20" s="33">
        <f t="shared" si="1"/>
        <v>7.1808333333333332</v>
      </c>
      <c r="AH20" s="33">
        <f t="shared" si="1"/>
        <v>29.028333333333332</v>
      </c>
      <c r="AI20" s="47">
        <f t="shared" si="1"/>
        <v>24.479166666666668</v>
      </c>
      <c r="AJ20" s="47">
        <f t="shared" si="1"/>
        <v>627478.14144487202</v>
      </c>
      <c r="AK20" s="34">
        <f t="shared" si="1"/>
        <v>0.52647916666666672</v>
      </c>
      <c r="AL20" s="34">
        <f t="shared" si="1"/>
        <v>1.0141875</v>
      </c>
      <c r="AM20" s="47">
        <f t="shared" si="1"/>
        <v>164.1875</v>
      </c>
    </row>
    <row r="21" spans="1:40">
      <c r="A21" s="104"/>
      <c r="B21" s="896"/>
      <c r="C21" s="191">
        <v>7</v>
      </c>
      <c r="D21" s="192" t="s">
        <v>505</v>
      </c>
      <c r="E21" s="193" t="s">
        <v>506</v>
      </c>
      <c r="F21" s="193">
        <v>12</v>
      </c>
      <c r="G21" s="193">
        <v>7</v>
      </c>
      <c r="H21" s="193">
        <v>15</v>
      </c>
      <c r="I21" s="193">
        <v>9</v>
      </c>
      <c r="J21" s="193">
        <v>9</v>
      </c>
      <c r="K21" s="193">
        <v>12</v>
      </c>
      <c r="L21" s="193">
        <v>4</v>
      </c>
      <c r="M21" s="196">
        <v>9</v>
      </c>
      <c r="N21" s="196">
        <v>9</v>
      </c>
      <c r="O21" s="196">
        <v>8</v>
      </c>
      <c r="P21" s="196">
        <v>10</v>
      </c>
      <c r="Q21" s="196">
        <v>10</v>
      </c>
      <c r="R21" s="194">
        <f t="shared" si="0"/>
        <v>9.5</v>
      </c>
      <c r="S21" s="195">
        <v>7</v>
      </c>
      <c r="T21" s="252" t="s">
        <v>507</v>
      </c>
      <c r="X21" s="14" t="s">
        <v>94</v>
      </c>
      <c r="Y21" s="293"/>
      <c r="Z21" s="1182"/>
      <c r="AA21" s="1176"/>
      <c r="AB21" s="1176"/>
      <c r="AC21" s="1183"/>
      <c r="AD21" s="33">
        <f t="shared" ref="AD21:AM21" si="2">MIN(AD11:AD18)</f>
        <v>1.4616666666666667</v>
      </c>
      <c r="AE21" s="47">
        <f t="shared" si="2"/>
        <v>6.666666666666667</v>
      </c>
      <c r="AF21" s="47">
        <f t="shared" si="2"/>
        <v>14.5</v>
      </c>
      <c r="AG21" s="33">
        <f t="shared" si="2"/>
        <v>7.1116666666666655</v>
      </c>
      <c r="AH21" s="33">
        <f t="shared" si="2"/>
        <v>28.471666666666668</v>
      </c>
      <c r="AI21" s="47">
        <f t="shared" si="2"/>
        <v>11.666666666666666</v>
      </c>
      <c r="AJ21" s="47">
        <f t="shared" si="2"/>
        <v>17007.853289226714</v>
      </c>
      <c r="AK21" s="34">
        <f t="shared" si="2"/>
        <v>0.26999999999999996</v>
      </c>
      <c r="AL21" s="34">
        <f t="shared" si="2"/>
        <v>0.60733333333333339</v>
      </c>
      <c r="AM21" s="47">
        <f t="shared" si="2"/>
        <v>88.666666666666671</v>
      </c>
    </row>
    <row r="22" spans="1:40">
      <c r="A22" s="104"/>
      <c r="B22" s="897"/>
      <c r="C22" s="191">
        <v>8</v>
      </c>
      <c r="D22" s="428" t="s">
        <v>501</v>
      </c>
      <c r="E22" s="193" t="s">
        <v>506</v>
      </c>
      <c r="F22" s="193">
        <v>8</v>
      </c>
      <c r="G22" s="193">
        <v>12</v>
      </c>
      <c r="H22" s="193">
        <v>3</v>
      </c>
      <c r="I22" s="193">
        <v>10</v>
      </c>
      <c r="J22" s="193">
        <v>9</v>
      </c>
      <c r="K22" s="193">
        <v>6</v>
      </c>
      <c r="L22" s="193">
        <v>6</v>
      </c>
      <c r="M22" s="196">
        <v>11</v>
      </c>
      <c r="N22" s="196">
        <v>9</v>
      </c>
      <c r="O22" s="196">
        <v>11</v>
      </c>
      <c r="P22" s="196">
        <v>8</v>
      </c>
      <c r="Q22" s="196">
        <v>12</v>
      </c>
      <c r="R22" s="194">
        <f t="shared" si="0"/>
        <v>8.75</v>
      </c>
      <c r="S22" s="195">
        <v>7</v>
      </c>
      <c r="T22" s="252" t="s">
        <v>508</v>
      </c>
      <c r="X22" s="14" t="s">
        <v>95</v>
      </c>
      <c r="Y22" s="293"/>
      <c r="Z22" s="1182"/>
      <c r="AA22" s="1176"/>
      <c r="AB22" s="1176"/>
      <c r="AC22" s="1183"/>
      <c r="AD22" s="33">
        <f t="shared" ref="AD22:AM22" si="3">MAX(AD11:AD18)</f>
        <v>4.7133333333333338</v>
      </c>
      <c r="AE22" s="47">
        <f t="shared" si="3"/>
        <v>38.5</v>
      </c>
      <c r="AF22" s="47">
        <f t="shared" si="3"/>
        <v>142.83333333333334</v>
      </c>
      <c r="AG22" s="33">
        <f t="shared" si="3"/>
        <v>7.291666666666667</v>
      </c>
      <c r="AH22" s="33">
        <f t="shared" si="3"/>
        <v>29.8</v>
      </c>
      <c r="AI22" s="47">
        <f t="shared" si="3"/>
        <v>35</v>
      </c>
      <c r="AJ22" s="47">
        <f t="shared" si="3"/>
        <v>1867969.5885928669</v>
      </c>
      <c r="AK22" s="34">
        <f t="shared" si="3"/>
        <v>0.97266666666666668</v>
      </c>
      <c r="AL22" s="34">
        <f t="shared" si="3"/>
        <v>1.7456666666666667</v>
      </c>
      <c r="AM22" s="47">
        <f t="shared" si="3"/>
        <v>241.83333333333334</v>
      </c>
    </row>
    <row r="23" spans="1:40">
      <c r="A23" s="104"/>
      <c r="B23" s="895" t="s">
        <v>92</v>
      </c>
      <c r="C23" s="190">
        <v>1</v>
      </c>
      <c r="D23" s="429" t="s">
        <v>484</v>
      </c>
      <c r="E23" s="100" t="s">
        <v>485</v>
      </c>
      <c r="F23" s="430">
        <v>57</v>
      </c>
      <c r="G23" s="430">
        <v>20</v>
      </c>
      <c r="H23" s="430">
        <v>22</v>
      </c>
      <c r="I23" s="430">
        <v>24</v>
      </c>
      <c r="J23" s="430">
        <v>22</v>
      </c>
      <c r="K23" s="430">
        <v>24</v>
      </c>
      <c r="L23" s="430">
        <v>34</v>
      </c>
      <c r="M23" s="101">
        <v>84</v>
      </c>
      <c r="N23" s="101">
        <v>922</v>
      </c>
      <c r="O23" s="101">
        <v>50</v>
      </c>
      <c r="P23" s="101">
        <v>30</v>
      </c>
      <c r="Q23" s="101">
        <v>26</v>
      </c>
      <c r="R23" s="102">
        <f t="shared" si="0"/>
        <v>109.58333333333333</v>
      </c>
      <c r="S23" s="103">
        <v>80</v>
      </c>
      <c r="T23" s="252" t="s">
        <v>486</v>
      </c>
      <c r="X23" s="14" t="s">
        <v>96</v>
      </c>
      <c r="Y23" s="292"/>
      <c r="Z23" s="1184"/>
      <c r="AA23" s="1159"/>
      <c r="AB23" s="1159"/>
      <c r="AC23" s="1185"/>
      <c r="AD23" s="29" t="s">
        <v>97</v>
      </c>
      <c r="AE23" s="29" t="s">
        <v>98</v>
      </c>
      <c r="AF23" s="29" t="s">
        <v>99</v>
      </c>
      <c r="AG23" s="29" t="s">
        <v>100</v>
      </c>
      <c r="AH23" s="29" t="s">
        <v>101</v>
      </c>
      <c r="AI23" s="29" t="s">
        <v>102</v>
      </c>
      <c r="AJ23" s="29" t="s">
        <v>103</v>
      </c>
      <c r="AK23" s="29" t="s">
        <v>98</v>
      </c>
      <c r="AL23" s="29" t="s">
        <v>104</v>
      </c>
      <c r="AM23" s="29" t="s">
        <v>105</v>
      </c>
    </row>
    <row r="24" spans="1:40">
      <c r="A24" s="104"/>
      <c r="B24" s="896"/>
      <c r="C24" s="191">
        <v>2</v>
      </c>
      <c r="D24" s="192" t="s">
        <v>487</v>
      </c>
      <c r="E24" s="192" t="s">
        <v>485</v>
      </c>
      <c r="F24" s="196">
        <v>55</v>
      </c>
      <c r="G24" s="196">
        <v>25</v>
      </c>
      <c r="H24" s="196">
        <v>18</v>
      </c>
      <c r="I24" s="196">
        <v>28</v>
      </c>
      <c r="J24" s="196">
        <v>24</v>
      </c>
      <c r="K24" s="196">
        <v>13</v>
      </c>
      <c r="L24" s="196">
        <v>68</v>
      </c>
      <c r="M24" s="193">
        <v>56</v>
      </c>
      <c r="N24" s="193">
        <v>796</v>
      </c>
      <c r="O24" s="193">
        <v>48</v>
      </c>
      <c r="P24" s="193">
        <v>32</v>
      </c>
      <c r="Q24" s="193">
        <v>32</v>
      </c>
      <c r="R24" s="194">
        <f t="shared" si="0"/>
        <v>99.583333333333329</v>
      </c>
      <c r="S24" s="195">
        <v>80</v>
      </c>
      <c r="T24" s="252" t="s">
        <v>488</v>
      </c>
    </row>
    <row r="25" spans="1:40">
      <c r="A25" s="104"/>
      <c r="B25" s="896"/>
      <c r="C25" s="191">
        <v>3</v>
      </c>
      <c r="D25" s="192" t="s">
        <v>489</v>
      </c>
      <c r="E25" s="192" t="s">
        <v>490</v>
      </c>
      <c r="F25" s="193">
        <v>25</v>
      </c>
      <c r="G25" s="193">
        <v>19</v>
      </c>
      <c r="H25" s="193">
        <v>31</v>
      </c>
      <c r="I25" s="193">
        <v>51</v>
      </c>
      <c r="J25" s="193">
        <v>42</v>
      </c>
      <c r="K25" s="193">
        <v>62</v>
      </c>
      <c r="L25" s="193">
        <v>65</v>
      </c>
      <c r="M25" s="193">
        <v>102</v>
      </c>
      <c r="N25" s="193">
        <v>177</v>
      </c>
      <c r="O25" s="193">
        <v>55</v>
      </c>
      <c r="P25" s="193">
        <v>29</v>
      </c>
      <c r="Q25" s="193">
        <v>70</v>
      </c>
      <c r="R25" s="194">
        <f t="shared" si="0"/>
        <v>60.666666666666664</v>
      </c>
      <c r="S25" s="195">
        <v>80</v>
      </c>
      <c r="T25" s="252" t="s">
        <v>491</v>
      </c>
    </row>
    <row r="26" spans="1:40">
      <c r="A26" s="104"/>
      <c r="B26" s="896"/>
      <c r="C26" s="191">
        <v>4</v>
      </c>
      <c r="D26" s="192" t="s">
        <v>492</v>
      </c>
      <c r="E26" s="192" t="s">
        <v>493</v>
      </c>
      <c r="F26" s="193">
        <v>34</v>
      </c>
      <c r="G26" s="193">
        <v>7</v>
      </c>
      <c r="H26" s="193">
        <v>9</v>
      </c>
      <c r="I26" s="193">
        <v>58</v>
      </c>
      <c r="J26" s="193">
        <v>33</v>
      </c>
      <c r="K26" s="193">
        <v>57</v>
      </c>
      <c r="L26" s="193">
        <v>24</v>
      </c>
      <c r="M26" s="193">
        <v>28</v>
      </c>
      <c r="N26" s="193">
        <v>48</v>
      </c>
      <c r="O26" s="193">
        <v>32</v>
      </c>
      <c r="P26" s="193">
        <v>41</v>
      </c>
      <c r="Q26" s="193">
        <v>27</v>
      </c>
      <c r="R26" s="194">
        <f t="shared" si="0"/>
        <v>33.166666666666664</v>
      </c>
      <c r="S26" s="195">
        <v>80</v>
      </c>
      <c r="T26" s="252" t="s">
        <v>494</v>
      </c>
    </row>
    <row r="27" spans="1:40">
      <c r="A27" s="104"/>
      <c r="B27" s="896"/>
      <c r="C27" s="191">
        <v>5</v>
      </c>
      <c r="D27" s="192" t="s">
        <v>495</v>
      </c>
      <c r="E27" s="192" t="s">
        <v>496</v>
      </c>
      <c r="F27" s="193">
        <v>8</v>
      </c>
      <c r="G27" s="193">
        <v>8</v>
      </c>
      <c r="H27" s="193">
        <v>4</v>
      </c>
      <c r="I27" s="193">
        <v>11</v>
      </c>
      <c r="J27" s="193">
        <v>43</v>
      </c>
      <c r="K27" s="193">
        <v>13</v>
      </c>
      <c r="L27" s="193">
        <v>22</v>
      </c>
      <c r="M27" s="193">
        <v>29</v>
      </c>
      <c r="N27" s="193">
        <v>31</v>
      </c>
      <c r="O27" s="193">
        <v>47</v>
      </c>
      <c r="P27" s="193">
        <v>42</v>
      </c>
      <c r="Q27" s="193">
        <v>35</v>
      </c>
      <c r="R27" s="194">
        <f t="shared" si="0"/>
        <v>24.416666666666668</v>
      </c>
      <c r="S27" s="195">
        <v>80</v>
      </c>
      <c r="T27" s="252" t="s">
        <v>497</v>
      </c>
    </row>
    <row r="28" spans="1:40">
      <c r="A28" s="104"/>
      <c r="B28" s="896"/>
      <c r="C28" s="191">
        <v>6</v>
      </c>
      <c r="D28" s="192" t="s">
        <v>502</v>
      </c>
      <c r="E28" s="192" t="s">
        <v>503</v>
      </c>
      <c r="F28" s="193">
        <v>17</v>
      </c>
      <c r="G28" s="193">
        <v>13</v>
      </c>
      <c r="H28" s="193">
        <v>24</v>
      </c>
      <c r="I28" s="193">
        <v>21</v>
      </c>
      <c r="J28" s="193">
        <v>47</v>
      </c>
      <c r="K28" s="193">
        <v>26</v>
      </c>
      <c r="L28" s="193">
        <v>39</v>
      </c>
      <c r="M28" s="193">
        <v>28</v>
      </c>
      <c r="N28" s="193">
        <v>31</v>
      </c>
      <c r="O28" s="193">
        <v>52</v>
      </c>
      <c r="P28" s="193">
        <v>43</v>
      </c>
      <c r="Q28" s="193">
        <v>31</v>
      </c>
      <c r="R28" s="194">
        <f t="shared" si="0"/>
        <v>31</v>
      </c>
      <c r="S28" s="195">
        <v>80</v>
      </c>
      <c r="T28" s="252" t="s">
        <v>504</v>
      </c>
      <c r="X28" s="232"/>
      <c r="Y28" s="232"/>
      <c r="Z28" s="232"/>
      <c r="AA28" s="232"/>
      <c r="AB28" s="232"/>
      <c r="AC28" s="232"/>
      <c r="AD28" s="232"/>
      <c r="AE28" s="232"/>
      <c r="AF28" s="232"/>
      <c r="AG28" s="232"/>
      <c r="AH28" s="232"/>
      <c r="AI28" s="232"/>
      <c r="AJ28" s="232"/>
      <c r="AK28" s="232"/>
      <c r="AL28" s="232"/>
      <c r="AM28" s="232"/>
    </row>
    <row r="29" spans="1:40">
      <c r="A29" s="104"/>
      <c r="B29" s="896"/>
      <c r="C29" s="191">
        <v>7</v>
      </c>
      <c r="D29" s="192" t="s">
        <v>505</v>
      </c>
      <c r="E29" s="192" t="s">
        <v>506</v>
      </c>
      <c r="F29" s="193">
        <v>105</v>
      </c>
      <c r="G29" s="193">
        <v>80</v>
      </c>
      <c r="H29" s="193">
        <v>72</v>
      </c>
      <c r="I29" s="193">
        <v>62</v>
      </c>
      <c r="J29" s="193">
        <v>109</v>
      </c>
      <c r="K29" s="193">
        <v>30</v>
      </c>
      <c r="L29" s="193">
        <v>50</v>
      </c>
      <c r="M29" s="196">
        <v>33</v>
      </c>
      <c r="N29" s="196">
        <v>42</v>
      </c>
      <c r="O29" s="196">
        <v>47</v>
      </c>
      <c r="P29" s="196">
        <v>34</v>
      </c>
      <c r="Q29" s="196">
        <v>39</v>
      </c>
      <c r="R29" s="194">
        <f t="shared" si="0"/>
        <v>58.583333333333336</v>
      </c>
      <c r="S29" s="195">
        <v>80</v>
      </c>
      <c r="T29" s="252" t="s">
        <v>507</v>
      </c>
      <c r="W29" s="232"/>
      <c r="X29" s="940" t="s">
        <v>70</v>
      </c>
      <c r="Y29" s="941"/>
      <c r="Z29" s="1186"/>
      <c r="AA29" s="1186"/>
      <c r="AB29" s="1186"/>
      <c r="AC29" s="1186"/>
      <c r="AD29" s="1186"/>
      <c r="AE29" s="1186"/>
      <c r="AF29" s="1186"/>
      <c r="AG29" s="1186"/>
      <c r="AH29" s="1186"/>
      <c r="AI29" s="1186"/>
      <c r="AJ29" s="1186"/>
      <c r="AK29" s="1186"/>
      <c r="AL29" s="1186"/>
      <c r="AM29" s="1187"/>
      <c r="AN29" s="232"/>
    </row>
    <row r="30" spans="1:40">
      <c r="A30" s="104"/>
      <c r="B30" s="897"/>
      <c r="C30" s="191">
        <v>8</v>
      </c>
      <c r="D30" s="428" t="s">
        <v>501</v>
      </c>
      <c r="E30" s="192" t="s">
        <v>506</v>
      </c>
      <c r="F30" s="193">
        <v>314</v>
      </c>
      <c r="G30" s="193">
        <v>246</v>
      </c>
      <c r="H30" s="193">
        <v>85</v>
      </c>
      <c r="I30" s="193">
        <v>67</v>
      </c>
      <c r="J30" s="193">
        <v>99</v>
      </c>
      <c r="K30" s="193">
        <v>46</v>
      </c>
      <c r="L30" s="193">
        <v>80</v>
      </c>
      <c r="M30" s="196">
        <v>72</v>
      </c>
      <c r="N30" s="196">
        <v>37</v>
      </c>
      <c r="O30" s="196">
        <v>42</v>
      </c>
      <c r="P30" s="196">
        <v>37</v>
      </c>
      <c r="Q30" s="196">
        <v>55</v>
      </c>
      <c r="R30" s="194">
        <f t="shared" si="0"/>
        <v>98.333333333333329</v>
      </c>
      <c r="S30" s="195">
        <v>80</v>
      </c>
      <c r="T30" s="252" t="s">
        <v>508</v>
      </c>
      <c r="W30" s="232"/>
      <c r="X30" s="942" t="s">
        <v>107</v>
      </c>
      <c r="Y30" s="943"/>
      <c r="Z30" s="1188"/>
      <c r="AA30" s="1188"/>
      <c r="AB30" s="1188"/>
      <c r="AC30" s="1188"/>
      <c r="AD30" s="1188"/>
      <c r="AE30" s="1188"/>
      <c r="AF30" s="1188"/>
      <c r="AG30" s="1188"/>
      <c r="AH30" s="1188"/>
      <c r="AI30" s="1188"/>
      <c r="AJ30" s="1188"/>
      <c r="AK30" s="1188"/>
      <c r="AL30" s="1188"/>
      <c r="AM30" s="1189"/>
      <c r="AN30" s="232"/>
    </row>
    <row r="31" spans="1:40">
      <c r="A31" s="104"/>
      <c r="B31" s="895" t="s">
        <v>7</v>
      </c>
      <c r="C31" s="190">
        <v>1</v>
      </c>
      <c r="D31" s="429" t="s">
        <v>484</v>
      </c>
      <c r="E31" s="100" t="s">
        <v>485</v>
      </c>
      <c r="F31" s="430">
        <v>7.17</v>
      </c>
      <c r="G31" s="430">
        <v>7.71</v>
      </c>
      <c r="H31" s="430">
        <v>7.04</v>
      </c>
      <c r="I31" s="430">
        <v>7.3</v>
      </c>
      <c r="J31" s="430">
        <v>7</v>
      </c>
      <c r="K31" s="430">
        <v>7.09</v>
      </c>
      <c r="L31" s="430">
        <v>7.11</v>
      </c>
      <c r="M31" s="101">
        <v>7.28</v>
      </c>
      <c r="N31" s="101">
        <v>7.9</v>
      </c>
      <c r="O31" s="101">
        <v>7.6</v>
      </c>
      <c r="P31" s="101">
        <v>7.49</v>
      </c>
      <c r="Q31" s="101">
        <v>7.32</v>
      </c>
      <c r="R31" s="102">
        <f t="shared" si="0"/>
        <v>7.3341666666666656</v>
      </c>
      <c r="S31" s="103" t="s">
        <v>106</v>
      </c>
      <c r="T31" s="252" t="s">
        <v>486</v>
      </c>
      <c r="W31" s="232"/>
      <c r="X31" s="1190"/>
      <c r="Y31" s="1180"/>
      <c r="Z31" s="1177"/>
      <c r="AA31" s="1177"/>
      <c r="AB31" s="1177"/>
      <c r="AC31" s="1178"/>
      <c r="AD31" s="844" t="s">
        <v>78</v>
      </c>
      <c r="AE31" s="1177"/>
      <c r="AF31" s="1177"/>
      <c r="AG31" s="1177"/>
      <c r="AH31" s="1177"/>
      <c r="AI31" s="1177"/>
      <c r="AJ31" s="1177"/>
      <c r="AK31" s="1177"/>
      <c r="AL31" s="1177"/>
      <c r="AM31" s="1191"/>
      <c r="AN31" s="232"/>
    </row>
    <row r="32" spans="1:40">
      <c r="A32" s="104"/>
      <c r="B32" s="896"/>
      <c r="C32" s="191">
        <v>2</v>
      </c>
      <c r="D32" s="192" t="s">
        <v>487</v>
      </c>
      <c r="E32" s="192" t="s">
        <v>485</v>
      </c>
      <c r="F32" s="196">
        <v>7.14</v>
      </c>
      <c r="G32" s="196">
        <v>7.6</v>
      </c>
      <c r="H32" s="196">
        <v>7.02</v>
      </c>
      <c r="I32" s="196">
        <v>7.37</v>
      </c>
      <c r="J32" s="196">
        <v>7</v>
      </c>
      <c r="K32" s="196">
        <v>7.11</v>
      </c>
      <c r="L32" s="196">
        <v>7.11</v>
      </c>
      <c r="M32" s="193">
        <v>7.2</v>
      </c>
      <c r="N32" s="193">
        <v>7.99</v>
      </c>
      <c r="O32" s="193">
        <v>7.64</v>
      </c>
      <c r="P32" s="193">
        <v>7.51</v>
      </c>
      <c r="Q32" s="193">
        <v>7.63</v>
      </c>
      <c r="R32" s="194">
        <f t="shared" si="0"/>
        <v>7.3599999999999994</v>
      </c>
      <c r="S32" s="195" t="s">
        <v>106</v>
      </c>
      <c r="T32" s="252" t="s">
        <v>488</v>
      </c>
      <c r="W32" s="232"/>
      <c r="X32" s="657" t="s">
        <v>82</v>
      </c>
      <c r="Y32" s="14"/>
      <c r="Z32" s="14" t="s">
        <v>83</v>
      </c>
      <c r="AA32" s="14" t="s">
        <v>84</v>
      </c>
      <c r="AB32" s="14" t="s">
        <v>85</v>
      </c>
      <c r="AC32" s="14" t="s">
        <v>86</v>
      </c>
      <c r="AD32" s="14" t="s">
        <v>4</v>
      </c>
      <c r="AE32" s="14" t="s">
        <v>5</v>
      </c>
      <c r="AF32" s="14" t="s">
        <v>6</v>
      </c>
      <c r="AG32" s="14" t="s">
        <v>7</v>
      </c>
      <c r="AH32" s="14" t="s">
        <v>8</v>
      </c>
      <c r="AI32" s="14" t="s">
        <v>9</v>
      </c>
      <c r="AJ32" s="14" t="s">
        <v>10</v>
      </c>
      <c r="AK32" s="14" t="s">
        <v>11</v>
      </c>
      <c r="AL32" s="14" t="s">
        <v>12</v>
      </c>
      <c r="AM32" s="658" t="s">
        <v>13</v>
      </c>
      <c r="AN32" s="232"/>
    </row>
    <row r="33" spans="1:40" ht="30">
      <c r="A33" s="104"/>
      <c r="B33" s="896"/>
      <c r="C33" s="191">
        <v>3</v>
      </c>
      <c r="D33" s="192" t="s">
        <v>489</v>
      </c>
      <c r="E33" s="192" t="s">
        <v>490</v>
      </c>
      <c r="F33" s="193">
        <v>7.22</v>
      </c>
      <c r="G33" s="193">
        <v>7.3</v>
      </c>
      <c r="H33" s="193">
        <v>7.1</v>
      </c>
      <c r="I33" s="193">
        <v>7.41</v>
      </c>
      <c r="J33" s="193">
        <v>7</v>
      </c>
      <c r="K33" s="193">
        <v>7.12</v>
      </c>
      <c r="L33" s="193">
        <v>7.1</v>
      </c>
      <c r="M33" s="193">
        <v>7.2</v>
      </c>
      <c r="N33" s="193">
        <v>8.6</v>
      </c>
      <c r="O33" s="193">
        <v>7.8</v>
      </c>
      <c r="P33" s="193">
        <v>7.63</v>
      </c>
      <c r="Q33" s="193">
        <v>7.54</v>
      </c>
      <c r="R33" s="194">
        <f t="shared" si="0"/>
        <v>7.418333333333333</v>
      </c>
      <c r="S33" s="195" t="s">
        <v>106</v>
      </c>
      <c r="T33" s="252" t="s">
        <v>491</v>
      </c>
      <c r="W33" s="232"/>
      <c r="X33" s="944" t="s">
        <v>498</v>
      </c>
      <c r="Y33" s="909" t="s">
        <v>499</v>
      </c>
      <c r="Z33" s="947" t="s">
        <v>500</v>
      </c>
      <c r="AA33" s="909" t="s">
        <v>16</v>
      </c>
      <c r="AB33" s="32">
        <v>1</v>
      </c>
      <c r="AC33" s="111" t="s">
        <v>501</v>
      </c>
      <c r="AD33" s="35">
        <f>R7</f>
        <v>3.4024999999999999</v>
      </c>
      <c r="AE33" s="35">
        <f>R15</f>
        <v>19.666666666666668</v>
      </c>
      <c r="AF33" s="35">
        <f>R23</f>
        <v>109.58333333333333</v>
      </c>
      <c r="AG33" s="35">
        <f>R31</f>
        <v>7.3341666666666656</v>
      </c>
      <c r="AH33" s="35">
        <f>R39</f>
        <v>28.979166666666661</v>
      </c>
      <c r="AI33" s="35">
        <f>R47</f>
        <v>14.166666666666666</v>
      </c>
      <c r="AJ33" s="112">
        <f>R55</f>
        <v>1992562.0264130638</v>
      </c>
      <c r="AK33" s="28">
        <f>R63</f>
        <v>0.96283333333333354</v>
      </c>
      <c r="AL33" s="28">
        <f>R71</f>
        <v>0.67308333333333337</v>
      </c>
      <c r="AM33" s="664">
        <f>R79</f>
        <v>73.166666666666671</v>
      </c>
      <c r="AN33" s="232"/>
    </row>
    <row r="34" spans="1:40" ht="30">
      <c r="A34" s="104"/>
      <c r="B34" s="896"/>
      <c r="C34" s="191">
        <v>4</v>
      </c>
      <c r="D34" s="192" t="s">
        <v>492</v>
      </c>
      <c r="E34" s="192" t="s">
        <v>493</v>
      </c>
      <c r="F34" s="193">
        <v>7.22</v>
      </c>
      <c r="G34" s="193">
        <v>7.9</v>
      </c>
      <c r="H34" s="193">
        <v>7.01</v>
      </c>
      <c r="I34" s="193">
        <v>7.61</v>
      </c>
      <c r="J34" s="193">
        <v>7</v>
      </c>
      <c r="K34" s="193">
        <v>7.01</v>
      </c>
      <c r="L34" s="193">
        <v>7</v>
      </c>
      <c r="M34" s="193">
        <v>7.21</v>
      </c>
      <c r="N34" s="193">
        <v>7.99</v>
      </c>
      <c r="O34" s="193">
        <v>7.1</v>
      </c>
      <c r="P34" s="193">
        <v>7.18</v>
      </c>
      <c r="Q34" s="193">
        <v>7.14</v>
      </c>
      <c r="R34" s="194">
        <f t="shared" si="0"/>
        <v>7.2808333333333328</v>
      </c>
      <c r="S34" s="195" t="s">
        <v>106</v>
      </c>
      <c r="T34" s="252" t="s">
        <v>494</v>
      </c>
      <c r="W34" s="232"/>
      <c r="X34" s="945"/>
      <c r="Y34" s="910"/>
      <c r="Z34" s="938"/>
      <c r="AA34" s="938"/>
      <c r="AB34" s="32">
        <v>2</v>
      </c>
      <c r="AC34" s="111" t="s">
        <v>505</v>
      </c>
      <c r="AD34" s="35">
        <f>R8</f>
        <v>3.5041666666666669</v>
      </c>
      <c r="AE34" s="35">
        <f>R16</f>
        <v>17.666666666666668</v>
      </c>
      <c r="AF34" s="35">
        <f>R24</f>
        <v>99.583333333333329</v>
      </c>
      <c r="AG34" s="35">
        <f>R32</f>
        <v>7.3599999999999994</v>
      </c>
      <c r="AH34" s="35">
        <f>R40</f>
        <v>29.099166666666665</v>
      </c>
      <c r="AI34" s="35">
        <f>R48</f>
        <v>14.166666666666666</v>
      </c>
      <c r="AJ34" s="112">
        <f>R56</f>
        <v>539852.58595495939</v>
      </c>
      <c r="AK34" s="28">
        <f>R64</f>
        <v>0.85266666666666657</v>
      </c>
      <c r="AL34" s="28">
        <f>R72</f>
        <v>0.74850000000000005</v>
      </c>
      <c r="AM34" s="664">
        <f>R80</f>
        <v>77.833333333333329</v>
      </c>
      <c r="AN34" s="232"/>
    </row>
    <row r="35" spans="1:40">
      <c r="A35" s="104"/>
      <c r="B35" s="896"/>
      <c r="C35" s="191">
        <v>5</v>
      </c>
      <c r="D35" s="192" t="s">
        <v>495</v>
      </c>
      <c r="E35" s="192" t="s">
        <v>496</v>
      </c>
      <c r="F35" s="193">
        <v>7.02</v>
      </c>
      <c r="G35" s="193">
        <v>7.5</v>
      </c>
      <c r="H35" s="193">
        <v>7.09</v>
      </c>
      <c r="I35" s="193">
        <v>7.2</v>
      </c>
      <c r="J35" s="193">
        <v>7</v>
      </c>
      <c r="K35" s="193">
        <v>7</v>
      </c>
      <c r="L35" s="193">
        <v>7.02</v>
      </c>
      <c r="M35" s="193">
        <v>7.1</v>
      </c>
      <c r="N35" s="193">
        <v>7.9</v>
      </c>
      <c r="O35" s="193">
        <v>7.01</v>
      </c>
      <c r="P35" s="193">
        <v>7.1</v>
      </c>
      <c r="Q35" s="193">
        <v>7.5</v>
      </c>
      <c r="R35" s="194">
        <f t="shared" si="0"/>
        <v>7.2033333333333331</v>
      </c>
      <c r="S35" s="195" t="s">
        <v>106</v>
      </c>
      <c r="T35" s="252" t="s">
        <v>497</v>
      </c>
      <c r="W35" s="232"/>
      <c r="X35" s="945"/>
      <c r="Y35" s="910"/>
      <c r="Z35" s="938"/>
      <c r="AA35" s="938"/>
      <c r="AB35" s="32">
        <v>3</v>
      </c>
      <c r="AC35" s="111" t="s">
        <v>502</v>
      </c>
      <c r="AD35" s="35">
        <f>R9</f>
        <v>4.472500000000001</v>
      </c>
      <c r="AE35" s="35">
        <f>R17</f>
        <v>7</v>
      </c>
      <c r="AF35" s="35">
        <f>R25</f>
        <v>60.666666666666664</v>
      </c>
      <c r="AG35" s="35">
        <f>R33</f>
        <v>7.418333333333333</v>
      </c>
      <c r="AH35" s="35">
        <f>R41</f>
        <v>29.13333333333334</v>
      </c>
      <c r="AI35" s="35">
        <f>R49</f>
        <v>13.75</v>
      </c>
      <c r="AJ35" s="112">
        <f>R57</f>
        <v>88964.03206922565</v>
      </c>
      <c r="AK35" s="28">
        <f>R65</f>
        <v>1.1364166666666666</v>
      </c>
      <c r="AL35" s="28">
        <f>R73</f>
        <v>0.65641666666666665</v>
      </c>
      <c r="AM35" s="664">
        <f>R81</f>
        <v>96.083333333333329</v>
      </c>
      <c r="AN35" s="232"/>
    </row>
    <row r="36" spans="1:40" ht="30">
      <c r="A36" s="104"/>
      <c r="B36" s="896"/>
      <c r="C36" s="191">
        <v>6</v>
      </c>
      <c r="D36" s="192" t="s">
        <v>502</v>
      </c>
      <c r="E36" s="192" t="s">
        <v>503</v>
      </c>
      <c r="F36" s="193">
        <v>7.06</v>
      </c>
      <c r="G36" s="193">
        <v>7.11</v>
      </c>
      <c r="H36" s="193">
        <v>7.09</v>
      </c>
      <c r="I36" s="193">
        <v>7.36</v>
      </c>
      <c r="J36" s="193">
        <v>7</v>
      </c>
      <c r="K36" s="193">
        <v>7.05</v>
      </c>
      <c r="L36" s="193">
        <v>7.01</v>
      </c>
      <c r="M36" s="193">
        <v>7.19</v>
      </c>
      <c r="N36" s="193">
        <v>7.97</v>
      </c>
      <c r="O36" s="193">
        <v>7.39</v>
      </c>
      <c r="P36" s="193">
        <v>7.58</v>
      </c>
      <c r="Q36" s="193">
        <v>7.61</v>
      </c>
      <c r="R36" s="194">
        <f t="shared" si="0"/>
        <v>7.2849999999999993</v>
      </c>
      <c r="S36" s="195" t="s">
        <v>106</v>
      </c>
      <c r="T36" s="252" t="s">
        <v>504</v>
      </c>
      <c r="W36" s="232"/>
      <c r="X36" s="945"/>
      <c r="Y36" s="910"/>
      <c r="Z36" s="938"/>
      <c r="AA36" s="938"/>
      <c r="AB36" s="32">
        <v>4</v>
      </c>
      <c r="AC36" s="111" t="s">
        <v>495</v>
      </c>
      <c r="AD36" s="35">
        <f>R10</f>
        <v>2.0883333333333334</v>
      </c>
      <c r="AE36" s="35">
        <f>R18</f>
        <v>32.25</v>
      </c>
      <c r="AF36" s="35">
        <f>R26</f>
        <v>33.166666666666664</v>
      </c>
      <c r="AG36" s="35">
        <f>R34</f>
        <v>7.2808333333333328</v>
      </c>
      <c r="AH36" s="35">
        <f>R42</f>
        <v>28.900000000000002</v>
      </c>
      <c r="AI36" s="35">
        <f>R50</f>
        <v>32.416666666666664</v>
      </c>
      <c r="AJ36" s="112">
        <f>R58</f>
        <v>1893994.2434604866</v>
      </c>
      <c r="AK36" s="28">
        <f>R66</f>
        <v>0.25516666666666671</v>
      </c>
      <c r="AL36" s="28">
        <f>R74</f>
        <v>1.5130000000000001</v>
      </c>
      <c r="AM36" s="664">
        <f>R82</f>
        <v>95.333333333333329</v>
      </c>
      <c r="AN36" s="232"/>
    </row>
    <row r="37" spans="1:40" ht="30">
      <c r="A37" s="104"/>
      <c r="B37" s="896"/>
      <c r="C37" s="191">
        <v>7</v>
      </c>
      <c r="D37" s="192" t="s">
        <v>505</v>
      </c>
      <c r="E37" s="192" t="s">
        <v>506</v>
      </c>
      <c r="F37" s="193">
        <v>7.22</v>
      </c>
      <c r="G37" s="193">
        <v>7.12</v>
      </c>
      <c r="H37" s="193">
        <v>7.11</v>
      </c>
      <c r="I37" s="193">
        <v>7.41</v>
      </c>
      <c r="J37" s="193">
        <v>7</v>
      </c>
      <c r="K37" s="193">
        <v>7.1</v>
      </c>
      <c r="L37" s="193">
        <v>7.15</v>
      </c>
      <c r="M37" s="196">
        <v>7.23</v>
      </c>
      <c r="N37" s="196">
        <v>7.9</v>
      </c>
      <c r="O37" s="196">
        <v>7.3</v>
      </c>
      <c r="P37" s="196">
        <v>7.61</v>
      </c>
      <c r="Q37" s="196">
        <v>7.58</v>
      </c>
      <c r="R37" s="194">
        <f t="shared" si="0"/>
        <v>7.310833333333334</v>
      </c>
      <c r="S37" s="195" t="s">
        <v>106</v>
      </c>
      <c r="T37" s="252" t="s">
        <v>507</v>
      </c>
      <c r="W37" s="232"/>
      <c r="X37" s="945"/>
      <c r="Y37" s="910"/>
      <c r="Z37" s="938"/>
      <c r="AA37" s="938"/>
      <c r="AB37" s="32">
        <v>5</v>
      </c>
      <c r="AC37" s="111" t="s">
        <v>492</v>
      </c>
      <c r="AD37" s="35">
        <f>R11</f>
        <v>1.8916666666666668</v>
      </c>
      <c r="AE37" s="35">
        <f>R19</f>
        <v>11.333333333333334</v>
      </c>
      <c r="AF37" s="35">
        <f>R27</f>
        <v>24.416666666666668</v>
      </c>
      <c r="AG37" s="35">
        <f>R35</f>
        <v>7.2033333333333331</v>
      </c>
      <c r="AH37" s="35">
        <f>R43</f>
        <v>28.573333333333334</v>
      </c>
      <c r="AI37" s="35">
        <f>R51</f>
        <v>37.583333333333336</v>
      </c>
      <c r="AJ37" s="112">
        <f>R59</f>
        <v>201683.61428326473</v>
      </c>
      <c r="AK37" s="28">
        <f>R67</f>
        <v>0.27099999999999996</v>
      </c>
      <c r="AL37" s="28">
        <f>R75</f>
        <v>1.1935833333333334</v>
      </c>
      <c r="AM37" s="664">
        <f>R83</f>
        <v>99.916666666666671</v>
      </c>
      <c r="AN37" s="232"/>
    </row>
    <row r="38" spans="1:40">
      <c r="A38" s="104"/>
      <c r="B38" s="897"/>
      <c r="C38" s="191">
        <v>8</v>
      </c>
      <c r="D38" s="428" t="s">
        <v>501</v>
      </c>
      <c r="E38" s="192" t="s">
        <v>506</v>
      </c>
      <c r="F38" s="193">
        <v>7.18</v>
      </c>
      <c r="G38" s="193">
        <v>7.1</v>
      </c>
      <c r="H38" s="193">
        <v>7.05</v>
      </c>
      <c r="I38" s="193">
        <v>7.38</v>
      </c>
      <c r="J38" s="193">
        <v>7</v>
      </c>
      <c r="K38" s="193">
        <v>7.08</v>
      </c>
      <c r="L38" s="193">
        <v>7.1</v>
      </c>
      <c r="M38" s="196">
        <v>7.2</v>
      </c>
      <c r="N38" s="196">
        <v>7.8</v>
      </c>
      <c r="O38" s="196">
        <v>7.28</v>
      </c>
      <c r="P38" s="196">
        <v>7.51</v>
      </c>
      <c r="Q38" s="196">
        <v>5.92</v>
      </c>
      <c r="R38" s="194">
        <f t="shared" si="0"/>
        <v>7.1333333333333337</v>
      </c>
      <c r="S38" s="195" t="s">
        <v>106</v>
      </c>
      <c r="T38" s="252" t="s">
        <v>508</v>
      </c>
      <c r="W38" s="232"/>
      <c r="X38" s="945"/>
      <c r="Y38" s="910"/>
      <c r="Z38" s="938"/>
      <c r="AA38" s="938"/>
      <c r="AB38" s="32">
        <v>6</v>
      </c>
      <c r="AC38" s="111" t="s">
        <v>489</v>
      </c>
      <c r="AD38" s="35">
        <f>R12</f>
        <v>3.038333333333334</v>
      </c>
      <c r="AE38" s="35">
        <f>R20</f>
        <v>8</v>
      </c>
      <c r="AF38" s="35">
        <f>R28</f>
        <v>31</v>
      </c>
      <c r="AG38" s="35">
        <f>R36</f>
        <v>7.2849999999999993</v>
      </c>
      <c r="AH38" s="35">
        <f>R44</f>
        <v>28.352500000000003</v>
      </c>
      <c r="AI38" s="35">
        <f>R52</f>
        <v>42</v>
      </c>
      <c r="AJ38" s="112">
        <f>R60</f>
        <v>58502.933908060382</v>
      </c>
      <c r="AK38" s="28">
        <f>R68</f>
        <v>0.34283333333333332</v>
      </c>
      <c r="AL38" s="28">
        <f>R76</f>
        <v>0.87491666666666656</v>
      </c>
      <c r="AM38" s="664">
        <f>R84</f>
        <v>174.75</v>
      </c>
      <c r="AN38" s="232"/>
    </row>
    <row r="39" spans="1:40" ht="16.5" customHeight="1">
      <c r="A39" s="104"/>
      <c r="B39" s="932" t="s">
        <v>108</v>
      </c>
      <c r="C39" s="190">
        <v>1</v>
      </c>
      <c r="D39" s="429" t="s">
        <v>484</v>
      </c>
      <c r="E39" s="100" t="s">
        <v>485</v>
      </c>
      <c r="F39" s="430">
        <v>29.7</v>
      </c>
      <c r="G39" s="430">
        <v>30.65</v>
      </c>
      <c r="H39" s="430">
        <v>29.8</v>
      </c>
      <c r="I39" s="430">
        <v>32.4</v>
      </c>
      <c r="J39" s="430">
        <v>25.4</v>
      </c>
      <c r="K39" s="430">
        <v>29.5</v>
      </c>
      <c r="L39" s="430">
        <v>27.9</v>
      </c>
      <c r="M39" s="101">
        <v>28.8</v>
      </c>
      <c r="N39" s="101">
        <v>28.3</v>
      </c>
      <c r="O39" s="101">
        <v>26.9</v>
      </c>
      <c r="P39" s="101">
        <v>29.2</v>
      </c>
      <c r="Q39" s="101">
        <v>29.2</v>
      </c>
      <c r="R39" s="102">
        <f t="shared" si="0"/>
        <v>28.979166666666661</v>
      </c>
      <c r="S39" s="103" t="s">
        <v>109</v>
      </c>
      <c r="T39" s="252" t="s">
        <v>486</v>
      </c>
      <c r="W39" s="232"/>
      <c r="X39" s="945"/>
      <c r="Y39" s="910"/>
      <c r="Z39" s="938"/>
      <c r="AA39" s="938"/>
      <c r="AB39" s="32">
        <v>7</v>
      </c>
      <c r="AC39" s="111" t="s">
        <v>487</v>
      </c>
      <c r="AD39" s="35">
        <f>R13</f>
        <v>4.2966666666666669</v>
      </c>
      <c r="AE39" s="35">
        <f>R21</f>
        <v>9.5</v>
      </c>
      <c r="AF39" s="35">
        <f>R29</f>
        <v>58.583333333333336</v>
      </c>
      <c r="AG39" s="35">
        <f>R37</f>
        <v>7.310833333333334</v>
      </c>
      <c r="AH39" s="35">
        <f>R45</f>
        <v>28.100000000000005</v>
      </c>
      <c r="AI39" s="35">
        <f>R53</f>
        <v>77.583333333333329</v>
      </c>
      <c r="AJ39" s="112">
        <f>R61</f>
        <v>14218.649145019455</v>
      </c>
      <c r="AK39" s="28">
        <f>R69</f>
        <v>0.54858333333333331</v>
      </c>
      <c r="AL39" s="28">
        <f>R77</f>
        <v>0.60599999999999998</v>
      </c>
      <c r="AM39" s="664">
        <f>R85</f>
        <v>266.66666666666669</v>
      </c>
      <c r="AN39" s="232"/>
    </row>
    <row r="40" spans="1:40" ht="30">
      <c r="A40" s="104"/>
      <c r="B40" s="933"/>
      <c r="C40" s="191">
        <v>2</v>
      </c>
      <c r="D40" s="192" t="s">
        <v>487</v>
      </c>
      <c r="E40" s="192" t="s">
        <v>485</v>
      </c>
      <c r="F40" s="196">
        <v>30</v>
      </c>
      <c r="G40" s="196">
        <v>30.6</v>
      </c>
      <c r="H40" s="196">
        <v>29.9</v>
      </c>
      <c r="I40" s="196">
        <v>32.4</v>
      </c>
      <c r="J40" s="196">
        <v>26.4</v>
      </c>
      <c r="K40" s="196">
        <v>29.5</v>
      </c>
      <c r="L40" s="196">
        <v>27.8</v>
      </c>
      <c r="M40" s="193">
        <v>28.8</v>
      </c>
      <c r="N40" s="193">
        <v>28.39</v>
      </c>
      <c r="O40" s="193">
        <v>27</v>
      </c>
      <c r="P40" s="193">
        <v>29.2</v>
      </c>
      <c r="Q40" s="193">
        <v>29.2</v>
      </c>
      <c r="R40" s="194">
        <f t="shared" si="0"/>
        <v>29.099166666666665</v>
      </c>
      <c r="S40" s="195" t="s">
        <v>109</v>
      </c>
      <c r="T40" s="252" t="s">
        <v>488</v>
      </c>
      <c r="W40" s="232"/>
      <c r="X40" s="946"/>
      <c r="Y40" s="911"/>
      <c r="Z40" s="939"/>
      <c r="AA40" s="939"/>
      <c r="AB40" s="32">
        <v>8</v>
      </c>
      <c r="AC40" s="111" t="s">
        <v>484</v>
      </c>
      <c r="AD40" s="35">
        <f>R14</f>
        <v>3.6733333333333333</v>
      </c>
      <c r="AE40" s="35">
        <f>R22</f>
        <v>8.75</v>
      </c>
      <c r="AF40" s="35">
        <f>R30</f>
        <v>98.333333333333329</v>
      </c>
      <c r="AG40" s="35">
        <f>R38</f>
        <v>7.1333333333333337</v>
      </c>
      <c r="AH40" s="35">
        <f>R46</f>
        <v>28.158333333333331</v>
      </c>
      <c r="AI40" s="35">
        <f>R54</f>
        <v>70.333333333333329</v>
      </c>
      <c r="AJ40" s="112">
        <f>R62</f>
        <v>40045.893182890679</v>
      </c>
      <c r="AK40" s="28">
        <f>R70</f>
        <v>0.75008333333333344</v>
      </c>
      <c r="AL40" s="28">
        <f>R78</f>
        <v>0.5854166666666667</v>
      </c>
      <c r="AM40" s="664">
        <f>R86</f>
        <v>228.5</v>
      </c>
      <c r="AN40" s="232"/>
    </row>
    <row r="41" spans="1:40">
      <c r="A41" s="104"/>
      <c r="B41" s="933"/>
      <c r="C41" s="191">
        <v>3</v>
      </c>
      <c r="D41" s="192" t="s">
        <v>489</v>
      </c>
      <c r="E41" s="192" t="s">
        <v>490</v>
      </c>
      <c r="F41" s="193">
        <v>30.5</v>
      </c>
      <c r="G41" s="193">
        <v>28.6</v>
      </c>
      <c r="H41" s="193">
        <v>29.7</v>
      </c>
      <c r="I41" s="193">
        <v>32.1</v>
      </c>
      <c r="J41" s="193">
        <v>27</v>
      </c>
      <c r="K41" s="193">
        <v>29.3</v>
      </c>
      <c r="L41" s="193">
        <v>28.7</v>
      </c>
      <c r="M41" s="193">
        <v>28.7</v>
      </c>
      <c r="N41" s="193">
        <v>29.7</v>
      </c>
      <c r="O41" s="193">
        <v>27.1</v>
      </c>
      <c r="P41" s="193">
        <v>29.1</v>
      </c>
      <c r="Q41" s="193">
        <v>29.1</v>
      </c>
      <c r="R41" s="194">
        <f t="shared" si="0"/>
        <v>29.13333333333334</v>
      </c>
      <c r="S41" s="195" t="s">
        <v>109</v>
      </c>
      <c r="T41" s="252" t="s">
        <v>491</v>
      </c>
      <c r="W41" s="232"/>
      <c r="X41" s="1190"/>
      <c r="Y41" s="1180"/>
      <c r="Z41" s="1177"/>
      <c r="AA41" s="1177"/>
      <c r="AB41" s="1177"/>
      <c r="AC41" s="1177"/>
      <c r="AD41" s="1177"/>
      <c r="AE41" s="1177"/>
      <c r="AF41" s="1177"/>
      <c r="AG41" s="1177"/>
      <c r="AH41" s="1177"/>
      <c r="AI41" s="1177"/>
      <c r="AJ41" s="1177"/>
      <c r="AK41" s="1177"/>
      <c r="AL41" s="1177"/>
      <c r="AM41" s="1191"/>
      <c r="AN41" s="232"/>
    </row>
    <row r="42" spans="1:40">
      <c r="A42" s="104"/>
      <c r="B42" s="933"/>
      <c r="C42" s="191">
        <v>4</v>
      </c>
      <c r="D42" s="192" t="s">
        <v>492</v>
      </c>
      <c r="E42" s="192" t="s">
        <v>493</v>
      </c>
      <c r="F42" s="193">
        <v>30.1</v>
      </c>
      <c r="G42" s="193">
        <v>28</v>
      </c>
      <c r="H42" s="193">
        <v>29.6</v>
      </c>
      <c r="I42" s="193">
        <v>31.8</v>
      </c>
      <c r="J42" s="193">
        <v>26</v>
      </c>
      <c r="K42" s="193">
        <v>29.1</v>
      </c>
      <c r="L42" s="193">
        <v>29.5</v>
      </c>
      <c r="M42" s="193">
        <v>28.7</v>
      </c>
      <c r="N42" s="193">
        <v>29.9</v>
      </c>
      <c r="O42" s="193">
        <v>27.1</v>
      </c>
      <c r="P42" s="193">
        <v>28.5</v>
      </c>
      <c r="Q42" s="193">
        <v>28.5</v>
      </c>
      <c r="R42" s="194">
        <f t="shared" si="0"/>
        <v>28.900000000000002</v>
      </c>
      <c r="S42" s="195" t="s">
        <v>109</v>
      </c>
      <c r="T42" s="252" t="s">
        <v>494</v>
      </c>
      <c r="W42" s="232"/>
      <c r="X42" s="657" t="s">
        <v>93</v>
      </c>
      <c r="Y42" s="291"/>
      <c r="Z42" s="1167"/>
      <c r="AA42" s="1160"/>
      <c r="AB42" s="1160"/>
      <c r="AC42" s="1181"/>
      <c r="AD42" s="35">
        <f t="shared" ref="AD42:AM42" si="4">AVERAGE(AD33:AD40)</f>
        <v>3.2959375</v>
      </c>
      <c r="AE42" s="35">
        <f t="shared" si="4"/>
        <v>14.270833333333334</v>
      </c>
      <c r="AF42" s="35">
        <f t="shared" si="4"/>
        <v>64.416666666666671</v>
      </c>
      <c r="AG42" s="35">
        <f t="shared" si="4"/>
        <v>7.290729166666666</v>
      </c>
      <c r="AH42" s="35">
        <f t="shared" si="4"/>
        <v>28.661979166666665</v>
      </c>
      <c r="AI42" s="35">
        <f t="shared" si="4"/>
        <v>37.75</v>
      </c>
      <c r="AJ42" s="112">
        <f t="shared" si="4"/>
        <v>603727.99730212125</v>
      </c>
      <c r="AK42" s="28">
        <f t="shared" si="4"/>
        <v>0.63994791666666662</v>
      </c>
      <c r="AL42" s="28">
        <f t="shared" si="4"/>
        <v>0.85636458333333332</v>
      </c>
      <c r="AM42" s="664">
        <f t="shared" si="4"/>
        <v>139.03125</v>
      </c>
      <c r="AN42" s="232"/>
    </row>
    <row r="43" spans="1:40">
      <c r="A43" s="104"/>
      <c r="B43" s="933"/>
      <c r="C43" s="191">
        <v>5</v>
      </c>
      <c r="D43" s="192" t="s">
        <v>495</v>
      </c>
      <c r="E43" s="192" t="s">
        <v>496</v>
      </c>
      <c r="F43" s="193">
        <v>28.8</v>
      </c>
      <c r="G43" s="193">
        <v>27.68</v>
      </c>
      <c r="H43" s="193">
        <v>28.4</v>
      </c>
      <c r="I43" s="193">
        <v>31.5</v>
      </c>
      <c r="J43" s="193">
        <v>26.7</v>
      </c>
      <c r="K43" s="193">
        <v>29</v>
      </c>
      <c r="L43" s="193">
        <v>27.9</v>
      </c>
      <c r="M43" s="193">
        <v>28.9</v>
      </c>
      <c r="N43" s="193">
        <v>28.3</v>
      </c>
      <c r="O43" s="193">
        <v>27.7</v>
      </c>
      <c r="P43" s="193">
        <v>28.1</v>
      </c>
      <c r="Q43" s="193">
        <v>29.9</v>
      </c>
      <c r="R43" s="194">
        <f t="shared" si="0"/>
        <v>28.573333333333334</v>
      </c>
      <c r="S43" s="195" t="s">
        <v>109</v>
      </c>
      <c r="T43" s="252" t="s">
        <v>497</v>
      </c>
      <c r="W43" s="232"/>
      <c r="X43" s="657" t="s">
        <v>94</v>
      </c>
      <c r="Y43" s="293"/>
      <c r="Z43" s="1182"/>
      <c r="AA43" s="1192"/>
      <c r="AB43" s="1192"/>
      <c r="AC43" s="1183"/>
      <c r="AD43" s="35">
        <f t="shared" ref="AD43:AM43" si="5">MIN(AD33:AD40)</f>
        <v>1.8916666666666668</v>
      </c>
      <c r="AE43" s="35">
        <f t="shared" si="5"/>
        <v>7</v>
      </c>
      <c r="AF43" s="35">
        <f t="shared" si="5"/>
        <v>24.416666666666668</v>
      </c>
      <c r="AG43" s="35">
        <f t="shared" si="5"/>
        <v>7.1333333333333337</v>
      </c>
      <c r="AH43" s="35">
        <f t="shared" si="5"/>
        <v>28.100000000000005</v>
      </c>
      <c r="AI43" s="35">
        <f t="shared" si="5"/>
        <v>13.75</v>
      </c>
      <c r="AJ43" s="112">
        <f t="shared" si="5"/>
        <v>14218.649145019455</v>
      </c>
      <c r="AK43" s="28">
        <f t="shared" si="5"/>
        <v>0.25516666666666671</v>
      </c>
      <c r="AL43" s="28">
        <f t="shared" si="5"/>
        <v>0.5854166666666667</v>
      </c>
      <c r="AM43" s="664">
        <f t="shared" si="5"/>
        <v>73.166666666666671</v>
      </c>
      <c r="AN43" s="232"/>
    </row>
    <row r="44" spans="1:40">
      <c r="A44" s="104"/>
      <c r="B44" s="933"/>
      <c r="C44" s="191">
        <v>6</v>
      </c>
      <c r="D44" s="192" t="s">
        <v>502</v>
      </c>
      <c r="E44" s="192" t="s">
        <v>503</v>
      </c>
      <c r="F44" s="193">
        <v>28.4</v>
      </c>
      <c r="G44" s="193">
        <v>27.6</v>
      </c>
      <c r="H44" s="193">
        <v>29</v>
      </c>
      <c r="I44" s="193">
        <v>31.5</v>
      </c>
      <c r="J44" s="193">
        <v>25.43</v>
      </c>
      <c r="K44" s="193">
        <v>28.9</v>
      </c>
      <c r="L44" s="193">
        <v>28.1</v>
      </c>
      <c r="M44" s="193">
        <v>28</v>
      </c>
      <c r="N44" s="193">
        <v>29.4</v>
      </c>
      <c r="O44" s="193">
        <v>27.6</v>
      </c>
      <c r="P44" s="193">
        <v>27.8</v>
      </c>
      <c r="Q44" s="193">
        <v>28.5</v>
      </c>
      <c r="R44" s="194">
        <f t="shared" si="0"/>
        <v>28.352500000000003</v>
      </c>
      <c r="S44" s="195" t="s">
        <v>109</v>
      </c>
      <c r="T44" s="252" t="s">
        <v>504</v>
      </c>
      <c r="W44" s="232"/>
      <c r="X44" s="657" t="s">
        <v>95</v>
      </c>
      <c r="Y44" s="293"/>
      <c r="Z44" s="1182"/>
      <c r="AA44" s="1192"/>
      <c r="AB44" s="1192"/>
      <c r="AC44" s="1183"/>
      <c r="AD44" s="35">
        <f t="shared" ref="AD44:AM44" si="6">MAX(AD33:AD40)</f>
        <v>4.472500000000001</v>
      </c>
      <c r="AE44" s="35">
        <f t="shared" si="6"/>
        <v>32.25</v>
      </c>
      <c r="AF44" s="35">
        <f t="shared" si="6"/>
        <v>109.58333333333333</v>
      </c>
      <c r="AG44" s="35">
        <f t="shared" si="6"/>
        <v>7.418333333333333</v>
      </c>
      <c r="AH44" s="35">
        <f t="shared" si="6"/>
        <v>29.13333333333334</v>
      </c>
      <c r="AI44" s="35">
        <f t="shared" si="6"/>
        <v>77.583333333333329</v>
      </c>
      <c r="AJ44" s="112">
        <f t="shared" si="6"/>
        <v>1992562.0264130638</v>
      </c>
      <c r="AK44" s="28">
        <f t="shared" si="6"/>
        <v>1.1364166666666666</v>
      </c>
      <c r="AL44" s="28">
        <f t="shared" si="6"/>
        <v>1.5130000000000001</v>
      </c>
      <c r="AM44" s="664">
        <f t="shared" si="6"/>
        <v>266.66666666666669</v>
      </c>
      <c r="AN44" s="232"/>
    </row>
    <row r="45" spans="1:40">
      <c r="A45" s="104"/>
      <c r="B45" s="933"/>
      <c r="C45" s="191">
        <v>7</v>
      </c>
      <c r="D45" s="192" t="s">
        <v>505</v>
      </c>
      <c r="E45" s="192" t="s">
        <v>506</v>
      </c>
      <c r="F45" s="193">
        <v>29</v>
      </c>
      <c r="G45" s="193">
        <v>27.9</v>
      </c>
      <c r="H45" s="193">
        <v>28.5</v>
      </c>
      <c r="I45" s="193">
        <v>31.3</v>
      </c>
      <c r="J45" s="193">
        <v>25.9</v>
      </c>
      <c r="K45" s="193">
        <v>28.6</v>
      </c>
      <c r="L45" s="193">
        <v>27.1</v>
      </c>
      <c r="M45" s="196">
        <v>28</v>
      </c>
      <c r="N45" s="196">
        <v>27.2</v>
      </c>
      <c r="O45" s="196">
        <v>27.5</v>
      </c>
      <c r="P45" s="196">
        <v>28.1</v>
      </c>
      <c r="Q45" s="196">
        <v>28.1</v>
      </c>
      <c r="R45" s="194">
        <f t="shared" si="0"/>
        <v>28.100000000000005</v>
      </c>
      <c r="S45" s="195" t="s">
        <v>109</v>
      </c>
      <c r="T45" s="252" t="s">
        <v>507</v>
      </c>
      <c r="W45" s="232"/>
      <c r="X45" s="660" t="s">
        <v>96</v>
      </c>
      <c r="Y45" s="666"/>
      <c r="Z45" s="1193"/>
      <c r="AA45" s="1194"/>
      <c r="AB45" s="1194"/>
      <c r="AC45" s="1195"/>
      <c r="AD45" s="661" t="s">
        <v>97</v>
      </c>
      <c r="AE45" s="661" t="s">
        <v>98</v>
      </c>
      <c r="AF45" s="661" t="s">
        <v>99</v>
      </c>
      <c r="AG45" s="661" t="s">
        <v>100</v>
      </c>
      <c r="AH45" s="661" t="s">
        <v>101</v>
      </c>
      <c r="AI45" s="661" t="s">
        <v>102</v>
      </c>
      <c r="AJ45" s="661" t="s">
        <v>103</v>
      </c>
      <c r="AK45" s="661" t="s">
        <v>98</v>
      </c>
      <c r="AL45" s="661" t="s">
        <v>104</v>
      </c>
      <c r="AM45" s="662" t="s">
        <v>105</v>
      </c>
      <c r="AN45" s="232"/>
    </row>
    <row r="46" spans="1:40">
      <c r="A46" s="104"/>
      <c r="B46" s="934"/>
      <c r="C46" s="191">
        <v>8</v>
      </c>
      <c r="D46" s="428" t="s">
        <v>501</v>
      </c>
      <c r="E46" s="192" t="s">
        <v>506</v>
      </c>
      <c r="F46" s="193">
        <v>29.2</v>
      </c>
      <c r="G46" s="193">
        <v>27.6</v>
      </c>
      <c r="H46" s="193">
        <v>28.1</v>
      </c>
      <c r="I46" s="193">
        <v>31.2</v>
      </c>
      <c r="J46" s="193">
        <v>26.5</v>
      </c>
      <c r="K46" s="193">
        <v>28.6</v>
      </c>
      <c r="L46" s="193">
        <v>26.9</v>
      </c>
      <c r="M46" s="196">
        <v>28.1</v>
      </c>
      <c r="N46" s="196">
        <v>27.1</v>
      </c>
      <c r="O46" s="196">
        <v>27.5</v>
      </c>
      <c r="P46" s="196">
        <v>28.9</v>
      </c>
      <c r="Q46" s="196">
        <v>28.2</v>
      </c>
      <c r="R46" s="194">
        <f t="shared" si="0"/>
        <v>28.158333333333331</v>
      </c>
      <c r="S46" s="194" t="s">
        <v>109</v>
      </c>
      <c r="T46" s="252" t="s">
        <v>508</v>
      </c>
      <c r="X46" s="232"/>
      <c r="Y46" s="232"/>
      <c r="Z46" s="232"/>
      <c r="AA46" s="232"/>
      <c r="AB46" s="232"/>
      <c r="AC46" s="232"/>
      <c r="AD46" s="232"/>
      <c r="AE46" s="232"/>
      <c r="AF46" s="232"/>
      <c r="AG46" s="232"/>
      <c r="AH46" s="232"/>
      <c r="AI46" s="232"/>
      <c r="AJ46" s="232"/>
      <c r="AK46" s="232"/>
      <c r="AL46" s="232"/>
      <c r="AM46" s="232"/>
    </row>
    <row r="47" spans="1:40">
      <c r="A47" s="104"/>
      <c r="B47" s="895" t="s">
        <v>110</v>
      </c>
      <c r="C47" s="190">
        <v>1</v>
      </c>
      <c r="D47" s="429" t="s">
        <v>484</v>
      </c>
      <c r="E47" s="100" t="s">
        <v>485</v>
      </c>
      <c r="F47" s="430">
        <v>15</v>
      </c>
      <c r="G47" s="430">
        <v>15</v>
      </c>
      <c r="H47" s="430">
        <v>15</v>
      </c>
      <c r="I47" s="430">
        <v>15</v>
      </c>
      <c r="J47" s="430">
        <v>10</v>
      </c>
      <c r="K47" s="430">
        <v>10</v>
      </c>
      <c r="L47" s="430">
        <v>15</v>
      </c>
      <c r="M47" s="101">
        <v>10</v>
      </c>
      <c r="N47" s="101">
        <v>15</v>
      </c>
      <c r="O47" s="101">
        <v>10</v>
      </c>
      <c r="P47" s="101">
        <v>30</v>
      </c>
      <c r="Q47" s="101">
        <v>10</v>
      </c>
      <c r="R47" s="102">
        <f t="shared" si="0"/>
        <v>14.166666666666666</v>
      </c>
      <c r="S47" s="103">
        <v>75</v>
      </c>
      <c r="T47" s="252" t="s">
        <v>486</v>
      </c>
    </row>
    <row r="48" spans="1:40">
      <c r="A48" s="104"/>
      <c r="B48" s="896"/>
      <c r="C48" s="191">
        <v>2</v>
      </c>
      <c r="D48" s="192" t="s">
        <v>487</v>
      </c>
      <c r="E48" s="192" t="s">
        <v>485</v>
      </c>
      <c r="F48" s="196">
        <v>15</v>
      </c>
      <c r="G48" s="196">
        <v>15</v>
      </c>
      <c r="H48" s="196">
        <v>15</v>
      </c>
      <c r="I48" s="196">
        <v>15</v>
      </c>
      <c r="J48" s="196">
        <v>10</v>
      </c>
      <c r="K48" s="196">
        <v>10</v>
      </c>
      <c r="L48" s="196">
        <v>15</v>
      </c>
      <c r="M48" s="193">
        <v>15</v>
      </c>
      <c r="N48" s="193">
        <v>15</v>
      </c>
      <c r="O48" s="193">
        <v>10</v>
      </c>
      <c r="P48" s="193">
        <v>20</v>
      </c>
      <c r="Q48" s="193">
        <v>15</v>
      </c>
      <c r="R48" s="194">
        <f t="shared" si="0"/>
        <v>14.166666666666666</v>
      </c>
      <c r="S48" s="195">
        <v>75</v>
      </c>
      <c r="T48" s="252" t="s">
        <v>488</v>
      </c>
    </row>
    <row r="49" spans="1:20">
      <c r="A49" s="104"/>
      <c r="B49" s="896"/>
      <c r="C49" s="191">
        <v>3</v>
      </c>
      <c r="D49" s="192" t="s">
        <v>489</v>
      </c>
      <c r="E49" s="192" t="s">
        <v>490</v>
      </c>
      <c r="F49" s="193">
        <v>15</v>
      </c>
      <c r="G49" s="193">
        <v>5</v>
      </c>
      <c r="H49" s="193">
        <v>15</v>
      </c>
      <c r="I49" s="193">
        <v>15</v>
      </c>
      <c r="J49" s="193">
        <v>10</v>
      </c>
      <c r="K49" s="193">
        <v>10</v>
      </c>
      <c r="L49" s="193">
        <v>15</v>
      </c>
      <c r="M49" s="193">
        <v>20</v>
      </c>
      <c r="N49" s="193">
        <v>15</v>
      </c>
      <c r="O49" s="193">
        <v>10</v>
      </c>
      <c r="P49" s="193">
        <v>20</v>
      </c>
      <c r="Q49" s="193">
        <v>15</v>
      </c>
      <c r="R49" s="194">
        <f t="shared" si="0"/>
        <v>13.75</v>
      </c>
      <c r="S49" s="195">
        <v>75</v>
      </c>
      <c r="T49" s="252" t="s">
        <v>491</v>
      </c>
    </row>
    <row r="50" spans="1:20">
      <c r="A50" s="104"/>
      <c r="B50" s="896"/>
      <c r="C50" s="191">
        <v>4</v>
      </c>
      <c r="D50" s="192" t="s">
        <v>492</v>
      </c>
      <c r="E50" s="192" t="s">
        <v>493</v>
      </c>
      <c r="F50" s="193">
        <v>30</v>
      </c>
      <c r="G50" s="193">
        <v>25</v>
      </c>
      <c r="H50" s="193">
        <v>25</v>
      </c>
      <c r="I50" s="193">
        <v>30</v>
      </c>
      <c r="J50" s="193">
        <v>25</v>
      </c>
      <c r="K50" s="193">
        <v>40</v>
      </c>
      <c r="L50" s="193">
        <v>50</v>
      </c>
      <c r="M50" s="193">
        <v>45</v>
      </c>
      <c r="N50" s="193">
        <v>29</v>
      </c>
      <c r="O50" s="193">
        <v>30</v>
      </c>
      <c r="P50" s="193">
        <v>30</v>
      </c>
      <c r="Q50" s="193">
        <v>30</v>
      </c>
      <c r="R50" s="194">
        <f t="shared" si="0"/>
        <v>32.416666666666664</v>
      </c>
      <c r="S50" s="195">
        <v>75</v>
      </c>
      <c r="T50" s="252" t="s">
        <v>494</v>
      </c>
    </row>
    <row r="51" spans="1:20">
      <c r="A51" s="104"/>
      <c r="B51" s="896"/>
      <c r="C51" s="191">
        <v>5</v>
      </c>
      <c r="D51" s="192" t="s">
        <v>495</v>
      </c>
      <c r="E51" s="192" t="s">
        <v>496</v>
      </c>
      <c r="F51" s="193">
        <v>30</v>
      </c>
      <c r="G51" s="193">
        <v>30</v>
      </c>
      <c r="H51" s="193">
        <v>40</v>
      </c>
      <c r="I51" s="193">
        <v>30</v>
      </c>
      <c r="J51" s="193">
        <v>35</v>
      </c>
      <c r="K51" s="193">
        <v>40</v>
      </c>
      <c r="L51" s="193">
        <v>65</v>
      </c>
      <c r="M51" s="193">
        <v>60</v>
      </c>
      <c r="N51" s="193">
        <v>31</v>
      </c>
      <c r="O51" s="193">
        <v>30</v>
      </c>
      <c r="P51" s="193">
        <v>30</v>
      </c>
      <c r="Q51" s="193">
        <v>30</v>
      </c>
      <c r="R51" s="194">
        <f t="shared" si="0"/>
        <v>37.583333333333336</v>
      </c>
      <c r="S51" s="195">
        <v>75</v>
      </c>
      <c r="T51" s="252" t="s">
        <v>497</v>
      </c>
    </row>
    <row r="52" spans="1:20">
      <c r="A52" s="104"/>
      <c r="B52" s="896"/>
      <c r="C52" s="191">
        <v>6</v>
      </c>
      <c r="D52" s="192" t="s">
        <v>502</v>
      </c>
      <c r="E52" s="192" t="s">
        <v>503</v>
      </c>
      <c r="F52" s="193">
        <v>40</v>
      </c>
      <c r="G52" s="193">
        <v>30</v>
      </c>
      <c r="H52" s="193">
        <v>30</v>
      </c>
      <c r="I52" s="193">
        <v>30</v>
      </c>
      <c r="J52" s="193">
        <v>30</v>
      </c>
      <c r="K52" s="193">
        <v>40</v>
      </c>
      <c r="L52" s="193">
        <v>50</v>
      </c>
      <c r="M52" s="193">
        <v>35</v>
      </c>
      <c r="N52" s="193">
        <v>129</v>
      </c>
      <c r="O52" s="193">
        <v>30</v>
      </c>
      <c r="P52" s="193">
        <v>30</v>
      </c>
      <c r="Q52" s="193">
        <v>30</v>
      </c>
      <c r="R52" s="194">
        <f t="shared" si="0"/>
        <v>42</v>
      </c>
      <c r="S52" s="195">
        <v>75</v>
      </c>
      <c r="T52" s="252" t="s">
        <v>504</v>
      </c>
    </row>
    <row r="53" spans="1:20">
      <c r="A53" s="104"/>
      <c r="B53" s="896"/>
      <c r="C53" s="191">
        <v>7</v>
      </c>
      <c r="D53" s="192" t="s">
        <v>505</v>
      </c>
      <c r="E53" s="192" t="s">
        <v>506</v>
      </c>
      <c r="F53" s="193">
        <v>40</v>
      </c>
      <c r="G53" s="193">
        <v>30</v>
      </c>
      <c r="H53" s="193">
        <v>40</v>
      </c>
      <c r="I53" s="193">
        <v>25</v>
      </c>
      <c r="J53" s="193">
        <v>35</v>
      </c>
      <c r="K53" s="193">
        <v>40</v>
      </c>
      <c r="L53" s="193">
        <v>35</v>
      </c>
      <c r="M53" s="196">
        <v>35</v>
      </c>
      <c r="N53" s="196">
        <v>566</v>
      </c>
      <c r="O53" s="196">
        <v>25</v>
      </c>
      <c r="P53" s="196">
        <v>30</v>
      </c>
      <c r="Q53" s="196">
        <v>30</v>
      </c>
      <c r="R53" s="194">
        <f t="shared" si="0"/>
        <v>77.583333333333329</v>
      </c>
      <c r="S53" s="195">
        <v>75</v>
      </c>
      <c r="T53" s="252" t="s">
        <v>507</v>
      </c>
    </row>
    <row r="54" spans="1:20">
      <c r="A54" s="104"/>
      <c r="B54" s="897"/>
      <c r="C54" s="191">
        <v>8</v>
      </c>
      <c r="D54" s="428" t="s">
        <v>501</v>
      </c>
      <c r="E54" s="192" t="s">
        <v>506</v>
      </c>
      <c r="F54" s="193">
        <v>25</v>
      </c>
      <c r="G54" s="193">
        <v>25</v>
      </c>
      <c r="H54" s="193">
        <v>15</v>
      </c>
      <c r="I54" s="193">
        <v>20</v>
      </c>
      <c r="J54" s="193">
        <v>30</v>
      </c>
      <c r="K54" s="193">
        <v>40</v>
      </c>
      <c r="L54" s="193">
        <v>35</v>
      </c>
      <c r="M54" s="196">
        <v>30</v>
      </c>
      <c r="N54" s="196">
        <v>564</v>
      </c>
      <c r="O54" s="196">
        <v>25</v>
      </c>
      <c r="P54" s="196">
        <v>20</v>
      </c>
      <c r="Q54" s="196">
        <v>15</v>
      </c>
      <c r="R54" s="194">
        <f t="shared" si="0"/>
        <v>70.333333333333329</v>
      </c>
      <c r="S54" s="195">
        <v>75</v>
      </c>
      <c r="T54" s="252" t="s">
        <v>508</v>
      </c>
    </row>
    <row r="55" spans="1:20" ht="27.75" customHeight="1">
      <c r="A55" s="104"/>
      <c r="B55" s="895" t="s">
        <v>111</v>
      </c>
      <c r="C55" s="190">
        <v>1</v>
      </c>
      <c r="D55" s="429" t="s">
        <v>484</v>
      </c>
      <c r="E55" s="430" t="s">
        <v>485</v>
      </c>
      <c r="F55" s="431">
        <v>9200000</v>
      </c>
      <c r="G55" s="432">
        <v>1300000</v>
      </c>
      <c r="H55" s="432">
        <v>230000</v>
      </c>
      <c r="I55" s="432">
        <v>2200000</v>
      </c>
      <c r="J55" s="432">
        <v>1300000</v>
      </c>
      <c r="K55" s="432">
        <v>5400000</v>
      </c>
      <c r="L55" s="432">
        <v>35000000</v>
      </c>
      <c r="M55" s="601">
        <v>3500000</v>
      </c>
      <c r="N55" s="601">
        <v>160000</v>
      </c>
      <c r="O55" s="101">
        <v>1600000</v>
      </c>
      <c r="P55" s="101">
        <v>840000</v>
      </c>
      <c r="Q55" s="101">
        <v>3500000</v>
      </c>
      <c r="R55" s="599">
        <f t="shared" ref="R55:R62" si="7">IFERROR(GEOMEAN(F55:Q55), "")</f>
        <v>1992562.0264130638</v>
      </c>
      <c r="S55" s="103">
        <v>200</v>
      </c>
      <c r="T55" s="252" t="s">
        <v>486</v>
      </c>
    </row>
    <row r="56" spans="1:20" ht="27.75" customHeight="1">
      <c r="A56" s="104"/>
      <c r="B56" s="896"/>
      <c r="C56" s="191">
        <v>2</v>
      </c>
      <c r="D56" s="192" t="s">
        <v>487</v>
      </c>
      <c r="E56" s="196" t="s">
        <v>485</v>
      </c>
      <c r="F56" s="197">
        <v>5400000</v>
      </c>
      <c r="G56" s="198">
        <v>1600000</v>
      </c>
      <c r="H56" s="198">
        <v>700000</v>
      </c>
      <c r="I56" s="198">
        <v>140000</v>
      </c>
      <c r="J56" s="198">
        <v>1600000</v>
      </c>
      <c r="K56" s="198">
        <v>1700000</v>
      </c>
      <c r="L56" s="198">
        <v>3500</v>
      </c>
      <c r="M56" s="197">
        <v>490000</v>
      </c>
      <c r="N56" s="197">
        <v>54000</v>
      </c>
      <c r="O56" s="193">
        <v>1700000</v>
      </c>
      <c r="P56" s="193">
        <v>1300000</v>
      </c>
      <c r="Q56" s="193">
        <v>1300000</v>
      </c>
      <c r="R56" s="600">
        <f t="shared" si="7"/>
        <v>539852.58595495939</v>
      </c>
      <c r="S56" s="195">
        <v>200</v>
      </c>
      <c r="T56" s="252" t="s">
        <v>488</v>
      </c>
    </row>
    <row r="57" spans="1:20" ht="27.75" customHeight="1">
      <c r="A57" s="104"/>
      <c r="B57" s="896"/>
      <c r="C57" s="191">
        <v>3</v>
      </c>
      <c r="D57" s="192" t="s">
        <v>489</v>
      </c>
      <c r="E57" s="193" t="s">
        <v>490</v>
      </c>
      <c r="F57" s="197">
        <v>49000</v>
      </c>
      <c r="G57" s="197">
        <v>33000</v>
      </c>
      <c r="H57" s="197">
        <v>8300</v>
      </c>
      <c r="I57" s="197">
        <v>70000</v>
      </c>
      <c r="J57" s="197">
        <v>49000</v>
      </c>
      <c r="K57" s="197">
        <v>230000</v>
      </c>
      <c r="L57" s="197">
        <v>79000</v>
      </c>
      <c r="M57" s="197">
        <v>1300000</v>
      </c>
      <c r="N57" s="197">
        <v>13000</v>
      </c>
      <c r="O57" s="193">
        <v>140000</v>
      </c>
      <c r="P57" s="193">
        <v>540000</v>
      </c>
      <c r="Q57" s="193">
        <v>230000</v>
      </c>
      <c r="R57" s="600">
        <f t="shared" si="7"/>
        <v>88964.03206922565</v>
      </c>
      <c r="S57" s="195">
        <v>200</v>
      </c>
      <c r="T57" s="252" t="s">
        <v>491</v>
      </c>
    </row>
    <row r="58" spans="1:20" ht="27.75" customHeight="1">
      <c r="A58" s="104"/>
      <c r="B58" s="896"/>
      <c r="C58" s="191">
        <v>4</v>
      </c>
      <c r="D58" s="192" t="s">
        <v>492</v>
      </c>
      <c r="E58" s="193"/>
      <c r="F58" s="197">
        <v>790000</v>
      </c>
      <c r="G58" s="197">
        <v>9200000</v>
      </c>
      <c r="H58" s="197">
        <v>49000</v>
      </c>
      <c r="I58" s="197">
        <v>9200000</v>
      </c>
      <c r="J58" s="197">
        <v>2800000</v>
      </c>
      <c r="K58" s="197">
        <v>3500000</v>
      </c>
      <c r="L58" s="197">
        <v>7000000</v>
      </c>
      <c r="M58" s="197" t="s">
        <v>509</v>
      </c>
      <c r="N58" s="197">
        <v>2400000</v>
      </c>
      <c r="O58" s="193">
        <v>790000</v>
      </c>
      <c r="P58" s="193">
        <v>2400000</v>
      </c>
      <c r="Q58" s="193">
        <v>1100000</v>
      </c>
      <c r="R58" s="600">
        <f t="shared" si="7"/>
        <v>1893994.2434604866</v>
      </c>
      <c r="S58" s="195">
        <v>200</v>
      </c>
      <c r="T58" s="252" t="s">
        <v>494</v>
      </c>
    </row>
    <row r="59" spans="1:20" ht="27.75" customHeight="1">
      <c r="A59" s="104"/>
      <c r="B59" s="896"/>
      <c r="C59" s="191">
        <v>5</v>
      </c>
      <c r="D59" s="192" t="s">
        <v>495</v>
      </c>
      <c r="E59" s="193" t="s">
        <v>496</v>
      </c>
      <c r="F59" s="197">
        <v>540000</v>
      </c>
      <c r="G59" s="197">
        <v>92000</v>
      </c>
      <c r="H59" s="197">
        <v>24000</v>
      </c>
      <c r="I59" s="197">
        <v>9300</v>
      </c>
      <c r="J59" s="197">
        <v>35000</v>
      </c>
      <c r="K59" s="197">
        <v>540000</v>
      </c>
      <c r="L59" s="197">
        <v>920000</v>
      </c>
      <c r="M59" s="197" t="s">
        <v>510</v>
      </c>
      <c r="N59" s="197">
        <v>1600000</v>
      </c>
      <c r="O59" s="193">
        <v>1300000</v>
      </c>
      <c r="P59" s="193">
        <v>35000</v>
      </c>
      <c r="Q59" s="193">
        <v>1600000</v>
      </c>
      <c r="R59" s="600">
        <f t="shared" si="7"/>
        <v>201683.61428326473</v>
      </c>
      <c r="S59" s="195">
        <v>200</v>
      </c>
      <c r="T59" s="252" t="s">
        <v>497</v>
      </c>
    </row>
    <row r="60" spans="1:20" ht="27.75" customHeight="1">
      <c r="A60" s="104"/>
      <c r="B60" s="896"/>
      <c r="C60" s="191">
        <v>6</v>
      </c>
      <c r="D60" s="192" t="s">
        <v>502</v>
      </c>
      <c r="E60" s="193" t="s">
        <v>503</v>
      </c>
      <c r="F60" s="197">
        <v>170000</v>
      </c>
      <c r="G60" s="197">
        <v>160000</v>
      </c>
      <c r="H60" s="197">
        <v>2300</v>
      </c>
      <c r="I60" s="197">
        <v>24000</v>
      </c>
      <c r="J60" s="197">
        <v>17000</v>
      </c>
      <c r="K60" s="197">
        <v>92000</v>
      </c>
      <c r="L60" s="197">
        <v>92000</v>
      </c>
      <c r="M60" s="197" t="s">
        <v>510</v>
      </c>
      <c r="N60" s="197">
        <v>92000</v>
      </c>
      <c r="O60" s="193">
        <v>160000</v>
      </c>
      <c r="P60" s="193">
        <v>160000</v>
      </c>
      <c r="Q60" s="193">
        <v>54000</v>
      </c>
      <c r="R60" s="600">
        <f t="shared" si="7"/>
        <v>58502.933908060382</v>
      </c>
      <c r="S60" s="195">
        <v>200</v>
      </c>
      <c r="T60" s="252" t="s">
        <v>504</v>
      </c>
    </row>
    <row r="61" spans="1:20" ht="27.75" customHeight="1">
      <c r="A61" s="104"/>
      <c r="B61" s="896"/>
      <c r="C61" s="191">
        <v>7</v>
      </c>
      <c r="D61" s="192" t="s">
        <v>505</v>
      </c>
      <c r="E61" s="193" t="s">
        <v>506</v>
      </c>
      <c r="F61" s="197">
        <v>11000</v>
      </c>
      <c r="G61" s="197">
        <v>4900</v>
      </c>
      <c r="H61" s="197">
        <v>54000</v>
      </c>
      <c r="I61" s="197">
        <v>14000</v>
      </c>
      <c r="J61" s="197">
        <v>11000</v>
      </c>
      <c r="K61" s="197">
        <v>54000</v>
      </c>
      <c r="L61" s="197">
        <v>11000</v>
      </c>
      <c r="M61" s="198" t="s">
        <v>511</v>
      </c>
      <c r="N61" s="198">
        <v>17000</v>
      </c>
      <c r="O61" s="196">
        <v>7900</v>
      </c>
      <c r="P61" s="196">
        <v>7900</v>
      </c>
      <c r="Q61" s="196">
        <v>17000</v>
      </c>
      <c r="R61" s="600">
        <f t="shared" si="7"/>
        <v>14218.649145019455</v>
      </c>
      <c r="S61" s="195">
        <v>200</v>
      </c>
      <c r="T61" s="252" t="s">
        <v>507</v>
      </c>
    </row>
    <row r="62" spans="1:20" ht="27.75" customHeight="1">
      <c r="A62" s="104"/>
      <c r="B62" s="897"/>
      <c r="C62" s="191">
        <v>8</v>
      </c>
      <c r="D62" s="428" t="s">
        <v>501</v>
      </c>
      <c r="E62" s="193" t="s">
        <v>506</v>
      </c>
      <c r="F62" s="197">
        <v>350000</v>
      </c>
      <c r="G62" s="197">
        <v>240000</v>
      </c>
      <c r="H62" s="197">
        <v>24000</v>
      </c>
      <c r="I62" s="197">
        <v>17000</v>
      </c>
      <c r="J62" s="197">
        <v>4900</v>
      </c>
      <c r="K62" s="197">
        <v>35000</v>
      </c>
      <c r="L62" s="197">
        <v>54000</v>
      </c>
      <c r="M62" s="198" t="s">
        <v>510</v>
      </c>
      <c r="N62" s="198">
        <v>7900</v>
      </c>
      <c r="O62" s="196">
        <v>220000</v>
      </c>
      <c r="P62" s="196">
        <v>35000</v>
      </c>
      <c r="Q62" s="196">
        <v>22000</v>
      </c>
      <c r="R62" s="600">
        <f t="shared" si="7"/>
        <v>40045.893182890679</v>
      </c>
      <c r="S62" s="195">
        <v>200</v>
      </c>
      <c r="T62" s="252" t="s">
        <v>508</v>
      </c>
    </row>
    <row r="63" spans="1:20">
      <c r="A63" s="105"/>
      <c r="B63" s="935" t="s">
        <v>512</v>
      </c>
      <c r="C63" s="190">
        <v>1</v>
      </c>
      <c r="D63" s="429" t="s">
        <v>484</v>
      </c>
      <c r="E63" s="106" t="s">
        <v>485</v>
      </c>
      <c r="F63" s="433">
        <v>0.96399999999999997</v>
      </c>
      <c r="G63" s="433">
        <v>0.45800000000000002</v>
      </c>
      <c r="H63" s="433">
        <v>0.95199999999999996</v>
      </c>
      <c r="I63" s="433">
        <v>0.27400000000000002</v>
      </c>
      <c r="J63" s="433">
        <v>4.2999999999999997E-2</v>
      </c>
      <c r="K63" s="433">
        <v>0.61799999999999999</v>
      </c>
      <c r="L63" s="433">
        <v>0.89900000000000002</v>
      </c>
      <c r="M63" s="526">
        <v>0.59299999999999997</v>
      </c>
      <c r="N63" s="526">
        <v>1.278</v>
      </c>
      <c r="O63" s="526">
        <v>1.9730000000000001</v>
      </c>
      <c r="P63" s="526">
        <v>1.752</v>
      </c>
      <c r="Q63" s="526">
        <v>1.75</v>
      </c>
      <c r="R63" s="107">
        <f t="shared" ref="R63:R86" si="8">IFERROR(AVERAGE(F63:Q63), 0)</f>
        <v>0.96283333333333354</v>
      </c>
      <c r="S63" s="107">
        <v>7</v>
      </c>
      <c r="T63" s="252" t="s">
        <v>486</v>
      </c>
    </row>
    <row r="64" spans="1:20">
      <c r="A64" s="105"/>
      <c r="B64" s="936"/>
      <c r="C64" s="191">
        <v>2</v>
      </c>
      <c r="D64" s="192" t="s">
        <v>487</v>
      </c>
      <c r="E64" s="199" t="s">
        <v>485</v>
      </c>
      <c r="F64" s="202">
        <v>0.79100000000000004</v>
      </c>
      <c r="G64" s="202">
        <v>0.56100000000000005</v>
      </c>
      <c r="H64" s="202">
        <v>0.30599999999999999</v>
      </c>
      <c r="I64" s="202">
        <v>0.32300000000000001</v>
      </c>
      <c r="J64" s="202">
        <v>0.14199999999999999</v>
      </c>
      <c r="K64" s="202">
        <v>0.96799999999999997</v>
      </c>
      <c r="L64" s="202">
        <v>0.76</v>
      </c>
      <c r="M64" s="200">
        <v>7.8E-2</v>
      </c>
      <c r="N64" s="200">
        <v>0.88200000000000001</v>
      </c>
      <c r="O64" s="200">
        <v>1.9530000000000001</v>
      </c>
      <c r="P64" s="200">
        <v>1.782</v>
      </c>
      <c r="Q64" s="200">
        <v>1.6859999999999999</v>
      </c>
      <c r="R64" s="201">
        <f t="shared" si="8"/>
        <v>0.85266666666666657</v>
      </c>
      <c r="S64" s="201">
        <v>7</v>
      </c>
      <c r="T64" s="252" t="s">
        <v>488</v>
      </c>
    </row>
    <row r="65" spans="1:20">
      <c r="A65" s="105"/>
      <c r="B65" s="936"/>
      <c r="C65" s="191">
        <v>3</v>
      </c>
      <c r="D65" s="192" t="s">
        <v>489</v>
      </c>
      <c r="E65" s="199" t="s">
        <v>490</v>
      </c>
      <c r="F65" s="200">
        <v>0.95799999999999996</v>
      </c>
      <c r="G65" s="200">
        <v>0.504</v>
      </c>
      <c r="H65" s="200">
        <v>1.9319999999999999</v>
      </c>
      <c r="I65" s="200">
        <v>0.46700000000000003</v>
      </c>
      <c r="J65" s="200">
        <v>0.998</v>
      </c>
      <c r="K65" s="200">
        <v>0.97699999999999998</v>
      </c>
      <c r="L65" s="200">
        <v>1.0860000000000001</v>
      </c>
      <c r="M65" s="200">
        <v>0.65800000000000003</v>
      </c>
      <c r="N65" s="200">
        <v>0.79400000000000004</v>
      </c>
      <c r="O65" s="200">
        <v>1.9450000000000001</v>
      </c>
      <c r="P65" s="200">
        <v>1.446</v>
      </c>
      <c r="Q65" s="200">
        <v>1.8720000000000001</v>
      </c>
      <c r="R65" s="201">
        <f t="shared" si="8"/>
        <v>1.1364166666666666</v>
      </c>
      <c r="S65" s="201">
        <v>7</v>
      </c>
      <c r="T65" s="252" t="s">
        <v>491</v>
      </c>
    </row>
    <row r="66" spans="1:20">
      <c r="A66" s="105"/>
      <c r="B66" s="936"/>
      <c r="C66" s="191">
        <v>4</v>
      </c>
      <c r="D66" s="192" t="s">
        <v>492</v>
      </c>
      <c r="E66" s="199" t="s">
        <v>493</v>
      </c>
      <c r="F66" s="200">
        <v>0.14099999999999999</v>
      </c>
      <c r="G66" s="200">
        <v>0.189</v>
      </c>
      <c r="H66" s="200">
        <v>0.13500000000000001</v>
      </c>
      <c r="I66" s="200">
        <v>1.141</v>
      </c>
      <c r="J66" s="200">
        <v>0.21099999999999999</v>
      </c>
      <c r="K66" s="200">
        <v>6.7000000000000004E-2</v>
      </c>
      <c r="L66" s="200">
        <v>0.252</v>
      </c>
      <c r="M66" s="200">
        <v>4.2999999999999997E-2</v>
      </c>
      <c r="N66" s="200">
        <v>0.36299999999999999</v>
      </c>
      <c r="O66" s="200">
        <v>0.19700000000000001</v>
      </c>
      <c r="P66" s="200">
        <v>0.215</v>
      </c>
      <c r="Q66" s="200">
        <v>0.108</v>
      </c>
      <c r="R66" s="201">
        <f t="shared" si="8"/>
        <v>0.25516666666666671</v>
      </c>
      <c r="S66" s="201">
        <v>7</v>
      </c>
      <c r="T66" s="252" t="s">
        <v>494</v>
      </c>
    </row>
    <row r="67" spans="1:20">
      <c r="A67" s="105"/>
      <c r="B67" s="936"/>
      <c r="C67" s="191">
        <v>5</v>
      </c>
      <c r="D67" s="192" t="s">
        <v>495</v>
      </c>
      <c r="E67" s="199" t="s">
        <v>496</v>
      </c>
      <c r="F67" s="200">
        <v>0.105</v>
      </c>
      <c r="G67" s="200">
        <v>0.35799999999999998</v>
      </c>
      <c r="H67" s="200">
        <v>0.16900000000000001</v>
      </c>
      <c r="I67" s="200">
        <v>1.079</v>
      </c>
      <c r="J67" s="200">
        <v>4.2999999999999997E-2</v>
      </c>
      <c r="K67" s="200">
        <v>9.0999999999999998E-2</v>
      </c>
      <c r="L67" s="200">
        <v>7.3999999999999996E-2</v>
      </c>
      <c r="M67" s="200">
        <v>0.11899999999999999</v>
      </c>
      <c r="N67" s="200">
        <v>0.65700000000000003</v>
      </c>
      <c r="O67" s="200">
        <v>0.215</v>
      </c>
      <c r="P67" s="200">
        <v>0.187</v>
      </c>
      <c r="Q67" s="200">
        <v>0.155</v>
      </c>
      <c r="R67" s="201">
        <f t="shared" si="8"/>
        <v>0.27099999999999996</v>
      </c>
      <c r="S67" s="201">
        <v>7</v>
      </c>
      <c r="T67" s="252" t="s">
        <v>497</v>
      </c>
    </row>
    <row r="68" spans="1:20">
      <c r="A68" s="105"/>
      <c r="B68" s="936"/>
      <c r="C68" s="191">
        <v>6</v>
      </c>
      <c r="D68" s="192" t="s">
        <v>502</v>
      </c>
      <c r="E68" s="199" t="s">
        <v>503</v>
      </c>
      <c r="F68" s="200">
        <v>7.1999999999999995E-2</v>
      </c>
      <c r="G68" s="200">
        <v>0.23100000000000001</v>
      </c>
      <c r="H68" s="200">
        <v>0.29699999999999999</v>
      </c>
      <c r="I68" s="200">
        <v>0.81899999999999995</v>
      </c>
      <c r="J68" s="200">
        <v>4.2999999999999997E-2</v>
      </c>
      <c r="K68" s="200">
        <v>0.158</v>
      </c>
      <c r="L68" s="200">
        <v>0.16</v>
      </c>
      <c r="M68" s="200">
        <v>4.2999999999999997E-2</v>
      </c>
      <c r="N68" s="200">
        <v>1.3939999999999999</v>
      </c>
      <c r="O68" s="200">
        <v>0.36899999999999999</v>
      </c>
      <c r="P68" s="200">
        <v>0.189</v>
      </c>
      <c r="Q68" s="200">
        <v>0.33900000000000002</v>
      </c>
      <c r="R68" s="201">
        <f t="shared" si="8"/>
        <v>0.34283333333333332</v>
      </c>
      <c r="S68" s="201">
        <v>7</v>
      </c>
      <c r="T68" s="252" t="s">
        <v>504</v>
      </c>
    </row>
    <row r="69" spans="1:20">
      <c r="A69" s="105"/>
      <c r="B69" s="936"/>
      <c r="C69" s="191">
        <v>7</v>
      </c>
      <c r="D69" s="192" t="s">
        <v>505</v>
      </c>
      <c r="E69" s="199" t="s">
        <v>506</v>
      </c>
      <c r="F69" s="200">
        <v>0.502</v>
      </c>
      <c r="G69" s="200">
        <v>0.70199999999999996</v>
      </c>
      <c r="H69" s="200">
        <v>0.85799999999999998</v>
      </c>
      <c r="I69" s="200">
        <v>0.253</v>
      </c>
      <c r="J69" s="200">
        <v>4.2999999999999997E-2</v>
      </c>
      <c r="K69" s="200">
        <v>1.099</v>
      </c>
      <c r="L69" s="200">
        <v>0.35799999999999998</v>
      </c>
      <c r="M69" s="202">
        <v>8.2000000000000003E-2</v>
      </c>
      <c r="N69" s="202">
        <v>0.95699999999999996</v>
      </c>
      <c r="O69" s="202">
        <v>0.57399999999999995</v>
      </c>
      <c r="P69" s="202">
        <v>0.44800000000000001</v>
      </c>
      <c r="Q69" s="202">
        <v>0.70699999999999996</v>
      </c>
      <c r="R69" s="201">
        <f t="shared" si="8"/>
        <v>0.54858333333333331</v>
      </c>
      <c r="S69" s="201">
        <v>7</v>
      </c>
      <c r="T69" s="252" t="s">
        <v>507</v>
      </c>
    </row>
    <row r="70" spans="1:20">
      <c r="A70" s="105"/>
      <c r="B70" s="937"/>
      <c r="C70" s="191">
        <v>8</v>
      </c>
      <c r="D70" s="428" t="s">
        <v>501</v>
      </c>
      <c r="E70" s="199" t="s">
        <v>506</v>
      </c>
      <c r="F70" s="200">
        <v>0.65400000000000003</v>
      </c>
      <c r="G70" s="200">
        <v>1.607</v>
      </c>
      <c r="H70" s="200">
        <v>0.94399999999999995</v>
      </c>
      <c r="I70" s="200">
        <v>0.315</v>
      </c>
      <c r="J70" s="200">
        <v>0.36199999999999999</v>
      </c>
      <c r="K70" s="200">
        <v>0.34699999999999998</v>
      </c>
      <c r="L70" s="200">
        <v>0.29099999999999998</v>
      </c>
      <c r="M70" s="202">
        <v>0.28000000000000003</v>
      </c>
      <c r="N70" s="202">
        <v>1.91</v>
      </c>
      <c r="O70" s="202">
        <v>0.70799999999999996</v>
      </c>
      <c r="P70" s="202">
        <v>0.54100000000000004</v>
      </c>
      <c r="Q70" s="202">
        <v>1.042</v>
      </c>
      <c r="R70" s="201">
        <f t="shared" si="8"/>
        <v>0.75008333333333344</v>
      </c>
      <c r="S70" s="201">
        <v>7</v>
      </c>
      <c r="T70" s="252" t="s">
        <v>508</v>
      </c>
    </row>
    <row r="71" spans="1:20">
      <c r="A71" s="105"/>
      <c r="B71" s="935" t="s">
        <v>513</v>
      </c>
      <c r="C71" s="190">
        <v>1</v>
      </c>
      <c r="D71" s="429" t="s">
        <v>484</v>
      </c>
      <c r="E71" s="106" t="s">
        <v>485</v>
      </c>
      <c r="F71" s="433">
        <v>0.83399999999999996</v>
      </c>
      <c r="G71" s="433">
        <v>1.347</v>
      </c>
      <c r="H71" s="433">
        <v>1.075</v>
      </c>
      <c r="I71" s="433">
        <v>0.78400000000000003</v>
      </c>
      <c r="J71" s="433">
        <v>0.14199999999999999</v>
      </c>
      <c r="K71" s="433">
        <v>0.90900000000000003</v>
      </c>
      <c r="L71" s="433">
        <v>0.52900000000000003</v>
      </c>
      <c r="M71" s="526">
        <v>0.316</v>
      </c>
      <c r="N71" s="526">
        <v>0.49399999999999999</v>
      </c>
      <c r="O71" s="526">
        <v>0.63300000000000001</v>
      </c>
      <c r="P71" s="526">
        <v>0.50600000000000001</v>
      </c>
      <c r="Q71" s="526">
        <v>0.50800000000000001</v>
      </c>
      <c r="R71" s="107">
        <f t="shared" si="8"/>
        <v>0.67308333333333337</v>
      </c>
      <c r="S71" s="107">
        <v>2.5000000000000001E-2</v>
      </c>
      <c r="T71" s="252" t="s">
        <v>486</v>
      </c>
    </row>
    <row r="72" spans="1:20">
      <c r="A72" s="105"/>
      <c r="B72" s="936"/>
      <c r="C72" s="191">
        <v>2</v>
      </c>
      <c r="D72" s="192" t="s">
        <v>487</v>
      </c>
      <c r="E72" s="199" t="s">
        <v>485</v>
      </c>
      <c r="F72" s="202">
        <v>0.84599999999999997</v>
      </c>
      <c r="G72" s="202">
        <v>1.2709999999999999</v>
      </c>
      <c r="H72" s="202">
        <v>1.0640000000000001</v>
      </c>
      <c r="I72" s="202">
        <v>0.78800000000000003</v>
      </c>
      <c r="J72" s="202">
        <v>0.86499999999999999</v>
      </c>
      <c r="K72" s="202">
        <v>0.96499999999999997</v>
      </c>
      <c r="L72" s="202">
        <v>0.54500000000000004</v>
      </c>
      <c r="M72" s="200">
        <v>0.378</v>
      </c>
      <c r="N72" s="200">
        <v>0.69699999999999995</v>
      </c>
      <c r="O72" s="200">
        <v>0.64200000000000002</v>
      </c>
      <c r="P72" s="200">
        <v>0.499</v>
      </c>
      <c r="Q72" s="200">
        <v>0.42199999999999999</v>
      </c>
      <c r="R72" s="201">
        <f t="shared" si="8"/>
        <v>0.74850000000000005</v>
      </c>
      <c r="S72" s="201">
        <v>2.5000000000000001E-2</v>
      </c>
      <c r="T72" s="252" t="s">
        <v>488</v>
      </c>
    </row>
    <row r="73" spans="1:20">
      <c r="A73" s="105"/>
      <c r="B73" s="936"/>
      <c r="C73" s="191">
        <v>3</v>
      </c>
      <c r="D73" s="192" t="s">
        <v>489</v>
      </c>
      <c r="E73" s="199" t="s">
        <v>490</v>
      </c>
      <c r="F73" s="200">
        <v>0.80800000000000005</v>
      </c>
      <c r="G73" s="200">
        <v>0.47299999999999998</v>
      </c>
      <c r="H73" s="200">
        <v>0.54300000000000004</v>
      </c>
      <c r="I73" s="200">
        <v>0.84599999999999997</v>
      </c>
      <c r="J73" s="200">
        <v>1.395</v>
      </c>
      <c r="K73" s="200">
        <v>0.54900000000000004</v>
      </c>
      <c r="L73" s="200">
        <v>0.441</v>
      </c>
      <c r="M73" s="200">
        <v>0.78800000000000003</v>
      </c>
      <c r="N73" s="200">
        <v>0.49399999999999999</v>
      </c>
      <c r="O73" s="200">
        <v>0.45900000000000002</v>
      </c>
      <c r="P73" s="200">
        <v>0.58699999999999997</v>
      </c>
      <c r="Q73" s="200">
        <v>0.49399999999999999</v>
      </c>
      <c r="R73" s="201">
        <f t="shared" si="8"/>
        <v>0.65641666666666665</v>
      </c>
      <c r="S73" s="201">
        <v>2.5000000000000001E-2</v>
      </c>
      <c r="T73" s="252" t="s">
        <v>491</v>
      </c>
    </row>
    <row r="74" spans="1:20">
      <c r="A74" s="105"/>
      <c r="B74" s="936"/>
      <c r="C74" s="191">
        <v>4</v>
      </c>
      <c r="D74" s="192" t="s">
        <v>492</v>
      </c>
      <c r="E74" s="199" t="s">
        <v>493</v>
      </c>
      <c r="F74" s="200">
        <v>2.262</v>
      </c>
      <c r="G74" s="200">
        <v>2.4340000000000002</v>
      </c>
      <c r="H74" s="200">
        <v>1.4430000000000001</v>
      </c>
      <c r="I74" s="200">
        <v>1.141</v>
      </c>
      <c r="J74" s="200">
        <v>1.9470000000000001</v>
      </c>
      <c r="K74" s="200">
        <v>1.2470000000000001</v>
      </c>
      <c r="L74" s="200">
        <v>1.2669999999999999</v>
      </c>
      <c r="M74" s="200">
        <v>0.75</v>
      </c>
      <c r="N74" s="200">
        <v>0.49399999999999999</v>
      </c>
      <c r="O74" s="200">
        <v>1.6890000000000001</v>
      </c>
      <c r="P74" s="200">
        <v>1.798</v>
      </c>
      <c r="Q74" s="200">
        <v>1.6839999999999999</v>
      </c>
      <c r="R74" s="201">
        <f t="shared" si="8"/>
        <v>1.5130000000000001</v>
      </c>
      <c r="S74" s="201">
        <v>2.5000000000000001E-2</v>
      </c>
      <c r="T74" s="252" t="s">
        <v>494</v>
      </c>
    </row>
    <row r="75" spans="1:20">
      <c r="A75" s="105"/>
      <c r="B75" s="936"/>
      <c r="C75" s="191">
        <v>5</v>
      </c>
      <c r="D75" s="192" t="s">
        <v>495</v>
      </c>
      <c r="E75" s="199" t="s">
        <v>496</v>
      </c>
      <c r="F75" s="200">
        <v>2.0979999999999999</v>
      </c>
      <c r="G75" s="200">
        <v>1.139</v>
      </c>
      <c r="H75" s="200">
        <v>1.458</v>
      </c>
      <c r="I75" s="200">
        <v>1.079</v>
      </c>
      <c r="J75" s="200">
        <v>1.5609999999999999</v>
      </c>
      <c r="K75" s="200">
        <v>1.29</v>
      </c>
      <c r="L75" s="200">
        <v>1.149</v>
      </c>
      <c r="M75" s="200">
        <v>0.876</v>
      </c>
      <c r="N75" s="200">
        <v>0.41</v>
      </c>
      <c r="O75" s="200">
        <v>0.871</v>
      </c>
      <c r="P75" s="200">
        <v>1.0940000000000001</v>
      </c>
      <c r="Q75" s="200">
        <v>1.298</v>
      </c>
      <c r="R75" s="201">
        <f t="shared" si="8"/>
        <v>1.1935833333333334</v>
      </c>
      <c r="S75" s="201">
        <v>2.5000000000000001E-2</v>
      </c>
      <c r="T75" s="252" t="s">
        <v>497</v>
      </c>
    </row>
    <row r="76" spans="1:20">
      <c r="A76" s="105"/>
      <c r="B76" s="936"/>
      <c r="C76" s="191">
        <v>6</v>
      </c>
      <c r="D76" s="192" t="s">
        <v>502</v>
      </c>
      <c r="E76" s="199" t="s">
        <v>503</v>
      </c>
      <c r="F76" s="200">
        <v>1.39</v>
      </c>
      <c r="G76" s="200">
        <v>1.3640000000000001</v>
      </c>
      <c r="H76" s="200">
        <v>0.77100000000000002</v>
      </c>
      <c r="I76" s="200">
        <v>0.81899999999999995</v>
      </c>
      <c r="J76" s="200">
        <v>0.83299999999999996</v>
      </c>
      <c r="K76" s="200">
        <v>1.2010000000000001</v>
      </c>
      <c r="L76" s="200">
        <v>0.96099999999999997</v>
      </c>
      <c r="M76" s="200">
        <v>0.77</v>
      </c>
      <c r="N76" s="200">
        <v>0.55700000000000005</v>
      </c>
      <c r="O76" s="200">
        <v>0.64200000000000002</v>
      </c>
      <c r="P76" s="200">
        <v>0.52300000000000002</v>
      </c>
      <c r="Q76" s="200">
        <v>0.66800000000000004</v>
      </c>
      <c r="R76" s="201">
        <f t="shared" si="8"/>
        <v>0.87491666666666656</v>
      </c>
      <c r="S76" s="201">
        <v>2.5000000000000001E-2</v>
      </c>
      <c r="T76" s="252" t="s">
        <v>504</v>
      </c>
    </row>
    <row r="77" spans="1:20">
      <c r="A77" s="105"/>
      <c r="B77" s="936"/>
      <c r="C77" s="191">
        <v>7</v>
      </c>
      <c r="D77" s="192" t="s">
        <v>505</v>
      </c>
      <c r="E77" s="199" t="s">
        <v>506</v>
      </c>
      <c r="F77" s="200">
        <v>0.67600000000000005</v>
      </c>
      <c r="G77" s="200">
        <v>0.55000000000000004</v>
      </c>
      <c r="H77" s="200">
        <v>0.67900000000000005</v>
      </c>
      <c r="I77" s="200">
        <v>0.58799999999999997</v>
      </c>
      <c r="J77" s="200">
        <v>0.89100000000000001</v>
      </c>
      <c r="K77" s="200">
        <v>0.67200000000000004</v>
      </c>
      <c r="L77" s="200">
        <v>0.53200000000000003</v>
      </c>
      <c r="M77" s="202">
        <v>0.66500000000000004</v>
      </c>
      <c r="N77" s="202">
        <v>0.42799999999999999</v>
      </c>
      <c r="O77" s="202">
        <v>0.56899999999999995</v>
      </c>
      <c r="P77" s="202">
        <v>0.48399999999999999</v>
      </c>
      <c r="Q77" s="202">
        <v>0.53800000000000003</v>
      </c>
      <c r="R77" s="201">
        <f t="shared" si="8"/>
        <v>0.60599999999999998</v>
      </c>
      <c r="S77" s="201">
        <v>2.5000000000000001E-2</v>
      </c>
      <c r="T77" s="252" t="s">
        <v>507</v>
      </c>
    </row>
    <row r="78" spans="1:20">
      <c r="A78" s="105"/>
      <c r="B78" s="937"/>
      <c r="C78" s="191">
        <v>8</v>
      </c>
      <c r="D78" s="428" t="s">
        <v>501</v>
      </c>
      <c r="E78" s="199" t="s">
        <v>506</v>
      </c>
      <c r="F78" s="200">
        <v>0.64400000000000002</v>
      </c>
      <c r="G78" s="200">
        <v>0.82799999999999996</v>
      </c>
      <c r="H78" s="200">
        <v>0.39400000000000002</v>
      </c>
      <c r="I78" s="200">
        <v>0.374</v>
      </c>
      <c r="J78" s="200">
        <v>0.746</v>
      </c>
      <c r="K78" s="200">
        <v>0.65800000000000003</v>
      </c>
      <c r="L78" s="200">
        <v>0.53200000000000003</v>
      </c>
      <c r="M78" s="202">
        <v>0.78400000000000003</v>
      </c>
      <c r="N78" s="202">
        <v>0.49399999999999999</v>
      </c>
      <c r="O78" s="202">
        <v>0.67900000000000005</v>
      </c>
      <c r="P78" s="202">
        <v>0.45600000000000002</v>
      </c>
      <c r="Q78" s="202">
        <v>0.436</v>
      </c>
      <c r="R78" s="201">
        <f t="shared" si="8"/>
        <v>0.5854166666666667</v>
      </c>
      <c r="S78" s="201">
        <v>2.5000000000000001E-2</v>
      </c>
      <c r="T78" s="252" t="s">
        <v>508</v>
      </c>
    </row>
    <row r="79" spans="1:20">
      <c r="A79" s="108"/>
      <c r="B79" s="925" t="s">
        <v>117</v>
      </c>
      <c r="C79" s="190">
        <v>1</v>
      </c>
      <c r="D79" s="429" t="s">
        <v>484</v>
      </c>
      <c r="E79" s="109" t="s">
        <v>485</v>
      </c>
      <c r="F79" s="432">
        <v>48</v>
      </c>
      <c r="G79" s="430">
        <v>52</v>
      </c>
      <c r="H79" s="430">
        <v>147</v>
      </c>
      <c r="I79" s="430">
        <v>120</v>
      </c>
      <c r="J79" s="430">
        <v>36</v>
      </c>
      <c r="K79" s="430">
        <v>129</v>
      </c>
      <c r="L79" s="433">
        <v>45</v>
      </c>
      <c r="M79" s="101">
        <v>30</v>
      </c>
      <c r="N79" s="101">
        <v>38</v>
      </c>
      <c r="O79" s="101">
        <v>29</v>
      </c>
      <c r="P79" s="101">
        <v>165</v>
      </c>
      <c r="Q79" s="101">
        <v>39</v>
      </c>
      <c r="R79" s="110">
        <f t="shared" si="8"/>
        <v>73.166666666666671</v>
      </c>
      <c r="S79" s="110">
        <v>350</v>
      </c>
      <c r="T79" s="252" t="s">
        <v>486</v>
      </c>
    </row>
    <row r="80" spans="1:20">
      <c r="A80" s="108"/>
      <c r="B80" s="926"/>
      <c r="C80" s="191">
        <v>2</v>
      </c>
      <c r="D80" s="192" t="s">
        <v>487</v>
      </c>
      <c r="E80" s="203" t="s">
        <v>485</v>
      </c>
      <c r="F80" s="198">
        <v>53</v>
      </c>
      <c r="G80" s="196">
        <v>52</v>
      </c>
      <c r="H80" s="196">
        <v>147</v>
      </c>
      <c r="I80" s="196">
        <v>113</v>
      </c>
      <c r="J80" s="196">
        <v>46</v>
      </c>
      <c r="K80" s="196">
        <v>186</v>
      </c>
      <c r="L80" s="202">
        <v>42</v>
      </c>
      <c r="M80" s="193">
        <v>35</v>
      </c>
      <c r="N80" s="193">
        <v>29</v>
      </c>
      <c r="O80" s="193">
        <v>27</v>
      </c>
      <c r="P80" s="193">
        <v>165</v>
      </c>
      <c r="Q80" s="193">
        <v>39</v>
      </c>
      <c r="R80" s="196">
        <f t="shared" si="8"/>
        <v>77.833333333333329</v>
      </c>
      <c r="S80" s="196">
        <v>350</v>
      </c>
      <c r="T80" s="252" t="s">
        <v>488</v>
      </c>
    </row>
    <row r="81" spans="1:20">
      <c r="A81" s="108"/>
      <c r="B81" s="926"/>
      <c r="C81" s="191">
        <v>3</v>
      </c>
      <c r="D81" s="192" t="s">
        <v>489</v>
      </c>
      <c r="E81" s="203" t="s">
        <v>490</v>
      </c>
      <c r="F81" s="197">
        <v>43</v>
      </c>
      <c r="G81" s="193">
        <v>35</v>
      </c>
      <c r="H81" s="193">
        <v>131</v>
      </c>
      <c r="I81" s="193">
        <v>373</v>
      </c>
      <c r="J81" s="193">
        <v>35</v>
      </c>
      <c r="K81" s="193">
        <v>192</v>
      </c>
      <c r="L81" s="200">
        <v>39</v>
      </c>
      <c r="M81" s="193">
        <v>17</v>
      </c>
      <c r="N81" s="193">
        <v>22</v>
      </c>
      <c r="O81" s="193">
        <v>19</v>
      </c>
      <c r="P81" s="193">
        <v>170</v>
      </c>
      <c r="Q81" s="193">
        <v>77</v>
      </c>
      <c r="R81" s="196">
        <f t="shared" si="8"/>
        <v>96.083333333333329</v>
      </c>
      <c r="S81" s="196">
        <v>350</v>
      </c>
      <c r="T81" s="252" t="s">
        <v>491</v>
      </c>
    </row>
    <row r="82" spans="1:20">
      <c r="A82" s="108"/>
      <c r="B82" s="926"/>
      <c r="C82" s="191">
        <v>4</v>
      </c>
      <c r="D82" s="192" t="s">
        <v>492</v>
      </c>
      <c r="E82" s="203" t="s">
        <v>493</v>
      </c>
      <c r="F82" s="197">
        <v>43</v>
      </c>
      <c r="G82" s="193">
        <v>59</v>
      </c>
      <c r="H82" s="193">
        <v>154</v>
      </c>
      <c r="I82" s="193">
        <v>367</v>
      </c>
      <c r="J82" s="193">
        <v>58</v>
      </c>
      <c r="K82" s="193">
        <v>172</v>
      </c>
      <c r="L82" s="200">
        <v>26</v>
      </c>
      <c r="M82" s="193">
        <v>27</v>
      </c>
      <c r="N82" s="193">
        <v>29</v>
      </c>
      <c r="O82" s="193">
        <v>30</v>
      </c>
      <c r="P82" s="193">
        <v>145</v>
      </c>
      <c r="Q82" s="193">
        <v>34</v>
      </c>
      <c r="R82" s="196">
        <f t="shared" si="8"/>
        <v>95.333333333333329</v>
      </c>
      <c r="S82" s="196">
        <v>350</v>
      </c>
      <c r="T82" s="252" t="s">
        <v>494</v>
      </c>
    </row>
    <row r="83" spans="1:20">
      <c r="A83" s="108"/>
      <c r="B83" s="926"/>
      <c r="C83" s="191">
        <v>5</v>
      </c>
      <c r="D83" s="192" t="s">
        <v>495</v>
      </c>
      <c r="E83" s="203" t="s">
        <v>496</v>
      </c>
      <c r="F83" s="197">
        <v>65</v>
      </c>
      <c r="G83" s="193">
        <v>215</v>
      </c>
      <c r="H83" s="193">
        <v>258</v>
      </c>
      <c r="I83" s="193">
        <v>127</v>
      </c>
      <c r="J83" s="193">
        <v>63</v>
      </c>
      <c r="K83" s="193">
        <v>209</v>
      </c>
      <c r="L83" s="202">
        <v>60</v>
      </c>
      <c r="M83" s="193">
        <v>37</v>
      </c>
      <c r="N83" s="193">
        <v>31</v>
      </c>
      <c r="O83" s="193">
        <v>26</v>
      </c>
      <c r="P83" s="193">
        <v>73</v>
      </c>
      <c r="Q83" s="193">
        <v>35</v>
      </c>
      <c r="R83" s="196">
        <f t="shared" si="8"/>
        <v>99.916666666666671</v>
      </c>
      <c r="S83" s="196">
        <v>350</v>
      </c>
      <c r="T83" s="252" t="s">
        <v>497</v>
      </c>
    </row>
    <row r="84" spans="1:20">
      <c r="A84" s="108"/>
      <c r="B84" s="926"/>
      <c r="C84" s="191">
        <v>6</v>
      </c>
      <c r="D84" s="192" t="s">
        <v>502</v>
      </c>
      <c r="E84" s="203" t="s">
        <v>503</v>
      </c>
      <c r="F84" s="197">
        <v>201</v>
      </c>
      <c r="G84" s="193">
        <v>222</v>
      </c>
      <c r="H84" s="193">
        <v>307</v>
      </c>
      <c r="I84" s="193">
        <v>180</v>
      </c>
      <c r="J84" s="193">
        <v>74</v>
      </c>
      <c r="K84" s="193">
        <v>275</v>
      </c>
      <c r="L84" s="202">
        <v>312</v>
      </c>
      <c r="M84" s="193">
        <v>134</v>
      </c>
      <c r="N84" s="193">
        <v>129</v>
      </c>
      <c r="O84" s="193">
        <v>79</v>
      </c>
      <c r="P84" s="193">
        <v>100</v>
      </c>
      <c r="Q84" s="193">
        <v>84</v>
      </c>
      <c r="R84" s="196">
        <f t="shared" si="8"/>
        <v>174.75</v>
      </c>
      <c r="S84" s="196">
        <v>350</v>
      </c>
      <c r="T84" s="252" t="s">
        <v>504</v>
      </c>
    </row>
    <row r="85" spans="1:20">
      <c r="A85" s="108"/>
      <c r="B85" s="926"/>
      <c r="C85" s="191">
        <v>7</v>
      </c>
      <c r="D85" s="192" t="s">
        <v>505</v>
      </c>
      <c r="E85" s="203" t="s">
        <v>506</v>
      </c>
      <c r="F85" s="197">
        <v>462</v>
      </c>
      <c r="G85" s="193">
        <v>191</v>
      </c>
      <c r="H85" s="193">
        <v>278</v>
      </c>
      <c r="I85" s="193">
        <v>160</v>
      </c>
      <c r="J85" s="193">
        <v>35</v>
      </c>
      <c r="K85" s="193">
        <v>325</v>
      </c>
      <c r="L85" s="200">
        <v>101</v>
      </c>
      <c r="M85" s="196">
        <v>773</v>
      </c>
      <c r="N85" s="196">
        <v>566</v>
      </c>
      <c r="O85" s="196">
        <v>55</v>
      </c>
      <c r="P85" s="196">
        <v>119</v>
      </c>
      <c r="Q85" s="196">
        <v>135</v>
      </c>
      <c r="R85" s="196">
        <f t="shared" si="8"/>
        <v>266.66666666666669</v>
      </c>
      <c r="S85" s="196">
        <v>350</v>
      </c>
      <c r="T85" s="252" t="s">
        <v>507</v>
      </c>
    </row>
    <row r="86" spans="1:20">
      <c r="A86" s="108"/>
      <c r="B86" s="927"/>
      <c r="C86" s="191">
        <v>8</v>
      </c>
      <c r="D86" s="428" t="s">
        <v>501</v>
      </c>
      <c r="E86" s="203" t="s">
        <v>506</v>
      </c>
      <c r="F86" s="197">
        <v>349</v>
      </c>
      <c r="G86" s="193">
        <v>139</v>
      </c>
      <c r="H86" s="193">
        <v>229</v>
      </c>
      <c r="I86" s="193">
        <v>360</v>
      </c>
      <c r="J86" s="193">
        <v>38</v>
      </c>
      <c r="K86" s="193">
        <v>328</v>
      </c>
      <c r="L86" s="193">
        <v>89</v>
      </c>
      <c r="M86" s="196">
        <v>385</v>
      </c>
      <c r="N86" s="196">
        <v>564</v>
      </c>
      <c r="O86" s="196">
        <v>55</v>
      </c>
      <c r="P86" s="196">
        <v>134</v>
      </c>
      <c r="Q86" s="196">
        <v>72</v>
      </c>
      <c r="R86" s="438">
        <f t="shared" si="8"/>
        <v>228.5</v>
      </c>
      <c r="S86" s="438">
        <v>350</v>
      </c>
      <c r="T86" s="252" t="s">
        <v>508</v>
      </c>
    </row>
    <row r="87" spans="1:20" ht="58.5" customHeight="1">
      <c r="A87" s="108"/>
      <c r="B87" s="426" t="s">
        <v>314</v>
      </c>
      <c r="C87" s="190">
        <v>1</v>
      </c>
      <c r="D87" s="429" t="s">
        <v>484</v>
      </c>
      <c r="E87" s="109" t="s">
        <v>485</v>
      </c>
      <c r="F87" s="434" t="s">
        <v>514</v>
      </c>
      <c r="G87" s="435" t="s">
        <v>515</v>
      </c>
      <c r="H87" s="435" t="s">
        <v>516</v>
      </c>
      <c r="I87" s="436" t="s">
        <v>321</v>
      </c>
      <c r="J87" s="435" t="s">
        <v>517</v>
      </c>
      <c r="K87" s="435" t="s">
        <v>518</v>
      </c>
      <c r="L87" s="435" t="s">
        <v>519</v>
      </c>
      <c r="M87" s="101" t="s">
        <v>520</v>
      </c>
      <c r="N87" s="101" t="s">
        <v>521</v>
      </c>
      <c r="O87" s="101" t="s">
        <v>522</v>
      </c>
      <c r="P87" s="101" t="s">
        <v>523</v>
      </c>
      <c r="Q87" s="682" t="s">
        <v>524</v>
      </c>
      <c r="R87" s="440"/>
      <c r="S87" s="441"/>
      <c r="T87" s="232"/>
    </row>
    <row r="88" spans="1:20" ht="51.75" customHeight="1">
      <c r="A88" s="108"/>
      <c r="B88" s="133" t="s">
        <v>117</v>
      </c>
      <c r="C88" s="191">
        <v>2</v>
      </c>
      <c r="D88" s="192" t="s">
        <v>487</v>
      </c>
      <c r="E88" s="203" t="s">
        <v>485</v>
      </c>
      <c r="F88" s="204" t="s">
        <v>514</v>
      </c>
      <c r="G88" s="193" t="s">
        <v>515</v>
      </c>
      <c r="H88" s="193" t="s">
        <v>516</v>
      </c>
      <c r="I88" s="270" t="s">
        <v>321</v>
      </c>
      <c r="J88" s="193" t="s">
        <v>517</v>
      </c>
      <c r="K88" s="193" t="s">
        <v>518</v>
      </c>
      <c r="L88" s="193" t="s">
        <v>519</v>
      </c>
      <c r="M88" s="193" t="s">
        <v>520</v>
      </c>
      <c r="N88" s="193" t="s">
        <v>525</v>
      </c>
      <c r="O88" s="193" t="s">
        <v>526</v>
      </c>
      <c r="P88" s="193" t="s">
        <v>523</v>
      </c>
      <c r="Q88" s="683" t="s">
        <v>524</v>
      </c>
      <c r="R88" s="437"/>
      <c r="S88" s="231"/>
      <c r="T88" s="232"/>
    </row>
    <row r="89" spans="1:20" ht="60" customHeight="1">
      <c r="A89" s="108"/>
      <c r="B89" s="133" t="s">
        <v>117</v>
      </c>
      <c r="C89" s="191">
        <v>3</v>
      </c>
      <c r="D89" s="192" t="s">
        <v>489</v>
      </c>
      <c r="E89" s="203" t="s">
        <v>490</v>
      </c>
      <c r="F89" s="204" t="s">
        <v>527</v>
      </c>
      <c r="G89" s="193" t="s">
        <v>515</v>
      </c>
      <c r="H89" s="193" t="s">
        <v>516</v>
      </c>
      <c r="I89" s="270" t="s">
        <v>528</v>
      </c>
      <c r="J89" s="193" t="s">
        <v>529</v>
      </c>
      <c r="K89" s="193" t="s">
        <v>530</v>
      </c>
      <c r="L89" s="193" t="s">
        <v>531</v>
      </c>
      <c r="M89" s="193" t="s">
        <v>532</v>
      </c>
      <c r="N89" s="193" t="s">
        <v>533</v>
      </c>
      <c r="O89" s="193" t="s">
        <v>534</v>
      </c>
      <c r="P89" s="193" t="s">
        <v>520</v>
      </c>
      <c r="Q89" s="683" t="s">
        <v>535</v>
      </c>
      <c r="R89" s="437"/>
      <c r="S89" s="231"/>
      <c r="T89" s="232"/>
    </row>
    <row r="90" spans="1:20" ht="52.5" customHeight="1">
      <c r="A90" s="108"/>
      <c r="B90" s="133" t="s">
        <v>117</v>
      </c>
      <c r="C90" s="191">
        <v>4</v>
      </c>
      <c r="D90" s="192" t="s">
        <v>492</v>
      </c>
      <c r="E90" s="203" t="s">
        <v>493</v>
      </c>
      <c r="F90" s="204" t="s">
        <v>527</v>
      </c>
      <c r="G90" s="193" t="s">
        <v>536</v>
      </c>
      <c r="H90" s="193" t="s">
        <v>516</v>
      </c>
      <c r="I90" s="270" t="s">
        <v>166</v>
      </c>
      <c r="J90" s="193" t="s">
        <v>537</v>
      </c>
      <c r="K90" s="193" t="s">
        <v>538</v>
      </c>
      <c r="L90" s="193" t="s">
        <v>539</v>
      </c>
      <c r="M90" s="193" t="s">
        <v>540</v>
      </c>
      <c r="N90" s="193" t="s">
        <v>541</v>
      </c>
      <c r="O90" s="193" t="s">
        <v>542</v>
      </c>
      <c r="P90" s="193" t="s">
        <v>543</v>
      </c>
      <c r="Q90" s="683" t="s">
        <v>544</v>
      </c>
      <c r="R90" s="437"/>
      <c r="S90" s="231"/>
      <c r="T90" s="232"/>
    </row>
    <row r="91" spans="1:20" ht="56.25" customHeight="1">
      <c r="A91" s="108"/>
      <c r="B91" s="133" t="s">
        <v>117</v>
      </c>
      <c r="C91" s="191">
        <v>5</v>
      </c>
      <c r="D91" s="192" t="s">
        <v>495</v>
      </c>
      <c r="E91" s="203" t="s">
        <v>496</v>
      </c>
      <c r="F91" s="204" t="s">
        <v>545</v>
      </c>
      <c r="G91" s="193" t="s">
        <v>546</v>
      </c>
      <c r="H91" s="193" t="s">
        <v>547</v>
      </c>
      <c r="I91" s="270" t="s">
        <v>548</v>
      </c>
      <c r="J91" s="193" t="s">
        <v>529</v>
      </c>
      <c r="K91" s="193" t="s">
        <v>549</v>
      </c>
      <c r="L91" s="193" t="s">
        <v>550</v>
      </c>
      <c r="M91" s="193" t="s">
        <v>551</v>
      </c>
      <c r="N91" s="193" t="s">
        <v>552</v>
      </c>
      <c r="O91" s="193" t="s">
        <v>553</v>
      </c>
      <c r="P91" s="193" t="s">
        <v>554</v>
      </c>
      <c r="Q91" s="683" t="s">
        <v>555</v>
      </c>
      <c r="R91" s="437"/>
      <c r="S91" s="231"/>
      <c r="T91" s="232"/>
    </row>
    <row r="92" spans="1:20" ht="51" customHeight="1">
      <c r="A92" s="108"/>
      <c r="B92" s="133" t="s">
        <v>117</v>
      </c>
      <c r="C92" s="191">
        <v>6</v>
      </c>
      <c r="D92" s="192" t="s">
        <v>502</v>
      </c>
      <c r="E92" s="203" t="s">
        <v>503</v>
      </c>
      <c r="F92" s="204" t="s">
        <v>556</v>
      </c>
      <c r="G92" s="193" t="s">
        <v>557</v>
      </c>
      <c r="H92" s="193" t="s">
        <v>547</v>
      </c>
      <c r="I92" s="270" t="s">
        <v>558</v>
      </c>
      <c r="J92" s="193" t="s">
        <v>529</v>
      </c>
      <c r="K92" s="193" t="s">
        <v>559</v>
      </c>
      <c r="L92" s="193" t="s">
        <v>560</v>
      </c>
      <c r="M92" s="193" t="s">
        <v>561</v>
      </c>
      <c r="N92" s="193" t="s">
        <v>562</v>
      </c>
      <c r="O92" s="193" t="s">
        <v>563</v>
      </c>
      <c r="P92" s="193" t="s">
        <v>564</v>
      </c>
      <c r="Q92" s="683" t="s">
        <v>565</v>
      </c>
      <c r="R92" s="437"/>
      <c r="S92" s="231"/>
      <c r="T92" s="232"/>
    </row>
    <row r="93" spans="1:20" ht="59.25" customHeight="1">
      <c r="A93" s="108"/>
      <c r="B93" s="133" t="s">
        <v>117</v>
      </c>
      <c r="C93" s="191">
        <v>7</v>
      </c>
      <c r="D93" s="192" t="s">
        <v>505</v>
      </c>
      <c r="E93" s="203" t="s">
        <v>506</v>
      </c>
      <c r="F93" s="204" t="s">
        <v>556</v>
      </c>
      <c r="G93" s="193" t="s">
        <v>566</v>
      </c>
      <c r="H93" s="193" t="s">
        <v>547</v>
      </c>
      <c r="I93" s="270" t="s">
        <v>567</v>
      </c>
      <c r="J93" s="193" t="s">
        <v>529</v>
      </c>
      <c r="K93" s="193" t="s">
        <v>568</v>
      </c>
      <c r="L93" s="193" t="s">
        <v>569</v>
      </c>
      <c r="M93" s="193" t="s">
        <v>570</v>
      </c>
      <c r="N93" s="193" t="s">
        <v>571</v>
      </c>
      <c r="O93" s="193" t="s">
        <v>572</v>
      </c>
      <c r="P93" s="196" t="s">
        <v>573</v>
      </c>
      <c r="Q93" s="111" t="s">
        <v>574</v>
      </c>
      <c r="R93" s="33"/>
      <c r="S93" s="231"/>
      <c r="T93" s="232"/>
    </row>
    <row r="94" spans="1:20" ht="48" customHeight="1">
      <c r="A94" s="108"/>
      <c r="B94" s="133" t="s">
        <v>117</v>
      </c>
      <c r="C94" s="191">
        <v>8</v>
      </c>
      <c r="D94" s="428" t="s">
        <v>501</v>
      </c>
      <c r="E94" s="203" t="s">
        <v>506</v>
      </c>
      <c r="F94" s="204" t="s">
        <v>575</v>
      </c>
      <c r="G94" s="193" t="s">
        <v>166</v>
      </c>
      <c r="H94" s="193" t="s">
        <v>576</v>
      </c>
      <c r="I94" s="270" t="s">
        <v>577</v>
      </c>
      <c r="J94" s="193" t="s">
        <v>529</v>
      </c>
      <c r="K94" s="193" t="s">
        <v>578</v>
      </c>
      <c r="L94" s="193" t="s">
        <v>579</v>
      </c>
      <c r="M94" s="193" t="s">
        <v>580</v>
      </c>
      <c r="N94" s="193" t="s">
        <v>571</v>
      </c>
      <c r="O94" s="193" t="s">
        <v>581</v>
      </c>
      <c r="P94" s="196" t="s">
        <v>582</v>
      </c>
      <c r="Q94" s="442" t="s">
        <v>583</v>
      </c>
      <c r="R94" s="442"/>
      <c r="S94" s="231"/>
      <c r="T94" s="232"/>
    </row>
    <row r="95" spans="1:20">
      <c r="A95" s="98"/>
      <c r="B95" s="427"/>
      <c r="C95" s="98" t="s">
        <v>349</v>
      </c>
      <c r="D95" s="98"/>
      <c r="E95" s="98"/>
      <c r="F95" s="98">
        <v>22</v>
      </c>
      <c r="G95" s="98">
        <v>13</v>
      </c>
      <c r="H95" s="98">
        <v>25</v>
      </c>
      <c r="I95" s="98">
        <v>23</v>
      </c>
      <c r="J95" s="98">
        <v>19</v>
      </c>
      <c r="K95" s="98">
        <v>13</v>
      </c>
      <c r="L95" s="98">
        <v>9</v>
      </c>
      <c r="M95" s="98">
        <v>14</v>
      </c>
      <c r="N95" s="98">
        <v>18</v>
      </c>
      <c r="O95" s="98">
        <v>17</v>
      </c>
      <c r="P95" s="98">
        <v>21</v>
      </c>
      <c r="Q95" s="98">
        <v>3</v>
      </c>
      <c r="R95" s="439"/>
      <c r="S95" s="439"/>
    </row>
    <row r="97"/>
    <row r="98"/>
    <row r="99"/>
    <row r="100"/>
    <row r="101"/>
    <row r="102"/>
    <row r="103"/>
    <row r="104"/>
    <row r="105"/>
    <row r="106"/>
    <row r="107"/>
    <row r="108"/>
    <row r="109"/>
    <row r="110"/>
    <row r="111"/>
    <row r="112"/>
    <row r="113" spans="4:19"/>
    <row r="114" spans="4:19">
      <c r="D114" s="1"/>
      <c r="E114" s="1"/>
      <c r="F114" s="1"/>
      <c r="G114" s="1"/>
      <c r="H114" s="1"/>
      <c r="I114" s="1"/>
      <c r="J114" s="1"/>
      <c r="K114" s="1"/>
      <c r="L114" s="1"/>
      <c r="M114" s="1"/>
      <c r="N114" s="1"/>
      <c r="O114" s="1"/>
      <c r="P114" s="1"/>
      <c r="Q114" s="1"/>
      <c r="R114" s="1"/>
      <c r="S114" s="1"/>
    </row>
    <row r="115" spans="4:19">
      <c r="D115" s="1"/>
      <c r="E115" s="1"/>
      <c r="F115" s="1"/>
      <c r="G115" s="1"/>
      <c r="H115" s="1"/>
      <c r="I115" s="1"/>
      <c r="J115" s="1"/>
      <c r="K115" s="1"/>
      <c r="L115" s="1"/>
      <c r="M115" s="1"/>
      <c r="N115" s="1"/>
      <c r="O115" s="1"/>
      <c r="P115" s="1"/>
      <c r="Q115" s="1"/>
      <c r="R115" s="1"/>
      <c r="S115" s="1"/>
    </row>
    <row r="116" spans="4:19"/>
    <row r="117" spans="4:19"/>
    <row r="118" spans="4:19"/>
    <row r="119" spans="4:19"/>
    <row r="120" spans="4:19"/>
    <row r="121" spans="4:19"/>
    <row r="122" spans="4:19"/>
    <row r="123" spans="4:19"/>
    <row r="124" spans="4:19"/>
    <row r="125" spans="4:19"/>
    <row r="126" spans="4:19"/>
    <row r="127" spans="4:19"/>
    <row r="128" spans="4:19"/>
    <row r="129" spans="3:20"/>
    <row r="130" spans="3:20"/>
    <row r="131" spans="3:20"/>
    <row r="132" spans="3:20"/>
    <row r="135" spans="3:20" ht="15" customHeight="1">
      <c r="D135" s="232" t="s">
        <v>418</v>
      </c>
      <c r="E135" s="232"/>
      <c r="F135" s="232"/>
      <c r="G135" s="232"/>
      <c r="H135" s="232"/>
      <c r="I135" s="232"/>
      <c r="J135" s="232"/>
      <c r="K135" s="232"/>
      <c r="L135" s="232"/>
      <c r="M135" s="232"/>
      <c r="N135" s="232"/>
      <c r="O135" s="232"/>
      <c r="P135" s="232"/>
      <c r="Q135" s="232"/>
      <c r="R135" s="232"/>
      <c r="S135" s="232"/>
    </row>
    <row r="136" spans="3:20" ht="15" customHeight="1">
      <c r="C136" s="439"/>
      <c r="D136" s="948" t="s">
        <v>584</v>
      </c>
      <c r="E136" s="949"/>
      <c r="F136" s="949"/>
      <c r="G136" s="949"/>
      <c r="H136" s="949"/>
      <c r="I136" s="949"/>
      <c r="J136" s="949"/>
      <c r="K136" s="949"/>
      <c r="L136" s="949"/>
      <c r="M136" s="949"/>
      <c r="N136" s="949"/>
      <c r="O136" s="949"/>
      <c r="P136" s="949"/>
      <c r="Q136" s="949"/>
      <c r="R136" s="949"/>
      <c r="S136" s="950"/>
      <c r="T136" s="232"/>
    </row>
    <row r="137" spans="3:20" ht="15" customHeight="1">
      <c r="C137" s="439"/>
      <c r="D137" s="951"/>
      <c r="E137" s="952"/>
      <c r="F137" s="952"/>
      <c r="G137" s="952"/>
      <c r="H137" s="952"/>
      <c r="I137" s="952"/>
      <c r="J137" s="952"/>
      <c r="K137" s="952"/>
      <c r="L137" s="952"/>
      <c r="M137" s="952"/>
      <c r="N137" s="952"/>
      <c r="O137" s="952"/>
      <c r="P137" s="952"/>
      <c r="Q137" s="952"/>
      <c r="R137" s="952"/>
      <c r="S137" s="953"/>
      <c r="T137" s="232"/>
    </row>
    <row r="138" spans="3:20" ht="15" customHeight="1">
      <c r="C138" s="439"/>
      <c r="D138" s="951"/>
      <c r="E138" s="952"/>
      <c r="F138" s="952"/>
      <c r="G138" s="952"/>
      <c r="H138" s="952"/>
      <c r="I138" s="952"/>
      <c r="J138" s="952"/>
      <c r="K138" s="952"/>
      <c r="L138" s="952"/>
      <c r="M138" s="952"/>
      <c r="N138" s="952"/>
      <c r="O138" s="952"/>
      <c r="P138" s="952"/>
      <c r="Q138" s="952"/>
      <c r="R138" s="952"/>
      <c r="S138" s="953"/>
      <c r="T138" s="232"/>
    </row>
    <row r="139" spans="3:20" ht="15" customHeight="1">
      <c r="C139" s="439"/>
      <c r="D139" s="951"/>
      <c r="E139" s="952"/>
      <c r="F139" s="952"/>
      <c r="G139" s="952"/>
      <c r="H139" s="952"/>
      <c r="I139" s="952"/>
      <c r="J139" s="952"/>
      <c r="K139" s="952"/>
      <c r="L139" s="952"/>
      <c r="M139" s="952"/>
      <c r="N139" s="952"/>
      <c r="O139" s="952"/>
      <c r="P139" s="952"/>
      <c r="Q139" s="952"/>
      <c r="R139" s="952"/>
      <c r="S139" s="953"/>
      <c r="T139" s="232"/>
    </row>
    <row r="140" spans="3:20" ht="15" customHeight="1">
      <c r="C140" s="439"/>
      <c r="D140" s="951"/>
      <c r="E140" s="952"/>
      <c r="F140" s="952"/>
      <c r="G140" s="952"/>
      <c r="H140" s="952"/>
      <c r="I140" s="952"/>
      <c r="J140" s="952"/>
      <c r="K140" s="952"/>
      <c r="L140" s="952"/>
      <c r="M140" s="952"/>
      <c r="N140" s="952"/>
      <c r="O140" s="952"/>
      <c r="P140" s="952"/>
      <c r="Q140" s="952"/>
      <c r="R140" s="952"/>
      <c r="S140" s="953"/>
      <c r="T140" s="232"/>
    </row>
    <row r="141" spans="3:20" ht="15" customHeight="1">
      <c r="C141" s="439"/>
      <c r="D141" s="951"/>
      <c r="E141" s="952"/>
      <c r="F141" s="952"/>
      <c r="G141" s="952"/>
      <c r="H141" s="952"/>
      <c r="I141" s="952"/>
      <c r="J141" s="952"/>
      <c r="K141" s="952"/>
      <c r="L141" s="952"/>
      <c r="M141" s="952"/>
      <c r="N141" s="952"/>
      <c r="O141" s="952"/>
      <c r="P141" s="952"/>
      <c r="Q141" s="952"/>
      <c r="R141" s="952"/>
      <c r="S141" s="953"/>
      <c r="T141" s="232"/>
    </row>
    <row r="142" spans="3:20" ht="15" customHeight="1">
      <c r="C142" s="439"/>
      <c r="D142" s="951"/>
      <c r="E142" s="952"/>
      <c r="F142" s="952"/>
      <c r="G142" s="952"/>
      <c r="H142" s="952"/>
      <c r="I142" s="952"/>
      <c r="J142" s="952"/>
      <c r="K142" s="952"/>
      <c r="L142" s="952"/>
      <c r="M142" s="952"/>
      <c r="N142" s="952"/>
      <c r="O142" s="952"/>
      <c r="P142" s="952"/>
      <c r="Q142" s="952"/>
      <c r="R142" s="952"/>
      <c r="S142" s="953"/>
      <c r="T142" s="232"/>
    </row>
    <row r="143" spans="3:20" ht="15" customHeight="1">
      <c r="C143" s="439"/>
      <c r="D143" s="951"/>
      <c r="E143" s="952"/>
      <c r="F143" s="952"/>
      <c r="G143" s="952"/>
      <c r="H143" s="952"/>
      <c r="I143" s="952"/>
      <c r="J143" s="952"/>
      <c r="K143" s="952"/>
      <c r="L143" s="952"/>
      <c r="M143" s="952"/>
      <c r="N143" s="952"/>
      <c r="O143" s="952"/>
      <c r="P143" s="952"/>
      <c r="Q143" s="952"/>
      <c r="R143" s="952"/>
      <c r="S143" s="953"/>
      <c r="T143" s="232"/>
    </row>
    <row r="144" spans="3:20" ht="15" customHeight="1">
      <c r="C144" s="439"/>
      <c r="D144" s="954"/>
      <c r="E144" s="955"/>
      <c r="F144" s="955"/>
      <c r="G144" s="955"/>
      <c r="H144" s="955"/>
      <c r="I144" s="955"/>
      <c r="J144" s="955"/>
      <c r="K144" s="955"/>
      <c r="L144" s="955"/>
      <c r="M144" s="955"/>
      <c r="N144" s="955"/>
      <c r="O144" s="955"/>
      <c r="P144" s="955"/>
      <c r="Q144" s="955"/>
      <c r="R144" s="955"/>
      <c r="S144" s="956"/>
      <c r="T144" s="232"/>
    </row>
    <row r="145" spans="4:19" ht="15" customHeight="1">
      <c r="D145" s="232"/>
      <c r="E145" s="232"/>
      <c r="F145" s="232"/>
      <c r="G145" s="232"/>
      <c r="H145" s="232"/>
      <c r="I145" s="232"/>
      <c r="J145" s="232"/>
      <c r="K145" s="232"/>
      <c r="L145" s="232"/>
      <c r="M145" s="232"/>
      <c r="N145" s="232"/>
      <c r="O145" s="232"/>
      <c r="P145" s="232"/>
      <c r="Q145" s="232"/>
      <c r="R145" s="232"/>
      <c r="S145" s="232"/>
    </row>
  </sheetData>
  <mergeCells count="37">
    <mergeCell ref="D136:S144"/>
    <mergeCell ref="C1:S1"/>
    <mergeCell ref="C2:S2"/>
    <mergeCell ref="C3:S3"/>
    <mergeCell ref="C4:S4"/>
    <mergeCell ref="C5:S5"/>
    <mergeCell ref="X7:AM7"/>
    <mergeCell ref="X8:AM8"/>
    <mergeCell ref="X9:AC9"/>
    <mergeCell ref="AD9:AM9"/>
    <mergeCell ref="X11:X18"/>
    <mergeCell ref="Z11:Z18"/>
    <mergeCell ref="AA11:AA18"/>
    <mergeCell ref="Y11:Y18"/>
    <mergeCell ref="X19:AM19"/>
    <mergeCell ref="Z20:AC23"/>
    <mergeCell ref="AA33:AA40"/>
    <mergeCell ref="Z42:AC45"/>
    <mergeCell ref="X29:AM29"/>
    <mergeCell ref="X30:AM30"/>
    <mergeCell ref="X31:AC31"/>
    <mergeCell ref="AD31:AM31"/>
    <mergeCell ref="X33:X40"/>
    <mergeCell ref="Z33:Z40"/>
    <mergeCell ref="X41:AM41"/>
    <mergeCell ref="Y33:Y40"/>
    <mergeCell ref="B79:B86"/>
    <mergeCell ref="A4:B5"/>
    <mergeCell ref="B39:B46"/>
    <mergeCell ref="B47:B54"/>
    <mergeCell ref="B55:B62"/>
    <mergeCell ref="B63:B70"/>
    <mergeCell ref="B71:B78"/>
    <mergeCell ref="B7:B14"/>
    <mergeCell ref="B15:B22"/>
    <mergeCell ref="B23:B30"/>
    <mergeCell ref="B31:B38"/>
  </mergeCells>
  <phoneticPr fontId="18" type="noConversion"/>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AE115"/>
  <sheetViews>
    <sheetView workbookViewId="0">
      <pane xSplit="2" ySplit="6" topLeftCell="D55" activePane="bottomRight" state="frozen"/>
      <selection pane="bottomRight" activeCell="I57" sqref="I57:I61"/>
      <selection pane="bottomLeft" activeCell="A7" sqref="A7"/>
      <selection pane="topRight" activeCell="C1" sqref="C1"/>
    </sheetView>
  </sheetViews>
  <sheetFormatPr defaultColWidth="14.42578125" defaultRowHeight="15" customHeight="1"/>
  <cols>
    <col min="1" max="1" width="9.140625" customWidth="1"/>
    <col min="2" max="2" width="29.42578125" customWidth="1"/>
    <col min="3" max="3" width="9.140625" style="1" customWidth="1"/>
    <col min="4" max="4" width="32" customWidth="1"/>
    <col min="5" max="5" width="54.28515625" customWidth="1"/>
    <col min="6" max="6" width="10.7109375" customWidth="1"/>
    <col min="7" max="7" width="11.5703125" customWidth="1"/>
    <col min="8" max="8" width="10.5703125" customWidth="1"/>
    <col min="9" max="9" width="10.85546875" customWidth="1"/>
    <col min="10" max="10" width="19" customWidth="1"/>
    <col min="11" max="11" width="13.140625" bestFit="1" customWidth="1"/>
    <col min="12" max="12" width="7.85546875" hidden="1" customWidth="1"/>
    <col min="13" max="15" width="8.7109375" customWidth="1"/>
    <col min="16" max="16" width="21.85546875" bestFit="1" customWidth="1"/>
    <col min="17" max="17" width="8.7109375" customWidth="1"/>
    <col min="18" max="18" width="13.28515625" bestFit="1" customWidth="1"/>
    <col min="19" max="19" width="8.7109375" customWidth="1"/>
    <col min="20" max="20" width="19.7109375" bestFit="1" customWidth="1"/>
  </cols>
  <sheetData>
    <row r="1" spans="1:30">
      <c r="A1" s="138"/>
      <c r="B1" s="93"/>
      <c r="C1" s="868" t="s">
        <v>40</v>
      </c>
      <c r="D1" s="1158"/>
      <c r="E1" s="1158"/>
      <c r="F1" s="1158"/>
      <c r="G1" s="1158"/>
      <c r="H1" s="1158"/>
      <c r="I1" s="1158"/>
      <c r="J1" s="1158"/>
      <c r="K1" s="1158"/>
    </row>
    <row r="2" spans="1:30">
      <c r="A2" s="138"/>
      <c r="B2" s="93"/>
      <c r="C2" s="868" t="s">
        <v>41</v>
      </c>
      <c r="D2" s="1158"/>
      <c r="E2" s="1158"/>
      <c r="F2" s="1158"/>
      <c r="G2" s="1158"/>
      <c r="H2" s="1158"/>
      <c r="I2" s="1158"/>
      <c r="J2" s="1158"/>
      <c r="K2" s="1158"/>
    </row>
    <row r="3" spans="1:30">
      <c r="A3" s="139"/>
      <c r="B3" s="86"/>
      <c r="C3" s="869" t="s">
        <v>42</v>
      </c>
      <c r="D3" s="1159"/>
      <c r="E3" s="1159"/>
      <c r="F3" s="1159"/>
      <c r="G3" s="1159"/>
      <c r="H3" s="1159"/>
      <c r="I3" s="1159"/>
      <c r="J3" s="1159"/>
      <c r="K3" s="1159"/>
    </row>
    <row r="4" spans="1:30">
      <c r="A4" s="140"/>
      <c r="B4" s="141"/>
      <c r="C4" s="870" t="s">
        <v>585</v>
      </c>
      <c r="D4" s="1160"/>
      <c r="E4" s="1160"/>
      <c r="F4" s="1160"/>
      <c r="G4" s="1160"/>
      <c r="H4" s="1160"/>
      <c r="I4" s="1160"/>
      <c r="J4" s="1160"/>
      <c r="K4" s="1160"/>
    </row>
    <row r="5" spans="1:30">
      <c r="A5" s="2"/>
      <c r="B5" s="142"/>
      <c r="C5" s="871" t="s">
        <v>44</v>
      </c>
      <c r="D5" s="1159"/>
      <c r="E5" s="1159"/>
      <c r="F5" s="1159"/>
      <c r="G5" s="1159"/>
      <c r="H5" s="1159"/>
      <c r="I5" s="1159"/>
      <c r="J5" s="1159"/>
      <c r="K5" s="1159"/>
    </row>
    <row r="6" spans="1:30">
      <c r="A6" s="3" t="s">
        <v>45</v>
      </c>
      <c r="B6" s="4" t="s">
        <v>46</v>
      </c>
      <c r="C6" s="4" t="s">
        <v>47</v>
      </c>
      <c r="D6" s="4" t="s">
        <v>48</v>
      </c>
      <c r="E6" s="4" t="s">
        <v>49</v>
      </c>
      <c r="F6" s="459" t="s">
        <v>392</v>
      </c>
      <c r="G6" s="460" t="s">
        <v>393</v>
      </c>
      <c r="H6" s="5" t="s">
        <v>394</v>
      </c>
      <c r="I6" s="4" t="s">
        <v>395</v>
      </c>
      <c r="J6" s="159" t="s">
        <v>62</v>
      </c>
      <c r="K6" s="55" t="s">
        <v>63</v>
      </c>
      <c r="L6" s="253" t="s">
        <v>64</v>
      </c>
    </row>
    <row r="7" spans="1:30">
      <c r="A7" s="39" t="s">
        <v>65</v>
      </c>
      <c r="B7" s="62" t="s">
        <v>66</v>
      </c>
      <c r="C7" s="15">
        <v>1</v>
      </c>
      <c r="D7" s="41" t="s">
        <v>75</v>
      </c>
      <c r="E7" s="41" t="s">
        <v>586</v>
      </c>
      <c r="F7" s="67">
        <v>6.54</v>
      </c>
      <c r="G7" s="67">
        <v>2.95</v>
      </c>
      <c r="H7" s="67">
        <v>4.83</v>
      </c>
      <c r="I7" s="67">
        <v>4.83</v>
      </c>
      <c r="J7" s="154">
        <f t="shared" ref="J7:J36" si="0">IFERROR(AVERAGE(F7:I7), 0)</f>
        <v>4.7874999999999996</v>
      </c>
      <c r="K7" s="182">
        <v>5</v>
      </c>
      <c r="L7" s="248" t="s">
        <v>587</v>
      </c>
      <c r="P7" s="843" t="s">
        <v>70</v>
      </c>
      <c r="Q7" s="843"/>
      <c r="R7" s="843"/>
      <c r="S7" s="843"/>
      <c r="T7" s="843"/>
      <c r="U7" s="843"/>
      <c r="V7" s="843"/>
      <c r="W7" s="843"/>
      <c r="X7" s="843"/>
      <c r="Y7" s="843"/>
      <c r="Z7" s="843"/>
      <c r="AA7" s="843"/>
      <c r="AB7" s="843"/>
      <c r="AC7" s="843"/>
      <c r="AD7" s="843"/>
    </row>
    <row r="8" spans="1:30">
      <c r="A8" s="9"/>
      <c r="B8" s="63" t="s">
        <v>66</v>
      </c>
      <c r="C8" s="11">
        <v>2</v>
      </c>
      <c r="D8" s="156" t="s">
        <v>588</v>
      </c>
      <c r="E8" s="156" t="s">
        <v>589</v>
      </c>
      <c r="F8" s="57">
        <v>4.82</v>
      </c>
      <c r="G8" s="57">
        <v>3.1</v>
      </c>
      <c r="H8" s="57">
        <v>4.8099999999999996</v>
      </c>
      <c r="I8" s="57">
        <v>4.8099999999999996</v>
      </c>
      <c r="J8" s="35">
        <f t="shared" si="0"/>
        <v>4.3849999999999998</v>
      </c>
      <c r="K8" s="14">
        <v>5</v>
      </c>
      <c r="L8" s="248" t="s">
        <v>590</v>
      </c>
      <c r="P8" s="843" t="s">
        <v>74</v>
      </c>
      <c r="Q8" s="843"/>
      <c r="R8" s="843"/>
      <c r="S8" s="843"/>
      <c r="T8" s="843"/>
      <c r="U8" s="843"/>
      <c r="V8" s="843"/>
      <c r="W8" s="843"/>
      <c r="X8" s="843"/>
      <c r="Y8" s="843"/>
      <c r="Z8" s="843"/>
      <c r="AA8" s="843"/>
      <c r="AB8" s="843"/>
      <c r="AC8" s="843"/>
      <c r="AD8" s="843"/>
    </row>
    <row r="9" spans="1:30">
      <c r="A9" s="9"/>
      <c r="B9" s="63" t="s">
        <v>66</v>
      </c>
      <c r="C9" s="11">
        <v>3</v>
      </c>
      <c r="D9" s="156" t="s">
        <v>591</v>
      </c>
      <c r="E9" s="156" t="s">
        <v>592</v>
      </c>
      <c r="F9" s="57">
        <v>4.82</v>
      </c>
      <c r="G9" s="57">
        <v>3.15</v>
      </c>
      <c r="H9" s="57">
        <v>4.79</v>
      </c>
      <c r="I9" s="57">
        <v>4.79</v>
      </c>
      <c r="J9" s="35">
        <f t="shared" si="0"/>
        <v>4.3875000000000002</v>
      </c>
      <c r="K9" s="14">
        <v>5</v>
      </c>
      <c r="L9" s="248" t="s">
        <v>593</v>
      </c>
      <c r="P9" s="848"/>
      <c r="Q9" s="848"/>
      <c r="R9" s="848"/>
      <c r="S9" s="848"/>
      <c r="T9" s="848"/>
      <c r="U9" s="848" t="s">
        <v>78</v>
      </c>
      <c r="V9" s="848"/>
      <c r="W9" s="848"/>
      <c r="X9" s="848"/>
      <c r="Y9" s="848"/>
      <c r="Z9" s="848"/>
      <c r="AA9" s="848"/>
      <c r="AB9" s="848"/>
      <c r="AC9" s="848"/>
      <c r="AD9" s="848"/>
    </row>
    <row r="10" spans="1:30">
      <c r="A10" s="9"/>
      <c r="B10" s="63" t="s">
        <v>66</v>
      </c>
      <c r="C10" s="11">
        <v>4</v>
      </c>
      <c r="D10" s="156" t="s">
        <v>594</v>
      </c>
      <c r="E10" s="156" t="s">
        <v>595</v>
      </c>
      <c r="F10" s="57">
        <v>4.4800000000000004</v>
      </c>
      <c r="G10" s="57">
        <v>3.05</v>
      </c>
      <c r="H10" s="57">
        <v>4.99</v>
      </c>
      <c r="I10" s="57">
        <v>4.99</v>
      </c>
      <c r="J10" s="35">
        <f t="shared" si="0"/>
        <v>4.3774999999999995</v>
      </c>
      <c r="K10" s="14">
        <v>5</v>
      </c>
      <c r="L10" s="248" t="s">
        <v>596</v>
      </c>
      <c r="P10" s="14" t="s">
        <v>82</v>
      </c>
      <c r="Q10" s="14" t="s">
        <v>83</v>
      </c>
      <c r="R10" s="14" t="s">
        <v>84</v>
      </c>
      <c r="S10" s="14" t="s">
        <v>85</v>
      </c>
      <c r="T10" s="14" t="s">
        <v>86</v>
      </c>
      <c r="U10" s="14" t="s">
        <v>4</v>
      </c>
      <c r="V10" s="14" t="s">
        <v>5</v>
      </c>
      <c r="W10" s="14" t="s">
        <v>6</v>
      </c>
      <c r="X10" s="14" t="s">
        <v>7</v>
      </c>
      <c r="Y10" s="14" t="s">
        <v>8</v>
      </c>
      <c r="Z10" s="14" t="s">
        <v>9</v>
      </c>
      <c r="AA10" s="14" t="s">
        <v>10</v>
      </c>
      <c r="AB10" s="14" t="s">
        <v>11</v>
      </c>
      <c r="AC10" s="14" t="s">
        <v>12</v>
      </c>
      <c r="AD10" s="14" t="s">
        <v>13</v>
      </c>
    </row>
    <row r="11" spans="1:30">
      <c r="A11" s="9"/>
      <c r="B11" s="63" t="s">
        <v>66</v>
      </c>
      <c r="C11" s="11">
        <v>5</v>
      </c>
      <c r="D11" s="156" t="s">
        <v>597</v>
      </c>
      <c r="E11" s="156" t="s">
        <v>598</v>
      </c>
      <c r="F11" s="57">
        <v>5.26</v>
      </c>
      <c r="G11" s="57">
        <v>2.95</v>
      </c>
      <c r="H11" s="57">
        <v>4.8499999999999996</v>
      </c>
      <c r="I11" s="57">
        <v>4.8499999999999996</v>
      </c>
      <c r="J11" s="35">
        <f t="shared" si="0"/>
        <v>4.4775</v>
      </c>
      <c r="K11" s="14">
        <v>5</v>
      </c>
      <c r="L11" s="248" t="s">
        <v>599</v>
      </c>
      <c r="P11" s="909" t="s">
        <v>600</v>
      </c>
      <c r="Q11" s="909" t="s">
        <v>585</v>
      </c>
      <c r="R11" s="909" t="s">
        <v>16</v>
      </c>
      <c r="S11" s="32">
        <v>1</v>
      </c>
      <c r="T11" s="14" t="s">
        <v>75</v>
      </c>
      <c r="U11" s="33">
        <f>AVERAGE(F7:G7)</f>
        <v>4.7450000000000001</v>
      </c>
      <c r="V11" s="47">
        <f>AVERAGE(F12:G12)</f>
        <v>5</v>
      </c>
      <c r="W11" s="47">
        <f>AVERAGE(F17:G17)</f>
        <v>44.5</v>
      </c>
      <c r="X11" s="33">
        <f>AVERAGE(F22:G22)</f>
        <v>7.3149999999999995</v>
      </c>
      <c r="Y11" s="33">
        <f>AVERAGE(F27:G27)</f>
        <v>29.1</v>
      </c>
      <c r="Z11" s="47">
        <f>AVERAGE(F32:G32)</f>
        <v>25</v>
      </c>
      <c r="AA11" s="47">
        <f>GEOMEAN(F37:G37)</f>
        <v>7341.661937191061</v>
      </c>
      <c r="AB11" s="34">
        <f>AVERAGE(F42:G42)</f>
        <v>1.2850000000000001</v>
      </c>
      <c r="AC11" s="34">
        <f>AVERAGE(F47:G47)</f>
        <v>0.1195</v>
      </c>
      <c r="AD11" s="47">
        <f>AVERAGE(F52:G52)</f>
        <v>34.5</v>
      </c>
    </row>
    <row r="12" spans="1:30">
      <c r="A12" s="9"/>
      <c r="B12" s="174" t="s">
        <v>91</v>
      </c>
      <c r="C12" s="15">
        <v>1</v>
      </c>
      <c r="D12" s="41" t="s">
        <v>75</v>
      </c>
      <c r="E12" s="41" t="s">
        <v>586</v>
      </c>
      <c r="F12" s="67">
        <v>5</v>
      </c>
      <c r="G12" s="67">
        <v>5</v>
      </c>
      <c r="H12" s="67">
        <v>3</v>
      </c>
      <c r="I12" s="67">
        <v>3</v>
      </c>
      <c r="J12" s="48">
        <f t="shared" si="0"/>
        <v>4</v>
      </c>
      <c r="K12" s="8">
        <v>7</v>
      </c>
      <c r="L12" s="248" t="s">
        <v>587</v>
      </c>
      <c r="P12" s="910"/>
      <c r="Q12" s="910"/>
      <c r="R12" s="910"/>
      <c r="S12" s="32">
        <v>2</v>
      </c>
      <c r="T12" s="14" t="s">
        <v>588</v>
      </c>
      <c r="U12" s="33">
        <f>AVERAGE(F8:G8)</f>
        <v>3.96</v>
      </c>
      <c r="V12" s="47">
        <f>AVERAGE(F13:G13)</f>
        <v>5</v>
      </c>
      <c r="W12" s="47">
        <f>AVERAGE(F18:G18)</f>
        <v>45.5</v>
      </c>
      <c r="X12" s="33">
        <f>AVERAGE(F23:G23)</f>
        <v>7.3</v>
      </c>
      <c r="Y12" s="33">
        <f>AVERAGE(F28:G28)</f>
        <v>28.9</v>
      </c>
      <c r="Z12" s="47">
        <f>AVERAGE(F33:G33)</f>
        <v>25</v>
      </c>
      <c r="AA12" s="47">
        <f>GEOMEAN(F38:G38)</f>
        <v>16266.530054071151</v>
      </c>
      <c r="AB12" s="34">
        <f>AVERAGE(F43:G43)</f>
        <v>1.327</v>
      </c>
      <c r="AC12" s="34">
        <f>AVERAGE(F48:G48)</f>
        <v>0.13850000000000001</v>
      </c>
      <c r="AD12" s="47">
        <f>AVERAGE(F53:G53)</f>
        <v>33.5</v>
      </c>
    </row>
    <row r="13" spans="1:30">
      <c r="A13" s="9"/>
      <c r="B13" s="63" t="s">
        <v>91</v>
      </c>
      <c r="C13" s="11">
        <v>2</v>
      </c>
      <c r="D13" s="156" t="s">
        <v>588</v>
      </c>
      <c r="E13" s="156" t="s">
        <v>589</v>
      </c>
      <c r="F13" s="57">
        <v>5</v>
      </c>
      <c r="G13" s="57">
        <v>5</v>
      </c>
      <c r="H13" s="57">
        <v>2</v>
      </c>
      <c r="I13" s="57">
        <v>3</v>
      </c>
      <c r="J13" s="35">
        <f t="shared" si="0"/>
        <v>3.75</v>
      </c>
      <c r="K13" s="14">
        <v>7</v>
      </c>
      <c r="L13" s="248" t="s">
        <v>590</v>
      </c>
      <c r="P13" s="910"/>
      <c r="Q13" s="910"/>
      <c r="R13" s="910"/>
      <c r="S13" s="32">
        <v>3</v>
      </c>
      <c r="T13" s="14" t="s">
        <v>591</v>
      </c>
      <c r="U13" s="33">
        <f>AVERAGE(F9:G9)</f>
        <v>3.9850000000000003</v>
      </c>
      <c r="V13" s="47">
        <f>AVERAGE(F14:G14)</f>
        <v>4.5</v>
      </c>
      <c r="W13" s="47">
        <f>AVERAGE(F19:G19)</f>
        <v>40.5</v>
      </c>
      <c r="X13" s="33">
        <f>AVERAGE(F24:G24)</f>
        <v>7.2549999999999999</v>
      </c>
      <c r="Y13" s="33">
        <f>AVERAGE(F29:G29)</f>
        <v>29</v>
      </c>
      <c r="Z13" s="47">
        <f>AVERAGE(F34:G34)</f>
        <v>22.5</v>
      </c>
      <c r="AA13" s="47">
        <f>GEOMEAN(F39:G39)</f>
        <v>24392.621835300935</v>
      </c>
      <c r="AB13" s="34">
        <f>AVERAGE(F44:G44)</f>
        <v>0.95500000000000007</v>
      </c>
      <c r="AC13" s="34">
        <f>AVERAGE(F49:G49)</f>
        <v>0.16549999999999998</v>
      </c>
      <c r="AD13" s="47">
        <f>AVERAGE(F54:G54)</f>
        <v>172</v>
      </c>
    </row>
    <row r="14" spans="1:30">
      <c r="A14" s="9"/>
      <c r="B14" s="63" t="s">
        <v>91</v>
      </c>
      <c r="C14" s="11">
        <v>3</v>
      </c>
      <c r="D14" s="156" t="s">
        <v>591</v>
      </c>
      <c r="E14" s="156" t="s">
        <v>592</v>
      </c>
      <c r="F14" s="57">
        <v>5</v>
      </c>
      <c r="G14" s="57">
        <v>4</v>
      </c>
      <c r="H14" s="57">
        <v>3</v>
      </c>
      <c r="I14" s="57">
        <v>7</v>
      </c>
      <c r="J14" s="35">
        <f t="shared" si="0"/>
        <v>4.75</v>
      </c>
      <c r="K14" s="14">
        <v>7</v>
      </c>
      <c r="L14" s="248" t="s">
        <v>593</v>
      </c>
      <c r="P14" s="910"/>
      <c r="Q14" s="910"/>
      <c r="R14" s="910"/>
      <c r="S14" s="32">
        <v>4</v>
      </c>
      <c r="T14" s="14" t="s">
        <v>594</v>
      </c>
      <c r="U14" s="33">
        <f>AVERAGE(F10:G10)</f>
        <v>3.7650000000000001</v>
      </c>
      <c r="V14" s="47">
        <f>AVERAGE(F15:G15)</f>
        <v>4.5</v>
      </c>
      <c r="W14" s="47">
        <f>AVERAGE(F20:G20)</f>
        <v>39.5</v>
      </c>
      <c r="X14" s="33">
        <f>AVERAGE(F25:G25)</f>
        <v>7.2450000000000001</v>
      </c>
      <c r="Y14" s="33">
        <f>AVERAGE(F30:G30)</f>
        <v>28.5</v>
      </c>
      <c r="Z14" s="47">
        <f>AVERAGE(F35:G35)</f>
        <v>22.5</v>
      </c>
      <c r="AA14" s="47">
        <f>GEOMEAN(F40:G40)</f>
        <v>30298.514815086233</v>
      </c>
      <c r="AB14" s="34">
        <f>AVERAGE(F45:G45)</f>
        <v>0.80249999999999999</v>
      </c>
      <c r="AC14" s="34">
        <f>AVERAGE(F50:G50)</f>
        <v>0.17150000000000001</v>
      </c>
      <c r="AD14" s="47">
        <f>AVERAGE(F55:G55)</f>
        <v>225</v>
      </c>
    </row>
    <row r="15" spans="1:30">
      <c r="A15" s="9"/>
      <c r="B15" s="63" t="s">
        <v>91</v>
      </c>
      <c r="C15" s="11">
        <v>4</v>
      </c>
      <c r="D15" s="156" t="s">
        <v>594</v>
      </c>
      <c r="E15" s="156" t="s">
        <v>595</v>
      </c>
      <c r="F15" s="57">
        <v>6</v>
      </c>
      <c r="G15" s="57">
        <v>3</v>
      </c>
      <c r="H15" s="57">
        <v>4</v>
      </c>
      <c r="I15" s="57">
        <v>5</v>
      </c>
      <c r="J15" s="35">
        <f t="shared" si="0"/>
        <v>4.5</v>
      </c>
      <c r="K15" s="14">
        <v>7</v>
      </c>
      <c r="L15" s="248" t="s">
        <v>596</v>
      </c>
      <c r="P15" s="911"/>
      <c r="Q15" s="911"/>
      <c r="R15" s="911"/>
      <c r="S15" s="32">
        <v>5</v>
      </c>
      <c r="T15" s="14" t="s">
        <v>597</v>
      </c>
      <c r="U15" s="33">
        <f>AVERAGE(F11:G11)</f>
        <v>4.1050000000000004</v>
      </c>
      <c r="V15" s="47">
        <f>AVERAGE(F16:G16)</f>
        <v>4</v>
      </c>
      <c r="W15" s="47">
        <f>AVERAGE(F21:G21)</f>
        <v>39</v>
      </c>
      <c r="X15" s="33">
        <f>AVERAGE(F26:G26)</f>
        <v>7.2949999999999999</v>
      </c>
      <c r="Y15" s="33">
        <f>AVERAGE(F31:G31)</f>
        <v>28.95</v>
      </c>
      <c r="Z15" s="47">
        <f>AVERAGE(F36:G36)</f>
        <v>25</v>
      </c>
      <c r="AA15" s="47">
        <f>GEOMEAN(F41:G41)</f>
        <v>19442.22209522358</v>
      </c>
      <c r="AB15" s="34">
        <f>AVERAGE(F46:G46)</f>
        <v>0.88400000000000001</v>
      </c>
      <c r="AC15" s="34">
        <f>AVERAGE(F51:G51)</f>
        <v>0.14799999999999999</v>
      </c>
      <c r="AD15" s="47">
        <f>AVERAGE(F56:G56)</f>
        <v>224</v>
      </c>
    </row>
    <row r="16" spans="1:30">
      <c r="A16" s="9"/>
      <c r="B16" s="63" t="s">
        <v>91</v>
      </c>
      <c r="C16" s="11">
        <v>5</v>
      </c>
      <c r="D16" s="156" t="s">
        <v>597</v>
      </c>
      <c r="E16" s="156" t="s">
        <v>598</v>
      </c>
      <c r="F16" s="57">
        <v>6</v>
      </c>
      <c r="G16" s="57">
        <v>2</v>
      </c>
      <c r="H16" s="57">
        <v>4</v>
      </c>
      <c r="I16" s="57">
        <v>4</v>
      </c>
      <c r="J16" s="35">
        <f t="shared" si="0"/>
        <v>4</v>
      </c>
      <c r="K16" s="14">
        <v>7</v>
      </c>
      <c r="L16" s="248" t="s">
        <v>599</v>
      </c>
      <c r="P16" s="844"/>
      <c r="Q16" s="845"/>
      <c r="R16" s="845"/>
      <c r="S16" s="845"/>
      <c r="T16" s="845"/>
      <c r="U16" s="845"/>
      <c r="V16" s="845"/>
      <c r="W16" s="845"/>
      <c r="X16" s="845"/>
      <c r="Y16" s="845"/>
      <c r="Z16" s="845"/>
      <c r="AA16" s="845"/>
      <c r="AB16" s="845"/>
      <c r="AC16" s="845"/>
      <c r="AD16" s="846"/>
    </row>
    <row r="17" spans="1:31">
      <c r="A17" s="9"/>
      <c r="B17" s="174" t="s">
        <v>92</v>
      </c>
      <c r="C17" s="15">
        <v>1</v>
      </c>
      <c r="D17" s="41" t="s">
        <v>75</v>
      </c>
      <c r="E17" s="41" t="s">
        <v>586</v>
      </c>
      <c r="F17" s="67">
        <v>25</v>
      </c>
      <c r="G17" s="67">
        <v>64</v>
      </c>
      <c r="H17" s="67">
        <v>59</v>
      </c>
      <c r="I17" s="67">
        <v>19</v>
      </c>
      <c r="J17" s="48">
        <f t="shared" si="0"/>
        <v>41.75</v>
      </c>
      <c r="K17" s="8">
        <v>80</v>
      </c>
      <c r="L17" s="248" t="s">
        <v>587</v>
      </c>
      <c r="P17" s="14" t="s">
        <v>93</v>
      </c>
      <c r="Q17" s="961"/>
      <c r="R17" s="962"/>
      <c r="S17" s="962"/>
      <c r="T17" s="963"/>
      <c r="U17" s="33">
        <f t="shared" ref="U17:AD17" si="1">AVERAGE(U11:U15)</f>
        <v>4.1120000000000001</v>
      </c>
      <c r="V17" s="47">
        <f t="shared" si="1"/>
        <v>4.5999999999999996</v>
      </c>
      <c r="W17" s="47">
        <f t="shared" si="1"/>
        <v>41.8</v>
      </c>
      <c r="X17" s="33">
        <f t="shared" si="1"/>
        <v>7.2819999999999991</v>
      </c>
      <c r="Y17" s="33">
        <f t="shared" si="1"/>
        <v>28.889999999999997</v>
      </c>
      <c r="Z17" s="47">
        <f t="shared" si="1"/>
        <v>24</v>
      </c>
      <c r="AA17" s="47">
        <f t="shared" si="1"/>
        <v>19548.310147374592</v>
      </c>
      <c r="AB17" s="34">
        <f t="shared" si="1"/>
        <v>1.0507000000000002</v>
      </c>
      <c r="AC17" s="34">
        <f t="shared" si="1"/>
        <v>0.14860000000000001</v>
      </c>
      <c r="AD17" s="47">
        <f t="shared" si="1"/>
        <v>137.80000000000001</v>
      </c>
    </row>
    <row r="18" spans="1:31">
      <c r="A18" s="9"/>
      <c r="B18" s="63" t="s">
        <v>92</v>
      </c>
      <c r="C18" s="11">
        <v>2</v>
      </c>
      <c r="D18" s="156" t="s">
        <v>588</v>
      </c>
      <c r="E18" s="156" t="s">
        <v>589</v>
      </c>
      <c r="F18" s="57">
        <v>34</v>
      </c>
      <c r="G18" s="57">
        <v>57</v>
      </c>
      <c r="H18" s="57">
        <v>109</v>
      </c>
      <c r="I18" s="57">
        <v>22</v>
      </c>
      <c r="J18" s="35">
        <f t="shared" si="0"/>
        <v>55.5</v>
      </c>
      <c r="K18" s="14">
        <v>80</v>
      </c>
      <c r="L18" s="248" t="s">
        <v>590</v>
      </c>
      <c r="P18" s="14" t="s">
        <v>94</v>
      </c>
      <c r="Q18" s="964"/>
      <c r="R18" s="965"/>
      <c r="S18" s="965"/>
      <c r="T18" s="966"/>
      <c r="U18" s="33">
        <f t="shared" ref="U18:AD18" si="2">MIN(U11:U15)</f>
        <v>3.7650000000000001</v>
      </c>
      <c r="V18" s="47">
        <f t="shared" si="2"/>
        <v>4</v>
      </c>
      <c r="W18" s="47">
        <f t="shared" si="2"/>
        <v>39</v>
      </c>
      <c r="X18" s="33">
        <f t="shared" si="2"/>
        <v>7.2450000000000001</v>
      </c>
      <c r="Y18" s="33">
        <f t="shared" si="2"/>
        <v>28.5</v>
      </c>
      <c r="Z18" s="47">
        <f t="shared" si="2"/>
        <v>22.5</v>
      </c>
      <c r="AA18" s="47">
        <f t="shared" si="2"/>
        <v>7341.661937191061</v>
      </c>
      <c r="AB18" s="34">
        <f t="shared" si="2"/>
        <v>0.80249999999999999</v>
      </c>
      <c r="AC18" s="34">
        <f t="shared" si="2"/>
        <v>0.1195</v>
      </c>
      <c r="AD18" s="47">
        <f t="shared" si="2"/>
        <v>33.5</v>
      </c>
    </row>
    <row r="19" spans="1:31">
      <c r="A19" s="9"/>
      <c r="B19" s="63" t="s">
        <v>92</v>
      </c>
      <c r="C19" s="11">
        <v>3</v>
      </c>
      <c r="D19" s="156" t="s">
        <v>591</v>
      </c>
      <c r="E19" s="156" t="s">
        <v>592</v>
      </c>
      <c r="F19" s="57">
        <v>23</v>
      </c>
      <c r="G19" s="57">
        <v>58</v>
      </c>
      <c r="H19" s="57">
        <v>61</v>
      </c>
      <c r="I19" s="57">
        <v>24</v>
      </c>
      <c r="J19" s="35">
        <f t="shared" si="0"/>
        <v>41.5</v>
      </c>
      <c r="K19" s="14">
        <v>80</v>
      </c>
      <c r="L19" s="248" t="s">
        <v>593</v>
      </c>
      <c r="P19" s="14" t="s">
        <v>95</v>
      </c>
      <c r="Q19" s="964"/>
      <c r="R19" s="965"/>
      <c r="S19" s="965"/>
      <c r="T19" s="966"/>
      <c r="U19" s="33">
        <f t="shared" ref="U19:AD19" si="3">MAX(U11:U15)</f>
        <v>4.7450000000000001</v>
      </c>
      <c r="V19" s="47">
        <f t="shared" si="3"/>
        <v>5</v>
      </c>
      <c r="W19" s="47">
        <f t="shared" si="3"/>
        <v>45.5</v>
      </c>
      <c r="X19" s="33">
        <f t="shared" si="3"/>
        <v>7.3149999999999995</v>
      </c>
      <c r="Y19" s="33">
        <f t="shared" si="3"/>
        <v>29.1</v>
      </c>
      <c r="Z19" s="47">
        <f t="shared" si="3"/>
        <v>25</v>
      </c>
      <c r="AA19" s="47">
        <f t="shared" si="3"/>
        <v>30298.514815086233</v>
      </c>
      <c r="AB19" s="34">
        <f t="shared" si="3"/>
        <v>1.327</v>
      </c>
      <c r="AC19" s="34">
        <f t="shared" si="3"/>
        <v>0.17150000000000001</v>
      </c>
      <c r="AD19" s="47">
        <f t="shared" si="3"/>
        <v>225</v>
      </c>
    </row>
    <row r="20" spans="1:31">
      <c r="A20" s="9"/>
      <c r="B20" s="63" t="s">
        <v>92</v>
      </c>
      <c r="C20" s="11">
        <v>4</v>
      </c>
      <c r="D20" s="156" t="s">
        <v>594</v>
      </c>
      <c r="E20" s="156" t="s">
        <v>595</v>
      </c>
      <c r="F20" s="57">
        <v>30</v>
      </c>
      <c r="G20" s="57">
        <v>49</v>
      </c>
      <c r="H20" s="57">
        <v>158</v>
      </c>
      <c r="I20" s="57">
        <v>39</v>
      </c>
      <c r="J20" s="35">
        <f t="shared" si="0"/>
        <v>69</v>
      </c>
      <c r="K20" s="14">
        <v>80</v>
      </c>
      <c r="L20" s="248" t="s">
        <v>596</v>
      </c>
      <c r="P20" s="14" t="s">
        <v>96</v>
      </c>
      <c r="Q20" s="967"/>
      <c r="R20" s="968"/>
      <c r="S20" s="968"/>
      <c r="T20" s="969"/>
      <c r="U20" s="29" t="s">
        <v>97</v>
      </c>
      <c r="V20" s="29" t="s">
        <v>98</v>
      </c>
      <c r="W20" s="29" t="s">
        <v>99</v>
      </c>
      <c r="X20" s="29" t="s">
        <v>100</v>
      </c>
      <c r="Y20" s="29" t="s">
        <v>101</v>
      </c>
      <c r="Z20" s="29" t="s">
        <v>102</v>
      </c>
      <c r="AA20" s="29" t="s">
        <v>103</v>
      </c>
      <c r="AB20" s="29" t="s">
        <v>98</v>
      </c>
      <c r="AC20" s="29" t="s">
        <v>104</v>
      </c>
      <c r="AD20" s="29" t="s">
        <v>105</v>
      </c>
    </row>
    <row r="21" spans="1:31" ht="15.75" customHeight="1">
      <c r="A21" s="9"/>
      <c r="B21" s="63" t="s">
        <v>92</v>
      </c>
      <c r="C21" s="11">
        <v>5</v>
      </c>
      <c r="D21" s="156" t="s">
        <v>597</v>
      </c>
      <c r="E21" s="156" t="s">
        <v>598</v>
      </c>
      <c r="F21" s="57">
        <v>33</v>
      </c>
      <c r="G21" s="57">
        <v>45</v>
      </c>
      <c r="H21" s="57">
        <v>75</v>
      </c>
      <c r="I21" s="57">
        <v>59</v>
      </c>
      <c r="J21" s="35">
        <f t="shared" si="0"/>
        <v>53</v>
      </c>
      <c r="K21" s="14">
        <v>80</v>
      </c>
      <c r="L21" s="248" t="s">
        <v>599</v>
      </c>
      <c r="P21" s="232"/>
      <c r="Q21" s="232"/>
      <c r="R21" s="232"/>
      <c r="S21" s="232"/>
      <c r="T21" s="232"/>
      <c r="U21" s="232" t="s">
        <v>601</v>
      </c>
      <c r="V21" s="232"/>
      <c r="W21" s="232"/>
      <c r="X21" s="232"/>
      <c r="Y21" s="232"/>
      <c r="Z21" s="232"/>
      <c r="AA21" s="232"/>
      <c r="AB21" s="232"/>
      <c r="AC21" s="232"/>
      <c r="AD21" s="232"/>
    </row>
    <row r="22" spans="1:31" ht="15.75" customHeight="1">
      <c r="A22" s="9"/>
      <c r="B22" s="174" t="s">
        <v>7</v>
      </c>
      <c r="C22" s="15">
        <v>1</v>
      </c>
      <c r="D22" s="41" t="s">
        <v>75</v>
      </c>
      <c r="E22" s="41" t="s">
        <v>586</v>
      </c>
      <c r="F22" s="67">
        <v>7.54</v>
      </c>
      <c r="G22" s="67">
        <v>7.09</v>
      </c>
      <c r="H22" s="67">
        <v>7.19</v>
      </c>
      <c r="I22" s="67">
        <v>7.19</v>
      </c>
      <c r="J22" s="48">
        <f t="shared" si="0"/>
        <v>7.2525000000000004</v>
      </c>
      <c r="K22" s="17" t="s">
        <v>106</v>
      </c>
      <c r="L22" s="248" t="s">
        <v>587</v>
      </c>
    </row>
    <row r="23" spans="1:31" ht="15.75" customHeight="1">
      <c r="A23" s="9"/>
      <c r="B23" s="63" t="s">
        <v>7</v>
      </c>
      <c r="C23" s="11">
        <v>2</v>
      </c>
      <c r="D23" s="156" t="s">
        <v>588</v>
      </c>
      <c r="E23" s="156" t="s">
        <v>589</v>
      </c>
      <c r="F23" s="57">
        <v>7.55</v>
      </c>
      <c r="G23" s="57">
        <v>7.05</v>
      </c>
      <c r="H23" s="57">
        <v>7.15</v>
      </c>
      <c r="I23" s="57">
        <v>7.15</v>
      </c>
      <c r="J23" s="35">
        <f t="shared" si="0"/>
        <v>7.2249999999999996</v>
      </c>
      <c r="K23" s="18" t="s">
        <v>106</v>
      </c>
      <c r="L23" s="248" t="s">
        <v>590</v>
      </c>
    </row>
    <row r="24" spans="1:31" ht="15.75" customHeight="1">
      <c r="A24" s="9"/>
      <c r="B24" s="63" t="s">
        <v>7</v>
      </c>
      <c r="C24" s="11">
        <v>3</v>
      </c>
      <c r="D24" s="156" t="s">
        <v>591</v>
      </c>
      <c r="E24" s="156" t="s">
        <v>592</v>
      </c>
      <c r="F24" s="57">
        <v>7.43</v>
      </c>
      <c r="G24" s="57">
        <v>7.08</v>
      </c>
      <c r="H24" s="57">
        <v>7.2</v>
      </c>
      <c r="I24" s="57">
        <v>7.2</v>
      </c>
      <c r="J24" s="35">
        <f t="shared" si="0"/>
        <v>7.2275</v>
      </c>
      <c r="K24" s="18" t="s">
        <v>106</v>
      </c>
      <c r="L24" s="248" t="s">
        <v>593</v>
      </c>
      <c r="P24" s="232"/>
      <c r="Q24" s="232"/>
      <c r="R24" s="232"/>
      <c r="S24" s="232"/>
      <c r="T24" s="232"/>
      <c r="U24" s="232"/>
      <c r="V24" s="232"/>
      <c r="W24" s="232"/>
      <c r="X24" s="232"/>
      <c r="Y24" s="232"/>
      <c r="Z24" s="232"/>
      <c r="AA24" s="232"/>
      <c r="AB24" s="232"/>
      <c r="AC24" s="232"/>
      <c r="AD24" s="232"/>
    </row>
    <row r="25" spans="1:31" ht="15.75" customHeight="1">
      <c r="A25" s="9"/>
      <c r="B25" s="63" t="s">
        <v>7</v>
      </c>
      <c r="C25" s="11">
        <v>4</v>
      </c>
      <c r="D25" s="156" t="s">
        <v>594</v>
      </c>
      <c r="E25" s="156" t="s">
        <v>595</v>
      </c>
      <c r="F25" s="57">
        <v>7.38</v>
      </c>
      <c r="G25" s="57">
        <v>7.11</v>
      </c>
      <c r="H25" s="57">
        <v>7.18</v>
      </c>
      <c r="I25" s="57">
        <v>7.18</v>
      </c>
      <c r="J25" s="35">
        <f t="shared" si="0"/>
        <v>7.2125000000000004</v>
      </c>
      <c r="K25" s="18" t="s">
        <v>106</v>
      </c>
      <c r="L25" s="248" t="s">
        <v>596</v>
      </c>
      <c r="O25" s="232"/>
      <c r="P25" s="849" t="s">
        <v>70</v>
      </c>
      <c r="Q25" s="850"/>
      <c r="R25" s="850"/>
      <c r="S25" s="850"/>
      <c r="T25" s="850"/>
      <c r="U25" s="850"/>
      <c r="V25" s="850"/>
      <c r="W25" s="850"/>
      <c r="X25" s="850"/>
      <c r="Y25" s="850"/>
      <c r="Z25" s="850"/>
      <c r="AA25" s="850"/>
      <c r="AB25" s="850"/>
      <c r="AC25" s="850"/>
      <c r="AD25" s="851"/>
      <c r="AE25" s="232"/>
    </row>
    <row r="26" spans="1:31" ht="15.75" customHeight="1">
      <c r="A26" s="9"/>
      <c r="B26" s="63" t="s">
        <v>7</v>
      </c>
      <c r="C26" s="11">
        <v>5</v>
      </c>
      <c r="D26" s="156" t="s">
        <v>597</v>
      </c>
      <c r="E26" s="156" t="s">
        <v>598</v>
      </c>
      <c r="F26" s="57">
        <v>7.5</v>
      </c>
      <c r="G26" s="57">
        <v>7.09</v>
      </c>
      <c r="H26" s="57">
        <v>7.25</v>
      </c>
      <c r="I26" s="57">
        <v>7.25</v>
      </c>
      <c r="J26" s="35">
        <f t="shared" si="0"/>
        <v>7.2725</v>
      </c>
      <c r="K26" s="18" t="s">
        <v>106</v>
      </c>
      <c r="L26" s="248" t="s">
        <v>599</v>
      </c>
      <c r="O26" s="232"/>
      <c r="P26" s="852" t="s">
        <v>107</v>
      </c>
      <c r="Q26" s="853"/>
      <c r="R26" s="853"/>
      <c r="S26" s="853"/>
      <c r="T26" s="853"/>
      <c r="U26" s="853"/>
      <c r="V26" s="853"/>
      <c r="W26" s="853"/>
      <c r="X26" s="853"/>
      <c r="Y26" s="853"/>
      <c r="Z26" s="853"/>
      <c r="AA26" s="853"/>
      <c r="AB26" s="853"/>
      <c r="AC26" s="853"/>
      <c r="AD26" s="854"/>
      <c r="AE26" s="232"/>
    </row>
    <row r="27" spans="1:31" ht="15.75" customHeight="1">
      <c r="A27" s="9"/>
      <c r="B27" s="174" t="s">
        <v>108</v>
      </c>
      <c r="C27" s="15">
        <v>1</v>
      </c>
      <c r="D27" s="41" t="s">
        <v>75</v>
      </c>
      <c r="E27" s="41" t="s">
        <v>586</v>
      </c>
      <c r="F27" s="67">
        <v>29.1</v>
      </c>
      <c r="G27" s="67">
        <v>29.1</v>
      </c>
      <c r="H27" s="67">
        <v>29.1</v>
      </c>
      <c r="I27" s="67">
        <v>29.1</v>
      </c>
      <c r="J27" s="48">
        <f t="shared" si="0"/>
        <v>29.1</v>
      </c>
      <c r="K27" s="17" t="s">
        <v>109</v>
      </c>
      <c r="L27" s="248" t="s">
        <v>587</v>
      </c>
      <c r="O27" s="232"/>
      <c r="P27" s="862"/>
      <c r="Q27" s="848"/>
      <c r="R27" s="848"/>
      <c r="S27" s="848"/>
      <c r="T27" s="848"/>
      <c r="U27" s="848" t="s">
        <v>78</v>
      </c>
      <c r="V27" s="1161"/>
      <c r="W27" s="1161"/>
      <c r="X27" s="1161"/>
      <c r="Y27" s="1161"/>
      <c r="Z27" s="1161"/>
      <c r="AA27" s="1161"/>
      <c r="AB27" s="1161"/>
      <c r="AC27" s="1161"/>
      <c r="AD27" s="1164"/>
      <c r="AE27" s="232"/>
    </row>
    <row r="28" spans="1:31" ht="15.75" customHeight="1">
      <c r="A28" s="9"/>
      <c r="B28" s="63" t="s">
        <v>108</v>
      </c>
      <c r="C28" s="11">
        <v>2</v>
      </c>
      <c r="D28" s="156" t="s">
        <v>588</v>
      </c>
      <c r="E28" s="156" t="s">
        <v>589</v>
      </c>
      <c r="F28" s="57">
        <v>28.7</v>
      </c>
      <c r="G28" s="57">
        <v>29.1</v>
      </c>
      <c r="H28" s="57">
        <v>28.9</v>
      </c>
      <c r="I28" s="57">
        <v>28.9</v>
      </c>
      <c r="J28" s="35">
        <f t="shared" si="0"/>
        <v>28.9</v>
      </c>
      <c r="K28" s="18" t="s">
        <v>109</v>
      </c>
      <c r="L28" s="248" t="s">
        <v>590</v>
      </c>
      <c r="O28" s="232"/>
      <c r="P28" s="657" t="s">
        <v>82</v>
      </c>
      <c r="Q28" s="14" t="s">
        <v>83</v>
      </c>
      <c r="R28" s="14" t="s">
        <v>84</v>
      </c>
      <c r="S28" s="14" t="s">
        <v>85</v>
      </c>
      <c r="T28" s="14" t="s">
        <v>86</v>
      </c>
      <c r="U28" s="14" t="s">
        <v>4</v>
      </c>
      <c r="V28" s="14" t="s">
        <v>5</v>
      </c>
      <c r="W28" s="14" t="s">
        <v>6</v>
      </c>
      <c r="X28" s="14" t="s">
        <v>7</v>
      </c>
      <c r="Y28" s="14" t="s">
        <v>8</v>
      </c>
      <c r="Z28" s="14" t="s">
        <v>9</v>
      </c>
      <c r="AA28" s="14" t="s">
        <v>10</v>
      </c>
      <c r="AB28" s="14" t="s">
        <v>11</v>
      </c>
      <c r="AC28" s="14" t="s">
        <v>12</v>
      </c>
      <c r="AD28" s="658" t="s">
        <v>13</v>
      </c>
      <c r="AE28" s="232"/>
    </row>
    <row r="29" spans="1:31" ht="15.75" customHeight="1">
      <c r="A29" s="9"/>
      <c r="B29" s="63" t="s">
        <v>108</v>
      </c>
      <c r="C29" s="11">
        <v>3</v>
      </c>
      <c r="D29" s="156" t="s">
        <v>591</v>
      </c>
      <c r="E29" s="156" t="s">
        <v>592</v>
      </c>
      <c r="F29" s="57">
        <v>28.9</v>
      </c>
      <c r="G29" s="57">
        <v>29.1</v>
      </c>
      <c r="H29" s="57">
        <v>28.6</v>
      </c>
      <c r="I29" s="57">
        <v>28.6</v>
      </c>
      <c r="J29" s="35">
        <f t="shared" si="0"/>
        <v>28.799999999999997</v>
      </c>
      <c r="K29" s="18" t="s">
        <v>109</v>
      </c>
      <c r="L29" s="248" t="s">
        <v>593</v>
      </c>
      <c r="O29" s="232"/>
      <c r="P29" s="865" t="s">
        <v>600</v>
      </c>
      <c r="Q29" s="847" t="s">
        <v>585</v>
      </c>
      <c r="R29" s="855" t="s">
        <v>16</v>
      </c>
      <c r="S29" s="32">
        <v>1</v>
      </c>
      <c r="T29" s="14" t="s">
        <v>75</v>
      </c>
      <c r="U29" s="35">
        <f>J7</f>
        <v>4.7874999999999996</v>
      </c>
      <c r="V29" s="35">
        <f>J12</f>
        <v>4</v>
      </c>
      <c r="W29" s="35">
        <f>J17</f>
        <v>41.75</v>
      </c>
      <c r="X29" s="35">
        <f>J22</f>
        <v>7.2525000000000004</v>
      </c>
      <c r="Y29" s="35">
        <f>J27</f>
        <v>29.1</v>
      </c>
      <c r="Z29" s="35">
        <f>J32</f>
        <v>21.25</v>
      </c>
      <c r="AA29" s="33">
        <f>J37</f>
        <v>5513.955062627696</v>
      </c>
      <c r="AB29" s="28">
        <f>J42</f>
        <v>0.89300000000000002</v>
      </c>
      <c r="AC29" s="28">
        <f>J47</f>
        <v>0.14174999999999999</v>
      </c>
      <c r="AD29" s="659">
        <f>J52</f>
        <v>23.5</v>
      </c>
      <c r="AE29" s="232"/>
    </row>
    <row r="30" spans="1:31" ht="15.75" customHeight="1">
      <c r="A30" s="9"/>
      <c r="B30" s="63" t="s">
        <v>108</v>
      </c>
      <c r="C30" s="11">
        <v>4</v>
      </c>
      <c r="D30" s="156" t="s">
        <v>594</v>
      </c>
      <c r="E30" s="156" t="s">
        <v>595</v>
      </c>
      <c r="F30" s="57">
        <v>27.9</v>
      </c>
      <c r="G30" s="57">
        <v>29.1</v>
      </c>
      <c r="H30" s="57">
        <v>28.6</v>
      </c>
      <c r="I30" s="57">
        <v>28.6</v>
      </c>
      <c r="J30" s="35">
        <f t="shared" si="0"/>
        <v>28.549999999999997</v>
      </c>
      <c r="K30" s="18" t="s">
        <v>109</v>
      </c>
      <c r="L30" s="248" t="s">
        <v>596</v>
      </c>
      <c r="O30" s="232"/>
      <c r="P30" s="865"/>
      <c r="Q30" s="847"/>
      <c r="R30" s="855"/>
      <c r="S30" s="32">
        <v>2</v>
      </c>
      <c r="T30" s="14" t="s">
        <v>588</v>
      </c>
      <c r="U30" s="35">
        <f>J8</f>
        <v>4.3849999999999998</v>
      </c>
      <c r="V30" s="35">
        <f>J13</f>
        <v>3.75</v>
      </c>
      <c r="W30" s="35">
        <f>J18</f>
        <v>55.5</v>
      </c>
      <c r="X30" s="35">
        <f>J23</f>
        <v>7.2249999999999996</v>
      </c>
      <c r="Y30" s="35">
        <f>J28</f>
        <v>28.9</v>
      </c>
      <c r="Z30" s="35">
        <f>J33</f>
        <v>21.25</v>
      </c>
      <c r="AA30" s="33">
        <f>J38</f>
        <v>7720.8739651798351</v>
      </c>
      <c r="AB30" s="28">
        <f>J43</f>
        <v>0.96575</v>
      </c>
      <c r="AC30" s="28">
        <f>J48</f>
        <v>0.18049999999999999</v>
      </c>
      <c r="AD30" s="659">
        <f>J53</f>
        <v>22.25</v>
      </c>
      <c r="AE30" s="232"/>
    </row>
    <row r="31" spans="1:31" ht="15.75" customHeight="1">
      <c r="A31" s="9"/>
      <c r="B31" s="63" t="s">
        <v>108</v>
      </c>
      <c r="C31" s="11">
        <v>5</v>
      </c>
      <c r="D31" s="156" t="s">
        <v>597</v>
      </c>
      <c r="E31" s="156" t="s">
        <v>598</v>
      </c>
      <c r="F31" s="57">
        <v>28.9</v>
      </c>
      <c r="G31" s="57">
        <v>29</v>
      </c>
      <c r="H31" s="57">
        <v>28.5</v>
      </c>
      <c r="I31" s="57">
        <v>28.5</v>
      </c>
      <c r="J31" s="35">
        <f t="shared" si="0"/>
        <v>28.725000000000001</v>
      </c>
      <c r="K31" s="18" t="s">
        <v>109</v>
      </c>
      <c r="L31" s="248" t="s">
        <v>599</v>
      </c>
      <c r="O31" s="232"/>
      <c r="P31" s="865"/>
      <c r="Q31" s="847"/>
      <c r="R31" s="855"/>
      <c r="S31" s="32">
        <v>3</v>
      </c>
      <c r="T31" s="14" t="s">
        <v>591</v>
      </c>
      <c r="U31" s="35">
        <f>J9</f>
        <v>4.3875000000000002</v>
      </c>
      <c r="V31" s="35">
        <f>J14</f>
        <v>4.75</v>
      </c>
      <c r="W31" s="35">
        <f>J19</f>
        <v>41.5</v>
      </c>
      <c r="X31" s="35">
        <f>J24</f>
        <v>7.2275</v>
      </c>
      <c r="Y31" s="35">
        <f>J29</f>
        <v>28.799999999999997</v>
      </c>
      <c r="Z31" s="35">
        <f>J34</f>
        <v>20</v>
      </c>
      <c r="AA31" s="33">
        <f>J39</f>
        <v>8578.0700711582103</v>
      </c>
      <c r="AB31" s="28">
        <f>J44</f>
        <v>0.78750000000000009</v>
      </c>
      <c r="AC31" s="28">
        <f>J49</f>
        <v>0.17699999999999999</v>
      </c>
      <c r="AD31" s="659">
        <f>J54</f>
        <v>90.75</v>
      </c>
      <c r="AE31" s="232"/>
    </row>
    <row r="32" spans="1:31" ht="15.75" customHeight="1">
      <c r="A32" s="9"/>
      <c r="B32" s="174" t="s">
        <v>110</v>
      </c>
      <c r="C32" s="15">
        <v>1</v>
      </c>
      <c r="D32" s="41" t="s">
        <v>75</v>
      </c>
      <c r="E32" s="41" t="s">
        <v>586</v>
      </c>
      <c r="F32" s="67">
        <v>15</v>
      </c>
      <c r="G32" s="67">
        <v>35</v>
      </c>
      <c r="H32" s="67">
        <v>20</v>
      </c>
      <c r="I32" s="67">
        <v>15</v>
      </c>
      <c r="J32" s="48">
        <f t="shared" si="0"/>
        <v>21.25</v>
      </c>
      <c r="K32" s="8">
        <v>75</v>
      </c>
      <c r="L32" s="248" t="s">
        <v>587</v>
      </c>
      <c r="O32" s="232"/>
      <c r="P32" s="865"/>
      <c r="Q32" s="847"/>
      <c r="R32" s="855"/>
      <c r="S32" s="32">
        <v>4</v>
      </c>
      <c r="T32" s="14" t="s">
        <v>594</v>
      </c>
      <c r="U32" s="35">
        <f>J10</f>
        <v>4.3774999999999995</v>
      </c>
      <c r="V32" s="35">
        <f>J15</f>
        <v>4.5</v>
      </c>
      <c r="W32" s="35">
        <f>J20</f>
        <v>69</v>
      </c>
      <c r="X32" s="35">
        <f>J25</f>
        <v>7.2125000000000004</v>
      </c>
      <c r="Y32" s="35">
        <f>J30</f>
        <v>28.549999999999997</v>
      </c>
      <c r="Z32" s="35">
        <f>J35</f>
        <v>20</v>
      </c>
      <c r="AA32" s="33">
        <f>J40</f>
        <v>11755.104765022466</v>
      </c>
      <c r="AB32" s="28">
        <f>J45</f>
        <v>0.65975000000000006</v>
      </c>
      <c r="AC32" s="28">
        <f>J50</f>
        <v>0.24225000000000002</v>
      </c>
      <c r="AD32" s="659">
        <f>J55</f>
        <v>131.75</v>
      </c>
      <c r="AE32" s="232"/>
    </row>
    <row r="33" spans="1:31" ht="15.75" customHeight="1">
      <c r="A33" s="9"/>
      <c r="B33" s="63" t="s">
        <v>110</v>
      </c>
      <c r="C33" s="11">
        <v>2</v>
      </c>
      <c r="D33" s="156" t="s">
        <v>588</v>
      </c>
      <c r="E33" s="156" t="s">
        <v>589</v>
      </c>
      <c r="F33" s="57">
        <v>15</v>
      </c>
      <c r="G33" s="57">
        <v>35</v>
      </c>
      <c r="H33" s="57">
        <v>20</v>
      </c>
      <c r="I33" s="57">
        <v>15</v>
      </c>
      <c r="J33" s="35">
        <f t="shared" si="0"/>
        <v>21.25</v>
      </c>
      <c r="K33" s="14">
        <v>75</v>
      </c>
      <c r="L33" s="248" t="s">
        <v>590</v>
      </c>
      <c r="O33" s="232"/>
      <c r="P33" s="865"/>
      <c r="Q33" s="847"/>
      <c r="R33" s="855"/>
      <c r="S33" s="32">
        <v>5</v>
      </c>
      <c r="T33" s="14" t="s">
        <v>597</v>
      </c>
      <c r="U33" s="35">
        <f>J11</f>
        <v>4.4775</v>
      </c>
      <c r="V33" s="35">
        <f>J16</f>
        <v>4</v>
      </c>
      <c r="W33" s="35">
        <f>J21</f>
        <v>53</v>
      </c>
      <c r="X33" s="35">
        <f>J26</f>
        <v>7.2725</v>
      </c>
      <c r="Y33" s="35">
        <f>J31</f>
        <v>28.725000000000001</v>
      </c>
      <c r="Z33" s="35">
        <f>J36</f>
        <v>20</v>
      </c>
      <c r="AA33" s="33">
        <f>J41</f>
        <v>6424.937788105568</v>
      </c>
      <c r="AB33" s="28">
        <f>J46</f>
        <v>0.68125000000000002</v>
      </c>
      <c r="AC33" s="28">
        <f>J51</f>
        <v>0.18325</v>
      </c>
      <c r="AD33" s="659">
        <f>J56</f>
        <v>129.75</v>
      </c>
      <c r="AE33" s="232"/>
    </row>
    <row r="34" spans="1:31" ht="15.75" customHeight="1">
      <c r="A34" s="9"/>
      <c r="B34" s="63" t="s">
        <v>110</v>
      </c>
      <c r="C34" s="11">
        <v>3</v>
      </c>
      <c r="D34" s="156" t="s">
        <v>591</v>
      </c>
      <c r="E34" s="156" t="s">
        <v>592</v>
      </c>
      <c r="F34" s="57">
        <v>15</v>
      </c>
      <c r="G34" s="57">
        <v>30</v>
      </c>
      <c r="H34" s="57">
        <v>20</v>
      </c>
      <c r="I34" s="57">
        <v>15</v>
      </c>
      <c r="J34" s="35">
        <f t="shared" si="0"/>
        <v>20</v>
      </c>
      <c r="K34" s="14">
        <v>75</v>
      </c>
      <c r="L34" s="248" t="s">
        <v>593</v>
      </c>
      <c r="O34" s="232"/>
      <c r="P34" s="863"/>
      <c r="Q34" s="845"/>
      <c r="R34" s="845"/>
      <c r="S34" s="845"/>
      <c r="T34" s="845"/>
      <c r="U34" s="845"/>
      <c r="V34" s="845"/>
      <c r="W34" s="845"/>
      <c r="X34" s="845"/>
      <c r="Y34" s="845"/>
      <c r="Z34" s="845"/>
      <c r="AA34" s="845"/>
      <c r="AB34" s="845"/>
      <c r="AC34" s="845"/>
      <c r="AD34" s="864"/>
      <c r="AE34" s="232"/>
    </row>
    <row r="35" spans="1:31" ht="15.75" customHeight="1">
      <c r="A35" s="9"/>
      <c r="B35" s="63" t="s">
        <v>110</v>
      </c>
      <c r="C35" s="11">
        <v>4</v>
      </c>
      <c r="D35" s="156" t="s">
        <v>594</v>
      </c>
      <c r="E35" s="156" t="s">
        <v>595</v>
      </c>
      <c r="F35" s="57">
        <v>15</v>
      </c>
      <c r="G35" s="57">
        <v>30</v>
      </c>
      <c r="H35" s="57">
        <v>20</v>
      </c>
      <c r="I35" s="57">
        <v>15</v>
      </c>
      <c r="J35" s="35">
        <f t="shared" si="0"/>
        <v>20</v>
      </c>
      <c r="K35" s="14">
        <v>75</v>
      </c>
      <c r="L35" s="248" t="s">
        <v>596</v>
      </c>
      <c r="O35" s="232"/>
      <c r="P35" s="657" t="s">
        <v>93</v>
      </c>
      <c r="Q35" s="1162"/>
      <c r="R35" s="1161"/>
      <c r="S35" s="1161"/>
      <c r="T35" s="1161"/>
      <c r="U35" s="35">
        <f t="shared" ref="U35:AD35" si="4">AVERAGE(U29:U33)</f>
        <v>4.4829999999999997</v>
      </c>
      <c r="V35" s="35">
        <f t="shared" si="4"/>
        <v>4.2</v>
      </c>
      <c r="W35" s="35">
        <f t="shared" si="4"/>
        <v>52.15</v>
      </c>
      <c r="X35" s="35">
        <f t="shared" si="4"/>
        <v>7.2379999999999995</v>
      </c>
      <c r="Y35" s="35">
        <f t="shared" si="4"/>
        <v>28.814999999999998</v>
      </c>
      <c r="Z35" s="35">
        <f t="shared" si="4"/>
        <v>20.5</v>
      </c>
      <c r="AA35" s="33">
        <f t="shared" si="4"/>
        <v>7998.5883304187546</v>
      </c>
      <c r="AB35" s="28">
        <f t="shared" si="4"/>
        <v>0.79744999999999999</v>
      </c>
      <c r="AC35" s="28">
        <f t="shared" si="4"/>
        <v>0.18495</v>
      </c>
      <c r="AD35" s="659">
        <f t="shared" si="4"/>
        <v>79.599999999999994</v>
      </c>
      <c r="AE35" s="232"/>
    </row>
    <row r="36" spans="1:31" ht="15.75" customHeight="1">
      <c r="A36" s="9"/>
      <c r="B36" s="63" t="s">
        <v>110</v>
      </c>
      <c r="C36" s="11">
        <v>5</v>
      </c>
      <c r="D36" s="156" t="s">
        <v>597</v>
      </c>
      <c r="E36" s="156" t="s">
        <v>598</v>
      </c>
      <c r="F36" s="57">
        <v>20</v>
      </c>
      <c r="G36" s="57">
        <v>30</v>
      </c>
      <c r="H36" s="57">
        <v>20</v>
      </c>
      <c r="I36" s="57">
        <v>10</v>
      </c>
      <c r="J36" s="35">
        <f t="shared" si="0"/>
        <v>20</v>
      </c>
      <c r="K36" s="14">
        <v>75</v>
      </c>
      <c r="L36" s="248" t="s">
        <v>599</v>
      </c>
      <c r="O36" s="232"/>
      <c r="P36" s="657" t="s">
        <v>94</v>
      </c>
      <c r="Q36" s="1161"/>
      <c r="R36" s="1163"/>
      <c r="S36" s="1163"/>
      <c r="T36" s="1161"/>
      <c r="U36" s="35">
        <f t="shared" ref="U36:AD36" si="5">MIN(U29:U33)</f>
        <v>4.3774999999999995</v>
      </c>
      <c r="V36" s="35">
        <f t="shared" si="5"/>
        <v>3.75</v>
      </c>
      <c r="W36" s="35">
        <f t="shared" si="5"/>
        <v>41.5</v>
      </c>
      <c r="X36" s="35">
        <f t="shared" si="5"/>
        <v>7.2125000000000004</v>
      </c>
      <c r="Y36" s="35">
        <f t="shared" si="5"/>
        <v>28.549999999999997</v>
      </c>
      <c r="Z36" s="35">
        <f t="shared" si="5"/>
        <v>20</v>
      </c>
      <c r="AA36" s="33">
        <f t="shared" si="5"/>
        <v>5513.955062627696</v>
      </c>
      <c r="AB36" s="28">
        <f t="shared" si="5"/>
        <v>0.65975000000000006</v>
      </c>
      <c r="AC36" s="28">
        <f t="shared" si="5"/>
        <v>0.14174999999999999</v>
      </c>
      <c r="AD36" s="659">
        <f t="shared" si="5"/>
        <v>22.25</v>
      </c>
      <c r="AE36" s="232"/>
    </row>
    <row r="37" spans="1:31" ht="15.75" customHeight="1">
      <c r="A37" s="9"/>
      <c r="B37" s="174" t="s">
        <v>111</v>
      </c>
      <c r="C37" s="15">
        <v>1</v>
      </c>
      <c r="D37" s="41" t="s">
        <v>75</v>
      </c>
      <c r="E37" s="41" t="s">
        <v>586</v>
      </c>
      <c r="F37" s="67">
        <v>4900</v>
      </c>
      <c r="G37" s="67">
        <v>11000</v>
      </c>
      <c r="H37" s="67">
        <v>3500</v>
      </c>
      <c r="I37" s="67">
        <v>4900</v>
      </c>
      <c r="J37" s="43">
        <f>IFERROR(GEOMEAN(F37:I37), 0)</f>
        <v>5513.955062627696</v>
      </c>
      <c r="K37" s="8">
        <v>200</v>
      </c>
      <c r="L37" s="248" t="s">
        <v>587</v>
      </c>
      <c r="O37" s="232"/>
      <c r="P37" s="657" t="s">
        <v>95</v>
      </c>
      <c r="Q37" s="1161"/>
      <c r="R37" s="1163"/>
      <c r="S37" s="1163"/>
      <c r="T37" s="1161"/>
      <c r="U37" s="35">
        <f t="shared" ref="U37:AD37" si="6">MAX(U29:U33)</f>
        <v>4.7874999999999996</v>
      </c>
      <c r="V37" s="35">
        <f t="shared" si="6"/>
        <v>4.75</v>
      </c>
      <c r="W37" s="35">
        <f t="shared" si="6"/>
        <v>69</v>
      </c>
      <c r="X37" s="35">
        <f t="shared" si="6"/>
        <v>7.2725</v>
      </c>
      <c r="Y37" s="35">
        <f t="shared" si="6"/>
        <v>29.1</v>
      </c>
      <c r="Z37" s="35">
        <f t="shared" si="6"/>
        <v>21.25</v>
      </c>
      <c r="AA37" s="33">
        <f t="shared" si="6"/>
        <v>11755.104765022466</v>
      </c>
      <c r="AB37" s="28">
        <f t="shared" si="6"/>
        <v>0.96575</v>
      </c>
      <c r="AC37" s="28">
        <f t="shared" si="6"/>
        <v>0.24225000000000002</v>
      </c>
      <c r="AD37" s="659">
        <f t="shared" si="6"/>
        <v>131.75</v>
      </c>
      <c r="AE37" s="232"/>
    </row>
    <row r="38" spans="1:31" ht="15.75" customHeight="1">
      <c r="A38" s="9"/>
      <c r="B38" s="63" t="s">
        <v>111</v>
      </c>
      <c r="C38" s="11">
        <v>2</v>
      </c>
      <c r="D38" s="156" t="s">
        <v>588</v>
      </c>
      <c r="E38" s="156" t="s">
        <v>589</v>
      </c>
      <c r="F38" s="57">
        <v>4900</v>
      </c>
      <c r="G38" s="57">
        <v>54000</v>
      </c>
      <c r="H38" s="57">
        <v>1700</v>
      </c>
      <c r="I38" s="57">
        <v>7900</v>
      </c>
      <c r="J38" s="33">
        <f>IFERROR(GEOMEAN(F38:I38), 0)</f>
        <v>7720.8739651798351</v>
      </c>
      <c r="K38" s="14">
        <v>200</v>
      </c>
      <c r="L38" s="248" t="s">
        <v>590</v>
      </c>
      <c r="O38" s="232"/>
      <c r="P38" s="660" t="s">
        <v>96</v>
      </c>
      <c r="Q38" s="1166"/>
      <c r="R38" s="1166"/>
      <c r="S38" s="1166"/>
      <c r="T38" s="1166"/>
      <c r="U38" s="661" t="s">
        <v>97</v>
      </c>
      <c r="V38" s="661" t="s">
        <v>98</v>
      </c>
      <c r="W38" s="661" t="s">
        <v>99</v>
      </c>
      <c r="X38" s="661" t="s">
        <v>100</v>
      </c>
      <c r="Y38" s="661" t="s">
        <v>101</v>
      </c>
      <c r="Z38" s="661" t="s">
        <v>102</v>
      </c>
      <c r="AA38" s="661" t="s">
        <v>103</v>
      </c>
      <c r="AB38" s="661" t="s">
        <v>98</v>
      </c>
      <c r="AC38" s="661" t="s">
        <v>104</v>
      </c>
      <c r="AD38" s="662" t="s">
        <v>105</v>
      </c>
      <c r="AE38" s="232"/>
    </row>
    <row r="39" spans="1:31" ht="15.75" customHeight="1">
      <c r="A39" s="9"/>
      <c r="B39" s="63" t="s">
        <v>111</v>
      </c>
      <c r="C39" s="11">
        <v>3</v>
      </c>
      <c r="D39" s="156" t="s">
        <v>591</v>
      </c>
      <c r="E39" s="156" t="s">
        <v>592</v>
      </c>
      <c r="F39" s="57">
        <v>17000</v>
      </c>
      <c r="G39" s="57">
        <v>35000</v>
      </c>
      <c r="H39" s="57">
        <v>700</v>
      </c>
      <c r="I39" s="57">
        <v>13000</v>
      </c>
      <c r="J39" s="33">
        <f>IFERROR(GEOMEAN(F39:I39), 0)</f>
        <v>8578.0700711582103</v>
      </c>
      <c r="K39" s="14">
        <v>200</v>
      </c>
      <c r="L39" s="248" t="s">
        <v>593</v>
      </c>
      <c r="P39" s="232"/>
      <c r="Q39" s="232"/>
      <c r="R39" s="232"/>
      <c r="S39" s="232"/>
      <c r="T39" s="232"/>
      <c r="U39" s="232"/>
      <c r="V39" s="232"/>
      <c r="W39" s="232"/>
      <c r="X39" s="232"/>
      <c r="Y39" s="232"/>
      <c r="Z39" s="232"/>
      <c r="AA39" s="232"/>
      <c r="AB39" s="232"/>
      <c r="AC39" s="232"/>
      <c r="AD39" s="232"/>
    </row>
    <row r="40" spans="1:31" ht="15.75" customHeight="1">
      <c r="A40" s="9"/>
      <c r="B40" s="63" t="s">
        <v>111</v>
      </c>
      <c r="C40" s="11">
        <v>4</v>
      </c>
      <c r="D40" s="156" t="s">
        <v>594</v>
      </c>
      <c r="E40" s="156" t="s">
        <v>595</v>
      </c>
      <c r="F40" s="57">
        <v>17000</v>
      </c>
      <c r="G40" s="57">
        <v>54000</v>
      </c>
      <c r="H40" s="57">
        <v>1600</v>
      </c>
      <c r="I40" s="57">
        <v>13000</v>
      </c>
      <c r="J40" s="33">
        <f>IFERROR(GEOMEAN(F40:I40), 0)</f>
        <v>11755.104765022466</v>
      </c>
      <c r="K40" s="14">
        <v>200</v>
      </c>
      <c r="L40" s="248" t="s">
        <v>596</v>
      </c>
    </row>
    <row r="41" spans="1:31" ht="15.75" customHeight="1">
      <c r="A41" s="9"/>
      <c r="B41" s="63" t="s">
        <v>111</v>
      </c>
      <c r="C41" s="11">
        <v>5</v>
      </c>
      <c r="D41" s="156" t="s">
        <v>597</v>
      </c>
      <c r="E41" s="156" t="s">
        <v>598</v>
      </c>
      <c r="F41" s="57">
        <v>7000</v>
      </c>
      <c r="G41" s="57">
        <v>54000</v>
      </c>
      <c r="H41" s="57">
        <v>920</v>
      </c>
      <c r="I41" s="57">
        <v>4900</v>
      </c>
      <c r="J41" s="33">
        <f>IFERROR(GEOMEAN(F41:I41), 0)</f>
        <v>6424.937788105568</v>
      </c>
      <c r="K41" s="14">
        <v>200</v>
      </c>
      <c r="L41" s="248" t="s">
        <v>599</v>
      </c>
    </row>
    <row r="42" spans="1:31" ht="15.75" customHeight="1">
      <c r="A42" s="20"/>
      <c r="B42" s="176" t="s">
        <v>113</v>
      </c>
      <c r="C42" s="21">
        <v>1</v>
      </c>
      <c r="D42" s="41" t="s">
        <v>75</v>
      </c>
      <c r="E42" s="51" t="s">
        <v>586</v>
      </c>
      <c r="F42" s="71">
        <v>1.9570000000000001</v>
      </c>
      <c r="G42" s="71">
        <v>0.61299999999999999</v>
      </c>
      <c r="H42" s="71">
        <v>0.45600000000000002</v>
      </c>
      <c r="I42" s="67">
        <v>0.54600000000000004</v>
      </c>
      <c r="J42" s="23">
        <f t="shared" ref="J42:J56" si="7">IFERROR(AVERAGE(F42:I42), 0)</f>
        <v>0.89300000000000002</v>
      </c>
      <c r="K42" s="48">
        <v>7</v>
      </c>
      <c r="L42" s="248" t="s">
        <v>587</v>
      </c>
    </row>
    <row r="43" spans="1:31" ht="15.75" customHeight="1">
      <c r="A43" s="20"/>
      <c r="B43" s="72" t="s">
        <v>114</v>
      </c>
      <c r="C43" s="25">
        <v>2</v>
      </c>
      <c r="D43" s="156" t="s">
        <v>588</v>
      </c>
      <c r="E43" s="158" t="s">
        <v>589</v>
      </c>
      <c r="F43" s="73">
        <v>1.7629999999999999</v>
      </c>
      <c r="G43" s="73">
        <v>0.89100000000000001</v>
      </c>
      <c r="H43" s="73">
        <v>0.66900000000000004</v>
      </c>
      <c r="I43" s="57">
        <v>0.54</v>
      </c>
      <c r="J43" s="28">
        <f t="shared" si="7"/>
        <v>0.96575</v>
      </c>
      <c r="K43" s="35">
        <v>7</v>
      </c>
      <c r="L43" s="248" t="s">
        <v>590</v>
      </c>
    </row>
    <row r="44" spans="1:31" ht="15.75" customHeight="1">
      <c r="A44" s="20"/>
      <c r="B44" s="72" t="s">
        <v>114</v>
      </c>
      <c r="C44" s="25">
        <v>3</v>
      </c>
      <c r="D44" s="156" t="s">
        <v>591</v>
      </c>
      <c r="E44" s="158" t="s">
        <v>592</v>
      </c>
      <c r="F44" s="73">
        <v>1.167</v>
      </c>
      <c r="G44" s="73">
        <v>0.74299999999999999</v>
      </c>
      <c r="H44" s="73">
        <v>0.61199999999999999</v>
      </c>
      <c r="I44" s="57">
        <v>0.628</v>
      </c>
      <c r="J44" s="28">
        <f t="shared" si="7"/>
        <v>0.78750000000000009</v>
      </c>
      <c r="K44" s="35">
        <v>7</v>
      </c>
      <c r="L44" s="248" t="s">
        <v>593</v>
      </c>
    </row>
    <row r="45" spans="1:31" ht="15.75" customHeight="1">
      <c r="A45" s="20"/>
      <c r="B45" s="72" t="s">
        <v>114</v>
      </c>
      <c r="C45" s="25">
        <v>4</v>
      </c>
      <c r="D45" s="156" t="s">
        <v>594</v>
      </c>
      <c r="E45" s="158" t="s">
        <v>595</v>
      </c>
      <c r="F45" s="73">
        <v>0.81799999999999995</v>
      </c>
      <c r="G45" s="73">
        <v>0.78700000000000003</v>
      </c>
      <c r="H45" s="73">
        <v>0.53600000000000003</v>
      </c>
      <c r="I45" s="57">
        <v>0.498</v>
      </c>
      <c r="J45" s="28">
        <f t="shared" si="7"/>
        <v>0.65975000000000006</v>
      </c>
      <c r="K45" s="35">
        <v>7</v>
      </c>
      <c r="L45" s="248" t="s">
        <v>596</v>
      </c>
    </row>
    <row r="46" spans="1:31" ht="15.75" customHeight="1">
      <c r="A46" s="20"/>
      <c r="B46" s="72" t="s">
        <v>114</v>
      </c>
      <c r="C46" s="25">
        <v>5</v>
      </c>
      <c r="D46" s="156" t="s">
        <v>597</v>
      </c>
      <c r="E46" s="158" t="s">
        <v>598</v>
      </c>
      <c r="F46" s="73">
        <v>0.83899999999999997</v>
      </c>
      <c r="G46" s="73">
        <v>0.92900000000000005</v>
      </c>
      <c r="H46" s="73">
        <v>0.504</v>
      </c>
      <c r="I46" s="57">
        <v>0.45300000000000001</v>
      </c>
      <c r="J46" s="28">
        <f t="shared" si="7"/>
        <v>0.68125000000000002</v>
      </c>
      <c r="K46" s="35">
        <v>7</v>
      </c>
      <c r="L46" s="248" t="s">
        <v>599</v>
      </c>
    </row>
    <row r="47" spans="1:31" ht="15.75" customHeight="1">
      <c r="A47" s="20"/>
      <c r="B47" s="176" t="s">
        <v>115</v>
      </c>
      <c r="C47" s="21">
        <v>1</v>
      </c>
      <c r="D47" s="41" t="s">
        <v>75</v>
      </c>
      <c r="E47" s="74" t="s">
        <v>586</v>
      </c>
      <c r="F47" s="71">
        <v>3.5000000000000003E-2</v>
      </c>
      <c r="G47" s="71">
        <v>0.20399999999999999</v>
      </c>
      <c r="H47" s="71">
        <v>0.17299999999999999</v>
      </c>
      <c r="I47" s="67">
        <v>0.155</v>
      </c>
      <c r="J47" s="23">
        <f t="shared" si="7"/>
        <v>0.14174999999999999</v>
      </c>
      <c r="K47" s="23">
        <v>2.5000000000000001E-2</v>
      </c>
      <c r="L47" s="248" t="s">
        <v>587</v>
      </c>
    </row>
    <row r="48" spans="1:31" ht="15.75" customHeight="1">
      <c r="A48" s="20"/>
      <c r="B48" s="72" t="s">
        <v>116</v>
      </c>
      <c r="C48" s="25">
        <v>2</v>
      </c>
      <c r="D48" s="156" t="s">
        <v>588</v>
      </c>
      <c r="E48" s="158" t="s">
        <v>589</v>
      </c>
      <c r="F48" s="73">
        <v>4.2999999999999997E-2</v>
      </c>
      <c r="G48" s="73">
        <v>0.23400000000000001</v>
      </c>
      <c r="H48" s="73">
        <v>0.22700000000000001</v>
      </c>
      <c r="I48" s="57">
        <v>0.218</v>
      </c>
      <c r="J48" s="28">
        <f t="shared" si="7"/>
        <v>0.18049999999999999</v>
      </c>
      <c r="K48" s="28">
        <v>2.5000000000000001E-2</v>
      </c>
      <c r="L48" s="248" t="s">
        <v>590</v>
      </c>
    </row>
    <row r="49" spans="1:12" ht="15.75" customHeight="1">
      <c r="A49" s="20"/>
      <c r="B49" s="72" t="s">
        <v>116</v>
      </c>
      <c r="C49" s="25">
        <v>3</v>
      </c>
      <c r="D49" s="156" t="s">
        <v>591</v>
      </c>
      <c r="E49" s="158" t="s">
        <v>592</v>
      </c>
      <c r="F49" s="73">
        <v>3.5000000000000003E-2</v>
      </c>
      <c r="G49" s="73">
        <v>0.29599999999999999</v>
      </c>
      <c r="H49" s="73">
        <v>0.17</v>
      </c>
      <c r="I49" s="57">
        <v>0.20699999999999999</v>
      </c>
      <c r="J49" s="28">
        <f t="shared" si="7"/>
        <v>0.17699999999999999</v>
      </c>
      <c r="K49" s="28">
        <v>2.5000000000000001E-2</v>
      </c>
      <c r="L49" s="248" t="s">
        <v>593</v>
      </c>
    </row>
    <row r="50" spans="1:12" ht="15.75" customHeight="1">
      <c r="A50" s="20"/>
      <c r="B50" s="72" t="s">
        <v>116</v>
      </c>
      <c r="C50" s="25">
        <v>4</v>
      </c>
      <c r="D50" s="156" t="s">
        <v>594</v>
      </c>
      <c r="E50" s="158" t="s">
        <v>595</v>
      </c>
      <c r="F50" s="73">
        <v>8.3000000000000004E-2</v>
      </c>
      <c r="G50" s="73">
        <v>0.26</v>
      </c>
      <c r="H50" s="73">
        <v>0.46300000000000002</v>
      </c>
      <c r="I50" s="57">
        <v>0.16300000000000001</v>
      </c>
      <c r="J50" s="28">
        <f t="shared" si="7"/>
        <v>0.24225000000000002</v>
      </c>
      <c r="K50" s="28">
        <v>2.5000000000000001E-2</v>
      </c>
      <c r="L50" s="248" t="s">
        <v>596</v>
      </c>
    </row>
    <row r="51" spans="1:12" ht="15.75" customHeight="1">
      <c r="A51" s="20"/>
      <c r="B51" s="72" t="s">
        <v>116</v>
      </c>
      <c r="C51" s="25">
        <v>5</v>
      </c>
      <c r="D51" s="156" t="s">
        <v>597</v>
      </c>
      <c r="E51" s="158" t="s">
        <v>598</v>
      </c>
      <c r="F51" s="73">
        <v>0.04</v>
      </c>
      <c r="G51" s="73">
        <v>0.25600000000000001</v>
      </c>
      <c r="H51" s="73">
        <v>0.19</v>
      </c>
      <c r="I51" s="57">
        <v>0.247</v>
      </c>
      <c r="J51" s="28">
        <f t="shared" si="7"/>
        <v>0.18325</v>
      </c>
      <c r="K51" s="28">
        <v>2.5000000000000001E-2</v>
      </c>
      <c r="L51" s="248" t="s">
        <v>599</v>
      </c>
    </row>
    <row r="52" spans="1:12" ht="15.75" customHeight="1">
      <c r="A52" s="9"/>
      <c r="B52" s="174" t="s">
        <v>117</v>
      </c>
      <c r="C52" s="15">
        <v>1</v>
      </c>
      <c r="D52" s="41" t="s">
        <v>75</v>
      </c>
      <c r="E52" s="41" t="s">
        <v>586</v>
      </c>
      <c r="F52" s="67">
        <v>40</v>
      </c>
      <c r="G52" s="67">
        <v>29</v>
      </c>
      <c r="H52" s="67">
        <v>16</v>
      </c>
      <c r="I52" s="67">
        <v>9</v>
      </c>
      <c r="J52" s="48">
        <f t="shared" si="7"/>
        <v>23.5</v>
      </c>
      <c r="K52" s="8">
        <v>350</v>
      </c>
      <c r="L52" s="248" t="s">
        <v>587</v>
      </c>
    </row>
    <row r="53" spans="1:12" ht="15.75" customHeight="1">
      <c r="A53" s="9"/>
      <c r="B53" s="63" t="s">
        <v>117</v>
      </c>
      <c r="C53" s="11">
        <v>2</v>
      </c>
      <c r="D53" s="156" t="s">
        <v>588</v>
      </c>
      <c r="E53" s="156" t="s">
        <v>589</v>
      </c>
      <c r="F53" s="57">
        <v>50</v>
      </c>
      <c r="G53" s="57">
        <v>17</v>
      </c>
      <c r="H53" s="57">
        <v>13</v>
      </c>
      <c r="I53" s="57">
        <v>9</v>
      </c>
      <c r="J53" s="35">
        <f t="shared" si="7"/>
        <v>22.25</v>
      </c>
      <c r="K53" s="14">
        <v>350</v>
      </c>
      <c r="L53" s="248" t="s">
        <v>590</v>
      </c>
    </row>
    <row r="54" spans="1:12" ht="15.75" customHeight="1">
      <c r="A54" s="9"/>
      <c r="B54" s="63" t="s">
        <v>117</v>
      </c>
      <c r="C54" s="11">
        <v>3</v>
      </c>
      <c r="D54" s="156" t="s">
        <v>591</v>
      </c>
      <c r="E54" s="156" t="s">
        <v>592</v>
      </c>
      <c r="F54" s="57">
        <v>331</v>
      </c>
      <c r="G54" s="57">
        <v>13</v>
      </c>
      <c r="H54" s="57">
        <v>10</v>
      </c>
      <c r="I54" s="57">
        <v>9</v>
      </c>
      <c r="J54" s="35">
        <f t="shared" si="7"/>
        <v>90.75</v>
      </c>
      <c r="K54" s="14">
        <v>350</v>
      </c>
      <c r="L54" s="248" t="s">
        <v>593</v>
      </c>
    </row>
    <row r="55" spans="1:12" ht="15.75" customHeight="1">
      <c r="A55" s="9"/>
      <c r="B55" s="63" t="s">
        <v>117</v>
      </c>
      <c r="C55" s="11">
        <v>4</v>
      </c>
      <c r="D55" s="156" t="s">
        <v>594</v>
      </c>
      <c r="E55" s="156" t="s">
        <v>595</v>
      </c>
      <c r="F55" s="57">
        <v>438</v>
      </c>
      <c r="G55" s="57">
        <v>12</v>
      </c>
      <c r="H55" s="57">
        <v>8</v>
      </c>
      <c r="I55" s="57">
        <v>69</v>
      </c>
      <c r="J55" s="35">
        <f t="shared" si="7"/>
        <v>131.75</v>
      </c>
      <c r="K55" s="14">
        <v>350</v>
      </c>
      <c r="L55" s="248" t="s">
        <v>596</v>
      </c>
    </row>
    <row r="56" spans="1:12" ht="15.75" customHeight="1">
      <c r="A56" s="9"/>
      <c r="B56" s="63" t="s">
        <v>117</v>
      </c>
      <c r="C56" s="11">
        <v>5</v>
      </c>
      <c r="D56" s="156" t="s">
        <v>597</v>
      </c>
      <c r="E56" s="156" t="s">
        <v>598</v>
      </c>
      <c r="F56" s="57">
        <v>435</v>
      </c>
      <c r="G56" s="57">
        <v>13</v>
      </c>
      <c r="H56" s="57">
        <v>10</v>
      </c>
      <c r="I56" s="716">
        <v>61</v>
      </c>
      <c r="J56" s="35">
        <f t="shared" si="7"/>
        <v>129.75</v>
      </c>
      <c r="K56" s="14">
        <v>350</v>
      </c>
      <c r="L56" s="248" t="s">
        <v>599</v>
      </c>
    </row>
    <row r="57" spans="1:12" ht="55.5" customHeight="1">
      <c r="A57" s="9"/>
      <c r="B57" s="174" t="s">
        <v>314</v>
      </c>
      <c r="C57" s="15">
        <v>1</v>
      </c>
      <c r="D57" s="41" t="s">
        <v>75</v>
      </c>
      <c r="E57" s="41" t="s">
        <v>586</v>
      </c>
      <c r="F57" s="75" t="s">
        <v>602</v>
      </c>
      <c r="G57" s="67" t="s">
        <v>603</v>
      </c>
      <c r="H57" s="726" t="s">
        <v>604</v>
      </c>
      <c r="I57" s="725" t="s">
        <v>605</v>
      </c>
      <c r="J57" s="243"/>
      <c r="K57" s="1"/>
      <c r="L57" s="248" t="s">
        <v>587</v>
      </c>
    </row>
    <row r="58" spans="1:12" ht="51.75" customHeight="1">
      <c r="A58" s="9"/>
      <c r="B58" s="63" t="s">
        <v>117</v>
      </c>
      <c r="C58" s="11">
        <v>2</v>
      </c>
      <c r="D58" s="156" t="s">
        <v>588</v>
      </c>
      <c r="E58" s="156" t="s">
        <v>589</v>
      </c>
      <c r="F58" s="57" t="s">
        <v>606</v>
      </c>
      <c r="G58" s="57" t="s">
        <v>607</v>
      </c>
      <c r="H58" s="616" t="s">
        <v>604</v>
      </c>
      <c r="I58" s="721" t="s">
        <v>608</v>
      </c>
      <c r="J58" s="1"/>
      <c r="K58" s="1"/>
      <c r="L58" s="248" t="s">
        <v>590</v>
      </c>
    </row>
    <row r="59" spans="1:12" ht="57.75" customHeight="1">
      <c r="A59" s="9"/>
      <c r="B59" s="63" t="s">
        <v>117</v>
      </c>
      <c r="C59" s="11">
        <v>3</v>
      </c>
      <c r="D59" s="156" t="s">
        <v>591</v>
      </c>
      <c r="E59" s="156" t="s">
        <v>592</v>
      </c>
      <c r="F59" s="616" t="s">
        <v>609</v>
      </c>
      <c r="G59" s="57" t="s">
        <v>603</v>
      </c>
      <c r="H59" s="57" t="s">
        <v>610</v>
      </c>
      <c r="I59" s="57" t="s">
        <v>611</v>
      </c>
      <c r="J59" s="1"/>
      <c r="K59" s="1"/>
      <c r="L59" s="248" t="s">
        <v>593</v>
      </c>
    </row>
    <row r="60" spans="1:12" ht="53.25" customHeight="1">
      <c r="A60" s="9"/>
      <c r="B60" s="63" t="s">
        <v>117</v>
      </c>
      <c r="C60" s="11">
        <v>4</v>
      </c>
      <c r="D60" s="156" t="s">
        <v>594</v>
      </c>
      <c r="E60" s="156" t="s">
        <v>595</v>
      </c>
      <c r="F60" s="57" t="s">
        <v>612</v>
      </c>
      <c r="G60" s="57" t="s">
        <v>613</v>
      </c>
      <c r="H60" s="57" t="s">
        <v>614</v>
      </c>
      <c r="I60" s="57" t="s">
        <v>615</v>
      </c>
      <c r="J60" s="1"/>
      <c r="K60" s="1"/>
      <c r="L60" s="248" t="s">
        <v>596</v>
      </c>
    </row>
    <row r="61" spans="1:12" ht="57" customHeight="1">
      <c r="A61" s="9"/>
      <c r="B61" s="63" t="s">
        <v>117</v>
      </c>
      <c r="C61" s="11">
        <v>5</v>
      </c>
      <c r="D61" s="156" t="s">
        <v>597</v>
      </c>
      <c r="E61" s="156" t="s">
        <v>598</v>
      </c>
      <c r="F61" s="57" t="s">
        <v>602</v>
      </c>
      <c r="G61" s="57" t="s">
        <v>616</v>
      </c>
      <c r="H61" s="57" t="s">
        <v>617</v>
      </c>
      <c r="I61" s="57" t="s">
        <v>618</v>
      </c>
      <c r="J61" s="1"/>
      <c r="K61" s="1"/>
      <c r="L61" s="248" t="s">
        <v>599</v>
      </c>
    </row>
    <row r="62" spans="1:12" ht="15.75" customHeight="1">
      <c r="A62" s="1"/>
      <c r="B62" s="1"/>
      <c r="C62" s="1" t="s">
        <v>619</v>
      </c>
      <c r="D62" s="1"/>
      <c r="E62" s="1"/>
      <c r="F62" s="1">
        <v>27</v>
      </c>
      <c r="G62" s="1">
        <v>30</v>
      </c>
      <c r="H62" s="1">
        <v>31</v>
      </c>
      <c r="I62" s="519"/>
      <c r="J62" s="1"/>
      <c r="K62" s="1"/>
    </row>
    <row r="63" spans="1:12" ht="15.75" customHeight="1">
      <c r="A63" s="1"/>
      <c r="B63" s="1"/>
      <c r="D63" s="1"/>
      <c r="E63" s="1"/>
      <c r="F63" s="1"/>
      <c r="G63" s="1"/>
      <c r="H63" s="1"/>
      <c r="I63" s="1"/>
      <c r="J63" s="1"/>
      <c r="K63" s="1"/>
    </row>
    <row r="64" spans="1:12" ht="15.75" customHeight="1">
      <c r="A64" s="1"/>
      <c r="B64" s="1"/>
    </row>
    <row r="65" spans="2:19" ht="15.75" customHeight="1"/>
    <row r="66" spans="2:19" ht="15.75" customHeight="1"/>
    <row r="67" spans="2:19" ht="15.75" customHeight="1">
      <c r="C67" s="232"/>
      <c r="D67" s="232"/>
      <c r="E67" s="232"/>
      <c r="F67" s="232"/>
      <c r="G67" s="232"/>
      <c r="H67" s="232"/>
      <c r="I67" s="232"/>
      <c r="J67" s="232"/>
      <c r="K67" s="232"/>
      <c r="L67" s="232"/>
      <c r="M67" s="232"/>
      <c r="N67" s="232"/>
      <c r="O67" s="232"/>
      <c r="P67" s="232"/>
      <c r="Q67" s="232"/>
      <c r="R67" s="232"/>
    </row>
    <row r="68" spans="2:19" ht="15.75" customHeight="1">
      <c r="B68" s="232"/>
      <c r="C68" s="243"/>
      <c r="S68" s="232"/>
    </row>
    <row r="69" spans="2:19" ht="15.75" customHeight="1">
      <c r="B69" s="232"/>
      <c r="C69" s="243"/>
      <c r="S69" s="232"/>
    </row>
    <row r="70" spans="2:19" ht="15.75" customHeight="1">
      <c r="B70" s="232"/>
      <c r="C70" s="243"/>
      <c r="S70" s="232"/>
    </row>
    <row r="71" spans="2:19" ht="15.75" customHeight="1">
      <c r="B71" s="232"/>
      <c r="C71" s="243"/>
      <c r="S71" s="232"/>
    </row>
    <row r="72" spans="2:19" ht="15.75" customHeight="1">
      <c r="B72" s="232"/>
      <c r="C72" s="243"/>
      <c r="S72" s="232"/>
    </row>
    <row r="73" spans="2:19" ht="15.75" customHeight="1">
      <c r="B73" s="232"/>
      <c r="C73" s="243"/>
      <c r="S73" s="232"/>
    </row>
    <row r="74" spans="2:19" ht="15.75" customHeight="1">
      <c r="B74" s="232"/>
      <c r="C74" s="243"/>
      <c r="S74" s="232"/>
    </row>
    <row r="75" spans="2:19" ht="15.75" customHeight="1">
      <c r="B75" s="232"/>
      <c r="C75" s="243"/>
      <c r="S75" s="232"/>
    </row>
    <row r="76" spans="2:19" ht="15.75" customHeight="1">
      <c r="B76" s="232"/>
      <c r="C76" s="243"/>
      <c r="S76" s="232"/>
    </row>
    <row r="77" spans="2:19" ht="15.75" customHeight="1">
      <c r="B77" s="232"/>
      <c r="C77" s="243"/>
      <c r="S77" s="232"/>
    </row>
    <row r="78" spans="2:19" ht="15.75" customHeight="1">
      <c r="B78" s="232"/>
      <c r="C78" s="243"/>
      <c r="S78" s="232"/>
    </row>
    <row r="79" spans="2:19" ht="15.75" customHeight="1">
      <c r="B79" s="232"/>
      <c r="C79" s="243"/>
      <c r="S79" s="232"/>
    </row>
    <row r="80" spans="2:19" ht="15.75" customHeight="1">
      <c r="B80" s="232"/>
      <c r="C80" s="243"/>
      <c r="S80" s="232"/>
    </row>
    <row r="81" spans="2:19" ht="15.75" customHeight="1">
      <c r="B81" s="232"/>
      <c r="C81" s="243"/>
      <c r="S81" s="232"/>
    </row>
    <row r="82" spans="2:19" ht="15.75" customHeight="1">
      <c r="C82" s="243"/>
    </row>
    <row r="83" spans="2:19" ht="15.75" customHeight="1"/>
    <row r="84" spans="2:19" ht="15.75" customHeight="1"/>
    <row r="85" spans="2:19" ht="15.75" customHeight="1">
      <c r="C85" s="243"/>
    </row>
    <row r="86" spans="2:19" ht="15.75" customHeight="1">
      <c r="B86" s="232"/>
      <c r="C86" s="243"/>
      <c r="S86" s="232"/>
    </row>
    <row r="87" spans="2:19" ht="15.75" customHeight="1">
      <c r="B87" s="232"/>
      <c r="C87" s="243"/>
      <c r="S87" s="232"/>
    </row>
    <row r="88" spans="2:19" ht="15.75" customHeight="1">
      <c r="B88" s="232"/>
      <c r="C88" s="243"/>
      <c r="S88" s="232"/>
    </row>
    <row r="89" spans="2:19" ht="15.75" customHeight="1">
      <c r="B89" s="232"/>
      <c r="C89" s="243"/>
      <c r="S89" s="232"/>
    </row>
    <row r="90" spans="2:19" ht="15.75" customHeight="1">
      <c r="B90" s="232"/>
      <c r="C90" s="243"/>
      <c r="S90" s="232"/>
    </row>
    <row r="91" spans="2:19" ht="15.75" customHeight="1">
      <c r="B91" s="232"/>
      <c r="C91" s="243"/>
      <c r="S91" s="232"/>
    </row>
    <row r="92" spans="2:19" ht="15.75" customHeight="1">
      <c r="B92" s="232"/>
      <c r="C92" s="243"/>
      <c r="S92" s="232"/>
    </row>
    <row r="93" spans="2:19" ht="15.75" customHeight="1">
      <c r="B93" s="232"/>
      <c r="C93" s="243"/>
      <c r="S93" s="232"/>
    </row>
    <row r="94" spans="2:19" ht="15" customHeight="1">
      <c r="B94" s="232"/>
      <c r="C94" s="243"/>
      <c r="S94" s="232"/>
    </row>
    <row r="95" spans="2:19" ht="15" customHeight="1">
      <c r="B95" s="232"/>
      <c r="C95" s="243"/>
      <c r="S95" s="232"/>
    </row>
    <row r="96" spans="2:19" ht="15" customHeight="1">
      <c r="B96" s="232"/>
      <c r="C96" s="243"/>
      <c r="S96" s="232"/>
    </row>
    <row r="97" spans="2:19" ht="15" customHeight="1">
      <c r="B97" s="232"/>
      <c r="C97" s="243"/>
      <c r="S97" s="232"/>
    </row>
    <row r="98" spans="2:19" ht="15" customHeight="1">
      <c r="B98" s="232"/>
      <c r="C98" s="243"/>
      <c r="S98" s="232"/>
    </row>
    <row r="99" spans="2:19" ht="15" customHeight="1">
      <c r="B99" s="232"/>
      <c r="C99" s="243"/>
      <c r="S99" s="232"/>
    </row>
    <row r="100" spans="2:19" ht="15" customHeight="1">
      <c r="C100" s="243"/>
      <c r="D100" s="232"/>
      <c r="E100" s="232"/>
      <c r="F100" s="232"/>
      <c r="G100" s="232"/>
      <c r="H100" s="232"/>
      <c r="I100" s="232"/>
      <c r="J100" s="232"/>
      <c r="K100" s="232"/>
      <c r="L100" s="232"/>
      <c r="M100" s="232"/>
      <c r="N100" s="232"/>
      <c r="O100" s="232"/>
      <c r="P100" s="232"/>
      <c r="Q100" s="232"/>
      <c r="R100" s="232"/>
    </row>
    <row r="102" spans="2:19" ht="15" customHeight="1">
      <c r="D102" t="s">
        <v>175</v>
      </c>
    </row>
    <row r="103" spans="2:19" ht="15" customHeight="1">
      <c r="D103" s="960" t="s">
        <v>620</v>
      </c>
      <c r="E103" s="960"/>
      <c r="F103" s="960"/>
      <c r="G103" s="960"/>
      <c r="H103" s="960"/>
      <c r="I103" s="960"/>
      <c r="J103" s="960"/>
      <c r="K103" s="960"/>
      <c r="L103" s="960"/>
      <c r="M103" s="960"/>
      <c r="N103" s="960"/>
      <c r="O103" s="960"/>
      <c r="P103" s="960"/>
      <c r="Q103" s="960"/>
      <c r="R103" s="960"/>
    </row>
    <row r="104" spans="2:19" ht="15" customHeight="1">
      <c r="D104" s="960"/>
      <c r="E104" s="960"/>
      <c r="F104" s="960"/>
      <c r="G104" s="960"/>
      <c r="H104" s="960"/>
      <c r="I104" s="960"/>
      <c r="J104" s="960"/>
      <c r="K104" s="960"/>
      <c r="L104" s="960"/>
      <c r="M104" s="960"/>
      <c r="N104" s="960"/>
      <c r="O104" s="960"/>
      <c r="P104" s="960"/>
      <c r="Q104" s="960"/>
      <c r="R104" s="960"/>
    </row>
    <row r="105" spans="2:19" ht="15" customHeight="1">
      <c r="D105" s="960"/>
      <c r="E105" s="960"/>
      <c r="F105" s="960"/>
      <c r="G105" s="960"/>
      <c r="H105" s="960"/>
      <c r="I105" s="960"/>
      <c r="J105" s="960"/>
      <c r="K105" s="960"/>
      <c r="L105" s="960"/>
      <c r="M105" s="960"/>
      <c r="N105" s="960"/>
      <c r="O105" s="960"/>
      <c r="P105" s="960"/>
      <c r="Q105" s="960"/>
      <c r="R105" s="960"/>
    </row>
    <row r="106" spans="2:19" ht="15" customHeight="1">
      <c r="D106" s="960"/>
      <c r="E106" s="960"/>
      <c r="F106" s="960"/>
      <c r="G106" s="960"/>
      <c r="H106" s="960"/>
      <c r="I106" s="960"/>
      <c r="J106" s="960"/>
      <c r="K106" s="960"/>
      <c r="L106" s="960"/>
      <c r="M106" s="960"/>
      <c r="N106" s="960"/>
      <c r="O106" s="960"/>
      <c r="P106" s="960"/>
      <c r="Q106" s="960"/>
      <c r="R106" s="960"/>
    </row>
    <row r="107" spans="2:19" ht="15" customHeight="1">
      <c r="D107" s="960"/>
      <c r="E107" s="960"/>
      <c r="F107" s="960"/>
      <c r="G107" s="960"/>
      <c r="H107" s="960"/>
      <c r="I107" s="960"/>
      <c r="J107" s="960"/>
      <c r="K107" s="960"/>
      <c r="L107" s="960"/>
      <c r="M107" s="960"/>
      <c r="N107" s="960"/>
      <c r="O107" s="960"/>
      <c r="P107" s="960"/>
      <c r="Q107" s="960"/>
      <c r="R107" s="960"/>
    </row>
    <row r="108" spans="2:19" ht="15" customHeight="1">
      <c r="D108" s="960"/>
      <c r="E108" s="960"/>
      <c r="F108" s="960"/>
      <c r="G108" s="960"/>
      <c r="H108" s="960"/>
      <c r="I108" s="960"/>
      <c r="J108" s="960"/>
      <c r="K108" s="960"/>
      <c r="L108" s="960"/>
      <c r="M108" s="960"/>
      <c r="N108" s="960"/>
      <c r="O108" s="960"/>
      <c r="P108" s="960"/>
      <c r="Q108" s="960"/>
      <c r="R108" s="960"/>
    </row>
    <row r="109" spans="2:19" ht="15" customHeight="1">
      <c r="D109" s="960"/>
      <c r="E109" s="960"/>
      <c r="F109" s="960"/>
      <c r="G109" s="960"/>
      <c r="H109" s="960"/>
      <c r="I109" s="960"/>
      <c r="J109" s="960"/>
      <c r="K109" s="960"/>
      <c r="L109" s="960"/>
      <c r="M109" s="960"/>
      <c r="N109" s="960"/>
      <c r="O109" s="960"/>
      <c r="P109" s="960"/>
      <c r="Q109" s="960"/>
      <c r="R109" s="960"/>
    </row>
    <row r="110" spans="2:19" ht="15" customHeight="1">
      <c r="D110" s="960"/>
      <c r="E110" s="960"/>
      <c r="F110" s="960"/>
      <c r="G110" s="960"/>
      <c r="H110" s="960"/>
      <c r="I110" s="960"/>
      <c r="J110" s="960"/>
      <c r="K110" s="960"/>
      <c r="L110" s="960"/>
      <c r="M110" s="960"/>
      <c r="N110" s="960"/>
      <c r="O110" s="960"/>
      <c r="P110" s="960"/>
      <c r="Q110" s="960"/>
      <c r="R110" s="960"/>
    </row>
    <row r="111" spans="2:19" ht="15" customHeight="1">
      <c r="D111" s="960"/>
      <c r="E111" s="960"/>
      <c r="F111" s="960"/>
      <c r="G111" s="960"/>
      <c r="H111" s="960"/>
      <c r="I111" s="960"/>
      <c r="J111" s="960"/>
      <c r="K111" s="960"/>
      <c r="L111" s="960"/>
      <c r="M111" s="960"/>
      <c r="N111" s="960"/>
      <c r="O111" s="960"/>
      <c r="P111" s="960"/>
      <c r="Q111" s="960"/>
      <c r="R111" s="960"/>
    </row>
    <row r="112" spans="2:19" ht="15" customHeight="1">
      <c r="D112" s="960"/>
      <c r="E112" s="960"/>
      <c r="F112" s="960"/>
      <c r="G112" s="960"/>
      <c r="H112" s="960"/>
      <c r="I112" s="960"/>
      <c r="J112" s="960"/>
      <c r="K112" s="960"/>
      <c r="L112" s="960"/>
      <c r="M112" s="960"/>
      <c r="N112" s="960"/>
      <c r="O112" s="960"/>
      <c r="P112" s="960"/>
      <c r="Q112" s="960"/>
      <c r="R112" s="960"/>
    </row>
    <row r="113" spans="4:18" ht="15" customHeight="1">
      <c r="D113" s="960"/>
      <c r="E113" s="960"/>
      <c r="F113" s="960"/>
      <c r="G113" s="960"/>
      <c r="H113" s="960"/>
      <c r="I113" s="960"/>
      <c r="J113" s="960"/>
      <c r="K113" s="960"/>
      <c r="L113" s="960"/>
      <c r="M113" s="960"/>
      <c r="N113" s="960"/>
      <c r="O113" s="960"/>
      <c r="P113" s="960"/>
      <c r="Q113" s="960"/>
      <c r="R113" s="960"/>
    </row>
    <row r="114" spans="4:18" ht="15" customHeight="1">
      <c r="D114" s="960"/>
      <c r="E114" s="960"/>
      <c r="F114" s="960"/>
      <c r="G114" s="960"/>
      <c r="H114" s="960"/>
      <c r="I114" s="960"/>
      <c r="J114" s="960"/>
      <c r="K114" s="960"/>
      <c r="L114" s="960"/>
      <c r="M114" s="960"/>
      <c r="N114" s="960"/>
      <c r="O114" s="960"/>
      <c r="P114" s="960"/>
      <c r="Q114" s="960"/>
      <c r="R114" s="960"/>
    </row>
    <row r="115" spans="4:18" ht="15" customHeight="1">
      <c r="D115" s="960"/>
      <c r="E115" s="960"/>
      <c r="F115" s="960"/>
      <c r="G115" s="960"/>
      <c r="H115" s="960"/>
      <c r="I115" s="960"/>
      <c r="J115" s="960"/>
      <c r="K115" s="960"/>
      <c r="L115" s="960"/>
      <c r="M115" s="960"/>
      <c r="N115" s="960"/>
      <c r="O115" s="960"/>
      <c r="P115" s="960"/>
      <c r="Q115" s="960"/>
      <c r="R115" s="960"/>
    </row>
  </sheetData>
  <mergeCells count="24">
    <mergeCell ref="D103:R115"/>
    <mergeCell ref="P7:AD7"/>
    <mergeCell ref="P8:AD8"/>
    <mergeCell ref="P9:T9"/>
    <mergeCell ref="R29:R33"/>
    <mergeCell ref="U9:AD9"/>
    <mergeCell ref="Q35:T38"/>
    <mergeCell ref="U27:AD27"/>
    <mergeCell ref="P29:P33"/>
    <mergeCell ref="Q29:Q33"/>
    <mergeCell ref="P11:P15"/>
    <mergeCell ref="Q11:Q15"/>
    <mergeCell ref="R11:R15"/>
    <mergeCell ref="Q17:T20"/>
    <mergeCell ref="P25:AD25"/>
    <mergeCell ref="P26:AD26"/>
    <mergeCell ref="P27:T27"/>
    <mergeCell ref="P34:AD34"/>
    <mergeCell ref="P16:AD16"/>
    <mergeCell ref="C1:K1"/>
    <mergeCell ref="C2:K2"/>
    <mergeCell ref="C3:K3"/>
    <mergeCell ref="C4:K4"/>
    <mergeCell ref="C5:K5"/>
  </mergeCells>
  <phoneticPr fontId="18" type="noConversion"/>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outlinePr summaryBelow="0" summaryRight="0"/>
  </sheetPr>
  <dimension ref="A1:AB61"/>
  <sheetViews>
    <sheetView workbookViewId="0">
      <pane xSplit="2" ySplit="6" topLeftCell="C7" activePane="bottomRight" state="frozen"/>
      <selection pane="bottomRight" activeCell="E7" sqref="E7"/>
      <selection pane="bottomLeft" activeCell="A7" sqref="A7"/>
      <selection pane="topRight" activeCell="C1" sqref="C1"/>
    </sheetView>
  </sheetViews>
  <sheetFormatPr defaultColWidth="14.42578125" defaultRowHeight="15" customHeight="1"/>
  <cols>
    <col min="2" max="2" width="18.7109375" customWidth="1"/>
    <col min="3" max="3" width="8.140625" customWidth="1"/>
    <col min="4" max="4" width="46.42578125" customWidth="1"/>
    <col min="5" max="5" width="17.85546875" customWidth="1"/>
    <col min="6" max="6" width="22.7109375" customWidth="1"/>
    <col min="7" max="7" width="19.7109375" customWidth="1"/>
    <col min="12" max="12" width="7.7109375" customWidth="1"/>
  </cols>
  <sheetData>
    <row r="1" spans="1:28">
      <c r="A1" s="93"/>
      <c r="B1" s="93"/>
      <c r="C1" s="907" t="s">
        <v>40</v>
      </c>
      <c r="D1" s="1158"/>
      <c r="E1" s="1158"/>
      <c r="F1" s="1158"/>
      <c r="G1" s="1158"/>
      <c r="H1" s="1158"/>
      <c r="I1" s="1158"/>
      <c r="J1" s="1158"/>
      <c r="K1" s="1158"/>
    </row>
    <row r="2" spans="1:28">
      <c r="A2" s="93"/>
      <c r="B2" s="93"/>
      <c r="C2" s="907" t="s">
        <v>41</v>
      </c>
      <c r="D2" s="1158"/>
      <c r="E2" s="1158"/>
      <c r="F2" s="1158"/>
      <c r="G2" s="1158"/>
      <c r="H2" s="1158"/>
      <c r="I2" s="1158"/>
      <c r="J2" s="1158"/>
      <c r="K2" s="1158"/>
    </row>
    <row r="3" spans="1:28">
      <c r="A3" s="86"/>
      <c r="B3" s="86"/>
      <c r="C3" s="908" t="s">
        <v>42</v>
      </c>
      <c r="D3" s="1159"/>
      <c r="E3" s="1159"/>
      <c r="F3" s="1159"/>
      <c r="G3" s="1159"/>
      <c r="H3" s="1159"/>
      <c r="I3" s="1159"/>
      <c r="J3" s="1159"/>
      <c r="K3" s="1159"/>
    </row>
    <row r="4" spans="1:28">
      <c r="A4" s="140"/>
      <c r="B4" s="141"/>
      <c r="C4" s="870" t="s">
        <v>621</v>
      </c>
      <c r="D4" s="1160"/>
      <c r="E4" s="1160"/>
      <c r="F4" s="1160"/>
      <c r="G4" s="1160"/>
      <c r="H4" s="1160"/>
      <c r="I4" s="1160"/>
      <c r="J4" s="1160"/>
      <c r="K4" s="1160"/>
    </row>
    <row r="5" spans="1:28">
      <c r="A5" s="155"/>
      <c r="B5" s="94"/>
      <c r="C5" s="889" t="s">
        <v>255</v>
      </c>
      <c r="D5" s="1177"/>
      <c r="E5" s="1177"/>
      <c r="F5" s="1177"/>
      <c r="G5" s="1177"/>
      <c r="H5" s="1177"/>
      <c r="I5" s="1177"/>
      <c r="J5" s="1177"/>
      <c r="K5" s="1177"/>
    </row>
    <row r="6" spans="1:28">
      <c r="A6" s="76" t="s">
        <v>45</v>
      </c>
      <c r="B6" s="171" t="s">
        <v>46</v>
      </c>
      <c r="C6" s="171" t="s">
        <v>47</v>
      </c>
      <c r="D6" s="171" t="s">
        <v>48</v>
      </c>
      <c r="E6" s="171" t="s">
        <v>49</v>
      </c>
      <c r="F6" s="171" t="s">
        <v>392</v>
      </c>
      <c r="G6" s="171" t="s">
        <v>393</v>
      </c>
      <c r="H6" s="171" t="s">
        <v>394</v>
      </c>
      <c r="I6" s="171" t="s">
        <v>395</v>
      </c>
      <c r="J6" s="170" t="s">
        <v>62</v>
      </c>
      <c r="K6" s="179" t="s">
        <v>63</v>
      </c>
      <c r="L6" s="253" t="s">
        <v>64</v>
      </c>
    </row>
    <row r="7" spans="1:28">
      <c r="A7" s="144" t="s">
        <v>65</v>
      </c>
      <c r="B7" s="40" t="s">
        <v>66</v>
      </c>
      <c r="C7" s="145">
        <v>1</v>
      </c>
      <c r="D7" s="183" t="s">
        <v>622</v>
      </c>
      <c r="E7" s="183" t="s">
        <v>623</v>
      </c>
      <c r="F7" s="278">
        <v>0.34</v>
      </c>
      <c r="G7" s="278">
        <v>0.11</v>
      </c>
      <c r="H7" s="162">
        <v>2.98</v>
      </c>
      <c r="I7" s="162">
        <v>4.0999999999999996</v>
      </c>
      <c r="J7" s="184">
        <f t="shared" ref="J7:J24" si="0">IFERROR(AVERAGE(F7:I7), 0)</f>
        <v>1.8824999999999998</v>
      </c>
      <c r="K7" s="182">
        <v>5</v>
      </c>
      <c r="L7" s="242" t="s">
        <v>624</v>
      </c>
      <c r="N7" s="970" t="s">
        <v>70</v>
      </c>
      <c r="O7" s="970"/>
      <c r="P7" s="970"/>
      <c r="Q7" s="970"/>
      <c r="R7" s="970"/>
      <c r="S7" s="970"/>
      <c r="T7" s="970"/>
      <c r="U7" s="970"/>
      <c r="V7" s="970"/>
      <c r="W7" s="970"/>
      <c r="X7" s="970"/>
      <c r="Y7" s="970"/>
      <c r="Z7" s="970"/>
      <c r="AA7" s="970"/>
      <c r="AB7" s="970"/>
    </row>
    <row r="8" spans="1:28">
      <c r="A8" s="9"/>
      <c r="B8" s="10" t="s">
        <v>66</v>
      </c>
      <c r="C8" s="11">
        <v>2</v>
      </c>
      <c r="D8" s="185" t="s">
        <v>625</v>
      </c>
      <c r="E8" s="295" t="s">
        <v>626</v>
      </c>
      <c r="F8" s="277">
        <v>2.0099999999999998</v>
      </c>
      <c r="G8" s="277">
        <v>0.1</v>
      </c>
      <c r="H8" s="12">
        <v>2.96</v>
      </c>
      <c r="I8" s="12">
        <v>4.09</v>
      </c>
      <c r="J8" s="33">
        <f t="shared" si="0"/>
        <v>2.29</v>
      </c>
      <c r="K8" s="14">
        <v>5</v>
      </c>
      <c r="L8" s="242" t="s">
        <v>627</v>
      </c>
      <c r="N8" s="970" t="s">
        <v>107</v>
      </c>
      <c r="O8" s="970"/>
      <c r="P8" s="970"/>
      <c r="Q8" s="970"/>
      <c r="R8" s="970"/>
      <c r="S8" s="970"/>
      <c r="T8" s="970"/>
      <c r="U8" s="970"/>
      <c r="V8" s="970"/>
      <c r="W8" s="970"/>
      <c r="X8" s="970"/>
      <c r="Y8" s="970"/>
      <c r="Z8" s="970"/>
      <c r="AA8" s="970"/>
      <c r="AB8" s="970"/>
    </row>
    <row r="9" spans="1:28">
      <c r="A9" s="9"/>
      <c r="B9" s="10" t="s">
        <v>66</v>
      </c>
      <c r="C9" s="11">
        <v>3</v>
      </c>
      <c r="D9" s="185" t="s">
        <v>628</v>
      </c>
      <c r="E9" s="295" t="s">
        <v>629</v>
      </c>
      <c r="F9" s="277">
        <v>1.78</v>
      </c>
      <c r="G9" s="277">
        <v>0.24</v>
      </c>
      <c r="H9" s="12">
        <v>2.69</v>
      </c>
      <c r="I9" s="12">
        <v>4.25</v>
      </c>
      <c r="J9" s="33">
        <f t="shared" si="0"/>
        <v>2.2400000000000002</v>
      </c>
      <c r="K9" s="14">
        <v>5</v>
      </c>
      <c r="L9" s="242" t="s">
        <v>630</v>
      </c>
      <c r="N9" s="14"/>
      <c r="O9" s="273"/>
      <c r="P9" s="273"/>
      <c r="Q9" s="273"/>
      <c r="R9" s="273"/>
      <c r="S9" s="848" t="s">
        <v>78</v>
      </c>
      <c r="T9" s="1161"/>
      <c r="U9" s="1161"/>
      <c r="V9" s="1161"/>
      <c r="W9" s="1161"/>
      <c r="X9" s="1161"/>
      <c r="Y9" s="1161"/>
      <c r="Z9" s="1161"/>
      <c r="AA9" s="1161"/>
      <c r="AB9" s="1161"/>
    </row>
    <row r="10" spans="1:28">
      <c r="A10" s="9"/>
      <c r="B10" s="149" t="s">
        <v>404</v>
      </c>
      <c r="C10" s="15">
        <v>1</v>
      </c>
      <c r="D10" s="183" t="s">
        <v>622</v>
      </c>
      <c r="E10" s="183" t="s">
        <v>631</v>
      </c>
      <c r="F10" s="276">
        <v>5</v>
      </c>
      <c r="G10" s="276">
        <v>12</v>
      </c>
      <c r="H10" s="162">
        <v>13</v>
      </c>
      <c r="I10" s="162">
        <v>7</v>
      </c>
      <c r="J10" s="48">
        <f t="shared" si="0"/>
        <v>9.25</v>
      </c>
      <c r="K10" s="8">
        <v>7</v>
      </c>
      <c r="L10" s="242" t="s">
        <v>624</v>
      </c>
      <c r="N10" s="14" t="s">
        <v>82</v>
      </c>
      <c r="O10" s="14" t="s">
        <v>83</v>
      </c>
      <c r="P10" s="14" t="s">
        <v>84</v>
      </c>
      <c r="Q10" s="14" t="s">
        <v>85</v>
      </c>
      <c r="R10" s="14" t="s">
        <v>86</v>
      </c>
      <c r="S10" s="14" t="s">
        <v>4</v>
      </c>
      <c r="T10" s="14" t="s">
        <v>5</v>
      </c>
      <c r="U10" s="14" t="s">
        <v>6</v>
      </c>
      <c r="V10" s="14" t="s">
        <v>7</v>
      </c>
      <c r="W10" s="14" t="s">
        <v>8</v>
      </c>
      <c r="X10" s="14" t="s">
        <v>9</v>
      </c>
      <c r="Y10" s="14" t="s">
        <v>10</v>
      </c>
      <c r="Z10" s="14" t="s">
        <v>11</v>
      </c>
      <c r="AA10" s="14" t="s">
        <v>12</v>
      </c>
      <c r="AB10" s="14" t="s">
        <v>13</v>
      </c>
    </row>
    <row r="11" spans="1:28" ht="30">
      <c r="A11" s="9"/>
      <c r="B11" s="10" t="s">
        <v>404</v>
      </c>
      <c r="C11" s="11">
        <v>2</v>
      </c>
      <c r="D11" s="185" t="s">
        <v>625</v>
      </c>
      <c r="E11" s="295" t="s">
        <v>626</v>
      </c>
      <c r="F11" s="277">
        <v>7</v>
      </c>
      <c r="G11" s="277">
        <v>12</v>
      </c>
      <c r="H11" s="12">
        <v>9</v>
      </c>
      <c r="I11" s="12">
        <v>8</v>
      </c>
      <c r="J11" s="35">
        <f t="shared" si="0"/>
        <v>9</v>
      </c>
      <c r="K11" s="14">
        <v>7</v>
      </c>
      <c r="L11" s="242" t="s">
        <v>627</v>
      </c>
      <c r="N11" s="847" t="s">
        <v>632</v>
      </c>
      <c r="O11" s="847" t="s">
        <v>633</v>
      </c>
      <c r="P11" s="855" t="s">
        <v>16</v>
      </c>
      <c r="Q11" s="32">
        <v>1</v>
      </c>
      <c r="R11" s="65" t="s">
        <v>622</v>
      </c>
      <c r="S11" s="33">
        <f>AVERAGE(F7:I7)</f>
        <v>1.8824999999999998</v>
      </c>
      <c r="T11" s="33">
        <f>AVERAGE(F10:I10)</f>
        <v>9.25</v>
      </c>
      <c r="U11" s="33">
        <f>AVERAGE(F13:I13)</f>
        <v>29.25</v>
      </c>
      <c r="V11" s="33">
        <f>AVERAGE(F16:I16)</f>
        <v>7.5625</v>
      </c>
      <c r="W11" s="33">
        <f>AVERAGE(F19:I19)</f>
        <v>28.184999999999995</v>
      </c>
      <c r="X11" s="33">
        <f>AVERAGE(F22:I22)</f>
        <v>33.75</v>
      </c>
      <c r="Y11" s="36">
        <f>GEOMEAN(F25:I25)</f>
        <v>210000</v>
      </c>
      <c r="Z11" s="28">
        <f>AVERAGE(F28:I28)</f>
        <v>0.28399999999999997</v>
      </c>
      <c r="AA11" s="28">
        <f>AVERAGE(F31:I31)</f>
        <v>0.73350000000000004</v>
      </c>
      <c r="AB11" s="35">
        <f>AVERAGE(F34:I34)</f>
        <v>114.5</v>
      </c>
    </row>
    <row r="12" spans="1:28">
      <c r="A12" s="9"/>
      <c r="B12" s="10" t="s">
        <v>404</v>
      </c>
      <c r="C12" s="11">
        <v>3</v>
      </c>
      <c r="D12" s="185" t="s">
        <v>628</v>
      </c>
      <c r="E12" s="295" t="s">
        <v>629</v>
      </c>
      <c r="F12" s="277">
        <v>4</v>
      </c>
      <c r="G12" s="277">
        <v>23</v>
      </c>
      <c r="H12" s="12">
        <v>11</v>
      </c>
      <c r="I12" s="12">
        <v>5</v>
      </c>
      <c r="J12" s="35">
        <f t="shared" si="0"/>
        <v>10.75</v>
      </c>
      <c r="K12" s="14">
        <v>7</v>
      </c>
      <c r="L12" s="242" t="s">
        <v>630</v>
      </c>
      <c r="N12" s="1161"/>
      <c r="O12" s="1161"/>
      <c r="P12" s="1161"/>
      <c r="Q12" s="32">
        <v>2</v>
      </c>
      <c r="R12" s="65" t="s">
        <v>625</v>
      </c>
      <c r="S12" s="33">
        <f t="shared" ref="S12:S13" si="1">AVERAGE(F8:I8)</f>
        <v>2.29</v>
      </c>
      <c r="T12" s="33">
        <f t="shared" ref="T12:T13" si="2">AVERAGE(F11:I11)</f>
        <v>9</v>
      </c>
      <c r="U12" s="33">
        <f t="shared" ref="U12:U13" si="3">AVERAGE(F14:I14)</f>
        <v>28.25</v>
      </c>
      <c r="V12" s="33">
        <f t="shared" ref="V12:V13" si="4">AVERAGE(F17:I17)</f>
        <v>7.620000000000001</v>
      </c>
      <c r="W12" s="33">
        <f t="shared" ref="W12:W13" si="5">AVERAGE(F20:I20)</f>
        <v>28.127499999999998</v>
      </c>
      <c r="X12" s="33">
        <f t="shared" ref="X12:X13" si="6">AVERAGE(F23:I23)</f>
        <v>37.5</v>
      </c>
      <c r="Y12" s="36">
        <f t="shared" ref="Y12:Y13" si="7">GEOMEAN(F26:I26)</f>
        <v>107581.42698843665</v>
      </c>
      <c r="Z12" s="28">
        <f t="shared" ref="Z12:Z13" si="8">AVERAGE(F29:I29)</f>
        <v>0.77174999999999994</v>
      </c>
      <c r="AA12" s="28">
        <f t="shared" ref="AA12:AA13" si="9">AVERAGE(F32:I32)</f>
        <v>0.74249999999999994</v>
      </c>
      <c r="AB12" s="35">
        <f t="shared" ref="AB12:AB13" si="10">AVERAGE(F35:I35)</f>
        <v>86.5</v>
      </c>
    </row>
    <row r="13" spans="1:28" ht="30">
      <c r="A13" s="9"/>
      <c r="B13" s="149" t="s">
        <v>92</v>
      </c>
      <c r="C13" s="15">
        <v>1</v>
      </c>
      <c r="D13" s="183" t="s">
        <v>622</v>
      </c>
      <c r="E13" s="183" t="s">
        <v>631</v>
      </c>
      <c r="F13" s="276">
        <v>6</v>
      </c>
      <c r="G13" s="276">
        <v>29</v>
      </c>
      <c r="H13" s="162">
        <v>36</v>
      </c>
      <c r="I13" s="162">
        <v>46</v>
      </c>
      <c r="J13" s="48">
        <f t="shared" si="0"/>
        <v>29.25</v>
      </c>
      <c r="K13" s="8">
        <v>80</v>
      </c>
      <c r="L13" s="242" t="s">
        <v>624</v>
      </c>
      <c r="N13" s="1161"/>
      <c r="O13" s="1161"/>
      <c r="P13" s="1161"/>
      <c r="Q13" s="32">
        <v>3</v>
      </c>
      <c r="R13" s="65" t="s">
        <v>628</v>
      </c>
      <c r="S13" s="33">
        <f t="shared" si="1"/>
        <v>2.2400000000000002</v>
      </c>
      <c r="T13" s="33">
        <f t="shared" si="2"/>
        <v>10.75</v>
      </c>
      <c r="U13" s="33">
        <f t="shared" si="3"/>
        <v>35.5</v>
      </c>
      <c r="V13" s="33">
        <f t="shared" si="4"/>
        <v>7.817499999999999</v>
      </c>
      <c r="W13" s="33">
        <f t="shared" si="5"/>
        <v>28.0625</v>
      </c>
      <c r="X13" s="33">
        <f t="shared" si="6"/>
        <v>35</v>
      </c>
      <c r="Y13" s="36">
        <f t="shared" si="7"/>
        <v>100179.91388229906</v>
      </c>
      <c r="Z13" s="28">
        <f t="shared" si="8"/>
        <v>0.39524999999999999</v>
      </c>
      <c r="AA13" s="28">
        <f t="shared" si="9"/>
        <v>0.93449999999999989</v>
      </c>
      <c r="AB13" s="35">
        <f t="shared" si="10"/>
        <v>83.5</v>
      </c>
    </row>
    <row r="14" spans="1:28">
      <c r="A14" s="9"/>
      <c r="B14" s="10" t="s">
        <v>92</v>
      </c>
      <c r="C14" s="11">
        <v>2</v>
      </c>
      <c r="D14" s="185" t="s">
        <v>625</v>
      </c>
      <c r="E14" s="295" t="s">
        <v>626</v>
      </c>
      <c r="F14" s="277">
        <v>9</v>
      </c>
      <c r="G14" s="277">
        <v>25</v>
      </c>
      <c r="H14" s="12">
        <v>30</v>
      </c>
      <c r="I14" s="12">
        <v>49</v>
      </c>
      <c r="J14" s="35">
        <f t="shared" si="0"/>
        <v>28.25</v>
      </c>
      <c r="K14" s="14">
        <v>80</v>
      </c>
      <c r="L14" s="242" t="s">
        <v>627</v>
      </c>
      <c r="N14" s="848"/>
      <c r="O14" s="848"/>
      <c r="P14" s="848"/>
      <c r="Q14" s="848"/>
      <c r="R14" s="848"/>
      <c r="S14" s="848"/>
      <c r="T14" s="848"/>
      <c r="U14" s="848"/>
      <c r="V14" s="848"/>
      <c r="W14" s="848"/>
      <c r="X14" s="848"/>
      <c r="Y14" s="848"/>
      <c r="Z14" s="848"/>
      <c r="AA14" s="848"/>
      <c r="AB14" s="848"/>
    </row>
    <row r="15" spans="1:28">
      <c r="A15" s="9"/>
      <c r="B15" s="10" t="s">
        <v>92</v>
      </c>
      <c r="C15" s="11">
        <v>3</v>
      </c>
      <c r="D15" s="185" t="s">
        <v>628</v>
      </c>
      <c r="E15" s="295" t="s">
        <v>629</v>
      </c>
      <c r="F15" s="277">
        <v>18</v>
      </c>
      <c r="G15" s="277">
        <v>28</v>
      </c>
      <c r="H15" s="12">
        <v>39</v>
      </c>
      <c r="I15" s="12">
        <v>57</v>
      </c>
      <c r="J15" s="35">
        <f t="shared" si="0"/>
        <v>35.5</v>
      </c>
      <c r="K15" s="14">
        <v>80</v>
      </c>
      <c r="L15" s="242" t="s">
        <v>630</v>
      </c>
      <c r="N15" s="14" t="s">
        <v>93</v>
      </c>
      <c r="O15" s="1162"/>
      <c r="P15" s="1161"/>
      <c r="Q15" s="1161"/>
      <c r="R15" s="1161"/>
      <c r="S15" s="33">
        <f t="shared" ref="S15:AB15" si="11">AVERAGE(S11:S13)</f>
        <v>2.1374999999999997</v>
      </c>
      <c r="T15" s="33">
        <f t="shared" si="11"/>
        <v>9.6666666666666661</v>
      </c>
      <c r="U15" s="33">
        <f t="shared" si="11"/>
        <v>31</v>
      </c>
      <c r="V15" s="33">
        <f t="shared" si="11"/>
        <v>7.666666666666667</v>
      </c>
      <c r="W15" s="33">
        <f t="shared" si="11"/>
        <v>28.125</v>
      </c>
      <c r="X15" s="33">
        <f t="shared" si="11"/>
        <v>35.416666666666664</v>
      </c>
      <c r="Y15" s="36">
        <f t="shared" si="11"/>
        <v>139253.78029024522</v>
      </c>
      <c r="Z15" s="28">
        <f t="shared" si="11"/>
        <v>0.48366666666666669</v>
      </c>
      <c r="AA15" s="28">
        <f t="shared" si="11"/>
        <v>0.80349999999999999</v>
      </c>
      <c r="AB15" s="35">
        <f t="shared" si="11"/>
        <v>94.833333333333329</v>
      </c>
    </row>
    <row r="16" spans="1:28">
      <c r="A16" s="9"/>
      <c r="B16" s="149" t="s">
        <v>7</v>
      </c>
      <c r="C16" s="15">
        <v>1</v>
      </c>
      <c r="D16" s="183" t="s">
        <v>622</v>
      </c>
      <c r="E16" s="183" t="s">
        <v>631</v>
      </c>
      <c r="F16" s="276">
        <v>7.45</v>
      </c>
      <c r="G16" s="276">
        <v>8.27</v>
      </c>
      <c r="H16" s="162">
        <v>7.18</v>
      </c>
      <c r="I16" s="162">
        <v>7.35</v>
      </c>
      <c r="J16" s="48">
        <f t="shared" si="0"/>
        <v>7.5625</v>
      </c>
      <c r="K16" s="17" t="s">
        <v>106</v>
      </c>
      <c r="L16" s="242" t="s">
        <v>624</v>
      </c>
      <c r="N16" s="14" t="s">
        <v>94</v>
      </c>
      <c r="O16" s="1161"/>
      <c r="P16" s="1163"/>
      <c r="Q16" s="1163"/>
      <c r="R16" s="1161"/>
      <c r="S16" s="33">
        <f t="shared" ref="S16:AB16" si="12">MIN(S11:S13)</f>
        <v>1.8824999999999998</v>
      </c>
      <c r="T16" s="33">
        <f t="shared" si="12"/>
        <v>9</v>
      </c>
      <c r="U16" s="33">
        <f t="shared" si="12"/>
        <v>28.25</v>
      </c>
      <c r="V16" s="33">
        <f t="shared" si="12"/>
        <v>7.5625</v>
      </c>
      <c r="W16" s="33">
        <f t="shared" si="12"/>
        <v>28.0625</v>
      </c>
      <c r="X16" s="33">
        <f t="shared" si="12"/>
        <v>33.75</v>
      </c>
      <c r="Y16" s="36">
        <f t="shared" si="12"/>
        <v>100179.91388229906</v>
      </c>
      <c r="Z16" s="28">
        <f t="shared" si="12"/>
        <v>0.28399999999999997</v>
      </c>
      <c r="AA16" s="28">
        <f t="shared" si="12"/>
        <v>0.73350000000000004</v>
      </c>
      <c r="AB16" s="35">
        <f t="shared" si="12"/>
        <v>83.5</v>
      </c>
    </row>
    <row r="17" spans="1:28">
      <c r="A17" s="9"/>
      <c r="B17" s="10" t="s">
        <v>7</v>
      </c>
      <c r="C17" s="11">
        <v>2</v>
      </c>
      <c r="D17" s="185" t="s">
        <v>625</v>
      </c>
      <c r="E17" s="295" t="s">
        <v>626</v>
      </c>
      <c r="F17" s="277">
        <v>7.54</v>
      </c>
      <c r="G17" s="277">
        <v>8.51</v>
      </c>
      <c r="H17" s="12">
        <v>7.15</v>
      </c>
      <c r="I17" s="12">
        <v>7.28</v>
      </c>
      <c r="J17" s="33">
        <f t="shared" si="0"/>
        <v>7.620000000000001</v>
      </c>
      <c r="K17" s="18" t="s">
        <v>106</v>
      </c>
      <c r="L17" s="242" t="s">
        <v>627</v>
      </c>
      <c r="N17" s="14" t="s">
        <v>95</v>
      </c>
      <c r="O17" s="1161"/>
      <c r="P17" s="1163"/>
      <c r="Q17" s="1163"/>
      <c r="R17" s="1161"/>
      <c r="S17" s="33">
        <f t="shared" ref="S17:AB17" si="13">MAX(S11:S13)</f>
        <v>2.29</v>
      </c>
      <c r="T17" s="33">
        <f t="shared" si="13"/>
        <v>10.75</v>
      </c>
      <c r="U17" s="33">
        <f t="shared" si="13"/>
        <v>35.5</v>
      </c>
      <c r="V17" s="33">
        <f t="shared" si="13"/>
        <v>7.817499999999999</v>
      </c>
      <c r="W17" s="33">
        <f t="shared" si="13"/>
        <v>28.184999999999995</v>
      </c>
      <c r="X17" s="33">
        <f t="shared" si="13"/>
        <v>37.5</v>
      </c>
      <c r="Y17" s="36">
        <f t="shared" si="13"/>
        <v>210000</v>
      </c>
      <c r="Z17" s="28">
        <f t="shared" si="13"/>
        <v>0.77174999999999994</v>
      </c>
      <c r="AA17" s="28">
        <f t="shared" si="13"/>
        <v>0.93449999999999989</v>
      </c>
      <c r="AB17" s="35">
        <f t="shared" si="13"/>
        <v>114.5</v>
      </c>
    </row>
    <row r="18" spans="1:28">
      <c r="A18" s="9"/>
      <c r="B18" s="10" t="s">
        <v>7</v>
      </c>
      <c r="C18" s="11">
        <v>3</v>
      </c>
      <c r="D18" s="185" t="s">
        <v>628</v>
      </c>
      <c r="E18" s="295" t="s">
        <v>629</v>
      </c>
      <c r="F18" s="277">
        <v>7.79</v>
      </c>
      <c r="G18" s="277">
        <v>8.7899999999999991</v>
      </c>
      <c r="H18" s="12">
        <v>7.11</v>
      </c>
      <c r="I18" s="12">
        <v>7.58</v>
      </c>
      <c r="J18" s="33">
        <f t="shared" si="0"/>
        <v>7.817499999999999</v>
      </c>
      <c r="K18" s="18" t="s">
        <v>106</v>
      </c>
      <c r="L18" s="242" t="s">
        <v>630</v>
      </c>
      <c r="N18" s="14" t="s">
        <v>96</v>
      </c>
      <c r="O18" s="1161"/>
      <c r="P18" s="1161"/>
      <c r="Q18" s="1161"/>
      <c r="R18" s="1161"/>
      <c r="S18" s="29" t="s">
        <v>97</v>
      </c>
      <c r="T18" s="29" t="s">
        <v>98</v>
      </c>
      <c r="U18" s="29" t="s">
        <v>99</v>
      </c>
      <c r="V18" s="29" t="s">
        <v>100</v>
      </c>
      <c r="W18" s="29" t="s">
        <v>101</v>
      </c>
      <c r="X18" s="29" t="s">
        <v>102</v>
      </c>
      <c r="Y18" s="29" t="s">
        <v>103</v>
      </c>
      <c r="Z18" s="29" t="s">
        <v>98</v>
      </c>
      <c r="AA18" s="29" t="s">
        <v>104</v>
      </c>
      <c r="AB18" s="29" t="s">
        <v>105</v>
      </c>
    </row>
    <row r="19" spans="1:28">
      <c r="A19" s="9"/>
      <c r="B19" s="149" t="s">
        <v>108</v>
      </c>
      <c r="C19" s="15">
        <v>1</v>
      </c>
      <c r="D19" s="183" t="s">
        <v>622</v>
      </c>
      <c r="E19" s="183" t="s">
        <v>631</v>
      </c>
      <c r="F19" s="276">
        <v>27.95</v>
      </c>
      <c r="G19" s="276">
        <v>28.79</v>
      </c>
      <c r="H19" s="162">
        <v>28.9</v>
      </c>
      <c r="I19" s="162">
        <v>27.1</v>
      </c>
      <c r="J19" s="48">
        <f t="shared" si="0"/>
        <v>28.184999999999995</v>
      </c>
      <c r="K19" s="17" t="s">
        <v>109</v>
      </c>
      <c r="L19" s="242" t="s">
        <v>624</v>
      </c>
    </row>
    <row r="20" spans="1:28">
      <c r="A20" s="9"/>
      <c r="B20" s="10" t="s">
        <v>108</v>
      </c>
      <c r="C20" s="11">
        <v>2</v>
      </c>
      <c r="D20" s="185" t="s">
        <v>625</v>
      </c>
      <c r="E20" s="295" t="s">
        <v>626</v>
      </c>
      <c r="F20" s="277">
        <v>28</v>
      </c>
      <c r="G20" s="277">
        <v>28.51</v>
      </c>
      <c r="H20" s="12">
        <v>28.9</v>
      </c>
      <c r="I20" s="12">
        <v>27.1</v>
      </c>
      <c r="J20" s="35">
        <f t="shared" si="0"/>
        <v>28.127499999999998</v>
      </c>
      <c r="K20" s="18" t="s">
        <v>109</v>
      </c>
      <c r="L20" s="242" t="s">
        <v>627</v>
      </c>
    </row>
    <row r="21" spans="1:28">
      <c r="A21" s="9"/>
      <c r="B21" s="10" t="s">
        <v>108</v>
      </c>
      <c r="C21" s="11">
        <v>3</v>
      </c>
      <c r="D21" s="185" t="s">
        <v>628</v>
      </c>
      <c r="E21" s="295" t="s">
        <v>629</v>
      </c>
      <c r="F21" s="277">
        <v>27.4</v>
      </c>
      <c r="G21" s="277">
        <v>28.95</v>
      </c>
      <c r="H21" s="12">
        <v>28.9</v>
      </c>
      <c r="I21" s="12">
        <v>27</v>
      </c>
      <c r="J21" s="35">
        <f t="shared" si="0"/>
        <v>28.0625</v>
      </c>
      <c r="K21" s="18" t="s">
        <v>109</v>
      </c>
      <c r="L21" s="242" t="s">
        <v>630</v>
      </c>
    </row>
    <row r="22" spans="1:28">
      <c r="A22" s="9"/>
      <c r="B22" s="149" t="s">
        <v>110</v>
      </c>
      <c r="C22" s="15">
        <v>1</v>
      </c>
      <c r="D22" s="183" t="s">
        <v>622</v>
      </c>
      <c r="E22" s="183" t="s">
        <v>631</v>
      </c>
      <c r="F22" s="276">
        <v>30</v>
      </c>
      <c r="G22" s="276">
        <v>40</v>
      </c>
      <c r="H22" s="162">
        <v>35</v>
      </c>
      <c r="I22" s="162">
        <v>30</v>
      </c>
      <c r="J22" s="48">
        <f t="shared" si="0"/>
        <v>33.75</v>
      </c>
      <c r="K22" s="8">
        <v>75</v>
      </c>
      <c r="L22" s="242" t="s">
        <v>624</v>
      </c>
    </row>
    <row r="23" spans="1:28">
      <c r="A23" s="9"/>
      <c r="B23" s="10" t="s">
        <v>110</v>
      </c>
      <c r="C23" s="11">
        <v>2</v>
      </c>
      <c r="D23" s="185" t="s">
        <v>625</v>
      </c>
      <c r="E23" s="295" t="s">
        <v>626</v>
      </c>
      <c r="F23" s="277">
        <v>30</v>
      </c>
      <c r="G23" s="277">
        <v>40</v>
      </c>
      <c r="H23" s="12">
        <v>45</v>
      </c>
      <c r="I23" s="12">
        <v>35</v>
      </c>
      <c r="J23" s="35">
        <f t="shared" si="0"/>
        <v>37.5</v>
      </c>
      <c r="K23" s="90">
        <v>75</v>
      </c>
      <c r="L23" s="242" t="s">
        <v>627</v>
      </c>
    </row>
    <row r="24" spans="1:28">
      <c r="A24" s="9"/>
      <c r="B24" s="10" t="s">
        <v>110</v>
      </c>
      <c r="C24" s="11">
        <v>3</v>
      </c>
      <c r="D24" s="185" t="s">
        <v>628</v>
      </c>
      <c r="E24" s="295" t="s">
        <v>629</v>
      </c>
      <c r="F24" s="277">
        <v>30</v>
      </c>
      <c r="G24" s="277">
        <v>40</v>
      </c>
      <c r="H24" s="12">
        <v>45</v>
      </c>
      <c r="I24" s="12">
        <v>25</v>
      </c>
      <c r="J24" s="35">
        <f t="shared" si="0"/>
        <v>35</v>
      </c>
      <c r="K24" s="14">
        <v>75</v>
      </c>
      <c r="L24" s="242" t="s">
        <v>630</v>
      </c>
    </row>
    <row r="25" spans="1:28" ht="27.75">
      <c r="A25" s="9"/>
      <c r="B25" s="149" t="s">
        <v>111</v>
      </c>
      <c r="C25" s="15">
        <v>1</v>
      </c>
      <c r="D25" s="183" t="s">
        <v>622</v>
      </c>
      <c r="E25" s="183" t="s">
        <v>631</v>
      </c>
      <c r="F25" s="276">
        <v>540000</v>
      </c>
      <c r="G25" s="276">
        <v>350000</v>
      </c>
      <c r="H25" s="162" t="s">
        <v>634</v>
      </c>
      <c r="I25" s="162">
        <v>49000</v>
      </c>
      <c r="J25" s="43">
        <f>IFERROR(GEOMEAN(F25:I25), "")</f>
        <v>210000</v>
      </c>
      <c r="K25" s="8">
        <v>200</v>
      </c>
      <c r="L25" s="242" t="s">
        <v>624</v>
      </c>
    </row>
    <row r="26" spans="1:28" ht="27.75">
      <c r="A26" s="9"/>
      <c r="B26" s="10" t="s">
        <v>111</v>
      </c>
      <c r="C26" s="11">
        <v>2</v>
      </c>
      <c r="D26" s="185" t="s">
        <v>625</v>
      </c>
      <c r="E26" s="295" t="s">
        <v>626</v>
      </c>
      <c r="F26" s="277">
        <v>160000</v>
      </c>
      <c r="G26" s="277">
        <v>92000</v>
      </c>
      <c r="H26" s="12">
        <v>70000</v>
      </c>
      <c r="I26" s="12">
        <v>130000</v>
      </c>
      <c r="J26" s="33">
        <f>IFERROR(GEOMEAN(F26:I26), "")</f>
        <v>107581.42698843665</v>
      </c>
      <c r="K26" s="14">
        <v>200</v>
      </c>
      <c r="L26" s="242" t="s">
        <v>627</v>
      </c>
    </row>
    <row r="27" spans="1:28" ht="27.75">
      <c r="A27" s="9"/>
      <c r="B27" s="10" t="s">
        <v>111</v>
      </c>
      <c r="C27" s="11">
        <v>3</v>
      </c>
      <c r="D27" s="185" t="s">
        <v>628</v>
      </c>
      <c r="E27" s="295" t="s">
        <v>629</v>
      </c>
      <c r="F27" s="277">
        <v>170000</v>
      </c>
      <c r="G27" s="277">
        <v>920000</v>
      </c>
      <c r="H27" s="12">
        <v>9200</v>
      </c>
      <c r="I27" s="12">
        <v>70000</v>
      </c>
      <c r="J27" s="33">
        <f>IFERROR(GEOMEAN(F27:I27), "")</f>
        <v>100179.91388229906</v>
      </c>
      <c r="K27" s="14">
        <v>200</v>
      </c>
      <c r="L27" s="242" t="s">
        <v>630</v>
      </c>
    </row>
    <row r="28" spans="1:28">
      <c r="A28" s="20"/>
      <c r="B28" s="151" t="s">
        <v>113</v>
      </c>
      <c r="C28" s="15">
        <v>1</v>
      </c>
      <c r="D28" s="217" t="s">
        <v>622</v>
      </c>
      <c r="E28" s="183" t="s">
        <v>631</v>
      </c>
      <c r="F28" s="276">
        <v>0.14099999999999999</v>
      </c>
      <c r="G28" s="279">
        <v>0.187</v>
      </c>
      <c r="H28" s="162">
        <v>0.106</v>
      </c>
      <c r="I28" s="165">
        <v>0.70199999999999996</v>
      </c>
      <c r="J28" s="23">
        <f t="shared" ref="J28:J36" si="14">IFERROR(AVERAGE(F28:I28), 0)</f>
        <v>0.28399999999999997</v>
      </c>
      <c r="K28" s="23">
        <v>7</v>
      </c>
      <c r="L28" s="242" t="s">
        <v>624</v>
      </c>
    </row>
    <row r="29" spans="1:28">
      <c r="A29" s="20"/>
      <c r="B29" s="84" t="s">
        <v>114</v>
      </c>
      <c r="C29" s="11">
        <v>2</v>
      </c>
      <c r="D29" s="186" t="s">
        <v>625</v>
      </c>
      <c r="E29" s="295" t="s">
        <v>626</v>
      </c>
      <c r="F29" s="277">
        <v>2.6339999999999999</v>
      </c>
      <c r="G29" s="280">
        <v>0.14599999999999999</v>
      </c>
      <c r="H29" s="12">
        <v>5.6000000000000001E-2</v>
      </c>
      <c r="I29" s="26">
        <v>0.251</v>
      </c>
      <c r="J29" s="28">
        <f t="shared" si="14"/>
        <v>0.77174999999999994</v>
      </c>
      <c r="K29" s="28">
        <v>7</v>
      </c>
      <c r="L29" s="242" t="s">
        <v>627</v>
      </c>
    </row>
    <row r="30" spans="1:28">
      <c r="A30" s="20"/>
      <c r="B30" s="84" t="s">
        <v>114</v>
      </c>
      <c r="C30" s="11">
        <v>3</v>
      </c>
      <c r="D30" s="186" t="s">
        <v>628</v>
      </c>
      <c r="E30" s="295" t="s">
        <v>629</v>
      </c>
      <c r="F30" s="277">
        <v>0.49299999999999999</v>
      </c>
      <c r="G30" s="280">
        <v>0.191</v>
      </c>
      <c r="H30" s="12">
        <v>0.14099999999999999</v>
      </c>
      <c r="I30" s="26">
        <v>0.75600000000000001</v>
      </c>
      <c r="J30" s="28">
        <f t="shared" si="14"/>
        <v>0.39524999999999999</v>
      </c>
      <c r="K30" s="28">
        <v>7</v>
      </c>
      <c r="L30" s="242" t="s">
        <v>630</v>
      </c>
    </row>
    <row r="31" spans="1:28">
      <c r="A31" s="20"/>
      <c r="B31" s="151" t="s">
        <v>115</v>
      </c>
      <c r="C31" s="15">
        <v>1</v>
      </c>
      <c r="D31" s="217" t="s">
        <v>622</v>
      </c>
      <c r="E31" s="183" t="s">
        <v>631</v>
      </c>
      <c r="F31" s="276">
        <v>0.44500000000000001</v>
      </c>
      <c r="G31" s="279">
        <v>0.89400000000000002</v>
      </c>
      <c r="H31" s="162">
        <v>0.77400000000000002</v>
      </c>
      <c r="I31" s="165">
        <v>0.82099999999999995</v>
      </c>
      <c r="J31" s="23">
        <f t="shared" si="14"/>
        <v>0.73350000000000004</v>
      </c>
      <c r="K31" s="23">
        <v>2.5000000000000001E-2</v>
      </c>
      <c r="L31" s="242" t="s">
        <v>624</v>
      </c>
    </row>
    <row r="32" spans="1:28">
      <c r="A32" s="20"/>
      <c r="B32" s="84" t="s">
        <v>116</v>
      </c>
      <c r="C32" s="11">
        <v>2</v>
      </c>
      <c r="D32" s="186" t="s">
        <v>625</v>
      </c>
      <c r="E32" s="295" t="s">
        <v>626</v>
      </c>
      <c r="F32" s="277">
        <v>0.30099999999999999</v>
      </c>
      <c r="G32" s="280">
        <v>0.90700000000000003</v>
      </c>
      <c r="H32" s="12">
        <v>0.95499999999999996</v>
      </c>
      <c r="I32" s="26">
        <v>0.80700000000000005</v>
      </c>
      <c r="J32" s="28">
        <f t="shared" si="14"/>
        <v>0.74249999999999994</v>
      </c>
      <c r="K32" s="28">
        <v>2.5000000000000001E-2</v>
      </c>
      <c r="L32" s="242" t="s">
        <v>627</v>
      </c>
    </row>
    <row r="33" spans="1:13">
      <c r="A33" s="20"/>
      <c r="B33" s="84" t="s">
        <v>116</v>
      </c>
      <c r="C33" s="11">
        <v>3</v>
      </c>
      <c r="D33" s="186" t="s">
        <v>628</v>
      </c>
      <c r="E33" s="295" t="s">
        <v>629</v>
      </c>
      <c r="F33" s="277">
        <v>0.59099999999999997</v>
      </c>
      <c r="G33" s="280">
        <v>1.472</v>
      </c>
      <c r="H33" s="12">
        <v>0.95499999999999996</v>
      </c>
      <c r="I33" s="26">
        <v>0.72</v>
      </c>
      <c r="J33" s="28">
        <f t="shared" si="14"/>
        <v>0.93449999999999989</v>
      </c>
      <c r="K33" s="28">
        <v>2.5000000000000001E-2</v>
      </c>
      <c r="L33" s="242" t="s">
        <v>630</v>
      </c>
    </row>
    <row r="34" spans="1:13">
      <c r="A34" s="9"/>
      <c r="B34" s="149" t="s">
        <v>117</v>
      </c>
      <c r="C34" s="15">
        <v>1</v>
      </c>
      <c r="D34" s="183" t="s">
        <v>622</v>
      </c>
      <c r="E34" s="183" t="s">
        <v>631</v>
      </c>
      <c r="F34" s="276">
        <v>63</v>
      </c>
      <c r="G34" s="276">
        <v>100</v>
      </c>
      <c r="H34" s="162">
        <v>229</v>
      </c>
      <c r="I34" s="162">
        <v>66</v>
      </c>
      <c r="J34" s="48">
        <f t="shared" si="14"/>
        <v>114.5</v>
      </c>
      <c r="K34" s="8">
        <v>350</v>
      </c>
      <c r="L34" s="242" t="s">
        <v>624</v>
      </c>
    </row>
    <row r="35" spans="1:13">
      <c r="A35" s="9"/>
      <c r="B35" s="10" t="s">
        <v>117</v>
      </c>
      <c r="C35" s="11">
        <v>2</v>
      </c>
      <c r="D35" s="185" t="s">
        <v>625</v>
      </c>
      <c r="E35" s="295" t="s">
        <v>626</v>
      </c>
      <c r="F35" s="277">
        <v>63</v>
      </c>
      <c r="G35" s="277">
        <v>70</v>
      </c>
      <c r="H35" s="12">
        <v>189</v>
      </c>
      <c r="I35" s="12">
        <v>24</v>
      </c>
      <c r="J35" s="35">
        <f t="shared" si="14"/>
        <v>86.5</v>
      </c>
      <c r="K35" s="14">
        <v>350</v>
      </c>
      <c r="L35" s="242" t="s">
        <v>627</v>
      </c>
    </row>
    <row r="36" spans="1:13">
      <c r="A36" s="9"/>
      <c r="B36" s="10" t="s">
        <v>117</v>
      </c>
      <c r="C36" s="11">
        <v>3</v>
      </c>
      <c r="D36" s="185" t="s">
        <v>628</v>
      </c>
      <c r="E36" s="295" t="s">
        <v>629</v>
      </c>
      <c r="F36" s="277">
        <v>63</v>
      </c>
      <c r="G36" s="277">
        <v>140</v>
      </c>
      <c r="H36" s="12">
        <v>92</v>
      </c>
      <c r="I36" s="12">
        <v>39</v>
      </c>
      <c r="J36" s="35">
        <f t="shared" si="14"/>
        <v>83.5</v>
      </c>
      <c r="K36" s="14">
        <v>350</v>
      </c>
      <c r="L36" s="242" t="s">
        <v>630</v>
      </c>
    </row>
    <row r="37" spans="1:13" ht="126.75" customHeight="1">
      <c r="A37" s="9"/>
      <c r="B37" s="149" t="s">
        <v>314</v>
      </c>
      <c r="C37" s="15">
        <v>1</v>
      </c>
      <c r="D37" s="183" t="s">
        <v>622</v>
      </c>
      <c r="E37" s="183" t="s">
        <v>631</v>
      </c>
      <c r="F37" s="267" t="s">
        <v>635</v>
      </c>
      <c r="G37" s="267" t="s">
        <v>636</v>
      </c>
      <c r="H37" s="162" t="s">
        <v>637</v>
      </c>
      <c r="I37" s="162" t="s">
        <v>638</v>
      </c>
      <c r="L37" s="242" t="s">
        <v>624</v>
      </c>
    </row>
    <row r="38" spans="1:13" ht="134.25" customHeight="1">
      <c r="A38" s="9"/>
      <c r="B38" s="10" t="s">
        <v>117</v>
      </c>
      <c r="C38" s="11">
        <v>2</v>
      </c>
      <c r="D38" s="185" t="s">
        <v>625</v>
      </c>
      <c r="E38" s="295" t="s">
        <v>626</v>
      </c>
      <c r="F38" s="266" t="s">
        <v>639</v>
      </c>
      <c r="G38" s="266" t="s">
        <v>640</v>
      </c>
      <c r="H38" s="12" t="s">
        <v>641</v>
      </c>
      <c r="I38" s="12" t="s">
        <v>213</v>
      </c>
      <c r="L38" s="242" t="s">
        <v>627</v>
      </c>
      <c r="M38" s="242" t="s">
        <v>627</v>
      </c>
    </row>
    <row r="39" spans="1:13" ht="114" customHeight="1">
      <c r="A39" s="9"/>
      <c r="B39" s="10" t="s">
        <v>117</v>
      </c>
      <c r="C39" s="11">
        <v>3</v>
      </c>
      <c r="D39" s="185" t="s">
        <v>628</v>
      </c>
      <c r="E39" s="295" t="s">
        <v>629</v>
      </c>
      <c r="F39" s="266" t="s">
        <v>642</v>
      </c>
      <c r="G39" s="266" t="s">
        <v>643</v>
      </c>
      <c r="H39" s="12" t="s">
        <v>644</v>
      </c>
      <c r="I39" s="12" t="s">
        <v>645</v>
      </c>
      <c r="L39" s="242" t="s">
        <v>630</v>
      </c>
    </row>
    <row r="40" spans="1:13" ht="15" customHeight="1">
      <c r="H40" s="515">
        <v>45883</v>
      </c>
      <c r="I40" s="515">
        <v>45947</v>
      </c>
    </row>
    <row r="42" spans="1:13" ht="15" customHeight="1">
      <c r="B42" s="232" t="s">
        <v>175</v>
      </c>
      <c r="C42" s="232"/>
      <c r="D42" s="232"/>
      <c r="E42" s="232"/>
      <c r="F42" s="232"/>
      <c r="G42" s="232"/>
      <c r="H42" s="232"/>
      <c r="I42" s="232"/>
      <c r="J42" s="232"/>
      <c r="K42" s="232"/>
    </row>
    <row r="43" spans="1:13" ht="15" customHeight="1">
      <c r="A43" s="232"/>
      <c r="B43" s="873" t="s">
        <v>646</v>
      </c>
      <c r="C43" s="874"/>
      <c r="D43" s="874"/>
      <c r="E43" s="874"/>
      <c r="F43" s="874"/>
      <c r="G43" s="874"/>
      <c r="H43" s="874"/>
      <c r="I43" s="874"/>
      <c r="J43" s="874"/>
      <c r="K43" s="875"/>
      <c r="L43" s="232"/>
    </row>
    <row r="44" spans="1:13" ht="15" customHeight="1">
      <c r="A44" s="232"/>
      <c r="B44" s="876"/>
      <c r="C44" s="877"/>
      <c r="D44" s="877"/>
      <c r="E44" s="877"/>
      <c r="F44" s="877"/>
      <c r="G44" s="877"/>
      <c r="H44" s="877"/>
      <c r="I44" s="877"/>
      <c r="J44" s="877"/>
      <c r="K44" s="878"/>
      <c r="L44" s="232"/>
    </row>
    <row r="45" spans="1:13" ht="15" customHeight="1">
      <c r="A45" s="232"/>
      <c r="B45" s="876"/>
      <c r="C45" s="877"/>
      <c r="D45" s="877"/>
      <c r="E45" s="877"/>
      <c r="F45" s="877"/>
      <c r="G45" s="877"/>
      <c r="H45" s="877"/>
      <c r="I45" s="877"/>
      <c r="J45" s="877"/>
      <c r="K45" s="878"/>
      <c r="L45" s="232"/>
    </row>
    <row r="46" spans="1:13" ht="15" customHeight="1">
      <c r="A46" s="232"/>
      <c r="B46" s="876"/>
      <c r="C46" s="877"/>
      <c r="D46" s="877"/>
      <c r="E46" s="877"/>
      <c r="F46" s="877"/>
      <c r="G46" s="877"/>
      <c r="H46" s="877"/>
      <c r="I46" s="877"/>
      <c r="J46" s="877"/>
      <c r="K46" s="878"/>
      <c r="L46" s="232"/>
    </row>
    <row r="47" spans="1:13" ht="15" customHeight="1">
      <c r="A47" s="232"/>
      <c r="B47" s="876"/>
      <c r="C47" s="877"/>
      <c r="D47" s="877"/>
      <c r="E47" s="877"/>
      <c r="F47" s="877"/>
      <c r="G47" s="877"/>
      <c r="H47" s="877"/>
      <c r="I47" s="877"/>
      <c r="J47" s="877"/>
      <c r="K47" s="878"/>
      <c r="L47" s="232"/>
    </row>
    <row r="48" spans="1:13" ht="15" customHeight="1">
      <c r="A48" s="232"/>
      <c r="B48" s="876"/>
      <c r="C48" s="877"/>
      <c r="D48" s="877"/>
      <c r="E48" s="877"/>
      <c r="F48" s="877"/>
      <c r="G48" s="877"/>
      <c r="H48" s="877"/>
      <c r="I48" s="877"/>
      <c r="J48" s="877"/>
      <c r="K48" s="878"/>
      <c r="L48" s="232"/>
    </row>
    <row r="49" spans="1:12" ht="15" customHeight="1">
      <c r="A49" s="232"/>
      <c r="B49" s="876"/>
      <c r="C49" s="877"/>
      <c r="D49" s="877"/>
      <c r="E49" s="877"/>
      <c r="F49" s="877"/>
      <c r="G49" s="877"/>
      <c r="H49" s="877"/>
      <c r="I49" s="877"/>
      <c r="J49" s="877"/>
      <c r="K49" s="878"/>
      <c r="L49" s="232"/>
    </row>
    <row r="50" spans="1:12" ht="15" customHeight="1">
      <c r="A50" s="232"/>
      <c r="B50" s="876"/>
      <c r="C50" s="877"/>
      <c r="D50" s="877"/>
      <c r="E50" s="877"/>
      <c r="F50" s="877"/>
      <c r="G50" s="877"/>
      <c r="H50" s="877"/>
      <c r="I50" s="877"/>
      <c r="J50" s="877"/>
      <c r="K50" s="878"/>
      <c r="L50" s="232"/>
    </row>
    <row r="51" spans="1:12" ht="15" customHeight="1">
      <c r="A51" s="232"/>
      <c r="B51" s="876"/>
      <c r="C51" s="877"/>
      <c r="D51" s="877"/>
      <c r="E51" s="877"/>
      <c r="F51" s="877"/>
      <c r="G51" s="877"/>
      <c r="H51" s="877"/>
      <c r="I51" s="877"/>
      <c r="J51" s="877"/>
      <c r="K51" s="878"/>
      <c r="L51" s="232"/>
    </row>
    <row r="52" spans="1:12" ht="15" customHeight="1">
      <c r="A52" s="232"/>
      <c r="B52" s="876"/>
      <c r="C52" s="877"/>
      <c r="D52" s="877"/>
      <c r="E52" s="877"/>
      <c r="F52" s="877"/>
      <c r="G52" s="877"/>
      <c r="H52" s="877"/>
      <c r="I52" s="877"/>
      <c r="J52" s="877"/>
      <c r="K52" s="878"/>
      <c r="L52" s="232"/>
    </row>
    <row r="53" spans="1:12" ht="15" customHeight="1">
      <c r="A53" s="232"/>
      <c r="B53" s="876"/>
      <c r="C53" s="877"/>
      <c r="D53" s="877"/>
      <c r="E53" s="877"/>
      <c r="F53" s="877"/>
      <c r="G53" s="877"/>
      <c r="H53" s="877"/>
      <c r="I53" s="877"/>
      <c r="J53" s="877"/>
      <c r="K53" s="878"/>
      <c r="L53" s="232"/>
    </row>
    <row r="54" spans="1:12" ht="15" customHeight="1">
      <c r="A54" s="232"/>
      <c r="B54" s="876"/>
      <c r="C54" s="877"/>
      <c r="D54" s="877"/>
      <c r="E54" s="877"/>
      <c r="F54" s="877"/>
      <c r="G54" s="877"/>
      <c r="H54" s="877"/>
      <c r="I54" s="877"/>
      <c r="J54" s="877"/>
      <c r="K54" s="878"/>
      <c r="L54" s="232"/>
    </row>
    <row r="55" spans="1:12" ht="15" customHeight="1">
      <c r="A55" s="232"/>
      <c r="B55" s="876"/>
      <c r="C55" s="877"/>
      <c r="D55" s="877"/>
      <c r="E55" s="877"/>
      <c r="F55" s="877"/>
      <c r="G55" s="877"/>
      <c r="H55" s="877"/>
      <c r="I55" s="877"/>
      <c r="J55" s="877"/>
      <c r="K55" s="878"/>
      <c r="L55" s="232"/>
    </row>
    <row r="56" spans="1:12" ht="15" customHeight="1">
      <c r="A56" s="232"/>
      <c r="B56" s="876"/>
      <c r="C56" s="877"/>
      <c r="D56" s="877"/>
      <c r="E56" s="877"/>
      <c r="F56" s="877"/>
      <c r="G56" s="877"/>
      <c r="H56" s="877"/>
      <c r="I56" s="877"/>
      <c r="J56" s="877"/>
      <c r="K56" s="878"/>
      <c r="L56" s="232"/>
    </row>
    <row r="57" spans="1:12" ht="15" customHeight="1">
      <c r="A57" s="232"/>
      <c r="B57" s="876"/>
      <c r="C57" s="877"/>
      <c r="D57" s="877"/>
      <c r="E57" s="877"/>
      <c r="F57" s="877"/>
      <c r="G57" s="877"/>
      <c r="H57" s="877"/>
      <c r="I57" s="877"/>
      <c r="J57" s="877"/>
      <c r="K57" s="878"/>
      <c r="L57" s="232"/>
    </row>
    <row r="58" spans="1:12" ht="15" customHeight="1">
      <c r="A58" s="232"/>
      <c r="B58" s="876"/>
      <c r="C58" s="877"/>
      <c r="D58" s="877"/>
      <c r="E58" s="877"/>
      <c r="F58" s="877"/>
      <c r="G58" s="877"/>
      <c r="H58" s="877"/>
      <c r="I58" s="877"/>
      <c r="J58" s="877"/>
      <c r="K58" s="878"/>
      <c r="L58" s="232"/>
    </row>
    <row r="59" spans="1:12" ht="15" customHeight="1">
      <c r="A59" s="232"/>
      <c r="B59" s="876"/>
      <c r="C59" s="877"/>
      <c r="D59" s="877"/>
      <c r="E59" s="877"/>
      <c r="F59" s="877"/>
      <c r="G59" s="877"/>
      <c r="H59" s="877"/>
      <c r="I59" s="877"/>
      <c r="J59" s="877"/>
      <c r="K59" s="878"/>
      <c r="L59" s="232"/>
    </row>
    <row r="60" spans="1:12" ht="15" customHeight="1">
      <c r="A60" s="232"/>
      <c r="B60" s="879"/>
      <c r="C60" s="880"/>
      <c r="D60" s="880"/>
      <c r="E60" s="880"/>
      <c r="F60" s="880"/>
      <c r="G60" s="880"/>
      <c r="H60" s="880"/>
      <c r="I60" s="880"/>
      <c r="J60" s="880"/>
      <c r="K60" s="881"/>
      <c r="L60" s="232"/>
    </row>
    <row r="61" spans="1:12" ht="15" customHeight="1">
      <c r="B61" s="232"/>
      <c r="C61" s="232"/>
      <c r="D61" s="232"/>
      <c r="E61" s="232"/>
      <c r="F61" s="232"/>
      <c r="G61" s="232"/>
      <c r="H61" s="232"/>
      <c r="I61" s="232"/>
      <c r="J61" s="232"/>
      <c r="K61" s="232"/>
    </row>
  </sheetData>
  <mergeCells count="14">
    <mergeCell ref="B43:K60"/>
    <mergeCell ref="C1:K1"/>
    <mergeCell ref="C2:K2"/>
    <mergeCell ref="C3:K3"/>
    <mergeCell ref="C4:K4"/>
    <mergeCell ref="C5:K5"/>
    <mergeCell ref="N14:AB14"/>
    <mergeCell ref="O15:R18"/>
    <mergeCell ref="N7:AB7"/>
    <mergeCell ref="N8:AB8"/>
    <mergeCell ref="S9:AB9"/>
    <mergeCell ref="N11:N13"/>
    <mergeCell ref="O11:O13"/>
    <mergeCell ref="P11:P13"/>
  </mergeCells>
  <phoneticPr fontId="18" type="noConversion"/>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499984740745262"/>
    <pageSetUpPr fitToPage="1"/>
  </sheetPr>
  <dimension ref="A1:T83"/>
  <sheetViews>
    <sheetView workbookViewId="0">
      <pane xSplit="2" ySplit="6" topLeftCell="C7" activePane="bottomRight" state="frozen"/>
      <selection pane="bottomRight"/>
      <selection pane="bottomLeft" activeCell="A7" sqref="A7"/>
      <selection pane="topRight" activeCell="C1" sqref="C1"/>
    </sheetView>
  </sheetViews>
  <sheetFormatPr defaultColWidth="14.42578125" defaultRowHeight="15" customHeight="1"/>
  <cols>
    <col min="1" max="1" width="9.140625" customWidth="1"/>
    <col min="2" max="2" width="23.5703125" customWidth="1"/>
    <col min="3" max="3" width="9.140625" customWidth="1"/>
    <col min="4" max="5" width="24" customWidth="1"/>
    <col min="6" max="6" width="14.140625" customWidth="1"/>
    <col min="8" max="8" width="13.85546875" customWidth="1"/>
    <col min="9" max="9" width="14.140625" customWidth="1"/>
    <col min="10" max="10" width="13.140625" customWidth="1"/>
    <col min="11" max="11" width="13" customWidth="1"/>
    <col min="12" max="12" width="11.7109375" customWidth="1"/>
    <col min="13" max="13" width="11.5703125" customWidth="1"/>
    <col min="14" max="15" width="12.5703125" customWidth="1"/>
    <col min="16" max="16" width="13" customWidth="1"/>
    <col min="17" max="17" width="13.140625" customWidth="1"/>
    <col min="18" max="18" width="18.7109375" customWidth="1"/>
    <col min="19" max="19" width="13.28515625" bestFit="1" customWidth="1"/>
    <col min="20" max="20" width="5.85546875" bestFit="1" customWidth="1"/>
    <col min="21" max="32" width="9.140625" customWidth="1"/>
  </cols>
  <sheetData>
    <row r="1" spans="1:20">
      <c r="A1" s="138"/>
      <c r="B1" s="93"/>
      <c r="C1" s="868" t="s">
        <v>40</v>
      </c>
      <c r="D1" s="1158"/>
      <c r="E1" s="1158"/>
      <c r="F1" s="1158"/>
      <c r="G1" s="1158"/>
      <c r="H1" s="1158"/>
      <c r="I1" s="1158"/>
      <c r="J1" s="1158"/>
      <c r="K1" s="1158"/>
      <c r="L1" s="1158"/>
      <c r="M1" s="1158"/>
      <c r="N1" s="1158"/>
      <c r="O1" s="1158"/>
      <c r="P1" s="1158"/>
      <c r="Q1" s="1158"/>
      <c r="R1" s="1158"/>
      <c r="S1" s="1158"/>
    </row>
    <row r="2" spans="1:20">
      <c r="A2" s="138"/>
      <c r="B2" s="93"/>
      <c r="C2" s="868" t="s">
        <v>41</v>
      </c>
      <c r="D2" s="1158"/>
      <c r="E2" s="1158"/>
      <c r="F2" s="1158"/>
      <c r="G2" s="1158"/>
      <c r="H2" s="1158"/>
      <c r="I2" s="1158"/>
      <c r="J2" s="1158"/>
      <c r="K2" s="1158"/>
      <c r="L2" s="1158"/>
      <c r="M2" s="1158"/>
      <c r="N2" s="1158"/>
      <c r="O2" s="1158"/>
      <c r="P2" s="1158"/>
      <c r="Q2" s="1158"/>
      <c r="R2" s="1158"/>
      <c r="S2" s="1158"/>
    </row>
    <row r="3" spans="1:20">
      <c r="A3" s="139"/>
      <c r="B3" s="86"/>
      <c r="C3" s="869" t="s">
        <v>42</v>
      </c>
      <c r="D3" s="1159"/>
      <c r="E3" s="1159"/>
      <c r="F3" s="1159"/>
      <c r="G3" s="1159"/>
      <c r="H3" s="1159"/>
      <c r="I3" s="1159"/>
      <c r="J3" s="1159"/>
      <c r="K3" s="1159"/>
      <c r="L3" s="1159"/>
      <c r="M3" s="1159"/>
      <c r="N3" s="1159"/>
      <c r="O3" s="1159"/>
      <c r="P3" s="1159"/>
      <c r="Q3" s="1159"/>
      <c r="R3" s="1159"/>
      <c r="S3" s="1159"/>
    </row>
    <row r="4" spans="1:20">
      <c r="A4" s="140"/>
      <c r="B4" s="141"/>
      <c r="C4" s="870" t="s">
        <v>647</v>
      </c>
      <c r="D4" s="1160"/>
      <c r="E4" s="1160"/>
      <c r="F4" s="1160"/>
      <c r="G4" s="1160"/>
      <c r="H4" s="1160"/>
      <c r="I4" s="1160"/>
      <c r="J4" s="1160"/>
      <c r="K4" s="1160"/>
      <c r="L4" s="1160"/>
      <c r="M4" s="1160"/>
      <c r="N4" s="1160"/>
      <c r="O4" s="1160"/>
      <c r="P4" s="1160"/>
      <c r="Q4" s="1160"/>
      <c r="R4" s="1160"/>
      <c r="S4" s="1160"/>
    </row>
    <row r="5" spans="1:20">
      <c r="A5" s="2"/>
      <c r="B5" s="142"/>
      <c r="C5" s="871" t="s">
        <v>255</v>
      </c>
      <c r="D5" s="1159"/>
      <c r="E5" s="1159"/>
      <c r="F5" s="1159"/>
      <c r="G5" s="1159"/>
      <c r="H5" s="1159"/>
      <c r="I5" s="1159"/>
      <c r="J5" s="1159"/>
      <c r="K5" s="1159"/>
      <c r="L5" s="1159"/>
      <c r="M5" s="1159"/>
      <c r="N5" s="1159"/>
      <c r="O5" s="1159"/>
      <c r="P5" s="1159"/>
      <c r="Q5" s="1159"/>
      <c r="R5" s="1159"/>
      <c r="S5" s="1159"/>
    </row>
    <row r="6" spans="1:20">
      <c r="A6" s="3" t="s">
        <v>45</v>
      </c>
      <c r="B6" s="4" t="s">
        <v>46</v>
      </c>
      <c r="C6" s="4" t="s">
        <v>47</v>
      </c>
      <c r="D6" s="4" t="s">
        <v>48</v>
      </c>
      <c r="E6" s="4" t="s">
        <v>49</v>
      </c>
      <c r="F6" s="459" t="s">
        <v>50</v>
      </c>
      <c r="G6" s="459" t="s">
        <v>51</v>
      </c>
      <c r="H6" s="459" t="s">
        <v>52</v>
      </c>
      <c r="I6" s="459" t="s">
        <v>53</v>
      </c>
      <c r="J6" s="460" t="s">
        <v>54</v>
      </c>
      <c r="K6" s="460" t="s">
        <v>55</v>
      </c>
      <c r="L6" s="460" t="s">
        <v>56</v>
      </c>
      <c r="M6" s="460" t="s">
        <v>57</v>
      </c>
      <c r="N6" s="4" t="s">
        <v>58</v>
      </c>
      <c r="O6" s="4" t="s">
        <v>59</v>
      </c>
      <c r="P6" s="4" t="s">
        <v>60</v>
      </c>
      <c r="Q6" s="4" t="s">
        <v>61</v>
      </c>
      <c r="R6" s="159" t="s">
        <v>62</v>
      </c>
      <c r="S6" s="55" t="s">
        <v>63</v>
      </c>
      <c r="T6" s="253" t="s">
        <v>64</v>
      </c>
    </row>
    <row r="7" spans="1:20" ht="30">
      <c r="A7" s="144" t="s">
        <v>65</v>
      </c>
      <c r="B7" s="6" t="s">
        <v>66</v>
      </c>
      <c r="C7" s="145">
        <v>1</v>
      </c>
      <c r="D7" s="160" t="s">
        <v>648</v>
      </c>
      <c r="E7" s="160" t="s">
        <v>649</v>
      </c>
      <c r="F7" s="161">
        <v>8.3000000000000007</v>
      </c>
      <c r="G7" s="161">
        <v>5.8</v>
      </c>
      <c r="H7" s="161">
        <v>5.28</v>
      </c>
      <c r="I7" s="161">
        <v>5.71</v>
      </c>
      <c r="J7" s="161">
        <v>5.9</v>
      </c>
      <c r="K7" s="161">
        <v>6.8</v>
      </c>
      <c r="L7" s="161">
        <v>6.3</v>
      </c>
      <c r="M7" s="161">
        <v>7.28</v>
      </c>
      <c r="N7" s="161">
        <v>7.9</v>
      </c>
      <c r="O7" s="161">
        <v>6.55</v>
      </c>
      <c r="P7" s="161">
        <v>6.23</v>
      </c>
      <c r="Q7" s="161">
        <v>5.15</v>
      </c>
      <c r="R7" s="154">
        <f t="shared" ref="R7:R24" si="0">IFERROR(AVERAGE(F7:Q7), 0)</f>
        <v>6.4333333333333336</v>
      </c>
      <c r="S7" s="8">
        <v>5</v>
      </c>
      <c r="T7" s="248" t="s">
        <v>650</v>
      </c>
    </row>
    <row r="8" spans="1:20" ht="30">
      <c r="A8" s="9"/>
      <c r="B8" s="10" t="s">
        <v>66</v>
      </c>
      <c r="C8" s="11">
        <v>2</v>
      </c>
      <c r="D8" s="56" t="s">
        <v>651</v>
      </c>
      <c r="E8" s="56" t="s">
        <v>649</v>
      </c>
      <c r="F8" s="57">
        <v>8.4</v>
      </c>
      <c r="G8" s="57">
        <v>5.69</v>
      </c>
      <c r="H8" s="57">
        <v>5.22</v>
      </c>
      <c r="I8" s="57">
        <v>5.69</v>
      </c>
      <c r="J8" s="57">
        <v>5.81</v>
      </c>
      <c r="K8" s="57">
        <v>6.25</v>
      </c>
      <c r="L8" s="57">
        <v>6.1</v>
      </c>
      <c r="M8" s="57">
        <v>7.25</v>
      </c>
      <c r="N8" s="57">
        <v>7.7</v>
      </c>
      <c r="O8" s="57">
        <v>7.15</v>
      </c>
      <c r="P8" s="57">
        <v>6.03</v>
      </c>
      <c r="Q8" s="57">
        <v>5.65</v>
      </c>
      <c r="R8" s="13">
        <f t="shared" si="0"/>
        <v>6.411666666666668</v>
      </c>
      <c r="S8" s="14">
        <v>5</v>
      </c>
      <c r="T8" s="248" t="s">
        <v>652</v>
      </c>
    </row>
    <row r="9" spans="1:20" ht="30">
      <c r="A9" s="9"/>
      <c r="B9" s="10" t="s">
        <v>66</v>
      </c>
      <c r="C9" s="11">
        <v>3</v>
      </c>
      <c r="D9" s="56" t="s">
        <v>653</v>
      </c>
      <c r="E9" s="56" t="s">
        <v>649</v>
      </c>
      <c r="F9" s="57">
        <v>6.7</v>
      </c>
      <c r="G9" s="57">
        <v>4.5</v>
      </c>
      <c r="H9" s="57">
        <v>5.01</v>
      </c>
      <c r="I9" s="57">
        <v>4.1500000000000004</v>
      </c>
      <c r="J9" s="57">
        <v>5.08</v>
      </c>
      <c r="K9" s="57">
        <v>5.18</v>
      </c>
      <c r="L9" s="57">
        <v>4.32</v>
      </c>
      <c r="M9" s="57">
        <v>7.01</v>
      </c>
      <c r="N9" s="57">
        <v>6.2</v>
      </c>
      <c r="O9" s="57">
        <v>7.19</v>
      </c>
      <c r="P9" s="57">
        <v>5.27</v>
      </c>
      <c r="Q9" s="57">
        <v>5.7</v>
      </c>
      <c r="R9" s="13">
        <f t="shared" si="0"/>
        <v>5.5258333333333338</v>
      </c>
      <c r="S9" s="14">
        <v>5</v>
      </c>
      <c r="T9" s="248" t="s">
        <v>654</v>
      </c>
    </row>
    <row r="10" spans="1:20" ht="30">
      <c r="A10" s="9"/>
      <c r="B10" s="149" t="s">
        <v>91</v>
      </c>
      <c r="C10" s="15">
        <v>1</v>
      </c>
      <c r="D10" s="160" t="s">
        <v>648</v>
      </c>
      <c r="E10" s="160" t="s">
        <v>649</v>
      </c>
      <c r="F10" s="162">
        <v>3</v>
      </c>
      <c r="G10" s="162">
        <v>2</v>
      </c>
      <c r="H10" s="162">
        <v>2</v>
      </c>
      <c r="I10" s="162">
        <v>2</v>
      </c>
      <c r="J10" s="162">
        <v>2</v>
      </c>
      <c r="K10" s="162">
        <v>2</v>
      </c>
      <c r="L10" s="162">
        <v>2</v>
      </c>
      <c r="M10" s="162">
        <v>2</v>
      </c>
      <c r="N10" s="162">
        <v>3</v>
      </c>
      <c r="O10" s="162">
        <v>2</v>
      </c>
      <c r="P10" s="162">
        <v>4</v>
      </c>
      <c r="Q10" s="162">
        <v>4</v>
      </c>
      <c r="R10" s="163">
        <f t="shared" si="0"/>
        <v>2.5</v>
      </c>
      <c r="S10" s="8">
        <v>7</v>
      </c>
      <c r="T10" s="248" t="s">
        <v>650</v>
      </c>
    </row>
    <row r="11" spans="1:20" ht="30">
      <c r="A11" s="9"/>
      <c r="B11" s="150" t="s">
        <v>91</v>
      </c>
      <c r="C11" s="11">
        <v>2</v>
      </c>
      <c r="D11" s="56" t="s">
        <v>651</v>
      </c>
      <c r="E11" s="56" t="s">
        <v>649</v>
      </c>
      <c r="F11" s="12">
        <v>4</v>
      </c>
      <c r="G11" s="12">
        <v>2</v>
      </c>
      <c r="H11" s="12">
        <v>2</v>
      </c>
      <c r="I11" s="12">
        <v>2</v>
      </c>
      <c r="J11" s="12">
        <v>2</v>
      </c>
      <c r="K11" s="12">
        <v>2</v>
      </c>
      <c r="L11" s="12">
        <v>2</v>
      </c>
      <c r="M11" s="12">
        <v>2</v>
      </c>
      <c r="N11" s="12">
        <v>2</v>
      </c>
      <c r="O11" s="12">
        <v>2</v>
      </c>
      <c r="P11" s="12">
        <v>2</v>
      </c>
      <c r="Q11" s="12">
        <v>2</v>
      </c>
      <c r="R11" s="16">
        <f t="shared" si="0"/>
        <v>2.1666666666666665</v>
      </c>
      <c r="S11" s="14">
        <v>7</v>
      </c>
      <c r="T11" s="248" t="s">
        <v>652</v>
      </c>
    </row>
    <row r="12" spans="1:20" ht="30">
      <c r="A12" s="9"/>
      <c r="B12" s="150" t="s">
        <v>91</v>
      </c>
      <c r="C12" s="11">
        <v>3</v>
      </c>
      <c r="D12" s="56" t="s">
        <v>653</v>
      </c>
      <c r="E12" s="56" t="s">
        <v>649</v>
      </c>
      <c r="F12" s="12">
        <v>3</v>
      </c>
      <c r="G12" s="12">
        <v>2</v>
      </c>
      <c r="H12" s="12">
        <v>2</v>
      </c>
      <c r="I12" s="12">
        <v>2</v>
      </c>
      <c r="J12" s="12">
        <v>3</v>
      </c>
      <c r="K12" s="12">
        <v>3</v>
      </c>
      <c r="L12" s="12">
        <v>2</v>
      </c>
      <c r="M12" s="12">
        <v>2</v>
      </c>
      <c r="N12" s="12">
        <v>3</v>
      </c>
      <c r="O12" s="12">
        <v>2</v>
      </c>
      <c r="P12" s="12">
        <v>2</v>
      </c>
      <c r="Q12" s="12">
        <v>2</v>
      </c>
      <c r="R12" s="16">
        <f t="shared" si="0"/>
        <v>2.3333333333333335</v>
      </c>
      <c r="S12" s="14">
        <v>7</v>
      </c>
      <c r="T12" s="248" t="s">
        <v>654</v>
      </c>
    </row>
    <row r="13" spans="1:20" ht="30">
      <c r="A13" s="9"/>
      <c r="B13" s="149" t="s">
        <v>92</v>
      </c>
      <c r="C13" s="15">
        <v>1</v>
      </c>
      <c r="D13" s="160" t="s">
        <v>648</v>
      </c>
      <c r="E13" s="160" t="s">
        <v>649</v>
      </c>
      <c r="F13" s="162">
        <v>27</v>
      </c>
      <c r="G13" s="162">
        <v>2.5</v>
      </c>
      <c r="H13" s="162">
        <v>4</v>
      </c>
      <c r="I13" s="162">
        <v>2.5</v>
      </c>
      <c r="J13" s="162">
        <v>8</v>
      </c>
      <c r="K13" s="162">
        <v>6</v>
      </c>
      <c r="L13" s="162">
        <v>4</v>
      </c>
      <c r="M13" s="162">
        <v>6</v>
      </c>
      <c r="N13" s="162">
        <v>5</v>
      </c>
      <c r="O13" s="162">
        <v>13</v>
      </c>
      <c r="P13" s="162">
        <v>12</v>
      </c>
      <c r="Q13" s="162">
        <v>21</v>
      </c>
      <c r="R13" s="154">
        <f t="shared" si="0"/>
        <v>9.25</v>
      </c>
      <c r="S13" s="8">
        <v>80</v>
      </c>
      <c r="T13" s="248" t="s">
        <v>650</v>
      </c>
    </row>
    <row r="14" spans="1:20" ht="30">
      <c r="A14" s="9"/>
      <c r="B14" s="150" t="s">
        <v>92</v>
      </c>
      <c r="C14" s="11">
        <v>2</v>
      </c>
      <c r="D14" s="56" t="s">
        <v>651</v>
      </c>
      <c r="E14" s="56" t="s">
        <v>649</v>
      </c>
      <c r="F14" s="12">
        <v>23</v>
      </c>
      <c r="G14" s="12">
        <v>2.5</v>
      </c>
      <c r="H14" s="12">
        <v>2</v>
      </c>
      <c r="I14" s="12">
        <v>2.5</v>
      </c>
      <c r="J14" s="12">
        <v>6</v>
      </c>
      <c r="K14" s="12">
        <v>4</v>
      </c>
      <c r="L14" s="12">
        <v>9</v>
      </c>
      <c r="M14" s="12">
        <v>10</v>
      </c>
      <c r="N14" s="12">
        <v>11</v>
      </c>
      <c r="O14" s="12">
        <v>19</v>
      </c>
      <c r="P14" s="12">
        <v>15</v>
      </c>
      <c r="Q14" s="12">
        <v>15</v>
      </c>
      <c r="R14" s="13">
        <f t="shared" si="0"/>
        <v>9.9166666666666661</v>
      </c>
      <c r="S14" s="14">
        <v>80</v>
      </c>
      <c r="T14" s="248" t="s">
        <v>652</v>
      </c>
    </row>
    <row r="15" spans="1:20" ht="30">
      <c r="A15" s="9"/>
      <c r="B15" s="150" t="s">
        <v>92</v>
      </c>
      <c r="C15" s="11">
        <v>3</v>
      </c>
      <c r="D15" s="56" t="s">
        <v>653</v>
      </c>
      <c r="E15" s="56" t="s">
        <v>649</v>
      </c>
      <c r="F15" s="12">
        <v>2.5</v>
      </c>
      <c r="G15" s="12">
        <v>5</v>
      </c>
      <c r="H15" s="12">
        <v>6</v>
      </c>
      <c r="I15" s="12">
        <v>2.5</v>
      </c>
      <c r="J15" s="12">
        <v>8</v>
      </c>
      <c r="K15" s="12">
        <v>6</v>
      </c>
      <c r="L15" s="12">
        <v>4</v>
      </c>
      <c r="M15" s="12">
        <v>13</v>
      </c>
      <c r="N15" s="12">
        <v>20</v>
      </c>
      <c r="O15" s="12">
        <v>20</v>
      </c>
      <c r="P15" s="12">
        <v>12</v>
      </c>
      <c r="Q15" s="12">
        <v>18</v>
      </c>
      <c r="R15" s="13">
        <f t="shared" si="0"/>
        <v>9.75</v>
      </c>
      <c r="S15" s="14">
        <v>80</v>
      </c>
      <c r="T15" s="248" t="s">
        <v>654</v>
      </c>
    </row>
    <row r="16" spans="1:20" ht="30">
      <c r="A16" s="9"/>
      <c r="B16" s="149" t="s">
        <v>7</v>
      </c>
      <c r="C16" s="15">
        <v>1</v>
      </c>
      <c r="D16" s="160" t="s">
        <v>648</v>
      </c>
      <c r="E16" s="160" t="s">
        <v>649</v>
      </c>
      <c r="F16" s="161">
        <v>7.31</v>
      </c>
      <c r="G16" s="162">
        <v>7.28</v>
      </c>
      <c r="H16" s="162">
        <v>7.28</v>
      </c>
      <c r="I16" s="162">
        <v>7.25</v>
      </c>
      <c r="J16" s="162">
        <v>7.28</v>
      </c>
      <c r="K16" s="162">
        <v>7.28</v>
      </c>
      <c r="L16" s="162">
        <v>7.4</v>
      </c>
      <c r="M16" s="162">
        <v>7.82</v>
      </c>
      <c r="N16" s="162">
        <v>8.81</v>
      </c>
      <c r="O16" s="162">
        <v>7.89</v>
      </c>
      <c r="P16" s="162">
        <v>7.51</v>
      </c>
      <c r="Q16" s="162">
        <v>7.83</v>
      </c>
      <c r="R16" s="154">
        <f t="shared" si="0"/>
        <v>7.5783333333333331</v>
      </c>
      <c r="S16" s="17" t="s">
        <v>106</v>
      </c>
      <c r="T16" s="248" t="s">
        <v>650</v>
      </c>
    </row>
    <row r="17" spans="1:20" ht="30">
      <c r="A17" s="9"/>
      <c r="B17" s="150" t="s">
        <v>7</v>
      </c>
      <c r="C17" s="11">
        <v>2</v>
      </c>
      <c r="D17" s="56" t="s">
        <v>651</v>
      </c>
      <c r="E17" s="56" t="s">
        <v>649</v>
      </c>
      <c r="F17" s="57">
        <v>7.28</v>
      </c>
      <c r="G17" s="12">
        <v>7.01</v>
      </c>
      <c r="H17" s="12">
        <v>7.19</v>
      </c>
      <c r="I17" s="12">
        <v>7.28</v>
      </c>
      <c r="J17" s="12">
        <v>7.25</v>
      </c>
      <c r="K17" s="12">
        <v>7.3</v>
      </c>
      <c r="L17" s="12">
        <v>7.4</v>
      </c>
      <c r="M17" s="12">
        <v>7.82</v>
      </c>
      <c r="N17" s="12">
        <v>8.7899999999999991</v>
      </c>
      <c r="O17" s="12">
        <v>8.02</v>
      </c>
      <c r="P17" s="12">
        <v>7.45</v>
      </c>
      <c r="Q17" s="12">
        <v>7.83</v>
      </c>
      <c r="R17" s="13">
        <f t="shared" si="0"/>
        <v>7.5516666666666659</v>
      </c>
      <c r="S17" s="18" t="s">
        <v>106</v>
      </c>
      <c r="T17" s="248" t="s">
        <v>652</v>
      </c>
    </row>
    <row r="18" spans="1:20" ht="30">
      <c r="A18" s="9"/>
      <c r="B18" s="150" t="s">
        <v>7</v>
      </c>
      <c r="C18" s="11">
        <v>3</v>
      </c>
      <c r="D18" s="56" t="s">
        <v>653</v>
      </c>
      <c r="E18" s="56" t="s">
        <v>649</v>
      </c>
      <c r="F18" s="57">
        <v>7.28</v>
      </c>
      <c r="G18" s="12">
        <v>7.36</v>
      </c>
      <c r="H18" s="12">
        <v>7.23</v>
      </c>
      <c r="I18" s="12">
        <v>7.26</v>
      </c>
      <c r="J18" s="12">
        <v>7.18</v>
      </c>
      <c r="K18" s="12">
        <v>7.15</v>
      </c>
      <c r="L18" s="12">
        <v>7.36</v>
      </c>
      <c r="M18" s="12">
        <v>7.72</v>
      </c>
      <c r="N18" s="12">
        <v>7.85</v>
      </c>
      <c r="O18" s="12">
        <v>8.0299999999999994</v>
      </c>
      <c r="P18" s="12">
        <v>7.38</v>
      </c>
      <c r="Q18" s="12">
        <v>7.8</v>
      </c>
      <c r="R18" s="13">
        <f t="shared" si="0"/>
        <v>7.4666666666666659</v>
      </c>
      <c r="S18" s="18" t="s">
        <v>106</v>
      </c>
      <c r="T18" s="248" t="s">
        <v>654</v>
      </c>
    </row>
    <row r="19" spans="1:20" ht="30">
      <c r="A19" s="9"/>
      <c r="B19" s="149" t="s">
        <v>108</v>
      </c>
      <c r="C19" s="15">
        <v>1</v>
      </c>
      <c r="D19" s="160" t="s">
        <v>648</v>
      </c>
      <c r="E19" s="160" t="s">
        <v>649</v>
      </c>
      <c r="F19" s="161">
        <v>25.6</v>
      </c>
      <c r="G19" s="162">
        <v>24</v>
      </c>
      <c r="H19" s="162">
        <v>25.9</v>
      </c>
      <c r="I19" s="162">
        <v>25</v>
      </c>
      <c r="J19" s="162">
        <v>26.6</v>
      </c>
      <c r="K19" s="162">
        <v>26.1</v>
      </c>
      <c r="L19" s="162">
        <v>27</v>
      </c>
      <c r="M19" s="162">
        <v>25.5</v>
      </c>
      <c r="N19" s="162">
        <v>29.7</v>
      </c>
      <c r="O19" s="162">
        <v>27.1</v>
      </c>
      <c r="P19" s="162">
        <v>25.8</v>
      </c>
      <c r="Q19" s="162">
        <v>27.2</v>
      </c>
      <c r="R19" s="154">
        <f t="shared" si="0"/>
        <v>26.291666666666668</v>
      </c>
      <c r="S19" s="17" t="s">
        <v>109</v>
      </c>
      <c r="T19" s="248" t="s">
        <v>650</v>
      </c>
    </row>
    <row r="20" spans="1:20" ht="30">
      <c r="A20" s="9"/>
      <c r="B20" s="150" t="s">
        <v>108</v>
      </c>
      <c r="C20" s="11">
        <v>2</v>
      </c>
      <c r="D20" s="56" t="s">
        <v>651</v>
      </c>
      <c r="E20" s="56" t="s">
        <v>649</v>
      </c>
      <c r="F20" s="57">
        <v>25.8</v>
      </c>
      <c r="G20" s="12">
        <v>23.7</v>
      </c>
      <c r="H20" s="12">
        <v>25.9</v>
      </c>
      <c r="I20" s="12">
        <v>25</v>
      </c>
      <c r="J20" s="12">
        <v>26.6</v>
      </c>
      <c r="K20" s="12">
        <v>26.8</v>
      </c>
      <c r="L20" s="12">
        <v>27.6</v>
      </c>
      <c r="M20" s="12">
        <v>25.8</v>
      </c>
      <c r="N20" s="12">
        <v>25.7</v>
      </c>
      <c r="O20" s="12">
        <v>26.6</v>
      </c>
      <c r="P20" s="12">
        <v>25.9</v>
      </c>
      <c r="Q20" s="12">
        <v>26.7</v>
      </c>
      <c r="R20" s="13">
        <f t="shared" si="0"/>
        <v>26.008333333333329</v>
      </c>
      <c r="S20" s="18" t="s">
        <v>109</v>
      </c>
      <c r="T20" s="248" t="s">
        <v>652</v>
      </c>
    </row>
    <row r="21" spans="1:20" ht="15.75" customHeight="1">
      <c r="A21" s="9"/>
      <c r="B21" s="150" t="s">
        <v>108</v>
      </c>
      <c r="C21" s="11">
        <v>3</v>
      </c>
      <c r="D21" s="56" t="s">
        <v>653</v>
      </c>
      <c r="E21" s="56" t="s">
        <v>649</v>
      </c>
      <c r="F21" s="57">
        <v>25.8</v>
      </c>
      <c r="G21" s="12">
        <v>23.8</v>
      </c>
      <c r="H21" s="12">
        <v>25.8</v>
      </c>
      <c r="I21" s="12">
        <v>24.8</v>
      </c>
      <c r="J21" s="12">
        <v>26.7</v>
      </c>
      <c r="K21" s="12">
        <v>27.5</v>
      </c>
      <c r="L21" s="12">
        <v>26.9</v>
      </c>
      <c r="M21" s="12">
        <v>26.1</v>
      </c>
      <c r="N21" s="12">
        <v>26.1</v>
      </c>
      <c r="O21" s="12">
        <v>25.6</v>
      </c>
      <c r="P21" s="12">
        <v>26.4</v>
      </c>
      <c r="Q21" s="12">
        <v>26.5</v>
      </c>
      <c r="R21" s="13">
        <f t="shared" si="0"/>
        <v>26</v>
      </c>
      <c r="S21" s="18" t="s">
        <v>109</v>
      </c>
      <c r="T21" s="248" t="s">
        <v>654</v>
      </c>
    </row>
    <row r="22" spans="1:20" ht="15.75" customHeight="1">
      <c r="A22" s="9"/>
      <c r="B22" s="149" t="s">
        <v>110</v>
      </c>
      <c r="C22" s="15">
        <v>1</v>
      </c>
      <c r="D22" s="160" t="s">
        <v>648</v>
      </c>
      <c r="E22" s="160" t="s">
        <v>649</v>
      </c>
      <c r="F22" s="162">
        <v>5</v>
      </c>
      <c r="G22" s="162">
        <v>10</v>
      </c>
      <c r="H22" s="162">
        <v>5</v>
      </c>
      <c r="I22" s="162">
        <v>5</v>
      </c>
      <c r="J22" s="162">
        <v>5</v>
      </c>
      <c r="K22" s="162">
        <v>5</v>
      </c>
      <c r="L22" s="162">
        <v>5</v>
      </c>
      <c r="M22" s="162">
        <v>10</v>
      </c>
      <c r="N22" s="162">
        <v>10</v>
      </c>
      <c r="O22" s="162">
        <v>5</v>
      </c>
      <c r="P22" s="162">
        <v>5</v>
      </c>
      <c r="Q22" s="162">
        <v>5</v>
      </c>
      <c r="R22" s="154">
        <f t="shared" si="0"/>
        <v>6.25</v>
      </c>
      <c r="S22" s="8">
        <v>75</v>
      </c>
      <c r="T22" s="248" t="s">
        <v>650</v>
      </c>
    </row>
    <row r="23" spans="1:20" ht="15.75" customHeight="1">
      <c r="A23" s="9"/>
      <c r="B23" s="150" t="s">
        <v>110</v>
      </c>
      <c r="C23" s="11">
        <v>2</v>
      </c>
      <c r="D23" s="56" t="s">
        <v>651</v>
      </c>
      <c r="E23" s="56" t="s">
        <v>649</v>
      </c>
      <c r="F23" s="12">
        <v>5</v>
      </c>
      <c r="G23" s="12">
        <v>10</v>
      </c>
      <c r="H23" s="12">
        <v>5</v>
      </c>
      <c r="I23" s="12">
        <v>5</v>
      </c>
      <c r="J23" s="12">
        <v>5</v>
      </c>
      <c r="K23" s="12">
        <v>5</v>
      </c>
      <c r="L23" s="12">
        <v>5</v>
      </c>
      <c r="M23" s="12">
        <v>25</v>
      </c>
      <c r="N23" s="12">
        <v>10</v>
      </c>
      <c r="O23" s="12">
        <v>5</v>
      </c>
      <c r="P23" s="12">
        <v>5</v>
      </c>
      <c r="Q23" s="12">
        <v>5</v>
      </c>
      <c r="R23" s="13">
        <f t="shared" si="0"/>
        <v>7.5</v>
      </c>
      <c r="S23" s="14">
        <v>75</v>
      </c>
      <c r="T23" s="248" t="s">
        <v>652</v>
      </c>
    </row>
    <row r="24" spans="1:20" ht="15.75" customHeight="1">
      <c r="A24" s="9"/>
      <c r="B24" s="150" t="s">
        <v>110</v>
      </c>
      <c r="C24" s="11">
        <v>3</v>
      </c>
      <c r="D24" s="56" t="s">
        <v>653</v>
      </c>
      <c r="E24" s="56" t="s">
        <v>649</v>
      </c>
      <c r="F24" s="12">
        <v>5</v>
      </c>
      <c r="G24" s="12">
        <v>15</v>
      </c>
      <c r="H24" s="12">
        <v>5</v>
      </c>
      <c r="I24" s="12">
        <v>5</v>
      </c>
      <c r="J24" s="12">
        <v>5</v>
      </c>
      <c r="K24" s="12">
        <v>10</v>
      </c>
      <c r="L24" s="12">
        <v>5</v>
      </c>
      <c r="M24" s="12">
        <v>10</v>
      </c>
      <c r="N24" s="12">
        <v>10</v>
      </c>
      <c r="O24" s="12">
        <v>5</v>
      </c>
      <c r="P24" s="12">
        <v>10</v>
      </c>
      <c r="Q24" s="12">
        <v>10</v>
      </c>
      <c r="R24" s="13">
        <f t="shared" si="0"/>
        <v>7.916666666666667</v>
      </c>
      <c r="S24" s="14">
        <v>75</v>
      </c>
      <c r="T24" s="248" t="s">
        <v>654</v>
      </c>
    </row>
    <row r="25" spans="1:20" ht="19.5" customHeight="1">
      <c r="A25" s="9"/>
      <c r="B25" s="149" t="s">
        <v>111</v>
      </c>
      <c r="C25" s="15">
        <v>1</v>
      </c>
      <c r="D25" s="160" t="s">
        <v>648</v>
      </c>
      <c r="E25" s="160" t="s">
        <v>649</v>
      </c>
      <c r="F25" s="274">
        <v>140</v>
      </c>
      <c r="G25" s="274">
        <v>700</v>
      </c>
      <c r="H25" s="274">
        <v>11000</v>
      </c>
      <c r="I25" s="274">
        <v>3500</v>
      </c>
      <c r="J25" s="274">
        <v>920</v>
      </c>
      <c r="K25" s="274">
        <v>35000</v>
      </c>
      <c r="L25" s="274">
        <v>24000</v>
      </c>
      <c r="M25" s="274">
        <v>1700</v>
      </c>
      <c r="N25" s="274">
        <v>4900</v>
      </c>
      <c r="O25" s="162">
        <v>5400</v>
      </c>
      <c r="P25" s="162">
        <v>9200</v>
      </c>
      <c r="Q25" s="162">
        <v>2400</v>
      </c>
      <c r="R25" s="593">
        <f>IFERROR(GEOMEAN(F25:Q25), 0)</f>
        <v>3455.2752214056254</v>
      </c>
      <c r="S25" s="8">
        <v>200</v>
      </c>
      <c r="T25" s="248" t="s">
        <v>650</v>
      </c>
    </row>
    <row r="26" spans="1:20" ht="15.75" customHeight="1">
      <c r="A26" s="9"/>
      <c r="B26" s="150" t="s">
        <v>111</v>
      </c>
      <c r="C26" s="11">
        <v>2</v>
      </c>
      <c r="D26" s="56" t="s">
        <v>651</v>
      </c>
      <c r="E26" s="56" t="s">
        <v>649</v>
      </c>
      <c r="F26" s="129">
        <v>2400</v>
      </c>
      <c r="G26" s="129">
        <v>700</v>
      </c>
      <c r="H26" s="129">
        <v>13000</v>
      </c>
      <c r="I26" s="129">
        <v>2400</v>
      </c>
      <c r="J26" s="129">
        <v>540</v>
      </c>
      <c r="K26" s="129">
        <v>22000</v>
      </c>
      <c r="L26" s="129">
        <v>92000</v>
      </c>
      <c r="M26" s="129">
        <v>35000</v>
      </c>
      <c r="N26" s="129">
        <v>2300</v>
      </c>
      <c r="O26" s="12">
        <v>2800</v>
      </c>
      <c r="P26" s="12">
        <v>3500</v>
      </c>
      <c r="Q26" s="12">
        <v>1300</v>
      </c>
      <c r="R26" s="594">
        <f>IFERROR(GEOMEAN(F26:Q26), 0)</f>
        <v>4440.3730113553956</v>
      </c>
      <c r="S26" s="14">
        <v>200</v>
      </c>
      <c r="T26" s="248" t="s">
        <v>652</v>
      </c>
    </row>
    <row r="27" spans="1:20" ht="15.75" customHeight="1">
      <c r="A27" s="9"/>
      <c r="B27" s="150" t="s">
        <v>111</v>
      </c>
      <c r="C27" s="11">
        <v>3</v>
      </c>
      <c r="D27" s="56" t="s">
        <v>653</v>
      </c>
      <c r="E27" s="56" t="s">
        <v>649</v>
      </c>
      <c r="F27" s="129">
        <v>9200</v>
      </c>
      <c r="G27" s="129">
        <v>24000</v>
      </c>
      <c r="H27" s="129">
        <v>14000</v>
      </c>
      <c r="I27" s="129">
        <v>9200</v>
      </c>
      <c r="J27" s="129">
        <v>1600</v>
      </c>
      <c r="K27" s="129">
        <v>160000</v>
      </c>
      <c r="L27" s="129">
        <v>17000</v>
      </c>
      <c r="M27" s="129">
        <v>16000</v>
      </c>
      <c r="N27" s="129">
        <v>35000</v>
      </c>
      <c r="O27" s="12">
        <v>16000</v>
      </c>
      <c r="P27" s="12" t="s">
        <v>655</v>
      </c>
      <c r="Q27" s="12">
        <v>2400</v>
      </c>
      <c r="R27" s="594">
        <f>IFERROR(GEOMEAN(F27:Q27), 0)</f>
        <v>13475.864724847674</v>
      </c>
      <c r="S27" s="14">
        <v>200</v>
      </c>
      <c r="T27" s="248" t="s">
        <v>654</v>
      </c>
    </row>
    <row r="28" spans="1:20" ht="15.75" customHeight="1">
      <c r="A28" s="20"/>
      <c r="B28" s="151" t="s">
        <v>113</v>
      </c>
      <c r="C28" s="21">
        <v>1</v>
      </c>
      <c r="D28" s="160" t="s">
        <v>648</v>
      </c>
      <c r="E28" s="160" t="s">
        <v>649</v>
      </c>
      <c r="F28" s="165">
        <v>9.6000000000000002E-2</v>
      </c>
      <c r="G28" s="165">
        <v>7.1999999999999995E-2</v>
      </c>
      <c r="H28" s="165">
        <v>0.375</v>
      </c>
      <c r="I28" s="165">
        <v>0.1</v>
      </c>
      <c r="J28" s="165">
        <v>4.2999999999999997E-2</v>
      </c>
      <c r="K28" s="165">
        <v>6.4000000000000001E-2</v>
      </c>
      <c r="L28" s="165">
        <v>0.152</v>
      </c>
      <c r="M28" s="165">
        <v>0.11700000000000001</v>
      </c>
      <c r="N28" s="165">
        <v>0.27900000000000003</v>
      </c>
      <c r="O28" s="165">
        <v>0.10100000000000001</v>
      </c>
      <c r="P28" s="165">
        <v>0.375</v>
      </c>
      <c r="Q28" s="165">
        <v>0.28699999999999998</v>
      </c>
      <c r="R28" s="178">
        <f t="shared" ref="R28:R36" si="1">IFERROR(AVERAGE(F28:Q28), 0)</f>
        <v>0.17174999999999999</v>
      </c>
      <c r="S28" s="23">
        <v>7</v>
      </c>
      <c r="T28" s="248" t="s">
        <v>650</v>
      </c>
    </row>
    <row r="29" spans="1:20" ht="15.75" customHeight="1">
      <c r="A29" s="20"/>
      <c r="B29" s="153" t="s">
        <v>114</v>
      </c>
      <c r="C29" s="25">
        <v>2</v>
      </c>
      <c r="D29" s="56" t="s">
        <v>651</v>
      </c>
      <c r="E29" s="56" t="s">
        <v>649</v>
      </c>
      <c r="F29" s="26">
        <v>0.23300000000000001</v>
      </c>
      <c r="G29" s="26">
        <v>4.2999999999999997E-2</v>
      </c>
      <c r="H29" s="26">
        <v>0.375</v>
      </c>
      <c r="I29" s="26">
        <v>0.33100000000000002</v>
      </c>
      <c r="J29" s="26">
        <v>0.113</v>
      </c>
      <c r="K29" s="26">
        <v>4.2999999999999997E-2</v>
      </c>
      <c r="L29" s="26">
        <v>0.223</v>
      </c>
      <c r="M29" s="26">
        <v>0.113</v>
      </c>
      <c r="N29" s="26">
        <v>0.40200000000000002</v>
      </c>
      <c r="O29" s="26">
        <v>0.23499999999999999</v>
      </c>
      <c r="P29" s="26">
        <v>0.124</v>
      </c>
      <c r="Q29" s="26">
        <v>0.41599999999999998</v>
      </c>
      <c r="R29" s="27">
        <f t="shared" si="1"/>
        <v>0.22091666666666665</v>
      </c>
      <c r="S29" s="28">
        <v>7</v>
      </c>
      <c r="T29" s="248" t="s">
        <v>652</v>
      </c>
    </row>
    <row r="30" spans="1:20" ht="15.75" customHeight="1">
      <c r="A30" s="20"/>
      <c r="B30" s="153" t="s">
        <v>114</v>
      </c>
      <c r="C30" s="25">
        <v>3</v>
      </c>
      <c r="D30" s="56" t="s">
        <v>653</v>
      </c>
      <c r="E30" s="56" t="s">
        <v>649</v>
      </c>
      <c r="F30" s="26">
        <v>0.18</v>
      </c>
      <c r="G30" s="26">
        <v>0.83499999999999996</v>
      </c>
      <c r="H30" s="26">
        <v>0.627</v>
      </c>
      <c r="I30" s="26">
        <v>9.1999999999999998E-2</v>
      </c>
      <c r="J30" s="26">
        <v>4.2999999999999997E-2</v>
      </c>
      <c r="K30" s="26">
        <v>0.185</v>
      </c>
      <c r="L30" s="26">
        <v>4.2999999999999997E-2</v>
      </c>
      <c r="M30" s="26">
        <v>0.20399999999999999</v>
      </c>
      <c r="N30" s="26">
        <v>0.34899999999999998</v>
      </c>
      <c r="O30" s="26">
        <v>0.34499999999999997</v>
      </c>
      <c r="P30" s="26">
        <v>0.158</v>
      </c>
      <c r="Q30" s="26">
        <v>0.40899999999999997</v>
      </c>
      <c r="R30" s="27">
        <f t="shared" si="1"/>
        <v>0.28916666666666663</v>
      </c>
      <c r="S30" s="28">
        <v>7</v>
      </c>
      <c r="T30" s="248" t="s">
        <v>654</v>
      </c>
    </row>
    <row r="31" spans="1:20" ht="15.75" customHeight="1">
      <c r="A31" s="20"/>
      <c r="B31" s="151" t="s">
        <v>115</v>
      </c>
      <c r="C31" s="21">
        <v>1</v>
      </c>
      <c r="D31" s="160" t="s">
        <v>648</v>
      </c>
      <c r="E31" s="160" t="s">
        <v>649</v>
      </c>
      <c r="F31" s="165">
        <v>1.2999999999999999E-2</v>
      </c>
      <c r="G31" s="165">
        <v>1.0999999999999999E-2</v>
      </c>
      <c r="H31" s="165">
        <v>0.14699999999999999</v>
      </c>
      <c r="I31" s="165">
        <v>1.0999999999999999E-2</v>
      </c>
      <c r="J31" s="165">
        <v>3.4000000000000002E-2</v>
      </c>
      <c r="K31" s="165">
        <v>1.4999999999999999E-2</v>
      </c>
      <c r="L31" s="165">
        <v>0.127</v>
      </c>
      <c r="M31" s="165">
        <v>4.7E-2</v>
      </c>
      <c r="N31" s="165">
        <v>0.42399999999999999</v>
      </c>
      <c r="O31" s="165">
        <v>3.2000000000000001E-2</v>
      </c>
      <c r="P31" s="165">
        <v>0.14799999999999999</v>
      </c>
      <c r="Q31" s="165">
        <v>1.4999999999999999E-2</v>
      </c>
      <c r="R31" s="178">
        <f t="shared" si="1"/>
        <v>8.5333333333333317E-2</v>
      </c>
      <c r="S31" s="23">
        <v>2.5000000000000001E-2</v>
      </c>
      <c r="T31" s="248" t="s">
        <v>650</v>
      </c>
    </row>
    <row r="32" spans="1:20" ht="15.75" customHeight="1">
      <c r="A32" s="20"/>
      <c r="B32" s="153" t="s">
        <v>116</v>
      </c>
      <c r="C32" s="25">
        <v>2</v>
      </c>
      <c r="D32" s="56" t="s">
        <v>651</v>
      </c>
      <c r="E32" s="56" t="s">
        <v>649</v>
      </c>
      <c r="F32" s="26">
        <v>1.2999999999999999E-2</v>
      </c>
      <c r="G32" s="26">
        <v>3.9E-2</v>
      </c>
      <c r="H32" s="26">
        <v>0.125</v>
      </c>
      <c r="I32" s="26">
        <v>1.0999999999999999E-2</v>
      </c>
      <c r="J32" s="26">
        <v>1.7999999999999999E-2</v>
      </c>
      <c r="K32" s="26">
        <v>1.0999999999999999E-2</v>
      </c>
      <c r="L32" s="26">
        <v>0.112</v>
      </c>
      <c r="M32" s="26">
        <v>2.1999999999999999E-2</v>
      </c>
      <c r="N32" s="26">
        <v>0.40200000000000002</v>
      </c>
      <c r="O32" s="26">
        <v>3.2000000000000001E-2</v>
      </c>
      <c r="P32" s="26">
        <v>3.1E-2</v>
      </c>
      <c r="Q32" s="26">
        <v>2.5000000000000001E-2</v>
      </c>
      <c r="R32" s="27">
        <f t="shared" si="1"/>
        <v>7.0083333333333345E-2</v>
      </c>
      <c r="S32" s="28">
        <v>2.5000000000000001E-2</v>
      </c>
      <c r="T32" s="248" t="s">
        <v>652</v>
      </c>
    </row>
    <row r="33" spans="1:20" ht="15.75" customHeight="1">
      <c r="A33" s="20"/>
      <c r="B33" s="153" t="s">
        <v>116</v>
      </c>
      <c r="C33" s="25">
        <v>3</v>
      </c>
      <c r="D33" s="56" t="s">
        <v>653</v>
      </c>
      <c r="E33" s="56" t="s">
        <v>649</v>
      </c>
      <c r="F33" s="26">
        <v>1.2999999999999999E-2</v>
      </c>
      <c r="G33" s="26">
        <v>8.2000000000000003E-2</v>
      </c>
      <c r="H33" s="26">
        <v>0.16900000000000001</v>
      </c>
      <c r="I33" s="26">
        <v>1.0999999999999999E-2</v>
      </c>
      <c r="J33" s="26">
        <v>3.4000000000000002E-2</v>
      </c>
      <c r="K33" s="26">
        <v>4.2999999999999997E-2</v>
      </c>
      <c r="L33" s="26">
        <v>0.11</v>
      </c>
      <c r="M33" s="26">
        <v>0.04</v>
      </c>
      <c r="N33" s="26">
        <v>0.34899999999999998</v>
      </c>
      <c r="O33" s="26">
        <v>7.3999999999999996E-2</v>
      </c>
      <c r="P33" s="26">
        <v>1.0999999999999999E-2</v>
      </c>
      <c r="Q33" s="26">
        <v>4.9000000000000002E-2</v>
      </c>
      <c r="R33" s="27">
        <f t="shared" si="1"/>
        <v>8.2083333333333328E-2</v>
      </c>
      <c r="S33" s="28">
        <v>2.5000000000000001E-2</v>
      </c>
      <c r="T33" s="248" t="s">
        <v>654</v>
      </c>
    </row>
    <row r="34" spans="1:20" ht="15.75" customHeight="1">
      <c r="A34" s="9"/>
      <c r="B34" s="149" t="s">
        <v>117</v>
      </c>
      <c r="C34" s="15">
        <v>1</v>
      </c>
      <c r="D34" s="160" t="s">
        <v>648</v>
      </c>
      <c r="E34" s="160" t="s">
        <v>649</v>
      </c>
      <c r="F34" s="162">
        <v>14</v>
      </c>
      <c r="G34" s="162">
        <v>5</v>
      </c>
      <c r="H34" s="162">
        <v>6</v>
      </c>
      <c r="I34" s="162">
        <v>39</v>
      </c>
      <c r="J34" s="162">
        <v>13</v>
      </c>
      <c r="K34" s="162">
        <v>5</v>
      </c>
      <c r="L34" s="162">
        <v>8</v>
      </c>
      <c r="M34" s="162">
        <v>45</v>
      </c>
      <c r="N34" s="162">
        <v>4</v>
      </c>
      <c r="O34" s="162">
        <v>20</v>
      </c>
      <c r="P34" s="162">
        <v>37</v>
      </c>
      <c r="Q34" s="162">
        <v>84</v>
      </c>
      <c r="R34" s="154">
        <f t="shared" si="1"/>
        <v>23.333333333333332</v>
      </c>
      <c r="S34" s="8">
        <v>350</v>
      </c>
      <c r="T34" s="248" t="s">
        <v>650</v>
      </c>
    </row>
    <row r="35" spans="1:20" ht="15.75" customHeight="1">
      <c r="A35" s="9"/>
      <c r="B35" s="150" t="s">
        <v>117</v>
      </c>
      <c r="C35" s="11">
        <v>2</v>
      </c>
      <c r="D35" s="56" t="s">
        <v>651</v>
      </c>
      <c r="E35" s="56" t="s">
        <v>649</v>
      </c>
      <c r="F35" s="12">
        <v>19</v>
      </c>
      <c r="G35" s="12">
        <v>5</v>
      </c>
      <c r="H35" s="12">
        <v>10</v>
      </c>
      <c r="I35" s="12">
        <v>11</v>
      </c>
      <c r="J35" s="12">
        <v>23</v>
      </c>
      <c r="K35" s="12">
        <v>6</v>
      </c>
      <c r="L35" s="12">
        <v>6</v>
      </c>
      <c r="M35" s="12">
        <v>32</v>
      </c>
      <c r="N35" s="12">
        <v>14</v>
      </c>
      <c r="O35" s="12">
        <v>69</v>
      </c>
      <c r="P35" s="12">
        <v>3</v>
      </c>
      <c r="Q35" s="12">
        <v>135</v>
      </c>
      <c r="R35" s="13">
        <f t="shared" si="1"/>
        <v>27.75</v>
      </c>
      <c r="S35" s="14">
        <v>350</v>
      </c>
      <c r="T35" s="248" t="s">
        <v>652</v>
      </c>
    </row>
    <row r="36" spans="1:20" ht="15.75" customHeight="1">
      <c r="A36" s="9"/>
      <c r="B36" s="10" t="s">
        <v>117</v>
      </c>
      <c r="C36" s="11">
        <v>3</v>
      </c>
      <c r="D36" s="56" t="s">
        <v>653</v>
      </c>
      <c r="E36" s="56" t="s">
        <v>649</v>
      </c>
      <c r="F36" s="12">
        <v>28</v>
      </c>
      <c r="G36" s="12">
        <v>27</v>
      </c>
      <c r="H36" s="12">
        <v>23</v>
      </c>
      <c r="I36" s="12">
        <v>4</v>
      </c>
      <c r="J36" s="12">
        <v>24</v>
      </c>
      <c r="K36" s="12">
        <v>13</v>
      </c>
      <c r="L36" s="12">
        <v>16</v>
      </c>
      <c r="M36" s="12">
        <v>17</v>
      </c>
      <c r="N36" s="12">
        <v>145</v>
      </c>
      <c r="O36" s="12">
        <v>95</v>
      </c>
      <c r="P36" s="12">
        <v>4</v>
      </c>
      <c r="Q36" s="12">
        <v>72</v>
      </c>
      <c r="R36" s="13">
        <f t="shared" si="1"/>
        <v>39</v>
      </c>
      <c r="S36" s="14">
        <v>350</v>
      </c>
      <c r="T36" s="248" t="s">
        <v>654</v>
      </c>
    </row>
    <row r="37" spans="1:20" ht="55.5" customHeight="1">
      <c r="A37" s="9"/>
      <c r="B37" s="6" t="s">
        <v>120</v>
      </c>
      <c r="C37" s="15">
        <v>1</v>
      </c>
      <c r="D37" s="160" t="s">
        <v>648</v>
      </c>
      <c r="E37" s="160" t="s">
        <v>649</v>
      </c>
      <c r="F37" s="229" t="s">
        <v>656</v>
      </c>
      <c r="G37" s="229" t="s">
        <v>657</v>
      </c>
      <c r="H37" s="229" t="s">
        <v>658</v>
      </c>
      <c r="I37" s="229" t="s">
        <v>659</v>
      </c>
      <c r="J37" s="229" t="s">
        <v>660</v>
      </c>
      <c r="K37" s="229" t="s">
        <v>661</v>
      </c>
      <c r="L37" s="229" t="s">
        <v>662</v>
      </c>
      <c r="M37" s="229" t="s">
        <v>663</v>
      </c>
      <c r="N37" s="229" t="s">
        <v>664</v>
      </c>
      <c r="O37" s="229" t="s">
        <v>665</v>
      </c>
      <c r="P37" s="229" t="s">
        <v>666</v>
      </c>
      <c r="Q37" s="229" t="s">
        <v>667</v>
      </c>
      <c r="R37" s="1"/>
      <c r="S37" s="1"/>
      <c r="T37" s="248" t="s">
        <v>650</v>
      </c>
    </row>
    <row r="38" spans="1:20" ht="151.5">
      <c r="A38" s="9"/>
      <c r="B38" s="10" t="s">
        <v>117</v>
      </c>
      <c r="C38" s="11">
        <v>2</v>
      </c>
      <c r="D38" s="56" t="s">
        <v>651</v>
      </c>
      <c r="E38" s="56" t="s">
        <v>649</v>
      </c>
      <c r="F38" s="230" t="s">
        <v>668</v>
      </c>
      <c r="G38" s="230" t="s">
        <v>657</v>
      </c>
      <c r="H38" s="230" t="s">
        <v>669</v>
      </c>
      <c r="I38" s="230" t="s">
        <v>670</v>
      </c>
      <c r="J38" s="230" t="s">
        <v>671</v>
      </c>
      <c r="K38" s="230" t="s">
        <v>672</v>
      </c>
      <c r="L38" s="230" t="s">
        <v>673</v>
      </c>
      <c r="M38" s="230" t="s">
        <v>663</v>
      </c>
      <c r="N38" s="230" t="s">
        <v>674</v>
      </c>
      <c r="O38" s="230" t="s">
        <v>675</v>
      </c>
      <c r="P38" s="230" t="s">
        <v>676</v>
      </c>
      <c r="Q38" s="230" t="s">
        <v>677</v>
      </c>
      <c r="R38" s="1"/>
      <c r="S38" s="1"/>
      <c r="T38" s="248" t="s">
        <v>652</v>
      </c>
    </row>
    <row r="39" spans="1:20" ht="151.5">
      <c r="A39" s="9"/>
      <c r="B39" s="10" t="s">
        <v>117</v>
      </c>
      <c r="C39" s="11">
        <v>3</v>
      </c>
      <c r="D39" s="56" t="s">
        <v>653</v>
      </c>
      <c r="E39" s="56" t="s">
        <v>649</v>
      </c>
      <c r="F39" s="230" t="s">
        <v>678</v>
      </c>
      <c r="G39" s="230" t="s">
        <v>679</v>
      </c>
      <c r="H39" s="230" t="s">
        <v>363</v>
      </c>
      <c r="I39" s="230" t="s">
        <v>680</v>
      </c>
      <c r="J39" s="230" t="s">
        <v>681</v>
      </c>
      <c r="K39" s="230" t="s">
        <v>682</v>
      </c>
      <c r="L39" s="230" t="s">
        <v>683</v>
      </c>
      <c r="M39" s="230" t="s">
        <v>684</v>
      </c>
      <c r="N39" s="230" t="s">
        <v>685</v>
      </c>
      <c r="O39" s="230" t="s">
        <v>675</v>
      </c>
      <c r="P39" s="230" t="s">
        <v>686</v>
      </c>
      <c r="Q39" s="230" t="s">
        <v>687</v>
      </c>
      <c r="R39" s="1"/>
      <c r="S39" s="1"/>
      <c r="T39" s="248" t="s">
        <v>654</v>
      </c>
    </row>
    <row r="40" spans="1:20" ht="15.75" customHeight="1">
      <c r="A40" s="1"/>
      <c r="B40" s="1"/>
      <c r="C40" s="14" t="s">
        <v>173</v>
      </c>
      <c r="D40" s="14"/>
      <c r="E40" s="14"/>
      <c r="F40" s="14">
        <v>10</v>
      </c>
      <c r="G40" s="14">
        <v>6</v>
      </c>
      <c r="H40" s="14">
        <v>5</v>
      </c>
      <c r="I40" s="14">
        <v>4</v>
      </c>
      <c r="J40" s="14">
        <v>14</v>
      </c>
      <c r="K40" s="14">
        <v>4</v>
      </c>
      <c r="L40" s="14">
        <v>11</v>
      </c>
      <c r="M40" s="14">
        <v>29</v>
      </c>
      <c r="N40" s="14">
        <v>12</v>
      </c>
      <c r="O40" s="14">
        <v>8</v>
      </c>
      <c r="P40" s="14">
        <v>7</v>
      </c>
      <c r="Q40" s="14"/>
      <c r="R40" s="1"/>
      <c r="S40" s="1"/>
    </row>
    <row r="41" spans="1:20" ht="15.75" customHeight="1">
      <c r="A41" s="1"/>
      <c r="B41" s="1"/>
      <c r="C41" s="1"/>
      <c r="D41" s="1"/>
      <c r="E41" s="1"/>
      <c r="F41" s="1"/>
      <c r="G41" s="1"/>
      <c r="H41" s="1"/>
      <c r="I41" s="1"/>
      <c r="J41" s="1"/>
      <c r="K41" s="1"/>
      <c r="L41" s="1"/>
      <c r="M41" s="1"/>
      <c r="N41" s="1"/>
      <c r="O41" s="1"/>
      <c r="P41" s="1"/>
      <c r="Q41" s="1"/>
      <c r="R41" s="1"/>
      <c r="S41" s="1"/>
    </row>
    <row r="42" spans="1:20" ht="15.75" customHeight="1">
      <c r="A42" s="1"/>
      <c r="B42" s="1"/>
      <c r="C42" s="1"/>
      <c r="D42" s="889" t="s">
        <v>70</v>
      </c>
      <c r="E42" s="890"/>
      <c r="F42" s="1177"/>
      <c r="G42" s="1177"/>
      <c r="H42" s="1177"/>
      <c r="I42" s="1177"/>
      <c r="J42" s="1177"/>
      <c r="K42" s="1177"/>
      <c r="L42" s="1177"/>
      <c r="M42" s="1177"/>
      <c r="N42" s="1177"/>
      <c r="O42" s="1177"/>
      <c r="P42" s="1177"/>
      <c r="Q42" s="1177"/>
      <c r="R42" s="1177"/>
      <c r="S42" s="1178"/>
    </row>
    <row r="43" spans="1:20" ht="15.75" customHeight="1">
      <c r="A43" s="1"/>
      <c r="B43" s="1"/>
      <c r="C43" s="1"/>
      <c r="D43" s="889" t="s">
        <v>74</v>
      </c>
      <c r="E43" s="890"/>
      <c r="F43" s="1177"/>
      <c r="G43" s="1177"/>
      <c r="H43" s="1177"/>
      <c r="I43" s="1177"/>
      <c r="J43" s="1177"/>
      <c r="K43" s="1177"/>
      <c r="L43" s="1177"/>
      <c r="M43" s="1177"/>
      <c r="N43" s="1177"/>
      <c r="O43" s="1177"/>
      <c r="P43" s="1177"/>
      <c r="Q43" s="1177"/>
      <c r="R43" s="1177"/>
      <c r="S43" s="1178"/>
    </row>
    <row r="44" spans="1:20" ht="15.75" customHeight="1">
      <c r="A44" s="1"/>
      <c r="B44" s="1"/>
      <c r="C44" s="1"/>
      <c r="D44" s="1179"/>
      <c r="E44" s="1180"/>
      <c r="F44" s="1177"/>
      <c r="G44" s="1177"/>
      <c r="H44" s="1177"/>
      <c r="I44" s="1178"/>
      <c r="J44" s="844" t="s">
        <v>78</v>
      </c>
      <c r="K44" s="1177"/>
      <c r="L44" s="1177"/>
      <c r="M44" s="1177"/>
      <c r="N44" s="1177"/>
      <c r="O44" s="1177"/>
      <c r="P44" s="1177"/>
      <c r="Q44" s="1177"/>
      <c r="R44" s="1177"/>
      <c r="S44" s="1178"/>
    </row>
    <row r="45" spans="1:20" ht="15.75" customHeight="1">
      <c r="A45" s="1"/>
      <c r="B45" s="1"/>
      <c r="C45" s="1"/>
      <c r="D45" s="14" t="s">
        <v>82</v>
      </c>
      <c r="E45" s="14"/>
      <c r="F45" s="14" t="s">
        <v>83</v>
      </c>
      <c r="G45" s="14" t="s">
        <v>84</v>
      </c>
      <c r="H45" s="14" t="s">
        <v>85</v>
      </c>
      <c r="I45" s="14" t="s">
        <v>86</v>
      </c>
      <c r="J45" s="14" t="s">
        <v>4</v>
      </c>
      <c r="K45" s="14" t="s">
        <v>5</v>
      </c>
      <c r="L45" s="14" t="s">
        <v>6</v>
      </c>
      <c r="M45" s="14" t="s">
        <v>7</v>
      </c>
      <c r="N45" s="14" t="s">
        <v>8</v>
      </c>
      <c r="O45" s="14" t="s">
        <v>9</v>
      </c>
      <c r="P45" s="14" t="s">
        <v>10</v>
      </c>
      <c r="Q45" s="14" t="s">
        <v>11</v>
      </c>
      <c r="R45" s="14" t="s">
        <v>12</v>
      </c>
      <c r="S45" s="14" t="s">
        <v>13</v>
      </c>
    </row>
    <row r="46" spans="1:20" ht="15.75" customHeight="1">
      <c r="A46" s="1"/>
      <c r="B46" s="1"/>
      <c r="C46" s="1"/>
      <c r="D46" s="886" t="s">
        <v>688</v>
      </c>
      <c r="E46" s="281"/>
      <c r="F46" s="886" t="s">
        <v>647</v>
      </c>
      <c r="G46" s="883" t="s">
        <v>16</v>
      </c>
      <c r="H46" s="32">
        <v>1</v>
      </c>
      <c r="I46" s="14" t="s">
        <v>653</v>
      </c>
      <c r="J46" s="33">
        <f t="shared" ref="J46:J48" si="2">AVERAGE(F7:K7)</f>
        <v>6.2983333333333329</v>
      </c>
      <c r="K46" s="33">
        <f t="shared" ref="K46:K48" si="3">AVERAGE(F10:K10)</f>
        <v>2.1666666666666665</v>
      </c>
      <c r="L46" s="33">
        <f t="shared" ref="L46:L48" si="4">AVERAGE(F13:K13)</f>
        <v>8.3333333333333339</v>
      </c>
      <c r="M46" s="33">
        <f t="shared" ref="M46:M48" si="5">AVERAGE(F16:K16)</f>
        <v>7.28</v>
      </c>
      <c r="N46" s="33">
        <f t="shared" ref="N46:N48" si="6">AVERAGE(F19:K19)</f>
        <v>25.533333333333331</v>
      </c>
      <c r="O46" s="33">
        <f t="shared" ref="O46:O48" si="7">AVERAGE(F22:K22)</f>
        <v>5.833333333333333</v>
      </c>
      <c r="P46" s="33">
        <f t="shared" ref="P46:P48" si="8">GEOMEAN(F25:K25)</f>
        <v>2225.4804292949484</v>
      </c>
      <c r="Q46" s="34">
        <f t="shared" ref="Q46:Q48" si="9">AVERAGE(F28:K28)</f>
        <v>0.125</v>
      </c>
      <c r="R46" s="34">
        <f t="shared" ref="R46:R48" si="10">AVERAGE(F31:K31)</f>
        <v>3.85E-2</v>
      </c>
      <c r="S46" s="33">
        <f t="shared" ref="S46:S48" si="11">AVERAGE(F34:K34)</f>
        <v>13.666666666666666</v>
      </c>
    </row>
    <row r="47" spans="1:20" ht="15.75" customHeight="1">
      <c r="A47" s="1"/>
      <c r="B47" s="1"/>
      <c r="C47" s="1"/>
      <c r="D47" s="1196"/>
      <c r="E47" s="289"/>
      <c r="F47" s="1196"/>
      <c r="G47" s="1196"/>
      <c r="H47" s="32">
        <v>2</v>
      </c>
      <c r="I47" s="14" t="s">
        <v>651</v>
      </c>
      <c r="J47" s="33">
        <f t="shared" si="2"/>
        <v>6.1766666666666667</v>
      </c>
      <c r="K47" s="33">
        <f t="shared" si="3"/>
        <v>2.3333333333333335</v>
      </c>
      <c r="L47" s="33">
        <f t="shared" si="4"/>
        <v>6.666666666666667</v>
      </c>
      <c r="M47" s="33">
        <f t="shared" si="5"/>
        <v>7.2183333333333337</v>
      </c>
      <c r="N47" s="33">
        <f t="shared" si="6"/>
        <v>25.633333333333336</v>
      </c>
      <c r="O47" s="33">
        <f t="shared" si="7"/>
        <v>5.833333333333333</v>
      </c>
      <c r="P47" s="33">
        <f t="shared" si="8"/>
        <v>2922.2232114336266</v>
      </c>
      <c r="Q47" s="34">
        <f t="shared" si="9"/>
        <v>0.18966666666666665</v>
      </c>
      <c r="R47" s="34">
        <f t="shared" si="10"/>
        <v>3.6166666666666666E-2</v>
      </c>
      <c r="S47" s="33">
        <f t="shared" si="11"/>
        <v>12.333333333333334</v>
      </c>
    </row>
    <row r="48" spans="1:20" ht="15.75" customHeight="1">
      <c r="A48" s="1"/>
      <c r="B48" s="1"/>
      <c r="C48" s="1"/>
      <c r="D48" s="1197"/>
      <c r="E48" s="290"/>
      <c r="F48" s="1197"/>
      <c r="G48" s="1197"/>
      <c r="H48" s="32">
        <v>3</v>
      </c>
      <c r="I48" s="14" t="s">
        <v>648</v>
      </c>
      <c r="J48" s="33">
        <f t="shared" si="2"/>
        <v>5.1033333333333326</v>
      </c>
      <c r="K48" s="33">
        <f t="shared" si="3"/>
        <v>2.5</v>
      </c>
      <c r="L48" s="33">
        <f t="shared" si="4"/>
        <v>5</v>
      </c>
      <c r="M48" s="33">
        <f t="shared" si="5"/>
        <v>7.2433333333333332</v>
      </c>
      <c r="N48" s="33">
        <f t="shared" si="6"/>
        <v>25.733333333333334</v>
      </c>
      <c r="O48" s="33">
        <f t="shared" si="7"/>
        <v>7.5</v>
      </c>
      <c r="P48" s="33">
        <f t="shared" si="8"/>
        <v>13921.706796657694</v>
      </c>
      <c r="Q48" s="34">
        <f t="shared" si="9"/>
        <v>0.32700000000000001</v>
      </c>
      <c r="R48" s="34">
        <f t="shared" si="10"/>
        <v>5.8666666666666673E-2</v>
      </c>
      <c r="S48" s="33">
        <f t="shared" si="11"/>
        <v>19.833333333333332</v>
      </c>
    </row>
    <row r="49" spans="4:19" ht="15.75" customHeight="1">
      <c r="D49" s="1179"/>
      <c r="E49" s="1180"/>
      <c r="F49" s="1177"/>
      <c r="G49" s="1177"/>
      <c r="H49" s="1177"/>
      <c r="I49" s="1177"/>
      <c r="J49" s="1177"/>
      <c r="K49" s="1177"/>
      <c r="L49" s="1177"/>
      <c r="M49" s="1177"/>
      <c r="N49" s="1177"/>
      <c r="O49" s="1177"/>
      <c r="P49" s="1177"/>
      <c r="Q49" s="1177"/>
      <c r="R49" s="1177"/>
      <c r="S49" s="1178"/>
    </row>
    <row r="50" spans="4:19" ht="15.75" customHeight="1">
      <c r="D50" s="14" t="s">
        <v>93</v>
      </c>
      <c r="E50" s="291"/>
      <c r="F50" s="1167"/>
      <c r="G50" s="1160"/>
      <c r="H50" s="1160"/>
      <c r="I50" s="1181"/>
      <c r="J50" s="33">
        <f t="shared" ref="J50:S50" si="12">AVERAGE(J46:J48)</f>
        <v>5.8594444444444447</v>
      </c>
      <c r="K50" s="33">
        <f t="shared" si="12"/>
        <v>2.3333333333333335</v>
      </c>
      <c r="L50" s="33">
        <f t="shared" si="12"/>
        <v>6.666666666666667</v>
      </c>
      <c r="M50" s="33">
        <f t="shared" si="12"/>
        <v>7.2472222222222227</v>
      </c>
      <c r="N50" s="33">
        <f t="shared" si="12"/>
        <v>25.633333333333336</v>
      </c>
      <c r="O50" s="33">
        <f t="shared" si="12"/>
        <v>6.3888888888888884</v>
      </c>
      <c r="P50" s="33">
        <f t="shared" si="12"/>
        <v>6356.4701457954225</v>
      </c>
      <c r="Q50" s="34">
        <f t="shared" si="12"/>
        <v>0.21388888888888888</v>
      </c>
      <c r="R50" s="34">
        <f t="shared" si="12"/>
        <v>4.4444444444444446E-2</v>
      </c>
      <c r="S50" s="33">
        <f t="shared" si="12"/>
        <v>15.277777777777777</v>
      </c>
    </row>
    <row r="51" spans="4:19" ht="15.75" customHeight="1">
      <c r="D51" s="14" t="s">
        <v>94</v>
      </c>
      <c r="E51" s="293"/>
      <c r="F51" s="1182"/>
      <c r="G51" s="1176"/>
      <c r="H51" s="1176"/>
      <c r="I51" s="1183"/>
      <c r="J51" s="33">
        <f t="shared" ref="J51:S51" si="13">MIN(J46:J48)</f>
        <v>5.1033333333333326</v>
      </c>
      <c r="K51" s="33">
        <f t="shared" si="13"/>
        <v>2.1666666666666665</v>
      </c>
      <c r="L51" s="33">
        <f t="shared" si="13"/>
        <v>5</v>
      </c>
      <c r="M51" s="33">
        <f t="shared" si="13"/>
        <v>7.2183333333333337</v>
      </c>
      <c r="N51" s="33">
        <f t="shared" si="13"/>
        <v>25.533333333333331</v>
      </c>
      <c r="O51" s="33">
        <f t="shared" si="13"/>
        <v>5.833333333333333</v>
      </c>
      <c r="P51" s="33">
        <f t="shared" si="13"/>
        <v>2225.4804292949484</v>
      </c>
      <c r="Q51" s="34">
        <f t="shared" si="13"/>
        <v>0.125</v>
      </c>
      <c r="R51" s="34">
        <f t="shared" si="13"/>
        <v>3.6166666666666666E-2</v>
      </c>
      <c r="S51" s="33">
        <f t="shared" si="13"/>
        <v>12.333333333333334</v>
      </c>
    </row>
    <row r="52" spans="4:19" ht="15.75" customHeight="1">
      <c r="D52" s="14" t="s">
        <v>95</v>
      </c>
      <c r="E52" s="293"/>
      <c r="F52" s="1182"/>
      <c r="G52" s="1176"/>
      <c r="H52" s="1176"/>
      <c r="I52" s="1183"/>
      <c r="J52" s="33">
        <f t="shared" ref="J52:S52" si="14">MAX(J46:J48)</f>
        <v>6.2983333333333329</v>
      </c>
      <c r="K52" s="33">
        <f t="shared" si="14"/>
        <v>2.5</v>
      </c>
      <c r="L52" s="33">
        <f t="shared" si="14"/>
        <v>8.3333333333333339</v>
      </c>
      <c r="M52" s="33">
        <f t="shared" si="14"/>
        <v>7.28</v>
      </c>
      <c r="N52" s="33">
        <f t="shared" si="14"/>
        <v>25.733333333333334</v>
      </c>
      <c r="O52" s="33">
        <f t="shared" si="14"/>
        <v>7.5</v>
      </c>
      <c r="P52" s="33">
        <f t="shared" si="14"/>
        <v>13921.706796657694</v>
      </c>
      <c r="Q52" s="34">
        <f t="shared" si="14"/>
        <v>0.32700000000000001</v>
      </c>
      <c r="R52" s="34">
        <f t="shared" si="14"/>
        <v>5.8666666666666673E-2</v>
      </c>
      <c r="S52" s="33">
        <f t="shared" si="14"/>
        <v>19.833333333333332</v>
      </c>
    </row>
    <row r="53" spans="4:19" ht="15.75" customHeight="1">
      <c r="D53" s="14" t="s">
        <v>96</v>
      </c>
      <c r="E53" s="292"/>
      <c r="F53" s="1184"/>
      <c r="G53" s="1159"/>
      <c r="H53" s="1159"/>
      <c r="I53" s="1185"/>
      <c r="J53" s="29" t="s">
        <v>97</v>
      </c>
      <c r="K53" s="29" t="s">
        <v>98</v>
      </c>
      <c r="L53" s="29" t="s">
        <v>99</v>
      </c>
      <c r="M53" s="29" t="s">
        <v>100</v>
      </c>
      <c r="N53" s="29" t="s">
        <v>101</v>
      </c>
      <c r="O53" s="29" t="s">
        <v>102</v>
      </c>
      <c r="P53" s="29" t="s">
        <v>103</v>
      </c>
      <c r="Q53" s="29" t="s">
        <v>98</v>
      </c>
      <c r="R53" s="29" t="s">
        <v>104</v>
      </c>
      <c r="S53" s="29" t="s">
        <v>105</v>
      </c>
    </row>
    <row r="54" spans="4:19" ht="15.75" customHeight="1">
      <c r="D54" s="1"/>
      <c r="E54" s="1"/>
      <c r="F54" s="1"/>
      <c r="G54" s="1"/>
      <c r="H54" s="1"/>
      <c r="I54" s="1"/>
      <c r="J54" s="1"/>
      <c r="K54" s="1"/>
      <c r="L54" s="1"/>
      <c r="M54" s="1"/>
      <c r="N54" s="1"/>
      <c r="O54" s="1"/>
      <c r="P54" s="1"/>
      <c r="Q54" s="1"/>
      <c r="R54" s="1"/>
      <c r="S54" s="1"/>
    </row>
    <row r="55" spans="4:19" ht="15.75" customHeight="1">
      <c r="D55" s="1"/>
      <c r="E55" s="1"/>
      <c r="F55" s="1"/>
      <c r="G55" s="1"/>
      <c r="H55" s="1"/>
      <c r="I55" s="1"/>
      <c r="J55" s="1"/>
      <c r="K55" s="1"/>
      <c r="L55" s="1"/>
      <c r="M55" s="1"/>
      <c r="N55" s="1"/>
      <c r="O55" s="1"/>
      <c r="P55" s="1"/>
      <c r="Q55" s="1"/>
      <c r="R55" s="1"/>
      <c r="S55" s="1"/>
    </row>
    <row r="56" spans="4:19" ht="15.75" customHeight="1">
      <c r="D56" s="971" t="s">
        <v>70</v>
      </c>
      <c r="E56" s="972"/>
      <c r="F56" s="1198"/>
      <c r="G56" s="1198"/>
      <c r="H56" s="1198"/>
      <c r="I56" s="1198"/>
      <c r="J56" s="1198"/>
      <c r="K56" s="1198"/>
      <c r="L56" s="1198"/>
      <c r="M56" s="1198"/>
      <c r="N56" s="1198"/>
      <c r="O56" s="1198"/>
      <c r="P56" s="1198"/>
      <c r="Q56" s="1198"/>
      <c r="R56" s="1198"/>
      <c r="S56" s="1199"/>
    </row>
    <row r="57" spans="4:19" ht="15.75" customHeight="1">
      <c r="D57" s="971" t="s">
        <v>107</v>
      </c>
      <c r="E57" s="972"/>
      <c r="F57" s="1198"/>
      <c r="G57" s="1198"/>
      <c r="H57" s="1198"/>
      <c r="I57" s="1198"/>
      <c r="J57" s="1198"/>
      <c r="K57" s="1198"/>
      <c r="L57" s="1198"/>
      <c r="M57" s="1198"/>
      <c r="N57" s="1198"/>
      <c r="O57" s="1198"/>
      <c r="P57" s="1198"/>
      <c r="Q57" s="1198"/>
      <c r="R57" s="1198"/>
      <c r="S57" s="1199"/>
    </row>
    <row r="58" spans="4:19" ht="15.75" customHeight="1">
      <c r="D58" s="1179"/>
      <c r="E58" s="1180"/>
      <c r="F58" s="1177"/>
      <c r="G58" s="1177"/>
      <c r="H58" s="1177"/>
      <c r="I58" s="1178"/>
      <c r="J58" s="844" t="s">
        <v>78</v>
      </c>
      <c r="K58" s="1177"/>
      <c r="L58" s="1177"/>
      <c r="M58" s="1177"/>
      <c r="N58" s="1177"/>
      <c r="O58" s="1177"/>
      <c r="P58" s="1177"/>
      <c r="Q58" s="1177"/>
      <c r="R58" s="1177"/>
      <c r="S58" s="1178"/>
    </row>
    <row r="59" spans="4:19" ht="15.75" customHeight="1">
      <c r="D59" s="14" t="s">
        <v>82</v>
      </c>
      <c r="E59" s="14"/>
      <c r="F59" s="14" t="s">
        <v>83</v>
      </c>
      <c r="G59" s="14" t="s">
        <v>84</v>
      </c>
      <c r="H59" s="14" t="s">
        <v>85</v>
      </c>
      <c r="I59" s="14" t="s">
        <v>86</v>
      </c>
      <c r="J59" s="14" t="s">
        <v>4</v>
      </c>
      <c r="K59" s="14" t="s">
        <v>5</v>
      </c>
      <c r="L59" s="14" t="s">
        <v>6</v>
      </c>
      <c r="M59" s="14" t="s">
        <v>7</v>
      </c>
      <c r="N59" s="14" t="s">
        <v>8</v>
      </c>
      <c r="O59" s="14" t="s">
        <v>9</v>
      </c>
      <c r="P59" s="14" t="s">
        <v>10</v>
      </c>
      <c r="Q59" s="14" t="s">
        <v>11</v>
      </c>
      <c r="R59" s="14" t="s">
        <v>12</v>
      </c>
      <c r="S59" s="14" t="s">
        <v>13</v>
      </c>
    </row>
    <row r="60" spans="4:19" ht="15.75" customHeight="1">
      <c r="D60" s="886" t="s">
        <v>688</v>
      </c>
      <c r="E60" s="281"/>
      <c r="F60" s="886" t="s">
        <v>647</v>
      </c>
      <c r="G60" s="883" t="s">
        <v>16</v>
      </c>
      <c r="H60" s="32">
        <v>1</v>
      </c>
      <c r="I60" s="14" t="s">
        <v>653</v>
      </c>
      <c r="J60" s="35">
        <f t="shared" ref="J60:J62" si="15">R7</f>
        <v>6.4333333333333336</v>
      </c>
      <c r="K60" s="59">
        <f t="shared" ref="K60:K62" si="16">R10</f>
        <v>2.5</v>
      </c>
      <c r="L60" s="35">
        <f t="shared" ref="L60:L62" si="17">R13</f>
        <v>9.25</v>
      </c>
      <c r="M60" s="35">
        <f t="shared" ref="M60:M62" si="18">R16</f>
        <v>7.5783333333333331</v>
      </c>
      <c r="N60" s="35">
        <f t="shared" ref="N60:N62" si="19">R19</f>
        <v>26.291666666666668</v>
      </c>
      <c r="O60" s="35">
        <f t="shared" ref="O60:O62" si="20">R22</f>
        <v>6.25</v>
      </c>
      <c r="P60" s="36">
        <f t="shared" ref="P60:P62" si="21">R25</f>
        <v>3455.2752214056254</v>
      </c>
      <c r="Q60" s="34">
        <f t="shared" ref="Q60:Q62" si="22">R28</f>
        <v>0.17174999999999999</v>
      </c>
      <c r="R60" s="34">
        <f t="shared" ref="R60:R62" si="23">R31</f>
        <v>8.5333333333333317E-2</v>
      </c>
      <c r="S60" s="35">
        <f t="shared" ref="S60:S62" si="24">R34</f>
        <v>23.333333333333332</v>
      </c>
    </row>
    <row r="61" spans="4:19" ht="15.75" customHeight="1">
      <c r="D61" s="1196"/>
      <c r="E61" s="289"/>
      <c r="F61" s="1196"/>
      <c r="G61" s="1196"/>
      <c r="H61" s="32">
        <v>2</v>
      </c>
      <c r="I61" s="14" t="s">
        <v>651</v>
      </c>
      <c r="J61" s="35">
        <f t="shared" si="15"/>
        <v>6.411666666666668</v>
      </c>
      <c r="K61" s="59">
        <f t="shared" si="16"/>
        <v>2.1666666666666665</v>
      </c>
      <c r="L61" s="35">
        <f t="shared" si="17"/>
        <v>9.9166666666666661</v>
      </c>
      <c r="M61" s="35">
        <f t="shared" si="18"/>
        <v>7.5516666666666659</v>
      </c>
      <c r="N61" s="35">
        <f t="shared" si="19"/>
        <v>26.008333333333329</v>
      </c>
      <c r="O61" s="35">
        <f t="shared" si="20"/>
        <v>7.5</v>
      </c>
      <c r="P61" s="36">
        <f t="shared" si="21"/>
        <v>4440.3730113553956</v>
      </c>
      <c r="Q61" s="34">
        <f t="shared" si="22"/>
        <v>0.22091666666666665</v>
      </c>
      <c r="R61" s="34">
        <f t="shared" si="23"/>
        <v>7.0083333333333345E-2</v>
      </c>
      <c r="S61" s="35">
        <f t="shared" si="24"/>
        <v>27.75</v>
      </c>
    </row>
    <row r="62" spans="4:19" ht="15.75" customHeight="1">
      <c r="D62" s="1197"/>
      <c r="E62" s="290"/>
      <c r="F62" s="1197"/>
      <c r="G62" s="1197"/>
      <c r="H62" s="32">
        <v>3</v>
      </c>
      <c r="I62" s="14" t="s">
        <v>648</v>
      </c>
      <c r="J62" s="35">
        <f t="shared" si="15"/>
        <v>5.5258333333333338</v>
      </c>
      <c r="K62" s="59">
        <f t="shared" si="16"/>
        <v>2.3333333333333335</v>
      </c>
      <c r="L62" s="35">
        <f t="shared" si="17"/>
        <v>9.75</v>
      </c>
      <c r="M62" s="35">
        <f t="shared" si="18"/>
        <v>7.4666666666666659</v>
      </c>
      <c r="N62" s="35">
        <f t="shared" si="19"/>
        <v>26</v>
      </c>
      <c r="O62" s="35">
        <f t="shared" si="20"/>
        <v>7.916666666666667</v>
      </c>
      <c r="P62" s="36">
        <f t="shared" si="21"/>
        <v>13475.864724847674</v>
      </c>
      <c r="Q62" s="34">
        <f t="shared" si="22"/>
        <v>0.28916666666666663</v>
      </c>
      <c r="R62" s="34">
        <f t="shared" si="23"/>
        <v>8.2083333333333328E-2</v>
      </c>
      <c r="S62" s="35">
        <f t="shared" si="24"/>
        <v>39</v>
      </c>
    </row>
    <row r="63" spans="4:19" ht="15.75" customHeight="1">
      <c r="D63" s="1179"/>
      <c r="E63" s="1180"/>
      <c r="F63" s="1177"/>
      <c r="G63" s="1177"/>
      <c r="H63" s="1177"/>
      <c r="I63" s="1177"/>
      <c r="J63" s="1177"/>
      <c r="K63" s="1177"/>
      <c r="L63" s="1177"/>
      <c r="M63" s="1177"/>
      <c r="N63" s="1177"/>
      <c r="O63" s="1177"/>
      <c r="P63" s="1177"/>
      <c r="Q63" s="1177"/>
      <c r="R63" s="1177"/>
      <c r="S63" s="1178"/>
    </row>
    <row r="64" spans="4:19" ht="15.75" customHeight="1">
      <c r="D64" s="14" t="s">
        <v>93</v>
      </c>
      <c r="E64" s="291"/>
      <c r="F64" s="1167"/>
      <c r="G64" s="1160"/>
      <c r="H64" s="1160"/>
      <c r="I64" s="1181"/>
      <c r="J64" s="35">
        <f t="shared" ref="J64:S64" si="25">AVERAGE(J60:J62)</f>
        <v>6.1236111111111127</v>
      </c>
      <c r="K64" s="59">
        <f t="shared" si="25"/>
        <v>2.3333333333333335</v>
      </c>
      <c r="L64" s="35">
        <f t="shared" si="25"/>
        <v>9.6388888888888875</v>
      </c>
      <c r="M64" s="35">
        <f t="shared" si="25"/>
        <v>7.532222222222221</v>
      </c>
      <c r="N64" s="35">
        <f t="shared" si="25"/>
        <v>26.099999999999998</v>
      </c>
      <c r="O64" s="35">
        <f t="shared" si="25"/>
        <v>7.2222222222222223</v>
      </c>
      <c r="P64" s="36">
        <f t="shared" si="25"/>
        <v>7123.8376525362319</v>
      </c>
      <c r="Q64" s="34">
        <f t="shared" si="25"/>
        <v>0.22727777777777777</v>
      </c>
      <c r="R64" s="34">
        <f t="shared" si="25"/>
        <v>7.9166666666666663E-2</v>
      </c>
      <c r="S64" s="35">
        <f t="shared" si="25"/>
        <v>30.027777777777775</v>
      </c>
    </row>
    <row r="65" spans="3:20" ht="15.75" customHeight="1">
      <c r="D65" s="14" t="s">
        <v>94</v>
      </c>
      <c r="E65" s="293"/>
      <c r="F65" s="1182"/>
      <c r="G65" s="1176"/>
      <c r="H65" s="1176"/>
      <c r="I65" s="1183"/>
      <c r="J65" s="35">
        <f t="shared" ref="J65:S65" si="26">MIN(J60:J62)</f>
        <v>5.5258333333333338</v>
      </c>
      <c r="K65" s="59">
        <f t="shared" si="26"/>
        <v>2.1666666666666665</v>
      </c>
      <c r="L65" s="35">
        <f t="shared" si="26"/>
        <v>9.25</v>
      </c>
      <c r="M65" s="35">
        <f t="shared" si="26"/>
        <v>7.4666666666666659</v>
      </c>
      <c r="N65" s="35">
        <f t="shared" si="26"/>
        <v>26</v>
      </c>
      <c r="O65" s="35">
        <f t="shared" si="26"/>
        <v>6.25</v>
      </c>
      <c r="P65" s="36">
        <f t="shared" si="26"/>
        <v>3455.2752214056254</v>
      </c>
      <c r="Q65" s="34">
        <f t="shared" si="26"/>
        <v>0.17174999999999999</v>
      </c>
      <c r="R65" s="34">
        <f t="shared" si="26"/>
        <v>7.0083333333333345E-2</v>
      </c>
      <c r="S65" s="35">
        <f t="shared" si="26"/>
        <v>23.333333333333332</v>
      </c>
    </row>
    <row r="66" spans="3:20" ht="15.75" customHeight="1">
      <c r="D66" s="14" t="s">
        <v>95</v>
      </c>
      <c r="E66" s="293"/>
      <c r="F66" s="1182"/>
      <c r="G66" s="1176"/>
      <c r="H66" s="1176"/>
      <c r="I66" s="1183"/>
      <c r="J66" s="35">
        <f t="shared" ref="J66:S66" si="27">MAX(J60:J62)</f>
        <v>6.4333333333333336</v>
      </c>
      <c r="K66" s="59">
        <f t="shared" si="27"/>
        <v>2.5</v>
      </c>
      <c r="L66" s="35">
        <f t="shared" si="27"/>
        <v>9.9166666666666661</v>
      </c>
      <c r="M66" s="35">
        <f t="shared" si="27"/>
        <v>7.5783333333333331</v>
      </c>
      <c r="N66" s="35">
        <f t="shared" si="27"/>
        <v>26.291666666666668</v>
      </c>
      <c r="O66" s="35">
        <f t="shared" si="27"/>
        <v>7.916666666666667</v>
      </c>
      <c r="P66" s="36">
        <f t="shared" si="27"/>
        <v>13475.864724847674</v>
      </c>
      <c r="Q66" s="34">
        <f t="shared" si="27"/>
        <v>0.28916666666666663</v>
      </c>
      <c r="R66" s="34">
        <f t="shared" si="27"/>
        <v>8.5333333333333317E-2</v>
      </c>
      <c r="S66" s="35">
        <f t="shared" si="27"/>
        <v>39</v>
      </c>
    </row>
    <row r="67" spans="3:20" ht="15.75" customHeight="1">
      <c r="D67" s="14" t="s">
        <v>96</v>
      </c>
      <c r="E67" s="292"/>
      <c r="F67" s="1184"/>
      <c r="G67" s="1159"/>
      <c r="H67" s="1159"/>
      <c r="I67" s="1185"/>
      <c r="J67" s="29" t="s">
        <v>97</v>
      </c>
      <c r="K67" s="29" t="s">
        <v>98</v>
      </c>
      <c r="L67" s="29" t="s">
        <v>99</v>
      </c>
      <c r="M67" s="29" t="s">
        <v>100</v>
      </c>
      <c r="N67" s="29" t="s">
        <v>101</v>
      </c>
      <c r="O67" s="29" t="s">
        <v>102</v>
      </c>
      <c r="P67" s="29" t="s">
        <v>103</v>
      </c>
      <c r="Q67" s="29" t="s">
        <v>98</v>
      </c>
      <c r="R67" s="29" t="s">
        <v>104</v>
      </c>
      <c r="S67" s="29" t="s">
        <v>105</v>
      </c>
    </row>
    <row r="70" spans="3:20" ht="15" customHeight="1">
      <c r="D70" s="232" t="s">
        <v>175</v>
      </c>
      <c r="E70" s="232"/>
      <c r="F70" s="232"/>
      <c r="G70" s="232"/>
      <c r="H70" s="232"/>
      <c r="I70" s="232"/>
      <c r="J70" s="232"/>
      <c r="K70" s="232"/>
      <c r="L70" s="232"/>
      <c r="M70" s="232"/>
      <c r="N70" s="232"/>
      <c r="O70" s="232"/>
      <c r="P70" s="232"/>
      <c r="Q70" s="232"/>
      <c r="R70" s="232"/>
      <c r="S70" s="232"/>
    </row>
    <row r="71" spans="3:20" ht="15" customHeight="1">
      <c r="C71" s="232"/>
      <c r="D71" s="973" t="s">
        <v>689</v>
      </c>
      <c r="E71" s="974"/>
      <c r="F71" s="974"/>
      <c r="G71" s="974"/>
      <c r="H71" s="974"/>
      <c r="I71" s="974"/>
      <c r="J71" s="974"/>
      <c r="K71" s="974"/>
      <c r="L71" s="974"/>
      <c r="M71" s="974"/>
      <c r="N71" s="974"/>
      <c r="O71" s="974"/>
      <c r="P71" s="974"/>
      <c r="Q71" s="974"/>
      <c r="R71" s="974"/>
      <c r="S71" s="975"/>
      <c r="T71" s="232"/>
    </row>
    <row r="72" spans="3:20" ht="15" customHeight="1">
      <c r="C72" s="232"/>
      <c r="D72" s="976"/>
      <c r="E72" s="977"/>
      <c r="F72" s="977"/>
      <c r="G72" s="977"/>
      <c r="H72" s="977"/>
      <c r="I72" s="977"/>
      <c r="J72" s="977"/>
      <c r="K72" s="977"/>
      <c r="L72" s="977"/>
      <c r="M72" s="977"/>
      <c r="N72" s="977"/>
      <c r="O72" s="977"/>
      <c r="P72" s="977"/>
      <c r="Q72" s="977"/>
      <c r="R72" s="977"/>
      <c r="S72" s="978"/>
      <c r="T72" s="232"/>
    </row>
    <row r="73" spans="3:20" ht="15" customHeight="1">
      <c r="C73" s="232"/>
      <c r="D73" s="976"/>
      <c r="E73" s="977"/>
      <c r="F73" s="977"/>
      <c r="G73" s="977"/>
      <c r="H73" s="977"/>
      <c r="I73" s="977"/>
      <c r="J73" s="977"/>
      <c r="K73" s="977"/>
      <c r="L73" s="977"/>
      <c r="M73" s="977"/>
      <c r="N73" s="977"/>
      <c r="O73" s="977"/>
      <c r="P73" s="977"/>
      <c r="Q73" s="977"/>
      <c r="R73" s="977"/>
      <c r="S73" s="978"/>
      <c r="T73" s="232"/>
    </row>
    <row r="74" spans="3:20" ht="15" customHeight="1">
      <c r="C74" s="232"/>
      <c r="D74" s="976"/>
      <c r="E74" s="977"/>
      <c r="F74" s="977"/>
      <c r="G74" s="977"/>
      <c r="H74" s="977"/>
      <c r="I74" s="977"/>
      <c r="J74" s="977"/>
      <c r="K74" s="977"/>
      <c r="L74" s="977"/>
      <c r="M74" s="977"/>
      <c r="N74" s="977"/>
      <c r="O74" s="977"/>
      <c r="P74" s="977"/>
      <c r="Q74" s="977"/>
      <c r="R74" s="977"/>
      <c r="S74" s="978"/>
      <c r="T74" s="232"/>
    </row>
    <row r="75" spans="3:20" ht="15" customHeight="1">
      <c r="C75" s="232"/>
      <c r="D75" s="976"/>
      <c r="E75" s="977"/>
      <c r="F75" s="977"/>
      <c r="G75" s="977"/>
      <c r="H75" s="977"/>
      <c r="I75" s="977"/>
      <c r="J75" s="977"/>
      <c r="K75" s="977"/>
      <c r="L75" s="977"/>
      <c r="M75" s="977"/>
      <c r="N75" s="977"/>
      <c r="O75" s="977"/>
      <c r="P75" s="977"/>
      <c r="Q75" s="977"/>
      <c r="R75" s="977"/>
      <c r="S75" s="978"/>
      <c r="T75" s="232"/>
    </row>
    <row r="76" spans="3:20" ht="15" customHeight="1">
      <c r="C76" s="232"/>
      <c r="D76" s="976"/>
      <c r="E76" s="977"/>
      <c r="F76" s="977"/>
      <c r="G76" s="977"/>
      <c r="H76" s="977"/>
      <c r="I76" s="977"/>
      <c r="J76" s="977"/>
      <c r="K76" s="977"/>
      <c r="L76" s="977"/>
      <c r="M76" s="977"/>
      <c r="N76" s="977"/>
      <c r="O76" s="977"/>
      <c r="P76" s="977"/>
      <c r="Q76" s="977"/>
      <c r="R76" s="977"/>
      <c r="S76" s="978"/>
      <c r="T76" s="232"/>
    </row>
    <row r="77" spans="3:20" ht="15" customHeight="1">
      <c r="C77" s="232"/>
      <c r="D77" s="976"/>
      <c r="E77" s="977"/>
      <c r="F77" s="977"/>
      <c r="G77" s="977"/>
      <c r="H77" s="977"/>
      <c r="I77" s="977"/>
      <c r="J77" s="977"/>
      <c r="K77" s="977"/>
      <c r="L77" s="977"/>
      <c r="M77" s="977"/>
      <c r="N77" s="977"/>
      <c r="O77" s="977"/>
      <c r="P77" s="977"/>
      <c r="Q77" s="977"/>
      <c r="R77" s="977"/>
      <c r="S77" s="978"/>
      <c r="T77" s="232"/>
    </row>
    <row r="78" spans="3:20" ht="15" customHeight="1">
      <c r="C78" s="232"/>
      <c r="D78" s="976"/>
      <c r="E78" s="977"/>
      <c r="F78" s="977"/>
      <c r="G78" s="977"/>
      <c r="H78" s="977"/>
      <c r="I78" s="977"/>
      <c r="J78" s="977"/>
      <c r="K78" s="977"/>
      <c r="L78" s="977"/>
      <c r="M78" s="977"/>
      <c r="N78" s="977"/>
      <c r="O78" s="977"/>
      <c r="P78" s="977"/>
      <c r="Q78" s="977"/>
      <c r="R78" s="977"/>
      <c r="S78" s="978"/>
      <c r="T78" s="232"/>
    </row>
    <row r="79" spans="3:20" ht="15" customHeight="1">
      <c r="C79" s="232"/>
      <c r="D79" s="976"/>
      <c r="E79" s="977"/>
      <c r="F79" s="977"/>
      <c r="G79" s="977"/>
      <c r="H79" s="977"/>
      <c r="I79" s="977"/>
      <c r="J79" s="977"/>
      <c r="K79" s="977"/>
      <c r="L79" s="977"/>
      <c r="M79" s="977"/>
      <c r="N79" s="977"/>
      <c r="O79" s="977"/>
      <c r="P79" s="977"/>
      <c r="Q79" s="977"/>
      <c r="R79" s="977"/>
      <c r="S79" s="978"/>
      <c r="T79" s="232"/>
    </row>
    <row r="80" spans="3:20" ht="15" customHeight="1">
      <c r="C80" s="232"/>
      <c r="D80" s="976"/>
      <c r="E80" s="977"/>
      <c r="F80" s="977"/>
      <c r="G80" s="977"/>
      <c r="H80" s="977"/>
      <c r="I80" s="977"/>
      <c r="J80" s="977"/>
      <c r="K80" s="977"/>
      <c r="L80" s="977"/>
      <c r="M80" s="977"/>
      <c r="N80" s="977"/>
      <c r="O80" s="977"/>
      <c r="P80" s="977"/>
      <c r="Q80" s="977"/>
      <c r="R80" s="977"/>
      <c r="S80" s="978"/>
      <c r="T80" s="232"/>
    </row>
    <row r="81" spans="3:20" ht="15" customHeight="1">
      <c r="C81" s="232"/>
      <c r="D81" s="976"/>
      <c r="E81" s="977"/>
      <c r="F81" s="977"/>
      <c r="G81" s="977"/>
      <c r="H81" s="977"/>
      <c r="I81" s="977"/>
      <c r="J81" s="977"/>
      <c r="K81" s="977"/>
      <c r="L81" s="977"/>
      <c r="M81" s="977"/>
      <c r="N81" s="977"/>
      <c r="O81" s="977"/>
      <c r="P81" s="977"/>
      <c r="Q81" s="977"/>
      <c r="R81" s="977"/>
      <c r="S81" s="978"/>
      <c r="T81" s="232"/>
    </row>
    <row r="82" spans="3:20" ht="15" customHeight="1">
      <c r="C82" s="232"/>
      <c r="D82" s="979"/>
      <c r="E82" s="980"/>
      <c r="F82" s="980"/>
      <c r="G82" s="980"/>
      <c r="H82" s="980"/>
      <c r="I82" s="980"/>
      <c r="J82" s="980"/>
      <c r="K82" s="980"/>
      <c r="L82" s="980"/>
      <c r="M82" s="980"/>
      <c r="N82" s="980"/>
      <c r="O82" s="980"/>
      <c r="P82" s="980"/>
      <c r="Q82" s="980"/>
      <c r="R82" s="980"/>
      <c r="S82" s="981"/>
      <c r="T82" s="232"/>
    </row>
    <row r="83" spans="3:20" ht="15" customHeight="1">
      <c r="D83" s="232"/>
      <c r="E83" s="232"/>
      <c r="F83" s="232"/>
      <c r="G83" s="232"/>
      <c r="H83" s="232"/>
      <c r="I83" s="232"/>
      <c r="J83" s="232"/>
      <c r="K83" s="232"/>
      <c r="L83" s="232"/>
      <c r="M83" s="232"/>
      <c r="N83" s="232"/>
      <c r="O83" s="232"/>
      <c r="P83" s="232"/>
      <c r="Q83" s="232"/>
      <c r="R83" s="232"/>
      <c r="S83" s="232"/>
    </row>
  </sheetData>
  <mergeCells count="24">
    <mergeCell ref="D71:S82"/>
    <mergeCell ref="C1:S1"/>
    <mergeCell ref="C2:S2"/>
    <mergeCell ref="C3:S3"/>
    <mergeCell ref="C4:S4"/>
    <mergeCell ref="C5:S5"/>
    <mergeCell ref="D42:S42"/>
    <mergeCell ref="D43:S43"/>
    <mergeCell ref="D44:I44"/>
    <mergeCell ref="J44:S44"/>
    <mergeCell ref="D46:D48"/>
    <mergeCell ref="F46:F48"/>
    <mergeCell ref="G46:G48"/>
    <mergeCell ref="D49:S49"/>
    <mergeCell ref="F50:I53"/>
    <mergeCell ref="G60:G62"/>
    <mergeCell ref="F64:I67"/>
    <mergeCell ref="D56:S56"/>
    <mergeCell ref="D57:S57"/>
    <mergeCell ref="D58:I58"/>
    <mergeCell ref="J58:S58"/>
    <mergeCell ref="D60:D62"/>
    <mergeCell ref="F60:F62"/>
    <mergeCell ref="D63:S63"/>
  </mergeCells>
  <phoneticPr fontId="18" type="noConversion"/>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249977111117893"/>
    <pageSetUpPr fitToPage="1"/>
  </sheetPr>
  <dimension ref="A1:AG80"/>
  <sheetViews>
    <sheetView workbookViewId="0">
      <pane xSplit="2" ySplit="6" topLeftCell="C7" activePane="bottomRight" state="frozen"/>
      <selection pane="bottomRight" activeCell="K39" sqref="F38:K39"/>
      <selection pane="bottomLeft" activeCell="A7" sqref="A7"/>
      <selection pane="topRight" activeCell="C1" sqref="C1"/>
    </sheetView>
  </sheetViews>
  <sheetFormatPr defaultColWidth="14.42578125" defaultRowHeight="15" customHeight="1"/>
  <cols>
    <col min="1" max="1" width="9.140625" customWidth="1"/>
    <col min="2" max="2" width="23.5703125" customWidth="1"/>
    <col min="3" max="3" width="9.140625" customWidth="1"/>
    <col min="4" max="4" width="24" customWidth="1"/>
    <col min="5" max="5" width="31" bestFit="1" customWidth="1"/>
    <col min="7" max="8" width="13" customWidth="1"/>
    <col min="9" max="9" width="15.5703125" customWidth="1"/>
    <col min="10" max="10" width="18.7109375" customWidth="1"/>
    <col min="11" max="11" width="9.140625" customWidth="1"/>
    <col min="12" max="12" width="7.28515625" hidden="1" customWidth="1"/>
    <col min="13" max="24" width="9.140625" customWidth="1"/>
  </cols>
  <sheetData>
    <row r="1" spans="1:33">
      <c r="A1" s="684"/>
      <c r="B1" s="685"/>
      <c r="C1" s="985" t="s">
        <v>40</v>
      </c>
      <c r="D1" s="1200"/>
      <c r="E1" s="1200"/>
      <c r="F1" s="1200"/>
      <c r="G1" s="1200"/>
      <c r="H1" s="1200"/>
      <c r="I1" s="1200"/>
      <c r="J1" s="1200"/>
      <c r="K1" s="1200"/>
    </row>
    <row r="2" spans="1:33">
      <c r="A2" s="684"/>
      <c r="B2" s="685"/>
      <c r="C2" s="985" t="s">
        <v>41</v>
      </c>
      <c r="D2" s="1200"/>
      <c r="E2" s="1200"/>
      <c r="F2" s="1200"/>
      <c r="G2" s="1200"/>
      <c r="H2" s="1200"/>
      <c r="I2" s="1200"/>
      <c r="J2" s="1200"/>
      <c r="K2" s="1200"/>
    </row>
    <row r="3" spans="1:33">
      <c r="A3" s="686"/>
      <c r="B3" s="687"/>
      <c r="C3" s="986" t="s">
        <v>42</v>
      </c>
      <c r="D3" s="1201"/>
      <c r="E3" s="1201"/>
      <c r="F3" s="1201"/>
      <c r="G3" s="1201"/>
      <c r="H3" s="1201"/>
      <c r="I3" s="1201"/>
      <c r="J3" s="1201"/>
      <c r="K3" s="1201"/>
    </row>
    <row r="4" spans="1:33">
      <c r="A4" s="140"/>
      <c r="B4" s="141"/>
      <c r="C4" s="870" t="s">
        <v>690</v>
      </c>
      <c r="D4" s="1160"/>
      <c r="E4" s="1160"/>
      <c r="F4" s="1160"/>
      <c r="G4" s="1160"/>
      <c r="H4" s="1160"/>
      <c r="I4" s="1160"/>
      <c r="J4" s="1160"/>
      <c r="K4" s="1160"/>
    </row>
    <row r="5" spans="1:33">
      <c r="A5" s="2"/>
      <c r="B5" s="142"/>
      <c r="C5" s="871" t="s">
        <v>255</v>
      </c>
      <c r="D5" s="1159"/>
      <c r="E5" s="1159"/>
      <c r="F5" s="1159"/>
      <c r="G5" s="1159"/>
      <c r="H5" s="1159"/>
      <c r="I5" s="1159"/>
      <c r="J5" s="1159"/>
      <c r="K5" s="1159"/>
    </row>
    <row r="6" spans="1:33">
      <c r="A6" s="688" t="s">
        <v>45</v>
      </c>
      <c r="B6" s="460" t="s">
        <v>46</v>
      </c>
      <c r="C6" s="460" t="s">
        <v>47</v>
      </c>
      <c r="D6" s="460" t="s">
        <v>48</v>
      </c>
      <c r="E6" s="460" t="s">
        <v>49</v>
      </c>
      <c r="F6" s="459" t="s">
        <v>392</v>
      </c>
      <c r="G6" s="460" t="s">
        <v>393</v>
      </c>
      <c r="H6" s="460" t="s">
        <v>394</v>
      </c>
      <c r="I6" s="460" t="s">
        <v>395</v>
      </c>
      <c r="J6" s="689" t="s">
        <v>62</v>
      </c>
      <c r="K6" s="690" t="s">
        <v>63</v>
      </c>
      <c r="L6" s="674" t="s">
        <v>64</v>
      </c>
    </row>
    <row r="7" spans="1:33">
      <c r="A7" s="675" t="s">
        <v>65</v>
      </c>
      <c r="B7" s="895" t="s">
        <v>66</v>
      </c>
      <c r="C7" s="691">
        <v>1</v>
      </c>
      <c r="D7" s="692" t="s">
        <v>648</v>
      </c>
      <c r="E7" s="692" t="s">
        <v>691</v>
      </c>
      <c r="F7" s="693">
        <v>6.54</v>
      </c>
      <c r="G7" s="693">
        <v>6.74</v>
      </c>
      <c r="H7" s="693">
        <v>6.5</v>
      </c>
      <c r="I7" s="693">
        <v>6.35</v>
      </c>
      <c r="J7" s="694">
        <f t="shared" ref="J7:J24" si="0">IFERROR(AVERAGE(F7:I7), 0)</f>
        <v>6.5325000000000006</v>
      </c>
      <c r="K7" s="695">
        <v>5</v>
      </c>
      <c r="L7" s="676" t="s">
        <v>692</v>
      </c>
      <c r="S7" s="843" t="s">
        <v>70</v>
      </c>
      <c r="T7" s="843"/>
      <c r="U7" s="843"/>
      <c r="V7" s="843"/>
      <c r="W7" s="843"/>
      <c r="X7" s="843"/>
      <c r="Y7" s="843"/>
      <c r="Z7" s="843"/>
      <c r="AA7" s="843"/>
      <c r="AB7" s="843"/>
      <c r="AC7" s="843"/>
      <c r="AD7" s="843"/>
      <c r="AE7" s="843"/>
      <c r="AF7" s="843"/>
      <c r="AG7" s="843"/>
    </row>
    <row r="8" spans="1:33">
      <c r="A8" s="9"/>
      <c r="B8" s="896"/>
      <c r="C8" s="11">
        <v>2</v>
      </c>
      <c r="D8" s="56" t="s">
        <v>651</v>
      </c>
      <c r="E8" s="56" t="s">
        <v>693</v>
      </c>
      <c r="F8" s="57">
        <v>5.88</v>
      </c>
      <c r="G8" s="57">
        <v>5.66</v>
      </c>
      <c r="H8" s="57">
        <v>5.6</v>
      </c>
      <c r="I8" s="57">
        <v>5.83</v>
      </c>
      <c r="J8" s="13">
        <f t="shared" si="0"/>
        <v>5.7424999999999997</v>
      </c>
      <c r="K8" s="14">
        <v>5</v>
      </c>
      <c r="L8" s="676" t="s">
        <v>694</v>
      </c>
      <c r="S8" s="843" t="s">
        <v>74</v>
      </c>
      <c r="T8" s="843"/>
      <c r="U8" s="843"/>
      <c r="V8" s="843"/>
      <c r="W8" s="843"/>
      <c r="X8" s="843"/>
      <c r="Y8" s="843"/>
      <c r="Z8" s="843"/>
      <c r="AA8" s="843"/>
      <c r="AB8" s="843"/>
      <c r="AC8" s="843"/>
      <c r="AD8" s="843"/>
      <c r="AE8" s="843"/>
      <c r="AF8" s="843"/>
      <c r="AG8" s="843"/>
    </row>
    <row r="9" spans="1:33">
      <c r="A9" s="9"/>
      <c r="B9" s="897"/>
      <c r="C9" s="11">
        <v>3</v>
      </c>
      <c r="D9" s="56" t="s">
        <v>653</v>
      </c>
      <c r="E9" s="56" t="s">
        <v>693</v>
      </c>
      <c r="F9" s="57">
        <v>5.71</v>
      </c>
      <c r="G9" s="57">
        <v>5.35</v>
      </c>
      <c r="H9" s="57">
        <v>5.2</v>
      </c>
      <c r="I9" s="57">
        <v>5.85</v>
      </c>
      <c r="J9" s="13">
        <f t="shared" si="0"/>
        <v>5.5274999999999999</v>
      </c>
      <c r="K9" s="14">
        <v>5</v>
      </c>
      <c r="L9" s="676" t="s">
        <v>695</v>
      </c>
      <c r="S9" s="14"/>
      <c r="T9" s="273"/>
      <c r="U9" s="273"/>
      <c r="V9" s="273"/>
      <c r="W9" s="273"/>
      <c r="X9" s="844" t="s">
        <v>78</v>
      </c>
      <c r="Y9" s="845"/>
      <c r="Z9" s="845"/>
      <c r="AA9" s="845"/>
      <c r="AB9" s="845"/>
      <c r="AC9" s="845"/>
      <c r="AD9" s="845"/>
      <c r="AE9" s="845"/>
      <c r="AF9" s="845"/>
      <c r="AG9" s="846"/>
    </row>
    <row r="10" spans="1:33">
      <c r="A10" s="9"/>
      <c r="B10" s="895" t="s">
        <v>91</v>
      </c>
      <c r="C10" s="696">
        <v>1</v>
      </c>
      <c r="D10" s="692" t="s">
        <v>648</v>
      </c>
      <c r="E10" s="692" t="s">
        <v>691</v>
      </c>
      <c r="F10" s="697">
        <v>3</v>
      </c>
      <c r="G10" s="697">
        <v>2</v>
      </c>
      <c r="H10" s="697">
        <v>2</v>
      </c>
      <c r="I10" s="697">
        <v>3</v>
      </c>
      <c r="J10" s="698">
        <f t="shared" si="0"/>
        <v>2.5</v>
      </c>
      <c r="K10" s="695">
        <v>7</v>
      </c>
      <c r="L10" s="676" t="s">
        <v>692</v>
      </c>
      <c r="S10" s="14" t="s">
        <v>82</v>
      </c>
      <c r="T10" s="14" t="s">
        <v>83</v>
      </c>
      <c r="U10" s="14" t="s">
        <v>84</v>
      </c>
      <c r="V10" s="14" t="s">
        <v>85</v>
      </c>
      <c r="W10" s="14" t="s">
        <v>86</v>
      </c>
      <c r="X10" s="14" t="s">
        <v>4</v>
      </c>
      <c r="Y10" s="14" t="s">
        <v>5</v>
      </c>
      <c r="Z10" s="14" t="s">
        <v>6</v>
      </c>
      <c r="AA10" s="14" t="s">
        <v>7</v>
      </c>
      <c r="AB10" s="14" t="s">
        <v>8</v>
      </c>
      <c r="AC10" s="14" t="s">
        <v>9</v>
      </c>
      <c r="AD10" s="14" t="s">
        <v>10</v>
      </c>
      <c r="AE10" s="14" t="s">
        <v>11</v>
      </c>
      <c r="AF10" s="14" t="s">
        <v>12</v>
      </c>
      <c r="AG10" s="14" t="s">
        <v>13</v>
      </c>
    </row>
    <row r="11" spans="1:33" ht="58.5" customHeight="1">
      <c r="A11" s="9"/>
      <c r="B11" s="896"/>
      <c r="C11" s="11">
        <v>2</v>
      </c>
      <c r="D11" s="56" t="s">
        <v>651</v>
      </c>
      <c r="E11" s="56" t="s">
        <v>693</v>
      </c>
      <c r="F11" s="12">
        <v>2</v>
      </c>
      <c r="G11" s="12">
        <v>2</v>
      </c>
      <c r="H11" s="12">
        <v>2</v>
      </c>
      <c r="I11" s="12">
        <v>2</v>
      </c>
      <c r="J11" s="16">
        <f t="shared" si="0"/>
        <v>2</v>
      </c>
      <c r="K11" s="14">
        <v>7</v>
      </c>
      <c r="L11" s="676" t="s">
        <v>694</v>
      </c>
      <c r="S11" s="883" t="s">
        <v>696</v>
      </c>
      <c r="T11" s="883" t="s">
        <v>690</v>
      </c>
      <c r="U11" s="883" t="s">
        <v>22</v>
      </c>
      <c r="V11" s="32">
        <v>1</v>
      </c>
      <c r="W11" s="14" t="s">
        <v>648</v>
      </c>
      <c r="X11" s="33">
        <f>AVERAGE(F7:G7)</f>
        <v>6.6400000000000006</v>
      </c>
      <c r="Y11" s="33">
        <f>AVERAGE(F10:G10)</f>
        <v>2.5</v>
      </c>
      <c r="Z11" s="33">
        <f>AVERAGE(F13:G13)</f>
        <v>2.75</v>
      </c>
      <c r="AA11" s="33">
        <f>AVERAGE(F16:G16)</f>
        <v>7.3049999999999997</v>
      </c>
      <c r="AB11" s="33">
        <f>AVERAGE(F19:G19)</f>
        <v>28.450000000000003</v>
      </c>
      <c r="AC11" s="33">
        <f>AVERAGE(F22:G22)</f>
        <v>5</v>
      </c>
      <c r="AD11" s="33">
        <f>GEOMEAN(F25:G25)</f>
        <v>704.84040746824382</v>
      </c>
      <c r="AE11" s="34">
        <f>AVERAGE(F28:G28)</f>
        <v>0.1255</v>
      </c>
      <c r="AF11" s="34">
        <f>AVERAGE(F31:G31)</f>
        <v>2.6500000000000003E-2</v>
      </c>
      <c r="AG11" s="33">
        <f>AVERAGE(F34:G34)</f>
        <v>8.5</v>
      </c>
    </row>
    <row r="12" spans="1:33">
      <c r="A12" s="9"/>
      <c r="B12" s="897"/>
      <c r="C12" s="11">
        <v>3</v>
      </c>
      <c r="D12" s="56" t="s">
        <v>653</v>
      </c>
      <c r="E12" s="56" t="s">
        <v>693</v>
      </c>
      <c r="F12" s="12">
        <v>3</v>
      </c>
      <c r="G12" s="12">
        <v>2</v>
      </c>
      <c r="H12" s="12">
        <v>4</v>
      </c>
      <c r="I12" s="12">
        <v>2</v>
      </c>
      <c r="J12" s="16">
        <f t="shared" si="0"/>
        <v>2.75</v>
      </c>
      <c r="K12" s="14">
        <v>7</v>
      </c>
      <c r="L12" s="676" t="s">
        <v>695</v>
      </c>
      <c r="S12" s="884"/>
      <c r="T12" s="884"/>
      <c r="U12" s="884"/>
      <c r="V12" s="32">
        <v>2</v>
      </c>
      <c r="W12" s="14" t="s">
        <v>651</v>
      </c>
      <c r="X12" s="33">
        <f>AVERAGE(F8:G8)</f>
        <v>5.77</v>
      </c>
      <c r="Y12" s="33">
        <f>AVERAGE(F11:G11)</f>
        <v>2</v>
      </c>
      <c r="Z12" s="33">
        <f>AVERAGE(F14:G14)</f>
        <v>15.75</v>
      </c>
      <c r="AA12" s="33">
        <f>AVERAGE(F17:G17)</f>
        <v>7.17</v>
      </c>
      <c r="AB12" s="33">
        <f>AVERAGE(F20:G20)</f>
        <v>28.9</v>
      </c>
      <c r="AC12" s="33">
        <f>AVERAGE(F23:G23)</f>
        <v>5</v>
      </c>
      <c r="AD12" s="33">
        <f>GEOMEAN(F26:G26)</f>
        <v>8378.5440262613647</v>
      </c>
      <c r="AE12" s="34">
        <f>AVERAGE(F29:G29)</f>
        <v>0.45250000000000001</v>
      </c>
      <c r="AF12" s="34">
        <f>AVERAGE(F32:G32)</f>
        <v>2.5500000000000002E-2</v>
      </c>
      <c r="AG12" s="33">
        <f>AVERAGE(F35:G35)</f>
        <v>7</v>
      </c>
    </row>
    <row r="13" spans="1:33">
      <c r="A13" s="9"/>
      <c r="B13" s="895" t="s">
        <v>92</v>
      </c>
      <c r="C13" s="696">
        <v>1</v>
      </c>
      <c r="D13" s="692" t="s">
        <v>648</v>
      </c>
      <c r="E13" s="692" t="s">
        <v>691</v>
      </c>
      <c r="F13" s="697">
        <v>2.5</v>
      </c>
      <c r="G13" s="697">
        <v>3</v>
      </c>
      <c r="H13" s="697">
        <v>11</v>
      </c>
      <c r="I13" s="697">
        <v>30</v>
      </c>
      <c r="J13" s="694">
        <f t="shared" si="0"/>
        <v>11.625</v>
      </c>
      <c r="K13" s="695">
        <v>80</v>
      </c>
      <c r="L13" s="676" t="s">
        <v>692</v>
      </c>
      <c r="S13" s="885"/>
      <c r="T13" s="885"/>
      <c r="U13" s="885"/>
      <c r="V13" s="32">
        <v>3</v>
      </c>
      <c r="W13" s="14" t="s">
        <v>653</v>
      </c>
      <c r="X13" s="33">
        <f>AVERAGE(F9:G9)</f>
        <v>5.5299999999999994</v>
      </c>
      <c r="Y13" s="33">
        <f>AVERAGE(F12:G12)</f>
        <v>2.5</v>
      </c>
      <c r="Z13" s="33">
        <f>AVERAGE(F15:G15)</f>
        <v>10</v>
      </c>
      <c r="AA13" s="33">
        <f>AVERAGE(F18:G18)</f>
        <v>7.16</v>
      </c>
      <c r="AB13" s="33">
        <f>AVERAGE(F21:G21)</f>
        <v>29.1</v>
      </c>
      <c r="AC13" s="33">
        <f>AVERAGE(F24:G24)</f>
        <v>5</v>
      </c>
      <c r="AD13" s="33">
        <f>GEOMEAN(F27:G27)</f>
        <v>620.48368229954281</v>
      </c>
      <c r="AE13" s="34">
        <f>AVERAGE(F30:G30)</f>
        <v>0.19350000000000001</v>
      </c>
      <c r="AF13" s="34">
        <f>AVERAGE(F33:G33)</f>
        <v>2.9499999999999998E-2</v>
      </c>
      <c r="AG13" s="33">
        <f>AVERAGE(F36:G36)</f>
        <v>11</v>
      </c>
    </row>
    <row r="14" spans="1:33">
      <c r="A14" s="9"/>
      <c r="B14" s="896"/>
      <c r="C14" s="11">
        <v>2</v>
      </c>
      <c r="D14" s="56" t="s">
        <v>651</v>
      </c>
      <c r="E14" s="56" t="s">
        <v>693</v>
      </c>
      <c r="F14" s="12">
        <v>2.5</v>
      </c>
      <c r="G14" s="12">
        <v>29</v>
      </c>
      <c r="H14" s="12">
        <v>18</v>
      </c>
      <c r="I14" s="12">
        <v>25</v>
      </c>
      <c r="J14" s="13">
        <f t="shared" si="0"/>
        <v>18.625</v>
      </c>
      <c r="K14" s="14">
        <v>80</v>
      </c>
      <c r="L14" s="676" t="s">
        <v>694</v>
      </c>
      <c r="S14" s="848"/>
      <c r="T14" s="848"/>
      <c r="U14" s="848"/>
      <c r="V14" s="848"/>
      <c r="W14" s="848"/>
      <c r="X14" s="848"/>
      <c r="Y14" s="848"/>
      <c r="Z14" s="848"/>
      <c r="AA14" s="848"/>
      <c r="AB14" s="848"/>
      <c r="AC14" s="848"/>
      <c r="AD14" s="848"/>
      <c r="AE14" s="848"/>
      <c r="AF14" s="848"/>
      <c r="AG14" s="848"/>
    </row>
    <row r="15" spans="1:33">
      <c r="A15" s="9"/>
      <c r="B15" s="897"/>
      <c r="C15" s="11">
        <v>3</v>
      </c>
      <c r="D15" s="56" t="s">
        <v>653</v>
      </c>
      <c r="E15" s="56" t="s">
        <v>693</v>
      </c>
      <c r="F15" s="12">
        <v>8</v>
      </c>
      <c r="G15" s="12">
        <v>12</v>
      </c>
      <c r="H15" s="12">
        <v>45</v>
      </c>
      <c r="I15" s="12">
        <v>27</v>
      </c>
      <c r="J15" s="13">
        <f t="shared" si="0"/>
        <v>23</v>
      </c>
      <c r="K15" s="14">
        <v>80</v>
      </c>
      <c r="L15" s="676" t="s">
        <v>695</v>
      </c>
      <c r="S15" s="14" t="s">
        <v>93</v>
      </c>
      <c r="T15" s="848"/>
      <c r="U15" s="848"/>
      <c r="V15" s="848"/>
      <c r="W15" s="848"/>
      <c r="X15" s="33">
        <f t="shared" ref="X15:AG15" si="1">AVERAGE(X11:X13)</f>
        <v>5.9799999999999995</v>
      </c>
      <c r="Y15" s="33">
        <f t="shared" si="1"/>
        <v>2.3333333333333335</v>
      </c>
      <c r="Z15" s="33">
        <f t="shared" si="1"/>
        <v>9.5</v>
      </c>
      <c r="AA15" s="33">
        <f t="shared" si="1"/>
        <v>7.211666666666666</v>
      </c>
      <c r="AB15" s="33">
        <f t="shared" si="1"/>
        <v>28.816666666666666</v>
      </c>
      <c r="AC15" s="33">
        <f t="shared" si="1"/>
        <v>5</v>
      </c>
      <c r="AD15" s="33">
        <f t="shared" si="1"/>
        <v>3234.6227053430503</v>
      </c>
      <c r="AE15" s="34">
        <f t="shared" si="1"/>
        <v>0.25716666666666671</v>
      </c>
      <c r="AF15" s="34">
        <f t="shared" si="1"/>
        <v>2.7166666666666669E-2</v>
      </c>
      <c r="AG15" s="33">
        <f t="shared" si="1"/>
        <v>8.8333333333333339</v>
      </c>
    </row>
    <row r="16" spans="1:33">
      <c r="A16" s="9"/>
      <c r="B16" s="895" t="s">
        <v>7</v>
      </c>
      <c r="C16" s="696">
        <v>1</v>
      </c>
      <c r="D16" s="692" t="s">
        <v>648</v>
      </c>
      <c r="E16" s="692" t="s">
        <v>691</v>
      </c>
      <c r="F16" s="697">
        <v>7.32</v>
      </c>
      <c r="G16" s="697">
        <v>7.29</v>
      </c>
      <c r="H16" s="697">
        <v>7.96</v>
      </c>
      <c r="I16" s="697">
        <v>7.89</v>
      </c>
      <c r="J16" s="694">
        <f t="shared" si="0"/>
        <v>7.6150000000000002</v>
      </c>
      <c r="K16" s="699" t="s">
        <v>106</v>
      </c>
      <c r="L16" s="676" t="s">
        <v>692</v>
      </c>
      <c r="S16" s="14" t="s">
        <v>94</v>
      </c>
      <c r="T16" s="848"/>
      <c r="U16" s="848"/>
      <c r="V16" s="848"/>
      <c r="W16" s="848"/>
      <c r="X16" s="33">
        <f t="shared" ref="X16:AG16" si="2">MIN(X11:X13)</f>
        <v>5.5299999999999994</v>
      </c>
      <c r="Y16" s="33">
        <f t="shared" si="2"/>
        <v>2</v>
      </c>
      <c r="Z16" s="33">
        <f t="shared" si="2"/>
        <v>2.75</v>
      </c>
      <c r="AA16" s="33">
        <f t="shared" si="2"/>
        <v>7.16</v>
      </c>
      <c r="AB16" s="33">
        <f t="shared" si="2"/>
        <v>28.450000000000003</v>
      </c>
      <c r="AC16" s="33">
        <f t="shared" si="2"/>
        <v>5</v>
      </c>
      <c r="AD16" s="33">
        <f t="shared" si="2"/>
        <v>620.48368229954281</v>
      </c>
      <c r="AE16" s="34">
        <f t="shared" si="2"/>
        <v>0.1255</v>
      </c>
      <c r="AF16" s="34">
        <f t="shared" si="2"/>
        <v>2.5500000000000002E-2</v>
      </c>
      <c r="AG16" s="33">
        <f t="shared" si="2"/>
        <v>7</v>
      </c>
    </row>
    <row r="17" spans="1:33">
      <c r="A17" s="9"/>
      <c r="B17" s="896"/>
      <c r="C17" s="11">
        <v>2</v>
      </c>
      <c r="D17" s="56" t="s">
        <v>651</v>
      </c>
      <c r="E17" s="56" t="s">
        <v>693</v>
      </c>
      <c r="F17" s="12">
        <v>7.15</v>
      </c>
      <c r="G17" s="12">
        <v>7.19</v>
      </c>
      <c r="H17" s="12">
        <v>8.1</v>
      </c>
      <c r="I17" s="12">
        <v>7.85</v>
      </c>
      <c r="J17" s="13">
        <f t="shared" si="0"/>
        <v>7.5724999999999998</v>
      </c>
      <c r="K17" s="18" t="s">
        <v>106</v>
      </c>
      <c r="L17" s="676" t="s">
        <v>694</v>
      </c>
      <c r="S17" s="14" t="s">
        <v>95</v>
      </c>
      <c r="T17" s="848"/>
      <c r="U17" s="848"/>
      <c r="V17" s="848"/>
      <c r="W17" s="848"/>
      <c r="X17" s="33">
        <f t="shared" ref="X17:AG17" si="3">MAX(X11:X13)</f>
        <v>6.6400000000000006</v>
      </c>
      <c r="Y17" s="33">
        <f t="shared" si="3"/>
        <v>2.5</v>
      </c>
      <c r="Z17" s="33">
        <f t="shared" si="3"/>
        <v>15.75</v>
      </c>
      <c r="AA17" s="33">
        <f t="shared" si="3"/>
        <v>7.3049999999999997</v>
      </c>
      <c r="AB17" s="33">
        <f t="shared" si="3"/>
        <v>29.1</v>
      </c>
      <c r="AC17" s="33">
        <f t="shared" si="3"/>
        <v>5</v>
      </c>
      <c r="AD17" s="33">
        <f t="shared" si="3"/>
        <v>8378.5440262613647</v>
      </c>
      <c r="AE17" s="34">
        <f t="shared" si="3"/>
        <v>0.45250000000000001</v>
      </c>
      <c r="AF17" s="34">
        <f t="shared" si="3"/>
        <v>2.9499999999999998E-2</v>
      </c>
      <c r="AG17" s="33">
        <f t="shared" si="3"/>
        <v>11</v>
      </c>
    </row>
    <row r="18" spans="1:33">
      <c r="A18" s="9"/>
      <c r="B18" s="897"/>
      <c r="C18" s="11">
        <v>3</v>
      </c>
      <c r="D18" s="56" t="s">
        <v>653</v>
      </c>
      <c r="E18" s="56" t="s">
        <v>693</v>
      </c>
      <c r="F18" s="12">
        <v>7.21</v>
      </c>
      <c r="G18" s="12">
        <v>7.11</v>
      </c>
      <c r="H18" s="12">
        <v>8.0500000000000007</v>
      </c>
      <c r="I18" s="12">
        <v>7.86</v>
      </c>
      <c r="J18" s="13">
        <f t="shared" si="0"/>
        <v>7.5575000000000001</v>
      </c>
      <c r="K18" s="18" t="s">
        <v>106</v>
      </c>
      <c r="L18" s="676" t="s">
        <v>695</v>
      </c>
      <c r="S18" s="14" t="s">
        <v>96</v>
      </c>
      <c r="T18" s="848"/>
      <c r="U18" s="848"/>
      <c r="V18" s="848"/>
      <c r="W18" s="848"/>
      <c r="X18" s="29" t="s">
        <v>97</v>
      </c>
      <c r="Y18" s="29" t="s">
        <v>98</v>
      </c>
      <c r="Z18" s="29" t="s">
        <v>99</v>
      </c>
      <c r="AA18" s="29" t="s">
        <v>100</v>
      </c>
      <c r="AB18" s="29" t="s">
        <v>101</v>
      </c>
      <c r="AC18" s="29" t="s">
        <v>102</v>
      </c>
      <c r="AD18" s="29" t="s">
        <v>103</v>
      </c>
      <c r="AE18" s="29" t="s">
        <v>98</v>
      </c>
      <c r="AF18" s="29" t="s">
        <v>104</v>
      </c>
      <c r="AG18" s="29" t="s">
        <v>105</v>
      </c>
    </row>
    <row r="19" spans="1:33">
      <c r="A19" s="9"/>
      <c r="B19" s="895" t="s">
        <v>108</v>
      </c>
      <c r="C19" s="696">
        <v>1</v>
      </c>
      <c r="D19" s="692" t="s">
        <v>648</v>
      </c>
      <c r="E19" s="692" t="s">
        <v>691</v>
      </c>
      <c r="F19" s="697">
        <v>27.1</v>
      </c>
      <c r="G19" s="697">
        <v>29.8</v>
      </c>
      <c r="H19" s="697">
        <v>24.1</v>
      </c>
      <c r="I19" s="697">
        <v>29.1</v>
      </c>
      <c r="J19" s="694">
        <f t="shared" si="0"/>
        <v>27.524999999999999</v>
      </c>
      <c r="K19" s="699" t="s">
        <v>109</v>
      </c>
      <c r="L19" s="676" t="s">
        <v>692</v>
      </c>
    </row>
    <row r="20" spans="1:33">
      <c r="A20" s="9"/>
      <c r="B20" s="896"/>
      <c r="C20" s="11">
        <v>2</v>
      </c>
      <c r="D20" s="56" t="s">
        <v>651</v>
      </c>
      <c r="E20" s="56" t="s">
        <v>693</v>
      </c>
      <c r="F20" s="12">
        <v>27.8</v>
      </c>
      <c r="G20" s="12">
        <v>30</v>
      </c>
      <c r="H20" s="12">
        <v>25.2</v>
      </c>
      <c r="I20" s="12">
        <v>28.8</v>
      </c>
      <c r="J20" s="13">
        <f t="shared" si="0"/>
        <v>27.95</v>
      </c>
      <c r="K20" s="18" t="s">
        <v>109</v>
      </c>
      <c r="L20" s="676" t="s">
        <v>694</v>
      </c>
    </row>
    <row r="21" spans="1:33" ht="15.75" customHeight="1">
      <c r="A21" s="9"/>
      <c r="B21" s="897"/>
      <c r="C21" s="11">
        <v>3</v>
      </c>
      <c r="D21" s="56" t="s">
        <v>653</v>
      </c>
      <c r="E21" s="56" t="s">
        <v>693</v>
      </c>
      <c r="F21" s="12">
        <v>28.1</v>
      </c>
      <c r="G21" s="12">
        <v>30.1</v>
      </c>
      <c r="H21" s="12">
        <v>25.1</v>
      </c>
      <c r="I21" s="12">
        <v>29.7</v>
      </c>
      <c r="J21" s="13">
        <f t="shared" si="0"/>
        <v>28.250000000000004</v>
      </c>
      <c r="K21" s="18" t="s">
        <v>109</v>
      </c>
      <c r="L21" s="676" t="s">
        <v>695</v>
      </c>
    </row>
    <row r="22" spans="1:33" ht="15.75" customHeight="1">
      <c r="A22" s="9"/>
      <c r="B22" s="895" t="s">
        <v>110</v>
      </c>
      <c r="C22" s="696">
        <v>1</v>
      </c>
      <c r="D22" s="692" t="s">
        <v>648</v>
      </c>
      <c r="E22" s="692" t="s">
        <v>691</v>
      </c>
      <c r="F22" s="697">
        <v>5</v>
      </c>
      <c r="G22" s="697">
        <v>5</v>
      </c>
      <c r="H22" s="697">
        <v>5</v>
      </c>
      <c r="I22" s="697">
        <v>5</v>
      </c>
      <c r="J22" s="694">
        <f t="shared" si="0"/>
        <v>5</v>
      </c>
      <c r="K22" s="695">
        <v>75</v>
      </c>
      <c r="L22" s="676" t="s">
        <v>692</v>
      </c>
      <c r="S22" s="970" t="s">
        <v>70</v>
      </c>
      <c r="T22" s="970"/>
      <c r="U22" s="970"/>
      <c r="V22" s="970"/>
      <c r="W22" s="970"/>
      <c r="X22" s="970"/>
      <c r="Y22" s="970"/>
      <c r="Z22" s="970"/>
      <c r="AA22" s="970"/>
      <c r="AB22" s="970"/>
      <c r="AC22" s="970"/>
      <c r="AD22" s="970"/>
      <c r="AE22" s="970"/>
      <c r="AF22" s="970"/>
      <c r="AG22" s="970"/>
    </row>
    <row r="23" spans="1:33" ht="15.75" customHeight="1">
      <c r="A23" s="9"/>
      <c r="B23" s="896"/>
      <c r="C23" s="11">
        <v>2</v>
      </c>
      <c r="D23" s="56" t="s">
        <v>651</v>
      </c>
      <c r="E23" s="56" t="s">
        <v>693</v>
      </c>
      <c r="F23" s="12">
        <v>5</v>
      </c>
      <c r="G23" s="12">
        <v>5</v>
      </c>
      <c r="H23" s="12">
        <v>5</v>
      </c>
      <c r="I23" s="12">
        <v>10</v>
      </c>
      <c r="J23" s="13">
        <f t="shared" si="0"/>
        <v>6.25</v>
      </c>
      <c r="K23" s="14">
        <v>75</v>
      </c>
      <c r="L23" s="676" t="s">
        <v>694</v>
      </c>
      <c r="S23" s="970" t="s">
        <v>107</v>
      </c>
      <c r="T23" s="970"/>
      <c r="U23" s="970"/>
      <c r="V23" s="970"/>
      <c r="W23" s="970"/>
      <c r="X23" s="970"/>
      <c r="Y23" s="970"/>
      <c r="Z23" s="970"/>
      <c r="AA23" s="970"/>
      <c r="AB23" s="970"/>
      <c r="AC23" s="970"/>
      <c r="AD23" s="970"/>
      <c r="AE23" s="970"/>
      <c r="AF23" s="970"/>
      <c r="AG23" s="970"/>
    </row>
    <row r="24" spans="1:33" ht="15.75" customHeight="1">
      <c r="A24" s="9"/>
      <c r="B24" s="897"/>
      <c r="C24" s="11">
        <v>3</v>
      </c>
      <c r="D24" s="56" t="s">
        <v>653</v>
      </c>
      <c r="E24" s="56" t="s">
        <v>693</v>
      </c>
      <c r="F24" s="12">
        <v>5</v>
      </c>
      <c r="G24" s="12">
        <v>5</v>
      </c>
      <c r="H24" s="12">
        <v>5</v>
      </c>
      <c r="I24" s="12">
        <v>10</v>
      </c>
      <c r="J24" s="13">
        <f t="shared" si="0"/>
        <v>6.25</v>
      </c>
      <c r="K24" s="14">
        <v>75</v>
      </c>
      <c r="L24" s="676" t="s">
        <v>695</v>
      </c>
      <c r="S24" s="844"/>
      <c r="T24" s="845"/>
      <c r="U24" s="845"/>
      <c r="V24" s="845"/>
      <c r="W24" s="846"/>
      <c r="X24" s="844" t="s">
        <v>78</v>
      </c>
      <c r="Y24" s="845"/>
      <c r="Z24" s="845"/>
      <c r="AA24" s="845"/>
      <c r="AB24" s="845"/>
      <c r="AC24" s="845"/>
      <c r="AD24" s="845"/>
      <c r="AE24" s="845"/>
      <c r="AF24" s="845"/>
      <c r="AG24" s="846"/>
    </row>
    <row r="25" spans="1:33" ht="15.75" customHeight="1">
      <c r="A25" s="9"/>
      <c r="B25" s="895" t="s">
        <v>111</v>
      </c>
      <c r="C25" s="696">
        <v>1</v>
      </c>
      <c r="D25" s="692" t="s">
        <v>648</v>
      </c>
      <c r="E25" s="692" t="s">
        <v>691</v>
      </c>
      <c r="F25" s="697">
        <v>540</v>
      </c>
      <c r="G25" s="697">
        <v>920</v>
      </c>
      <c r="H25" s="697">
        <v>3300</v>
      </c>
      <c r="I25" s="697">
        <v>330</v>
      </c>
      <c r="J25" s="700">
        <f>IFERROR(GEOMEAN(F25:I25), 0)</f>
        <v>857.63474427746087</v>
      </c>
      <c r="K25" s="695">
        <v>200</v>
      </c>
      <c r="L25" s="676" t="s">
        <v>692</v>
      </c>
      <c r="S25" s="14" t="s">
        <v>82</v>
      </c>
      <c r="T25" s="14" t="s">
        <v>83</v>
      </c>
      <c r="U25" s="14" t="s">
        <v>84</v>
      </c>
      <c r="V25" s="14" t="s">
        <v>85</v>
      </c>
      <c r="W25" s="14" t="s">
        <v>86</v>
      </c>
      <c r="X25" s="14" t="s">
        <v>4</v>
      </c>
      <c r="Y25" s="14" t="s">
        <v>5</v>
      </c>
      <c r="Z25" s="14" t="s">
        <v>6</v>
      </c>
      <c r="AA25" s="14" t="s">
        <v>7</v>
      </c>
      <c r="AB25" s="14" t="s">
        <v>8</v>
      </c>
      <c r="AC25" s="14" t="s">
        <v>9</v>
      </c>
      <c r="AD25" s="14" t="s">
        <v>10</v>
      </c>
      <c r="AE25" s="14" t="s">
        <v>11</v>
      </c>
      <c r="AF25" s="14" t="s">
        <v>12</v>
      </c>
      <c r="AG25" s="14" t="s">
        <v>13</v>
      </c>
    </row>
    <row r="26" spans="1:33" ht="15.75" customHeight="1">
      <c r="A26" s="9"/>
      <c r="B26" s="896"/>
      <c r="C26" s="11">
        <v>2</v>
      </c>
      <c r="D26" s="56" t="s">
        <v>651</v>
      </c>
      <c r="E26" s="56" t="s">
        <v>693</v>
      </c>
      <c r="F26" s="12">
        <v>54000</v>
      </c>
      <c r="G26" s="12">
        <v>1300</v>
      </c>
      <c r="H26" s="12">
        <v>92000</v>
      </c>
      <c r="I26" s="12">
        <v>330</v>
      </c>
      <c r="J26" s="19">
        <f>IFERROR(GEOMEAN(F26:I26), 0)</f>
        <v>6794.5346826911145</v>
      </c>
      <c r="K26" s="14">
        <v>200</v>
      </c>
      <c r="L26" s="676" t="s">
        <v>694</v>
      </c>
      <c r="S26" s="65" t="s">
        <v>265</v>
      </c>
      <c r="T26" s="65" t="s">
        <v>254</v>
      </c>
      <c r="U26" s="282" t="s">
        <v>16</v>
      </c>
      <c r="V26" s="32">
        <v>1</v>
      </c>
      <c r="W26" s="14" t="s">
        <v>262</v>
      </c>
      <c r="X26" s="35">
        <f>J7</f>
        <v>6.5325000000000006</v>
      </c>
      <c r="Y26" s="59">
        <f>J10</f>
        <v>2.5</v>
      </c>
      <c r="Z26" s="35">
        <f>J13</f>
        <v>11.625</v>
      </c>
      <c r="AA26" s="35">
        <f>J16</f>
        <v>7.6150000000000002</v>
      </c>
      <c r="AB26" s="35">
        <f>J19</f>
        <v>27.524999999999999</v>
      </c>
      <c r="AC26" s="35">
        <f>J22</f>
        <v>5</v>
      </c>
      <c r="AD26" s="36">
        <f>J25</f>
        <v>857.63474427746087</v>
      </c>
      <c r="AE26" s="28">
        <f>J28</f>
        <v>9.0499999999999997E-2</v>
      </c>
      <c r="AF26" s="28">
        <f>J31</f>
        <v>2.3750000000000004E-2</v>
      </c>
      <c r="AG26" s="35">
        <f>J34</f>
        <v>43.75</v>
      </c>
    </row>
    <row r="27" spans="1:33" ht="15.75" customHeight="1">
      <c r="A27" s="9"/>
      <c r="B27" s="897"/>
      <c r="C27" s="11">
        <v>3</v>
      </c>
      <c r="D27" s="56" t="s">
        <v>653</v>
      </c>
      <c r="E27" s="56" t="s">
        <v>693</v>
      </c>
      <c r="F27" s="12">
        <v>110</v>
      </c>
      <c r="G27" s="12">
        <v>3500</v>
      </c>
      <c r="H27" s="12">
        <v>54000</v>
      </c>
      <c r="I27" s="12">
        <v>330</v>
      </c>
      <c r="J27" s="19">
        <f>IFERROR(GEOMEAN(F27:I27), 0)</f>
        <v>1618.4232443813778</v>
      </c>
      <c r="K27" s="14">
        <v>200</v>
      </c>
      <c r="L27" s="676" t="s">
        <v>695</v>
      </c>
      <c r="S27" s="273"/>
      <c r="T27" s="273"/>
      <c r="U27" s="273"/>
      <c r="V27" s="32">
        <v>2</v>
      </c>
      <c r="W27" s="14" t="s">
        <v>259</v>
      </c>
      <c r="X27" s="35">
        <f>J8</f>
        <v>5.7424999999999997</v>
      </c>
      <c r="Y27" s="59">
        <f>J11</f>
        <v>2</v>
      </c>
      <c r="Z27" s="35">
        <f>J14</f>
        <v>18.625</v>
      </c>
      <c r="AA27" s="35">
        <f>J17</f>
        <v>7.5724999999999998</v>
      </c>
      <c r="AB27" s="35">
        <f>J20</f>
        <v>27.95</v>
      </c>
      <c r="AC27" s="35">
        <f>J23</f>
        <v>6.25</v>
      </c>
      <c r="AD27" s="36">
        <f>J26</f>
        <v>6794.5346826911145</v>
      </c>
      <c r="AE27" s="28">
        <f>J29</f>
        <v>0.27024999999999999</v>
      </c>
      <c r="AF27" s="28">
        <f>J32</f>
        <v>2.5999999999999999E-2</v>
      </c>
      <c r="AG27" s="35">
        <f>J35</f>
        <v>56.5</v>
      </c>
    </row>
    <row r="28" spans="1:33" ht="15.75" customHeight="1">
      <c r="A28" s="20"/>
      <c r="B28" s="982" t="s">
        <v>113</v>
      </c>
      <c r="C28" s="701">
        <v>1</v>
      </c>
      <c r="D28" s="692" t="s">
        <v>648</v>
      </c>
      <c r="E28" s="692" t="s">
        <v>691</v>
      </c>
      <c r="F28" s="702">
        <v>0.20799999999999999</v>
      </c>
      <c r="G28" s="702">
        <v>4.2999999999999997E-2</v>
      </c>
      <c r="H28" s="702">
        <v>6.8000000000000005E-2</v>
      </c>
      <c r="I28" s="702">
        <v>4.2999999999999997E-2</v>
      </c>
      <c r="J28" s="703">
        <f t="shared" ref="J28:J36" si="4">IFERROR(AVERAGE(F28:I28), 0)</f>
        <v>9.0499999999999997E-2</v>
      </c>
      <c r="K28" s="704">
        <v>7</v>
      </c>
      <c r="L28" s="676" t="s">
        <v>692</v>
      </c>
      <c r="S28" s="273"/>
      <c r="T28" s="273"/>
      <c r="U28" s="273"/>
      <c r="V28" s="32">
        <v>3</v>
      </c>
      <c r="W28" s="14" t="s">
        <v>256</v>
      </c>
      <c r="X28" s="35">
        <f>J9</f>
        <v>5.5274999999999999</v>
      </c>
      <c r="Y28" s="59">
        <f>J12</f>
        <v>2.75</v>
      </c>
      <c r="Z28" s="35">
        <f>J15</f>
        <v>23</v>
      </c>
      <c r="AA28" s="35">
        <f>J18</f>
        <v>7.5575000000000001</v>
      </c>
      <c r="AB28" s="35">
        <f>J21</f>
        <v>28.250000000000004</v>
      </c>
      <c r="AC28" s="35">
        <f>J24</f>
        <v>6.25</v>
      </c>
      <c r="AD28" s="36">
        <f>J27</f>
        <v>1618.4232443813778</v>
      </c>
      <c r="AE28" s="28">
        <f>J30</f>
        <v>0.14524999999999999</v>
      </c>
      <c r="AF28" s="28">
        <f>J33</f>
        <v>3.7999999999999999E-2</v>
      </c>
      <c r="AG28" s="35">
        <f>J36</f>
        <v>64.5</v>
      </c>
    </row>
    <row r="29" spans="1:33" ht="15.75" customHeight="1">
      <c r="A29" s="20"/>
      <c r="B29" s="983"/>
      <c r="C29" s="25">
        <v>2</v>
      </c>
      <c r="D29" s="56" t="s">
        <v>651</v>
      </c>
      <c r="E29" s="56" t="s">
        <v>693</v>
      </c>
      <c r="F29" s="26">
        <v>0.86199999999999999</v>
      </c>
      <c r="G29" s="26">
        <v>4.2999999999999997E-2</v>
      </c>
      <c r="H29" s="26">
        <v>0.109</v>
      </c>
      <c r="I29" s="26">
        <v>6.7000000000000004E-2</v>
      </c>
      <c r="J29" s="58">
        <f t="shared" si="4"/>
        <v>0.27024999999999999</v>
      </c>
      <c r="K29" s="28">
        <v>7</v>
      </c>
      <c r="L29" s="676" t="s">
        <v>694</v>
      </c>
      <c r="S29" s="848"/>
      <c r="T29" s="848"/>
      <c r="U29" s="848"/>
      <c r="V29" s="848"/>
      <c r="W29" s="848"/>
      <c r="X29" s="848"/>
      <c r="Y29" s="848"/>
      <c r="Z29" s="848"/>
      <c r="AA29" s="848"/>
      <c r="AB29" s="848"/>
      <c r="AC29" s="848"/>
      <c r="AD29" s="848"/>
      <c r="AE29" s="848"/>
      <c r="AF29" s="848"/>
      <c r="AG29" s="848"/>
    </row>
    <row r="30" spans="1:33" ht="15.75" customHeight="1">
      <c r="A30" s="20"/>
      <c r="B30" s="984"/>
      <c r="C30" s="25">
        <v>3</v>
      </c>
      <c r="D30" s="56" t="s">
        <v>653</v>
      </c>
      <c r="E30" s="56" t="s">
        <v>693</v>
      </c>
      <c r="F30" s="26">
        <v>0.189</v>
      </c>
      <c r="G30" s="26">
        <v>0.19800000000000001</v>
      </c>
      <c r="H30" s="26">
        <v>0.127</v>
      </c>
      <c r="I30" s="26">
        <v>6.7000000000000004E-2</v>
      </c>
      <c r="J30" s="58">
        <f t="shared" si="4"/>
        <v>0.14524999999999999</v>
      </c>
      <c r="K30" s="28">
        <v>7</v>
      </c>
      <c r="L30" s="676" t="s">
        <v>695</v>
      </c>
      <c r="S30" s="14" t="s">
        <v>93</v>
      </c>
      <c r="T30" s="848"/>
      <c r="U30" s="848"/>
      <c r="V30" s="848"/>
      <c r="W30" s="848"/>
      <c r="X30" s="35">
        <f t="shared" ref="X30:AG30" si="5">AVERAGE(X26:X28)</f>
        <v>5.934166666666667</v>
      </c>
      <c r="Y30" s="59">
        <f t="shared" si="5"/>
        <v>2.4166666666666665</v>
      </c>
      <c r="Z30" s="35">
        <f t="shared" si="5"/>
        <v>17.75</v>
      </c>
      <c r="AA30" s="35">
        <f t="shared" si="5"/>
        <v>7.581666666666667</v>
      </c>
      <c r="AB30" s="35">
        <f t="shared" si="5"/>
        <v>27.908333333333331</v>
      </c>
      <c r="AC30" s="35">
        <f t="shared" si="5"/>
        <v>5.833333333333333</v>
      </c>
      <c r="AD30" s="36">
        <f t="shared" si="5"/>
        <v>3090.1975571166513</v>
      </c>
      <c r="AE30" s="28">
        <f t="shared" si="5"/>
        <v>0.16866666666666666</v>
      </c>
      <c r="AF30" s="28">
        <f t="shared" si="5"/>
        <v>2.9249999999999998E-2</v>
      </c>
      <c r="AG30" s="35">
        <f t="shared" si="5"/>
        <v>54.916666666666664</v>
      </c>
    </row>
    <row r="31" spans="1:33" ht="15.75" customHeight="1">
      <c r="A31" s="20"/>
      <c r="B31" s="982" t="s">
        <v>115</v>
      </c>
      <c r="C31" s="701">
        <v>1</v>
      </c>
      <c r="D31" s="692" t="s">
        <v>648</v>
      </c>
      <c r="E31" s="692" t="s">
        <v>691</v>
      </c>
      <c r="F31" s="702">
        <v>4.2000000000000003E-2</v>
      </c>
      <c r="G31" s="702">
        <v>1.0999999999999999E-2</v>
      </c>
      <c r="H31" s="702">
        <v>2.5000000000000001E-2</v>
      </c>
      <c r="I31" s="702">
        <v>1.7000000000000001E-2</v>
      </c>
      <c r="J31" s="703">
        <f t="shared" si="4"/>
        <v>2.3750000000000004E-2</v>
      </c>
      <c r="K31" s="704">
        <v>2.5000000000000001E-2</v>
      </c>
      <c r="L31" s="676" t="s">
        <v>692</v>
      </c>
      <c r="S31" s="14" t="s">
        <v>94</v>
      </c>
      <c r="T31" s="848"/>
      <c r="U31" s="848"/>
      <c r="V31" s="848"/>
      <c r="W31" s="848"/>
      <c r="X31" s="35">
        <f t="shared" ref="X31:AG31" si="6">MIN(X26:X28)</f>
        <v>5.5274999999999999</v>
      </c>
      <c r="Y31" s="59">
        <f t="shared" si="6"/>
        <v>2</v>
      </c>
      <c r="Z31" s="35">
        <f t="shared" si="6"/>
        <v>11.625</v>
      </c>
      <c r="AA31" s="35">
        <f t="shared" si="6"/>
        <v>7.5575000000000001</v>
      </c>
      <c r="AB31" s="35">
        <f t="shared" si="6"/>
        <v>27.524999999999999</v>
      </c>
      <c r="AC31" s="35">
        <f t="shared" si="6"/>
        <v>5</v>
      </c>
      <c r="AD31" s="36">
        <f t="shared" si="6"/>
        <v>857.63474427746087</v>
      </c>
      <c r="AE31" s="28">
        <f t="shared" si="6"/>
        <v>9.0499999999999997E-2</v>
      </c>
      <c r="AF31" s="28">
        <f t="shared" si="6"/>
        <v>2.3750000000000004E-2</v>
      </c>
      <c r="AG31" s="35">
        <f t="shared" si="6"/>
        <v>43.75</v>
      </c>
    </row>
    <row r="32" spans="1:33" ht="15.75" customHeight="1">
      <c r="A32" s="20"/>
      <c r="B32" s="983"/>
      <c r="C32" s="25">
        <v>2</v>
      </c>
      <c r="D32" s="56" t="s">
        <v>651</v>
      </c>
      <c r="E32" s="56" t="s">
        <v>693</v>
      </c>
      <c r="F32" s="26">
        <v>0.04</v>
      </c>
      <c r="G32" s="26">
        <v>1.0999999999999999E-2</v>
      </c>
      <c r="H32" s="26">
        <v>4.2000000000000003E-2</v>
      </c>
      <c r="I32" s="26">
        <v>1.0999999999999999E-2</v>
      </c>
      <c r="J32" s="58">
        <f t="shared" si="4"/>
        <v>2.5999999999999999E-2</v>
      </c>
      <c r="K32" s="28">
        <v>2.5000000000000001E-2</v>
      </c>
      <c r="L32" s="676" t="s">
        <v>694</v>
      </c>
      <c r="S32" s="14" t="s">
        <v>95</v>
      </c>
      <c r="T32" s="848"/>
      <c r="U32" s="848"/>
      <c r="V32" s="848"/>
      <c r="W32" s="848"/>
      <c r="X32" s="35">
        <f t="shared" ref="X32:AG32" si="7">MAX(X26:X28)</f>
        <v>6.5325000000000006</v>
      </c>
      <c r="Y32" s="59">
        <f t="shared" si="7"/>
        <v>2.75</v>
      </c>
      <c r="Z32" s="35">
        <f t="shared" si="7"/>
        <v>23</v>
      </c>
      <c r="AA32" s="35">
        <f t="shared" si="7"/>
        <v>7.6150000000000002</v>
      </c>
      <c r="AB32" s="35">
        <f t="shared" si="7"/>
        <v>28.250000000000004</v>
      </c>
      <c r="AC32" s="35">
        <f t="shared" si="7"/>
        <v>6.25</v>
      </c>
      <c r="AD32" s="36">
        <f t="shared" si="7"/>
        <v>6794.5346826911145</v>
      </c>
      <c r="AE32" s="28">
        <f t="shared" si="7"/>
        <v>0.27024999999999999</v>
      </c>
      <c r="AF32" s="28">
        <f t="shared" si="7"/>
        <v>3.7999999999999999E-2</v>
      </c>
      <c r="AG32" s="35">
        <f t="shared" si="7"/>
        <v>64.5</v>
      </c>
    </row>
    <row r="33" spans="1:33" ht="15.75" customHeight="1">
      <c r="A33" s="20"/>
      <c r="B33" s="984"/>
      <c r="C33" s="25">
        <v>3</v>
      </c>
      <c r="D33" s="56" t="s">
        <v>653</v>
      </c>
      <c r="E33" s="56" t="s">
        <v>693</v>
      </c>
      <c r="F33" s="26">
        <v>0.03</v>
      </c>
      <c r="G33" s="26">
        <v>2.9000000000000001E-2</v>
      </c>
      <c r="H33" s="26">
        <v>7.1999999999999995E-2</v>
      </c>
      <c r="I33" s="26">
        <v>2.1000000000000001E-2</v>
      </c>
      <c r="J33" s="58">
        <f t="shared" si="4"/>
        <v>3.7999999999999999E-2</v>
      </c>
      <c r="K33" s="28">
        <v>2.5000000000000001E-2</v>
      </c>
      <c r="L33" s="676" t="s">
        <v>695</v>
      </c>
      <c r="S33" s="14" t="s">
        <v>96</v>
      </c>
      <c r="T33" s="848"/>
      <c r="U33" s="848"/>
      <c r="V33" s="848"/>
      <c r="W33" s="848"/>
      <c r="X33" s="661" t="s">
        <v>97</v>
      </c>
      <c r="Y33" s="661" t="s">
        <v>97</v>
      </c>
      <c r="Z33" s="661" t="s">
        <v>697</v>
      </c>
      <c r="AA33" s="661" t="s">
        <v>100</v>
      </c>
      <c r="AB33" s="661" t="s">
        <v>698</v>
      </c>
      <c r="AC33" s="661" t="s">
        <v>699</v>
      </c>
      <c r="AD33" s="661" t="s">
        <v>700</v>
      </c>
      <c r="AE33" s="661" t="s">
        <v>98</v>
      </c>
      <c r="AF33" s="661" t="s">
        <v>104</v>
      </c>
      <c r="AG33" s="662" t="s">
        <v>701</v>
      </c>
    </row>
    <row r="34" spans="1:33" ht="15.75" customHeight="1">
      <c r="A34" s="9"/>
      <c r="B34" s="895" t="s">
        <v>117</v>
      </c>
      <c r="C34" s="696">
        <v>1</v>
      </c>
      <c r="D34" s="692" t="s">
        <v>648</v>
      </c>
      <c r="E34" s="692" t="s">
        <v>691</v>
      </c>
      <c r="F34" s="697">
        <v>5</v>
      </c>
      <c r="G34" s="697">
        <v>12</v>
      </c>
      <c r="H34" s="697">
        <v>152</v>
      </c>
      <c r="I34" s="697">
        <v>6</v>
      </c>
      <c r="J34" s="694">
        <f t="shared" si="4"/>
        <v>43.75</v>
      </c>
      <c r="K34" s="695">
        <v>350</v>
      </c>
      <c r="L34" s="676" t="s">
        <v>692</v>
      </c>
      <c r="S34" s="232"/>
      <c r="T34" s="232"/>
      <c r="U34" s="232"/>
      <c r="V34" s="232"/>
      <c r="W34" s="232"/>
      <c r="X34" s="232"/>
      <c r="Y34" s="232"/>
      <c r="Z34" s="232"/>
      <c r="AA34" s="232"/>
      <c r="AB34" s="232"/>
      <c r="AC34" s="232"/>
      <c r="AD34" s="232"/>
      <c r="AE34" s="232"/>
      <c r="AF34" s="232"/>
      <c r="AG34" s="232"/>
    </row>
    <row r="35" spans="1:33" ht="15.75" customHeight="1">
      <c r="A35" s="9"/>
      <c r="B35" s="896"/>
      <c r="C35" s="11">
        <v>2</v>
      </c>
      <c r="D35" s="56" t="s">
        <v>651</v>
      </c>
      <c r="E35" s="56" t="s">
        <v>693</v>
      </c>
      <c r="F35" s="12">
        <v>3</v>
      </c>
      <c r="G35" s="12">
        <v>11</v>
      </c>
      <c r="H35" s="12">
        <v>208</v>
      </c>
      <c r="I35" s="12">
        <v>4</v>
      </c>
      <c r="J35" s="13">
        <f t="shared" si="4"/>
        <v>56.5</v>
      </c>
      <c r="K35" s="14">
        <v>350</v>
      </c>
      <c r="L35" s="676" t="s">
        <v>694</v>
      </c>
    </row>
    <row r="36" spans="1:33" ht="15.75" customHeight="1">
      <c r="A36" s="9"/>
      <c r="B36" s="897"/>
      <c r="C36" s="11">
        <v>3</v>
      </c>
      <c r="D36" s="56" t="s">
        <v>653</v>
      </c>
      <c r="E36" s="56" t="s">
        <v>693</v>
      </c>
      <c r="F36" s="12">
        <v>3</v>
      </c>
      <c r="G36" s="12">
        <v>19</v>
      </c>
      <c r="H36" s="12">
        <v>214</v>
      </c>
      <c r="I36" s="12">
        <v>22</v>
      </c>
      <c r="J36" s="13">
        <f t="shared" si="4"/>
        <v>64.5</v>
      </c>
      <c r="K36" s="14">
        <v>350</v>
      </c>
      <c r="L36" s="676" t="s">
        <v>695</v>
      </c>
      <c r="S36" s="232" t="s">
        <v>175</v>
      </c>
      <c r="T36" s="232"/>
      <c r="U36" s="232"/>
      <c r="V36" s="232"/>
      <c r="W36" s="232"/>
      <c r="X36" s="232"/>
      <c r="Y36" s="232"/>
      <c r="Z36" s="232"/>
      <c r="AA36" s="232"/>
      <c r="AB36" s="232"/>
      <c r="AC36" s="232"/>
      <c r="AD36" s="232"/>
      <c r="AE36" s="232"/>
      <c r="AF36" s="232"/>
      <c r="AG36" s="232"/>
    </row>
    <row r="37" spans="1:33" ht="50.25" customHeight="1">
      <c r="A37" s="9"/>
      <c r="B37" s="6" t="s">
        <v>120</v>
      </c>
      <c r="C37" s="696">
        <v>1</v>
      </c>
      <c r="D37" s="692" t="s">
        <v>262</v>
      </c>
      <c r="E37" s="692" t="s">
        <v>691</v>
      </c>
      <c r="F37" s="705" t="s">
        <v>702</v>
      </c>
      <c r="G37" s="697" t="s">
        <v>703</v>
      </c>
      <c r="H37" s="697" t="s">
        <v>704</v>
      </c>
      <c r="I37" s="697" t="s">
        <v>705</v>
      </c>
      <c r="J37" s="1"/>
      <c r="K37" s="1"/>
      <c r="L37" s="676" t="s">
        <v>692</v>
      </c>
      <c r="S37" s="987" t="s">
        <v>706</v>
      </c>
      <c r="T37" s="988"/>
      <c r="U37" s="988"/>
      <c r="V37" s="988"/>
      <c r="W37" s="988"/>
      <c r="X37" s="988"/>
      <c r="Y37" s="988"/>
      <c r="Z37" s="988"/>
      <c r="AA37" s="988"/>
      <c r="AB37" s="988"/>
      <c r="AC37" s="988"/>
      <c r="AD37" s="988"/>
      <c r="AE37" s="988"/>
      <c r="AF37" s="988"/>
      <c r="AG37" s="989"/>
    </row>
    <row r="38" spans="1:33" ht="46.5" customHeight="1">
      <c r="A38" s="9"/>
      <c r="B38" s="10" t="s">
        <v>117</v>
      </c>
      <c r="C38" s="11">
        <v>2</v>
      </c>
      <c r="D38" s="56" t="s">
        <v>259</v>
      </c>
      <c r="E38" s="56" t="s">
        <v>693</v>
      </c>
      <c r="F38" s="31" t="s">
        <v>707</v>
      </c>
      <c r="G38" s="12" t="s">
        <v>708</v>
      </c>
      <c r="H38" s="12" t="s">
        <v>709</v>
      </c>
      <c r="I38" s="12" t="s">
        <v>710</v>
      </c>
      <c r="J38" s="1"/>
      <c r="K38" s="1"/>
      <c r="L38" s="676" t="s">
        <v>694</v>
      </c>
      <c r="S38" s="990"/>
      <c r="T38" s="991"/>
      <c r="U38" s="991"/>
      <c r="V38" s="991"/>
      <c r="W38" s="991"/>
      <c r="X38" s="991"/>
      <c r="Y38" s="991"/>
      <c r="Z38" s="991"/>
      <c r="AA38" s="991"/>
      <c r="AB38" s="991"/>
      <c r="AC38" s="991"/>
      <c r="AD38" s="991"/>
      <c r="AE38" s="991"/>
      <c r="AF38" s="991"/>
      <c r="AG38" s="992"/>
    </row>
    <row r="39" spans="1:33" ht="48.75" customHeight="1">
      <c r="A39" s="9"/>
      <c r="B39" s="10" t="s">
        <v>117</v>
      </c>
      <c r="C39" s="11">
        <v>3</v>
      </c>
      <c r="D39" s="56" t="s">
        <v>256</v>
      </c>
      <c r="E39" s="56" t="s">
        <v>693</v>
      </c>
      <c r="F39" s="31" t="s">
        <v>711</v>
      </c>
      <c r="G39" s="12" t="s">
        <v>712</v>
      </c>
      <c r="H39" s="12" t="s">
        <v>713</v>
      </c>
      <c r="I39" s="12" t="s">
        <v>714</v>
      </c>
      <c r="J39" s="1"/>
      <c r="K39" s="1"/>
      <c r="L39" s="676" t="s">
        <v>695</v>
      </c>
      <c r="S39" s="990"/>
      <c r="T39" s="991"/>
      <c r="U39" s="991"/>
      <c r="V39" s="991"/>
      <c r="W39" s="991"/>
      <c r="X39" s="991"/>
      <c r="Y39" s="991"/>
      <c r="Z39" s="991"/>
      <c r="AA39" s="991"/>
      <c r="AB39" s="991"/>
      <c r="AC39" s="991"/>
      <c r="AD39" s="991"/>
      <c r="AE39" s="991"/>
      <c r="AF39" s="991"/>
      <c r="AG39" s="992"/>
    </row>
    <row r="40" spans="1:33" ht="15.75" customHeight="1">
      <c r="A40" s="1"/>
      <c r="B40" s="1"/>
      <c r="C40" s="1" t="s">
        <v>173</v>
      </c>
      <c r="D40" s="1"/>
      <c r="E40" s="1"/>
      <c r="F40" s="1">
        <v>11</v>
      </c>
      <c r="G40" s="1">
        <v>25</v>
      </c>
      <c r="H40" s="519">
        <v>45924</v>
      </c>
      <c r="I40" s="519">
        <v>45985</v>
      </c>
      <c r="J40" s="1"/>
      <c r="K40" s="1"/>
      <c r="S40" s="990"/>
      <c r="T40" s="991"/>
      <c r="U40" s="991"/>
      <c r="V40" s="991"/>
      <c r="W40" s="991"/>
      <c r="X40" s="991"/>
      <c r="Y40" s="991"/>
      <c r="Z40" s="991"/>
      <c r="AA40" s="991"/>
      <c r="AB40" s="991"/>
      <c r="AC40" s="991"/>
      <c r="AD40" s="991"/>
      <c r="AE40" s="991"/>
      <c r="AF40" s="991"/>
      <c r="AG40" s="992"/>
    </row>
    <row r="41" spans="1:33" ht="15.75" customHeight="1">
      <c r="A41" s="1"/>
      <c r="B41" s="1"/>
      <c r="C41" s="1"/>
      <c r="D41" s="243"/>
      <c r="E41" s="243"/>
      <c r="F41" s="243"/>
      <c r="G41" s="243"/>
      <c r="H41" s="232"/>
      <c r="I41" s="232"/>
      <c r="J41" s="232"/>
      <c r="K41" s="232"/>
      <c r="L41" s="232"/>
      <c r="M41" s="232"/>
      <c r="N41" s="232"/>
      <c r="O41" s="232"/>
      <c r="P41" s="232"/>
      <c r="Q41" s="232"/>
      <c r="R41" s="232"/>
      <c r="S41" s="990"/>
      <c r="T41" s="991"/>
      <c r="U41" s="991"/>
      <c r="V41" s="991"/>
      <c r="W41" s="991"/>
      <c r="X41" s="991"/>
      <c r="Y41" s="991"/>
      <c r="Z41" s="991"/>
      <c r="AA41" s="991"/>
      <c r="AB41" s="991"/>
      <c r="AC41" s="991"/>
      <c r="AD41" s="991"/>
      <c r="AE41" s="991"/>
      <c r="AF41" s="991"/>
      <c r="AG41" s="992"/>
    </row>
    <row r="42" spans="1:33" ht="15.75" customHeight="1">
      <c r="A42" s="1"/>
      <c r="B42" s="1"/>
      <c r="C42" s="243"/>
      <c r="D42" s="232"/>
      <c r="S42" s="990"/>
      <c r="T42" s="991"/>
      <c r="U42" s="991"/>
      <c r="V42" s="991"/>
      <c r="W42" s="991"/>
      <c r="X42" s="991"/>
      <c r="Y42" s="991"/>
      <c r="Z42" s="991"/>
      <c r="AA42" s="991"/>
      <c r="AB42" s="991"/>
      <c r="AC42" s="991"/>
      <c r="AD42" s="991"/>
      <c r="AE42" s="991"/>
      <c r="AF42" s="991"/>
      <c r="AG42" s="992"/>
    </row>
    <row r="43" spans="1:33" ht="15.75" customHeight="1">
      <c r="A43" s="1"/>
      <c r="B43" s="1"/>
      <c r="C43" s="243"/>
      <c r="D43" s="232"/>
      <c r="S43" s="990"/>
      <c r="T43" s="991"/>
      <c r="U43" s="991"/>
      <c r="V43" s="991"/>
      <c r="W43" s="991"/>
      <c r="X43" s="991"/>
      <c r="Y43" s="991"/>
      <c r="Z43" s="991"/>
      <c r="AA43" s="991"/>
      <c r="AB43" s="991"/>
      <c r="AC43" s="991"/>
      <c r="AD43" s="991"/>
      <c r="AE43" s="991"/>
      <c r="AF43" s="991"/>
      <c r="AG43" s="992"/>
    </row>
    <row r="44" spans="1:33" ht="15.75" customHeight="1">
      <c r="A44" s="1"/>
      <c r="B44" s="1"/>
      <c r="C44" s="243"/>
      <c r="D44" s="243"/>
      <c r="S44" s="990"/>
      <c r="T44" s="991"/>
      <c r="U44" s="991"/>
      <c r="V44" s="991"/>
      <c r="W44" s="991"/>
      <c r="X44" s="991"/>
      <c r="Y44" s="991"/>
      <c r="Z44" s="991"/>
      <c r="AA44" s="991"/>
      <c r="AB44" s="991"/>
      <c r="AC44" s="991"/>
      <c r="AD44" s="991"/>
      <c r="AE44" s="991"/>
      <c r="AF44" s="991"/>
      <c r="AG44" s="992"/>
    </row>
    <row r="45" spans="1:33" ht="15.75" customHeight="1">
      <c r="A45" s="1"/>
      <c r="B45" s="1"/>
      <c r="C45" s="243"/>
      <c r="D45" s="232"/>
      <c r="S45" s="993"/>
      <c r="T45" s="994"/>
      <c r="U45" s="994"/>
      <c r="V45" s="994"/>
      <c r="W45" s="994"/>
      <c r="X45" s="994"/>
      <c r="Y45" s="994"/>
      <c r="Z45" s="994"/>
      <c r="AA45" s="994"/>
      <c r="AB45" s="994"/>
      <c r="AC45" s="994"/>
      <c r="AD45" s="994"/>
      <c r="AE45" s="994"/>
      <c r="AF45" s="994"/>
      <c r="AG45" s="995"/>
    </row>
    <row r="46" spans="1:33" ht="15.75" customHeight="1">
      <c r="A46" s="1"/>
      <c r="B46" s="1"/>
      <c r="C46" s="243"/>
      <c r="D46" s="232"/>
      <c r="T46" s="232"/>
    </row>
    <row r="47" spans="1:33" ht="15.75" customHeight="1">
      <c r="A47" s="1"/>
      <c r="B47" s="1"/>
      <c r="C47" s="243"/>
      <c r="D47" s="232"/>
      <c r="T47" s="232"/>
    </row>
    <row r="48" spans="1:33" ht="15.75" customHeight="1">
      <c r="A48" s="1"/>
      <c r="B48" s="1"/>
      <c r="C48" s="243"/>
      <c r="D48" s="232"/>
      <c r="T48" s="232"/>
    </row>
    <row r="49" spans="3:20" ht="15.75" customHeight="1">
      <c r="C49" s="232"/>
      <c r="D49" s="243"/>
      <c r="T49" s="232"/>
    </row>
    <row r="50" spans="3:20" ht="15.75" customHeight="1">
      <c r="C50" s="232"/>
      <c r="D50" s="232"/>
      <c r="T50" s="232"/>
    </row>
    <row r="51" spans="3:20" ht="15.75" customHeight="1">
      <c r="C51" s="232"/>
      <c r="D51" s="232"/>
      <c r="T51" s="232"/>
    </row>
    <row r="52" spans="3:20" ht="15.75" customHeight="1">
      <c r="C52" s="232"/>
      <c r="D52" s="232"/>
      <c r="T52" s="232"/>
    </row>
    <row r="53" spans="3:20" ht="15.75" customHeight="1">
      <c r="C53" s="232"/>
      <c r="D53" s="232"/>
      <c r="T53" s="232"/>
    </row>
    <row r="54" spans="3:20" ht="15.75" customHeight="1">
      <c r="C54" s="232"/>
      <c r="D54" s="243"/>
      <c r="E54" s="243"/>
      <c r="F54" s="243"/>
      <c r="G54" s="243"/>
      <c r="H54" s="243"/>
      <c r="I54" s="243"/>
      <c r="J54" s="243"/>
      <c r="K54" s="243"/>
      <c r="L54" s="232"/>
      <c r="M54" s="232"/>
      <c r="N54" s="232"/>
      <c r="O54" s="232"/>
      <c r="P54" s="232"/>
      <c r="Q54" s="232"/>
      <c r="R54" s="232"/>
      <c r="S54" s="232"/>
    </row>
    <row r="55" spans="3:20" ht="15.75" customHeight="1">
      <c r="C55" s="232"/>
      <c r="D55" s="243"/>
      <c r="E55" s="243"/>
      <c r="F55" s="243"/>
      <c r="G55" s="243"/>
      <c r="H55" s="232"/>
      <c r="I55" s="232"/>
      <c r="J55" s="232"/>
      <c r="K55" s="232"/>
      <c r="L55" s="232"/>
      <c r="M55" s="232"/>
      <c r="N55" s="232"/>
      <c r="O55" s="232"/>
      <c r="P55" s="232"/>
      <c r="Q55" s="232"/>
      <c r="R55" s="232"/>
      <c r="S55" s="232"/>
    </row>
    <row r="56" spans="3:20" ht="15.75" customHeight="1">
      <c r="C56" s="232"/>
      <c r="D56" s="232"/>
      <c r="T56" s="232"/>
    </row>
    <row r="57" spans="3:20" ht="15.75" customHeight="1">
      <c r="C57" s="232"/>
      <c r="D57" s="232"/>
      <c r="T57" s="232"/>
    </row>
    <row r="58" spans="3:20" ht="15.75" customHeight="1">
      <c r="C58" s="232"/>
      <c r="D58" s="243"/>
      <c r="T58" s="232"/>
    </row>
    <row r="59" spans="3:20" ht="15.75" customHeight="1">
      <c r="C59" s="232"/>
      <c r="D59" s="232"/>
      <c r="T59" s="232"/>
    </row>
    <row r="60" spans="3:20" ht="15.75" customHeight="1">
      <c r="C60" s="232"/>
      <c r="D60" s="232"/>
      <c r="T60" s="232"/>
    </row>
    <row r="61" spans="3:20" ht="15.75" customHeight="1">
      <c r="C61" s="232"/>
      <c r="D61" s="232"/>
      <c r="T61" s="232"/>
    </row>
    <row r="62" spans="3:20" ht="15.75" customHeight="1">
      <c r="C62" s="232"/>
      <c r="D62" s="232"/>
      <c r="T62" s="232"/>
    </row>
    <row r="63" spans="3:20" ht="15.75" customHeight="1">
      <c r="C63" s="232"/>
      <c r="D63" s="243"/>
      <c r="T63" s="232"/>
    </row>
    <row r="64" spans="3:20" ht="15.75" customHeight="1">
      <c r="C64" s="232"/>
      <c r="D64" s="232"/>
      <c r="T64" s="232"/>
    </row>
    <row r="65" spans="3:20" ht="15.75" customHeight="1">
      <c r="C65" s="232"/>
      <c r="D65" s="232"/>
      <c r="T65" s="232"/>
    </row>
    <row r="66" spans="3:20" ht="15.75" customHeight="1">
      <c r="C66" s="232"/>
      <c r="D66" s="232"/>
      <c r="T66" s="232"/>
    </row>
    <row r="67" spans="3:20" ht="15.75" customHeight="1">
      <c r="C67" s="232"/>
      <c r="D67" s="232"/>
      <c r="T67" s="232"/>
    </row>
    <row r="68" spans="3:20" ht="15" customHeight="1">
      <c r="D68" s="232"/>
    </row>
    <row r="71" spans="3:20" ht="15" customHeight="1">
      <c r="D71" s="232"/>
      <c r="T71" s="232"/>
    </row>
    <row r="72" spans="3:20" ht="15" customHeight="1">
      <c r="D72" s="232"/>
      <c r="T72" s="232"/>
    </row>
    <row r="73" spans="3:20" ht="15" customHeight="1">
      <c r="D73" s="232"/>
      <c r="T73" s="232"/>
    </row>
    <row r="74" spans="3:20" ht="15" customHeight="1">
      <c r="D74" s="232"/>
      <c r="T74" s="232"/>
    </row>
    <row r="75" spans="3:20" ht="15" customHeight="1">
      <c r="D75" s="232"/>
      <c r="T75" s="232"/>
    </row>
    <row r="76" spans="3:20" ht="15" customHeight="1">
      <c r="D76" s="232"/>
      <c r="T76" s="232"/>
    </row>
    <row r="77" spans="3:20" ht="15" customHeight="1">
      <c r="D77" s="232"/>
      <c r="T77" s="232"/>
    </row>
    <row r="78" spans="3:20" ht="15" customHeight="1">
      <c r="D78" s="232"/>
      <c r="T78" s="232"/>
    </row>
    <row r="79" spans="3:20" ht="15" customHeight="1">
      <c r="D79" s="232"/>
      <c r="T79" s="232"/>
    </row>
    <row r="80" spans="3:20" ht="15" customHeight="1">
      <c r="E80" s="232"/>
      <c r="F80" s="232"/>
      <c r="G80" s="232"/>
      <c r="H80" s="232"/>
      <c r="I80" s="232"/>
      <c r="J80" s="232"/>
      <c r="K80" s="232"/>
      <c r="L80" s="232"/>
      <c r="M80" s="232"/>
      <c r="N80" s="232"/>
      <c r="O80" s="232"/>
      <c r="P80" s="232"/>
      <c r="Q80" s="232"/>
      <c r="R80" s="232"/>
      <c r="S80" s="232"/>
    </row>
  </sheetData>
  <mergeCells count="30">
    <mergeCell ref="S11:S13"/>
    <mergeCell ref="T11:T13"/>
    <mergeCell ref="U11:U13"/>
    <mergeCell ref="S37:AG45"/>
    <mergeCell ref="S7:AG7"/>
    <mergeCell ref="S8:AG8"/>
    <mergeCell ref="T15:W18"/>
    <mergeCell ref="T30:W33"/>
    <mergeCell ref="S14:AG14"/>
    <mergeCell ref="S22:AG22"/>
    <mergeCell ref="S23:AG23"/>
    <mergeCell ref="S29:AG29"/>
    <mergeCell ref="X9:AG9"/>
    <mergeCell ref="X24:AG24"/>
    <mergeCell ref="S24:W24"/>
    <mergeCell ref="C1:K1"/>
    <mergeCell ref="C2:K2"/>
    <mergeCell ref="C3:K3"/>
    <mergeCell ref="C4:K4"/>
    <mergeCell ref="C5:K5"/>
    <mergeCell ref="B34:B36"/>
    <mergeCell ref="B7:B9"/>
    <mergeCell ref="B10:B12"/>
    <mergeCell ref="B13:B15"/>
    <mergeCell ref="B16:B18"/>
    <mergeCell ref="B19:B21"/>
    <mergeCell ref="B22:B24"/>
    <mergeCell ref="B25:B27"/>
    <mergeCell ref="B28:B30"/>
    <mergeCell ref="B31:B33"/>
  </mergeCells>
  <phoneticPr fontId="18" type="noConversion"/>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76D95-181A-4DD9-B87A-C9DD6735E7F6}">
  <sheetPr>
    <tabColor rgb="FF7030A0"/>
  </sheetPr>
  <dimension ref="A1:AH1002"/>
  <sheetViews>
    <sheetView workbookViewId="0">
      <pane xSplit="4" ySplit="6" topLeftCell="E18" activePane="bottomRight" state="frozen"/>
      <selection pane="bottomRight" activeCell="H40" sqref="H40"/>
      <selection pane="bottomLeft"/>
      <selection pane="topRight"/>
    </sheetView>
  </sheetViews>
  <sheetFormatPr defaultRowHeight="15"/>
  <cols>
    <col min="2" max="2" width="13" customWidth="1"/>
    <col min="3" max="3" width="9.140625" style="335"/>
    <col min="4" max="4" width="17.5703125" customWidth="1"/>
    <col min="5" max="5" width="36.42578125" bestFit="1" customWidth="1"/>
    <col min="6" max="6" width="11.42578125" customWidth="1"/>
    <col min="7" max="7" width="12.28515625" customWidth="1"/>
    <col min="8" max="8" width="12.7109375" customWidth="1"/>
    <col min="9" max="9" width="10.85546875" bestFit="1" customWidth="1"/>
    <col min="20" max="20" width="15.28515625" customWidth="1"/>
    <col min="21" max="21" width="11.5703125" customWidth="1"/>
    <col min="22" max="22" width="7.42578125" customWidth="1"/>
    <col min="23" max="23" width="10.42578125" customWidth="1"/>
    <col min="26" max="26" width="7.85546875" customWidth="1"/>
    <col min="27" max="27" width="7.42578125" customWidth="1"/>
    <col min="28" max="28" width="7.5703125" customWidth="1"/>
    <col min="31" max="31" width="18.42578125" customWidth="1"/>
    <col min="32" max="32" width="11" customWidth="1"/>
    <col min="33" max="33" width="14" customWidth="1"/>
    <col min="34" max="34" width="12.28515625" customWidth="1"/>
  </cols>
  <sheetData>
    <row r="1" spans="1:34">
      <c r="B1" s="479"/>
      <c r="C1" s="479"/>
      <c r="D1" s="479"/>
      <c r="E1" s="1011" t="s">
        <v>40</v>
      </c>
      <c r="F1" s="1012"/>
      <c r="G1" s="1012"/>
      <c r="H1" s="1012"/>
      <c r="I1" s="1012"/>
      <c r="J1" s="1012"/>
      <c r="K1" s="1013"/>
      <c r="L1" s="298"/>
      <c r="M1" s="298"/>
      <c r="N1" s="298"/>
      <c r="O1" s="298"/>
      <c r="P1" s="298"/>
      <c r="Q1" s="298"/>
      <c r="R1" s="298"/>
      <c r="S1" s="299"/>
    </row>
    <row r="2" spans="1:34">
      <c r="B2" s="480"/>
      <c r="C2" s="480"/>
      <c r="D2" s="480"/>
      <c r="E2" s="1014" t="s">
        <v>41</v>
      </c>
      <c r="F2" s="1015"/>
      <c r="G2" s="1015"/>
      <c r="H2" s="1015"/>
      <c r="I2" s="1015"/>
      <c r="J2" s="1015"/>
      <c r="K2" s="1016"/>
      <c r="L2" s="300"/>
      <c r="M2" s="300"/>
      <c r="N2" s="300"/>
      <c r="O2" s="300"/>
      <c r="P2" s="300"/>
      <c r="Q2" s="300"/>
      <c r="R2" s="300"/>
      <c r="S2" s="301"/>
    </row>
    <row r="3" spans="1:34">
      <c r="B3" s="481"/>
      <c r="C3" s="481"/>
      <c r="D3" s="481"/>
      <c r="E3" s="1017" t="s">
        <v>42</v>
      </c>
      <c r="F3" s="1018"/>
      <c r="G3" s="1018"/>
      <c r="H3" s="1018"/>
      <c r="I3" s="1018"/>
      <c r="J3" s="1018"/>
      <c r="K3" s="1019"/>
      <c r="L3" s="300"/>
      <c r="M3" s="300"/>
      <c r="N3" s="300"/>
      <c r="O3" s="300"/>
      <c r="P3" s="300"/>
      <c r="Q3" s="300"/>
      <c r="R3" s="300"/>
      <c r="S3" s="301"/>
    </row>
    <row r="4" spans="1:34">
      <c r="B4" s="561"/>
      <c r="C4" s="561"/>
      <c r="D4" s="561"/>
      <c r="E4" s="1020" t="s">
        <v>715</v>
      </c>
      <c r="F4" s="1021"/>
      <c r="G4" s="1021"/>
      <c r="H4" s="1021"/>
      <c r="I4" s="1021"/>
      <c r="J4" s="1021"/>
      <c r="K4" s="1022"/>
      <c r="L4" s="300"/>
      <c r="M4" s="300"/>
      <c r="N4" s="300"/>
      <c r="O4" s="300"/>
      <c r="P4" s="300"/>
      <c r="Q4" s="300"/>
      <c r="R4" s="300"/>
      <c r="S4" s="301"/>
    </row>
    <row r="5" spans="1:34">
      <c r="B5" s="482"/>
      <c r="C5" s="482"/>
      <c r="D5" s="482"/>
      <c r="E5" s="1023" t="s">
        <v>255</v>
      </c>
      <c r="F5" s="1024"/>
      <c r="G5" s="1024"/>
      <c r="H5" s="1024"/>
      <c r="I5" s="1024"/>
      <c r="J5" s="1024"/>
      <c r="K5" s="1025"/>
      <c r="L5" s="300"/>
      <c r="M5" s="300"/>
      <c r="N5" s="300"/>
      <c r="O5" s="300"/>
      <c r="P5" s="300"/>
      <c r="Q5" s="300"/>
      <c r="R5" s="300"/>
      <c r="S5" s="301"/>
    </row>
    <row r="6" spans="1:34" s="335" customFormat="1">
      <c r="A6" s="336" t="s">
        <v>45</v>
      </c>
      <c r="B6" s="327" t="s">
        <v>46</v>
      </c>
      <c r="C6" s="327" t="s">
        <v>47</v>
      </c>
      <c r="D6" s="327" t="s">
        <v>48</v>
      </c>
      <c r="E6" s="327" t="s">
        <v>49</v>
      </c>
      <c r="F6" s="327" t="s">
        <v>392</v>
      </c>
      <c r="G6" s="327" t="s">
        <v>393</v>
      </c>
      <c r="H6" s="327" t="s">
        <v>394</v>
      </c>
      <c r="I6" s="327" t="s">
        <v>395</v>
      </c>
      <c r="J6" s="327" t="s">
        <v>62</v>
      </c>
      <c r="K6" s="327" t="s">
        <v>63</v>
      </c>
      <c r="L6" s="332"/>
      <c r="M6" s="332"/>
      <c r="N6" s="332"/>
      <c r="O6" s="332"/>
      <c r="P6" s="332"/>
      <c r="Q6" s="332"/>
      <c r="R6" s="332"/>
      <c r="S6" s="331"/>
    </row>
    <row r="7" spans="1:34">
      <c r="A7" s="302" t="s">
        <v>65</v>
      </c>
      <c r="B7" s="456" t="s">
        <v>66</v>
      </c>
      <c r="C7" s="328">
        <v>1</v>
      </c>
      <c r="D7" s="304" t="s">
        <v>716</v>
      </c>
      <c r="E7" s="304" t="s">
        <v>717</v>
      </c>
      <c r="F7" s="493">
        <v>1.55</v>
      </c>
      <c r="G7" s="493">
        <v>1.08</v>
      </c>
      <c r="H7" s="493">
        <v>2.8</v>
      </c>
      <c r="I7" s="506">
        <v>5.43</v>
      </c>
      <c r="J7" s="304">
        <f>AVERAGE(F7:I7)</f>
        <v>2.7149999999999999</v>
      </c>
      <c r="K7" s="304">
        <v>5</v>
      </c>
      <c r="L7" s="300"/>
      <c r="M7" s="300"/>
      <c r="N7" s="300"/>
      <c r="O7" s="300"/>
      <c r="P7" s="300"/>
      <c r="Q7" s="300"/>
      <c r="R7" s="300"/>
      <c r="S7" s="301"/>
      <c r="T7" s="970" t="s">
        <v>70</v>
      </c>
      <c r="U7" s="970"/>
      <c r="V7" s="970"/>
      <c r="W7" s="970"/>
      <c r="X7" s="970"/>
      <c r="Y7" s="970"/>
      <c r="Z7" s="970"/>
      <c r="AA7" s="970"/>
      <c r="AB7" s="970"/>
      <c r="AC7" s="970"/>
      <c r="AD7" s="970"/>
      <c r="AE7" s="970"/>
      <c r="AF7" s="970"/>
      <c r="AG7" s="970"/>
      <c r="AH7" s="970"/>
    </row>
    <row r="8" spans="1:34">
      <c r="A8" s="307"/>
      <c r="B8" s="457"/>
      <c r="C8" s="329">
        <v>2</v>
      </c>
      <c r="D8" s="309" t="s">
        <v>718</v>
      </c>
      <c r="E8" s="309" t="s">
        <v>719</v>
      </c>
      <c r="F8" s="492">
        <v>0.85</v>
      </c>
      <c r="G8" s="492">
        <v>1.01</v>
      </c>
      <c r="H8" s="492">
        <v>2.1</v>
      </c>
      <c r="I8" s="505">
        <v>5.53</v>
      </c>
      <c r="J8" s="309">
        <f>AVERAGE(F8:I8)</f>
        <v>2.3725000000000001</v>
      </c>
      <c r="K8" s="309">
        <v>5</v>
      </c>
      <c r="L8" s="300"/>
      <c r="M8" s="300"/>
      <c r="N8" s="300"/>
      <c r="O8" s="300"/>
      <c r="P8" s="300"/>
      <c r="Q8" s="300"/>
      <c r="R8" s="300"/>
      <c r="S8" s="301"/>
      <c r="T8" s="970" t="s">
        <v>107</v>
      </c>
      <c r="U8" s="970"/>
      <c r="V8" s="970"/>
      <c r="W8" s="970"/>
      <c r="X8" s="970"/>
      <c r="Y8" s="970"/>
      <c r="Z8" s="970"/>
      <c r="AA8" s="970"/>
      <c r="AB8" s="970"/>
      <c r="AC8" s="970"/>
      <c r="AD8" s="970"/>
      <c r="AE8" s="970"/>
      <c r="AF8" s="970"/>
      <c r="AG8" s="970"/>
      <c r="AH8" s="970"/>
    </row>
    <row r="9" spans="1:34">
      <c r="A9" s="307"/>
      <c r="B9" s="458"/>
      <c r="C9" s="329">
        <v>3</v>
      </c>
      <c r="D9" s="309" t="s">
        <v>720</v>
      </c>
      <c r="E9" s="309" t="s">
        <v>721</v>
      </c>
      <c r="F9" s="492">
        <v>3.43</v>
      </c>
      <c r="G9" s="492">
        <v>0.98</v>
      </c>
      <c r="H9" s="492">
        <v>2.2999999999999998</v>
      </c>
      <c r="I9" s="505">
        <v>5.69</v>
      </c>
      <c r="J9" s="309">
        <f>AVERAGE(F9:I9)</f>
        <v>3.1</v>
      </c>
      <c r="K9" s="309">
        <v>5</v>
      </c>
      <c r="L9" s="300"/>
      <c r="M9" s="300"/>
      <c r="N9" s="300"/>
      <c r="O9" s="300"/>
      <c r="P9" s="300"/>
      <c r="Q9" s="300"/>
      <c r="R9" s="300"/>
      <c r="S9" s="301"/>
      <c r="T9" s="844"/>
      <c r="U9" s="845"/>
      <c r="V9" s="845"/>
      <c r="W9" s="845"/>
      <c r="X9" s="846"/>
      <c r="Y9" s="844" t="s">
        <v>78</v>
      </c>
      <c r="Z9" s="845"/>
      <c r="AA9" s="845"/>
      <c r="AB9" s="845"/>
      <c r="AC9" s="845"/>
      <c r="AD9" s="845"/>
      <c r="AE9" s="845"/>
      <c r="AF9" s="845"/>
      <c r="AG9" s="845"/>
      <c r="AH9" s="846"/>
    </row>
    <row r="10" spans="1:34">
      <c r="A10" s="307"/>
      <c r="B10" s="456" t="s">
        <v>91</v>
      </c>
      <c r="C10" s="328">
        <v>1</v>
      </c>
      <c r="D10" s="304" t="s">
        <v>716</v>
      </c>
      <c r="E10" s="304" t="s">
        <v>717</v>
      </c>
      <c r="F10" s="493">
        <v>23</v>
      </c>
      <c r="G10" s="493">
        <v>4</v>
      </c>
      <c r="H10" s="493">
        <v>10</v>
      </c>
      <c r="I10" s="506">
        <v>18</v>
      </c>
      <c r="J10" s="304">
        <f t="shared" ref="J10:J24" si="0">AVERAGE(F10:I10)</f>
        <v>13.75</v>
      </c>
      <c r="K10" s="304">
        <v>7</v>
      </c>
      <c r="L10" s="300"/>
      <c r="M10" s="300"/>
      <c r="N10" s="300"/>
      <c r="O10" s="300"/>
      <c r="P10" s="300"/>
      <c r="Q10" s="300"/>
      <c r="R10" s="300"/>
      <c r="S10" s="301"/>
      <c r="T10" s="14" t="s">
        <v>82</v>
      </c>
      <c r="U10" s="14" t="s">
        <v>83</v>
      </c>
      <c r="V10" s="14" t="s">
        <v>84</v>
      </c>
      <c r="W10" s="14" t="s">
        <v>722</v>
      </c>
      <c r="X10" s="14" t="s">
        <v>86</v>
      </c>
      <c r="Y10" s="14" t="s">
        <v>4</v>
      </c>
      <c r="Z10" s="14" t="s">
        <v>5</v>
      </c>
      <c r="AA10" s="14" t="s">
        <v>6</v>
      </c>
      <c r="AB10" s="14" t="s">
        <v>7</v>
      </c>
      <c r="AC10" s="14" t="s">
        <v>8</v>
      </c>
      <c r="AD10" s="14" t="s">
        <v>9</v>
      </c>
      <c r="AE10" s="14" t="s">
        <v>10</v>
      </c>
      <c r="AF10" s="14" t="s">
        <v>11</v>
      </c>
      <c r="AG10" s="14" t="s">
        <v>12</v>
      </c>
      <c r="AH10" s="14" t="s">
        <v>13</v>
      </c>
    </row>
    <row r="11" spans="1:34" ht="45.75">
      <c r="A11" s="307"/>
      <c r="B11" s="457"/>
      <c r="C11" s="329">
        <v>2</v>
      </c>
      <c r="D11" s="309" t="s">
        <v>718</v>
      </c>
      <c r="E11" s="309" t="s">
        <v>719</v>
      </c>
      <c r="F11" s="492">
        <v>14</v>
      </c>
      <c r="G11" s="492">
        <v>4</v>
      </c>
      <c r="H11" s="492">
        <v>8</v>
      </c>
      <c r="I11" s="505">
        <v>15</v>
      </c>
      <c r="J11" s="309">
        <f t="shared" si="0"/>
        <v>10.25</v>
      </c>
      <c r="K11" s="309">
        <v>7</v>
      </c>
      <c r="L11" s="300"/>
      <c r="M11" s="300"/>
      <c r="N11" s="300"/>
      <c r="O11" s="300"/>
      <c r="P11" s="300"/>
      <c r="Q11" s="300"/>
      <c r="R11" s="300"/>
      <c r="S11" s="301"/>
      <c r="T11" s="65" t="s">
        <v>723</v>
      </c>
      <c r="U11" s="65" t="s">
        <v>715</v>
      </c>
      <c r="V11" s="282" t="s">
        <v>16</v>
      </c>
      <c r="W11" s="32">
        <v>1</v>
      </c>
      <c r="X11" s="14" t="s">
        <v>716</v>
      </c>
      <c r="Y11" s="35">
        <f>J7</f>
        <v>2.7149999999999999</v>
      </c>
      <c r="Z11" s="59">
        <f>J10</f>
        <v>13.75</v>
      </c>
      <c r="AA11" s="35">
        <f>J13</f>
        <v>33</v>
      </c>
      <c r="AB11" s="35">
        <f>J16</f>
        <v>7.4325000000000001</v>
      </c>
      <c r="AC11" s="35">
        <f>J19</f>
        <v>28.267499999999998</v>
      </c>
      <c r="AD11" s="35">
        <f>J22</f>
        <v>54.5</v>
      </c>
      <c r="AE11" s="36">
        <f>J26</f>
        <v>100696.68556438813</v>
      </c>
      <c r="AF11" s="28">
        <f>J30</f>
        <v>0.98024999999999995</v>
      </c>
      <c r="AG11" s="28">
        <f>J33</f>
        <v>1.4297499999999999</v>
      </c>
      <c r="AH11" s="35">
        <f>J36</f>
        <v>49</v>
      </c>
    </row>
    <row r="12" spans="1:34">
      <c r="A12" s="307"/>
      <c r="B12" s="458"/>
      <c r="C12" s="329">
        <v>3</v>
      </c>
      <c r="D12" s="309" t="s">
        <v>720</v>
      </c>
      <c r="E12" s="309" t="s">
        <v>721</v>
      </c>
      <c r="F12" s="492">
        <v>7</v>
      </c>
      <c r="G12" s="492">
        <v>22</v>
      </c>
      <c r="H12" s="492">
        <v>14</v>
      </c>
      <c r="I12" s="505">
        <v>14</v>
      </c>
      <c r="J12" s="309">
        <f t="shared" si="0"/>
        <v>14.25</v>
      </c>
      <c r="K12" s="309">
        <v>7</v>
      </c>
      <c r="L12" s="300"/>
      <c r="M12" s="300"/>
      <c r="N12" s="300"/>
      <c r="O12" s="300"/>
      <c r="P12" s="300"/>
      <c r="Q12" s="300"/>
      <c r="R12" s="300"/>
      <c r="S12" s="301"/>
      <c r="T12" s="273"/>
      <c r="U12" s="273"/>
      <c r="V12" s="273"/>
      <c r="W12" s="32">
        <v>2</v>
      </c>
      <c r="X12" s="14" t="s">
        <v>718</v>
      </c>
      <c r="Y12" s="35">
        <f t="shared" ref="Y12:Y13" si="1">J8</f>
        <v>2.3725000000000001</v>
      </c>
      <c r="Z12" s="59">
        <f t="shared" ref="Z12:Z13" si="2">J11</f>
        <v>10.25</v>
      </c>
      <c r="AA12" s="35">
        <f t="shared" ref="AA12:AA13" si="3">J14</f>
        <v>25.25</v>
      </c>
      <c r="AB12" s="35">
        <f t="shared" ref="AB12:AB13" si="4">J17</f>
        <v>7.4350000000000005</v>
      </c>
      <c r="AC12" s="35">
        <f t="shared" ref="AC12:AC13" si="5">J20</f>
        <v>28.737499999999997</v>
      </c>
      <c r="AD12" s="35">
        <f t="shared" ref="AD12:AD13" si="6">J23</f>
        <v>52.5</v>
      </c>
      <c r="AE12" s="36">
        <f t="shared" ref="AE12:AE13" si="7">J27</f>
        <v>28469.86402963418</v>
      </c>
      <c r="AF12" s="28">
        <f t="shared" ref="AF12:AF13" si="8">J31</f>
        <v>1.0725</v>
      </c>
      <c r="AG12" s="28">
        <f t="shared" ref="AG12:AG13" si="9">J34</f>
        <v>1.1995</v>
      </c>
      <c r="AH12" s="35">
        <f t="shared" ref="AH12:AH13" si="10">J37</f>
        <v>44.25</v>
      </c>
    </row>
    <row r="13" spans="1:34">
      <c r="A13" s="307"/>
      <c r="B13" s="456" t="s">
        <v>92</v>
      </c>
      <c r="C13" s="328">
        <v>1</v>
      </c>
      <c r="D13" s="304" t="s">
        <v>716</v>
      </c>
      <c r="E13" s="304" t="s">
        <v>717</v>
      </c>
      <c r="F13" s="493">
        <v>44</v>
      </c>
      <c r="G13" s="493">
        <v>35</v>
      </c>
      <c r="H13" s="493">
        <v>28</v>
      </c>
      <c r="I13" s="506">
        <v>25</v>
      </c>
      <c r="J13" s="304">
        <f t="shared" si="0"/>
        <v>33</v>
      </c>
      <c r="K13" s="304">
        <v>80</v>
      </c>
      <c r="L13" s="300"/>
      <c r="M13" s="300"/>
      <c r="N13" s="300" t="s">
        <v>724</v>
      </c>
      <c r="O13" s="300"/>
      <c r="P13" s="300"/>
      <c r="Q13" s="300"/>
      <c r="R13" s="300"/>
      <c r="S13" s="301"/>
      <c r="T13" s="273"/>
      <c r="U13" s="273"/>
      <c r="V13" s="273"/>
      <c r="W13" s="32">
        <v>3</v>
      </c>
      <c r="X13" s="14" t="s">
        <v>720</v>
      </c>
      <c r="Y13" s="35">
        <f t="shared" si="1"/>
        <v>3.1</v>
      </c>
      <c r="Z13" s="59">
        <f t="shared" si="2"/>
        <v>14.25</v>
      </c>
      <c r="AA13" s="35">
        <f t="shared" si="3"/>
        <v>23.5</v>
      </c>
      <c r="AB13" s="35">
        <f t="shared" si="4"/>
        <v>7.3949999999999996</v>
      </c>
      <c r="AC13" s="35">
        <f t="shared" si="5"/>
        <v>28.827500000000001</v>
      </c>
      <c r="AD13" s="35">
        <f t="shared" si="6"/>
        <v>55</v>
      </c>
      <c r="AE13" s="36">
        <f t="shared" si="7"/>
        <v>92359.300153626973</v>
      </c>
      <c r="AF13" s="28">
        <f t="shared" si="8"/>
        <v>1.603</v>
      </c>
      <c r="AG13" s="28">
        <f t="shared" si="9"/>
        <v>1.016</v>
      </c>
      <c r="AH13" s="35">
        <f t="shared" si="10"/>
        <v>47.25</v>
      </c>
    </row>
    <row r="14" spans="1:34">
      <c r="A14" s="307"/>
      <c r="B14" s="457"/>
      <c r="C14" s="329">
        <v>2</v>
      </c>
      <c r="D14" s="309" t="s">
        <v>718</v>
      </c>
      <c r="E14" s="309" t="s">
        <v>719</v>
      </c>
      <c r="F14" s="492">
        <v>41</v>
      </c>
      <c r="G14" s="492">
        <v>17</v>
      </c>
      <c r="H14" s="492">
        <v>32</v>
      </c>
      <c r="I14" s="505">
        <v>11</v>
      </c>
      <c r="J14" s="309">
        <f t="shared" si="0"/>
        <v>25.25</v>
      </c>
      <c r="K14" s="309">
        <v>80</v>
      </c>
      <c r="L14" s="300"/>
      <c r="M14" s="300"/>
      <c r="N14" s="300"/>
      <c r="O14" s="300"/>
      <c r="P14" s="300"/>
      <c r="Q14" s="300"/>
      <c r="R14" s="300"/>
      <c r="S14" s="301"/>
      <c r="T14" s="848"/>
      <c r="U14" s="848"/>
      <c r="V14" s="848"/>
      <c r="W14" s="848"/>
      <c r="X14" s="848"/>
      <c r="Y14" s="848"/>
      <c r="Z14" s="848"/>
      <c r="AA14" s="848"/>
      <c r="AB14" s="848"/>
      <c r="AC14" s="848"/>
      <c r="AD14" s="848"/>
      <c r="AE14" s="848"/>
      <c r="AF14" s="848"/>
      <c r="AG14" s="848"/>
      <c r="AH14" s="848"/>
    </row>
    <row r="15" spans="1:34">
      <c r="A15" s="307"/>
      <c r="B15" s="458"/>
      <c r="C15" s="329">
        <v>3</v>
      </c>
      <c r="D15" s="309" t="s">
        <v>720</v>
      </c>
      <c r="E15" s="309" t="s">
        <v>721</v>
      </c>
      <c r="F15" s="492">
        <v>28</v>
      </c>
      <c r="G15" s="492">
        <v>18</v>
      </c>
      <c r="H15" s="492">
        <v>31</v>
      </c>
      <c r="I15" s="505">
        <v>17</v>
      </c>
      <c r="J15" s="309">
        <f t="shared" si="0"/>
        <v>23.5</v>
      </c>
      <c r="K15" s="309">
        <v>80</v>
      </c>
      <c r="L15" s="300"/>
      <c r="M15" s="300"/>
      <c r="N15" s="300"/>
      <c r="O15" s="300"/>
      <c r="P15" s="300"/>
      <c r="Q15" s="300"/>
      <c r="R15" s="300"/>
      <c r="S15" s="301"/>
      <c r="T15" s="14" t="s">
        <v>93</v>
      </c>
      <c r="U15" s="848"/>
      <c r="V15" s="848"/>
      <c r="W15" s="848"/>
      <c r="X15" s="848"/>
      <c r="Y15" s="35">
        <f t="shared" ref="Y15:AH15" si="11">AVERAGE(Y11:Y13)</f>
        <v>2.7291666666666665</v>
      </c>
      <c r="Z15" s="59">
        <f t="shared" si="11"/>
        <v>12.75</v>
      </c>
      <c r="AA15" s="35">
        <f t="shared" si="11"/>
        <v>27.25</v>
      </c>
      <c r="AB15" s="35">
        <f t="shared" si="11"/>
        <v>7.4208333333333334</v>
      </c>
      <c r="AC15" s="35">
        <f t="shared" si="11"/>
        <v>28.610833333333332</v>
      </c>
      <c r="AD15" s="35">
        <f t="shared" si="11"/>
        <v>54</v>
      </c>
      <c r="AE15" s="36">
        <f t="shared" si="11"/>
        <v>73841.949915883088</v>
      </c>
      <c r="AF15" s="28">
        <f t="shared" si="11"/>
        <v>1.2185833333333334</v>
      </c>
      <c r="AG15" s="28">
        <f t="shared" si="11"/>
        <v>1.2150833333333333</v>
      </c>
      <c r="AH15" s="35">
        <f t="shared" si="11"/>
        <v>46.833333333333336</v>
      </c>
    </row>
    <row r="16" spans="1:34">
      <c r="A16" s="307"/>
      <c r="B16" s="456" t="s">
        <v>7</v>
      </c>
      <c r="C16" s="328">
        <v>1</v>
      </c>
      <c r="D16" s="304" t="s">
        <v>716</v>
      </c>
      <c r="E16" s="304" t="s">
        <v>717</v>
      </c>
      <c r="F16" s="493">
        <v>6.75</v>
      </c>
      <c r="G16" s="493">
        <v>8.2200000000000006</v>
      </c>
      <c r="H16" s="493">
        <v>7.38</v>
      </c>
      <c r="I16" s="506">
        <v>7.38</v>
      </c>
      <c r="J16" s="304">
        <f t="shared" si="0"/>
        <v>7.4325000000000001</v>
      </c>
      <c r="K16" s="305" t="s">
        <v>106</v>
      </c>
      <c r="L16" s="300"/>
      <c r="M16" s="300"/>
      <c r="N16" s="300"/>
      <c r="O16" s="300"/>
      <c r="P16" s="300"/>
      <c r="Q16" s="300"/>
      <c r="R16" s="300"/>
      <c r="S16" s="301"/>
      <c r="T16" s="14" t="s">
        <v>94</v>
      </c>
      <c r="U16" s="848"/>
      <c r="V16" s="848"/>
      <c r="W16" s="848"/>
      <c r="X16" s="848"/>
      <c r="Y16" s="35">
        <f t="shared" ref="Y16:AH16" si="12">MIN(Y11:Y13)</f>
        <v>2.3725000000000001</v>
      </c>
      <c r="Z16" s="59">
        <f t="shared" si="12"/>
        <v>10.25</v>
      </c>
      <c r="AA16" s="35">
        <f t="shared" si="12"/>
        <v>23.5</v>
      </c>
      <c r="AB16" s="35">
        <f t="shared" si="12"/>
        <v>7.3949999999999996</v>
      </c>
      <c r="AC16" s="35">
        <f t="shared" si="12"/>
        <v>28.267499999999998</v>
      </c>
      <c r="AD16" s="35">
        <f t="shared" si="12"/>
        <v>52.5</v>
      </c>
      <c r="AE16" s="36">
        <f t="shared" si="12"/>
        <v>28469.86402963418</v>
      </c>
      <c r="AF16" s="28">
        <f t="shared" si="12"/>
        <v>0.98024999999999995</v>
      </c>
      <c r="AG16" s="28">
        <f t="shared" si="12"/>
        <v>1.016</v>
      </c>
      <c r="AH16" s="35">
        <f t="shared" si="12"/>
        <v>44.25</v>
      </c>
    </row>
    <row r="17" spans="1:34">
      <c r="A17" s="307"/>
      <c r="B17" s="457"/>
      <c r="C17" s="329">
        <v>2</v>
      </c>
      <c r="D17" s="309" t="s">
        <v>718</v>
      </c>
      <c r="E17" s="309" t="s">
        <v>719</v>
      </c>
      <c r="F17" s="492">
        <v>6.75</v>
      </c>
      <c r="G17" s="492">
        <v>8.18</v>
      </c>
      <c r="H17" s="492">
        <v>7.41</v>
      </c>
      <c r="I17" s="505">
        <v>7.4</v>
      </c>
      <c r="J17" s="309">
        <f t="shared" si="0"/>
        <v>7.4350000000000005</v>
      </c>
      <c r="K17" s="310" t="s">
        <v>106</v>
      </c>
      <c r="L17" s="300"/>
      <c r="M17" s="300"/>
      <c r="N17" s="300"/>
      <c r="O17" s="300"/>
      <c r="P17" s="300"/>
      <c r="Q17" s="300"/>
      <c r="R17" s="300"/>
      <c r="S17" s="301"/>
      <c r="T17" s="14" t="s">
        <v>95</v>
      </c>
      <c r="U17" s="848"/>
      <c r="V17" s="848"/>
      <c r="W17" s="848"/>
      <c r="X17" s="848"/>
      <c r="Y17" s="35">
        <f t="shared" ref="Y17:AH17" si="13">MAX(Y11:Y13)</f>
        <v>3.1</v>
      </c>
      <c r="Z17" s="59">
        <f t="shared" si="13"/>
        <v>14.25</v>
      </c>
      <c r="AA17" s="35">
        <f t="shared" si="13"/>
        <v>33</v>
      </c>
      <c r="AB17" s="35">
        <f t="shared" si="13"/>
        <v>7.4350000000000005</v>
      </c>
      <c r="AC17" s="35">
        <f t="shared" si="13"/>
        <v>28.827500000000001</v>
      </c>
      <c r="AD17" s="35">
        <f t="shared" si="13"/>
        <v>55</v>
      </c>
      <c r="AE17" s="36">
        <f t="shared" si="13"/>
        <v>100696.68556438813</v>
      </c>
      <c r="AF17" s="28">
        <f t="shared" si="13"/>
        <v>1.603</v>
      </c>
      <c r="AG17" s="28">
        <f t="shared" si="13"/>
        <v>1.4297499999999999</v>
      </c>
      <c r="AH17" s="35">
        <f t="shared" si="13"/>
        <v>49</v>
      </c>
    </row>
    <row r="18" spans="1:34">
      <c r="A18" s="307"/>
      <c r="B18" s="458"/>
      <c r="C18" s="329">
        <v>3</v>
      </c>
      <c r="D18" s="309" t="s">
        <v>720</v>
      </c>
      <c r="E18" s="309" t="s">
        <v>721</v>
      </c>
      <c r="F18" s="492">
        <v>6.7</v>
      </c>
      <c r="G18" s="492">
        <v>8.25</v>
      </c>
      <c r="H18" s="492">
        <v>7.25</v>
      </c>
      <c r="I18" s="505">
        <v>7.38</v>
      </c>
      <c r="J18" s="309">
        <f t="shared" si="0"/>
        <v>7.3949999999999996</v>
      </c>
      <c r="K18" s="310" t="s">
        <v>106</v>
      </c>
      <c r="L18" s="300"/>
      <c r="M18" s="300"/>
      <c r="N18" s="300"/>
      <c r="O18" s="300"/>
      <c r="P18" s="300"/>
      <c r="Q18" s="300"/>
      <c r="R18" s="300"/>
      <c r="S18" s="301"/>
      <c r="T18" s="14" t="s">
        <v>96</v>
      </c>
      <c r="U18" s="848"/>
      <c r="V18" s="848"/>
      <c r="W18" s="848"/>
      <c r="X18" s="848"/>
      <c r="Y18" s="29" t="s">
        <v>97</v>
      </c>
      <c r="Z18" s="29" t="s">
        <v>98</v>
      </c>
      <c r="AA18" s="29" t="s">
        <v>99</v>
      </c>
      <c r="AB18" s="29" t="s">
        <v>100</v>
      </c>
      <c r="AC18" s="29" t="s">
        <v>101</v>
      </c>
      <c r="AD18" s="29" t="s">
        <v>102</v>
      </c>
      <c r="AE18" s="29" t="s">
        <v>103</v>
      </c>
      <c r="AF18" s="29" t="s">
        <v>98</v>
      </c>
      <c r="AG18" s="29" t="s">
        <v>104</v>
      </c>
      <c r="AH18" s="29" t="s">
        <v>105</v>
      </c>
    </row>
    <row r="19" spans="1:34">
      <c r="A19" s="307"/>
      <c r="B19" s="456" t="s">
        <v>725</v>
      </c>
      <c r="C19" s="328">
        <v>1</v>
      </c>
      <c r="D19" s="304" t="s">
        <v>716</v>
      </c>
      <c r="E19" s="304" t="s">
        <v>717</v>
      </c>
      <c r="F19" s="493">
        <v>26.3</v>
      </c>
      <c r="G19" s="493">
        <v>29.97</v>
      </c>
      <c r="H19" s="493">
        <v>26.8</v>
      </c>
      <c r="I19" s="506">
        <v>30</v>
      </c>
      <c r="J19" s="304">
        <f t="shared" si="0"/>
        <v>28.267499999999998</v>
      </c>
      <c r="K19" s="305" t="s">
        <v>109</v>
      </c>
      <c r="L19" s="300"/>
      <c r="M19" s="300"/>
      <c r="N19" s="300"/>
      <c r="O19" s="300"/>
      <c r="P19" s="300"/>
      <c r="Q19" s="300"/>
      <c r="R19" s="300"/>
      <c r="S19" s="301"/>
    </row>
    <row r="20" spans="1:34">
      <c r="A20" s="307"/>
      <c r="B20" s="457"/>
      <c r="C20" s="329">
        <v>2</v>
      </c>
      <c r="D20" s="309" t="s">
        <v>718</v>
      </c>
      <c r="E20" s="309" t="s">
        <v>719</v>
      </c>
      <c r="F20" s="492">
        <v>27.5</v>
      </c>
      <c r="G20" s="492">
        <v>30.15</v>
      </c>
      <c r="H20" s="492">
        <v>27.2</v>
      </c>
      <c r="I20" s="505">
        <v>30.1</v>
      </c>
      <c r="J20" s="309">
        <f t="shared" si="0"/>
        <v>28.737499999999997</v>
      </c>
      <c r="K20" s="310" t="s">
        <v>109</v>
      </c>
      <c r="L20" s="300"/>
      <c r="M20" s="300"/>
      <c r="N20" s="300"/>
      <c r="O20" s="300"/>
      <c r="P20" s="300"/>
      <c r="Q20" s="300"/>
      <c r="R20" s="300"/>
      <c r="S20" s="301"/>
    </row>
    <row r="21" spans="1:34">
      <c r="A21" s="307"/>
      <c r="B21" s="458"/>
      <c r="C21" s="329">
        <v>3</v>
      </c>
      <c r="D21" s="309" t="s">
        <v>720</v>
      </c>
      <c r="E21" s="309" t="s">
        <v>721</v>
      </c>
      <c r="F21" s="492">
        <v>28</v>
      </c>
      <c r="G21" s="492">
        <v>30.11</v>
      </c>
      <c r="H21" s="492">
        <v>27.1</v>
      </c>
      <c r="I21" s="505">
        <v>30.1</v>
      </c>
      <c r="J21" s="309">
        <f t="shared" si="0"/>
        <v>28.827500000000001</v>
      </c>
      <c r="K21" s="310" t="s">
        <v>109</v>
      </c>
      <c r="L21" s="300"/>
      <c r="M21" s="300"/>
      <c r="N21" s="300"/>
      <c r="O21" s="300"/>
      <c r="P21" s="300"/>
      <c r="Q21" s="300"/>
      <c r="R21" s="300"/>
      <c r="S21" s="301"/>
    </row>
    <row r="22" spans="1:34">
      <c r="A22" s="307"/>
      <c r="B22" s="456" t="s">
        <v>110</v>
      </c>
      <c r="C22" s="328">
        <v>1</v>
      </c>
      <c r="D22" s="304" t="s">
        <v>716</v>
      </c>
      <c r="E22" s="304" t="s">
        <v>717</v>
      </c>
      <c r="F22" s="493">
        <v>63</v>
      </c>
      <c r="G22" s="493">
        <v>40</v>
      </c>
      <c r="H22" s="493">
        <v>75</v>
      </c>
      <c r="I22" s="506">
        <v>40</v>
      </c>
      <c r="J22" s="304">
        <f t="shared" si="0"/>
        <v>54.5</v>
      </c>
      <c r="K22" s="304">
        <v>75</v>
      </c>
      <c r="L22" s="300"/>
      <c r="M22" s="300"/>
      <c r="N22" s="300"/>
      <c r="O22" s="300"/>
      <c r="P22" s="300"/>
      <c r="Q22" s="300"/>
      <c r="R22" s="300"/>
      <c r="S22" s="301"/>
    </row>
    <row r="23" spans="1:34">
      <c r="A23" s="307"/>
      <c r="B23" s="457"/>
      <c r="C23" s="329">
        <v>2</v>
      </c>
      <c r="D23" s="309" t="s">
        <v>718</v>
      </c>
      <c r="E23" s="309" t="s">
        <v>719</v>
      </c>
      <c r="F23" s="492">
        <v>40</v>
      </c>
      <c r="G23" s="492">
        <v>65</v>
      </c>
      <c r="H23" s="492">
        <v>75</v>
      </c>
      <c r="I23" s="505">
        <v>30</v>
      </c>
      <c r="J23" s="309">
        <f t="shared" si="0"/>
        <v>52.5</v>
      </c>
      <c r="K23" s="309">
        <v>75</v>
      </c>
      <c r="L23" s="300"/>
      <c r="M23" s="300"/>
      <c r="N23" s="300"/>
      <c r="O23" s="300"/>
      <c r="P23" s="300"/>
      <c r="Q23" s="300"/>
      <c r="R23" s="300"/>
      <c r="S23" s="301"/>
    </row>
    <row r="24" spans="1:34">
      <c r="A24" s="307"/>
      <c r="B24" s="458"/>
      <c r="C24" s="329">
        <v>3</v>
      </c>
      <c r="D24" s="309" t="s">
        <v>720</v>
      </c>
      <c r="E24" s="309" t="s">
        <v>721</v>
      </c>
      <c r="F24" s="492">
        <v>25</v>
      </c>
      <c r="G24" s="492">
        <v>65</v>
      </c>
      <c r="H24" s="492">
        <v>100</v>
      </c>
      <c r="I24" s="505">
        <v>30</v>
      </c>
      <c r="J24" s="309">
        <f t="shared" si="0"/>
        <v>55</v>
      </c>
      <c r="K24" s="309">
        <v>75</v>
      </c>
      <c r="L24" s="300"/>
      <c r="M24" s="300"/>
      <c r="N24" s="300"/>
      <c r="O24" s="300"/>
      <c r="P24" s="300"/>
      <c r="Q24" s="300"/>
      <c r="R24" s="300"/>
      <c r="S24" s="301"/>
    </row>
    <row r="25" spans="1:34">
      <c r="A25" s="312"/>
      <c r="B25" s="313"/>
      <c r="C25" s="330"/>
      <c r="D25" s="313"/>
      <c r="E25" s="313"/>
      <c r="F25" s="509"/>
      <c r="G25" s="509"/>
      <c r="H25" s="509"/>
      <c r="I25" s="509"/>
      <c r="J25" s="313"/>
      <c r="K25" s="311"/>
      <c r="L25" s="300"/>
      <c r="M25" s="300"/>
      <c r="N25" s="300"/>
      <c r="O25" s="300"/>
      <c r="P25" s="300"/>
      <c r="Q25" s="300"/>
      <c r="R25" s="300"/>
      <c r="S25" s="301"/>
    </row>
    <row r="26" spans="1:34" ht="15" customHeight="1">
      <c r="A26" s="307"/>
      <c r="B26" s="562" t="s">
        <v>111</v>
      </c>
      <c r="C26" s="328">
        <v>1</v>
      </c>
      <c r="D26" s="304" t="s">
        <v>716</v>
      </c>
      <c r="E26" s="304" t="s">
        <v>717</v>
      </c>
      <c r="F26" s="493">
        <v>160000</v>
      </c>
      <c r="G26" s="493">
        <v>17000</v>
      </c>
      <c r="H26" s="493">
        <v>700000</v>
      </c>
      <c r="I26" s="761">
        <v>54000</v>
      </c>
      <c r="J26" s="315">
        <f>GEOMEAN(F26:I26)</f>
        <v>100696.68556438813</v>
      </c>
      <c r="K26" s="304">
        <v>200</v>
      </c>
      <c r="L26" s="300"/>
      <c r="M26" s="300"/>
      <c r="N26" s="300"/>
      <c r="O26" s="300"/>
      <c r="P26" s="300"/>
      <c r="Q26" s="300"/>
      <c r="R26" s="300"/>
      <c r="S26" s="301"/>
    </row>
    <row r="27" spans="1:34">
      <c r="A27" s="307"/>
      <c r="B27" s="457"/>
      <c r="C27" s="329">
        <v>2</v>
      </c>
      <c r="D27" s="309" t="s">
        <v>718</v>
      </c>
      <c r="E27" s="309" t="s">
        <v>719</v>
      </c>
      <c r="F27" s="492">
        <v>7000</v>
      </c>
      <c r="G27" s="492">
        <v>22000</v>
      </c>
      <c r="H27" s="492">
        <v>540000</v>
      </c>
      <c r="I27" s="762">
        <v>7900</v>
      </c>
      <c r="J27" s="316">
        <f t="shared" ref="J27:J28" si="14">GEOMEAN(F27:I27)</f>
        <v>28469.86402963418</v>
      </c>
      <c r="K27" s="309">
        <v>200</v>
      </c>
      <c r="L27" s="300"/>
      <c r="M27" s="300"/>
      <c r="N27" s="300"/>
      <c r="O27" s="300"/>
      <c r="P27" s="300"/>
      <c r="Q27" s="300"/>
      <c r="R27" s="300"/>
      <c r="S27" s="301"/>
    </row>
    <row r="28" spans="1:34">
      <c r="A28" s="307"/>
      <c r="B28" s="458"/>
      <c r="C28" s="329">
        <v>3</v>
      </c>
      <c r="D28" s="309" t="s">
        <v>720</v>
      </c>
      <c r="E28" s="309" t="s">
        <v>721</v>
      </c>
      <c r="F28" s="492">
        <v>110000</v>
      </c>
      <c r="G28" s="492">
        <v>35000</v>
      </c>
      <c r="H28" s="492">
        <v>350000</v>
      </c>
      <c r="I28" s="762">
        <v>54000</v>
      </c>
      <c r="J28" s="316">
        <f t="shared" si="14"/>
        <v>92359.300153626973</v>
      </c>
      <c r="K28" s="309">
        <v>200</v>
      </c>
      <c r="L28" s="300"/>
      <c r="M28" s="300"/>
      <c r="N28" s="300"/>
      <c r="O28" s="300"/>
      <c r="P28" s="300"/>
      <c r="Q28" s="300"/>
      <c r="R28" s="300"/>
      <c r="S28" s="301"/>
    </row>
    <row r="29" spans="1:34">
      <c r="A29" s="312"/>
      <c r="B29" s="313"/>
      <c r="C29" s="330"/>
      <c r="D29" s="313"/>
      <c r="E29" s="313"/>
      <c r="F29" s="509"/>
      <c r="G29" s="509"/>
      <c r="H29" s="509"/>
      <c r="I29" s="509"/>
      <c r="J29" s="313"/>
      <c r="K29" s="311"/>
      <c r="L29" s="300"/>
      <c r="M29" s="300"/>
      <c r="N29" s="300"/>
      <c r="O29" s="300"/>
      <c r="P29" s="300"/>
      <c r="Q29" s="300"/>
      <c r="R29" s="300"/>
      <c r="S29" s="301"/>
    </row>
    <row r="30" spans="1:34" ht="15" customHeight="1">
      <c r="A30" s="307"/>
      <c r="B30" s="1026" t="s">
        <v>726</v>
      </c>
      <c r="C30" s="328">
        <v>1</v>
      </c>
      <c r="D30" s="304" t="s">
        <v>716</v>
      </c>
      <c r="E30" s="304" t="s">
        <v>717</v>
      </c>
      <c r="F30" s="572">
        <v>0.314</v>
      </c>
      <c r="G30" s="572">
        <v>0.22900000000000001</v>
      </c>
      <c r="H30" s="572">
        <v>1.5069999999999999</v>
      </c>
      <c r="I30" s="483">
        <v>1.871</v>
      </c>
      <c r="J30" s="304">
        <f>AVERAGE(F30:I30)</f>
        <v>0.98024999999999995</v>
      </c>
      <c r="K30" s="304">
        <v>7</v>
      </c>
      <c r="L30" s="300"/>
      <c r="M30" s="300"/>
      <c r="N30" s="300"/>
      <c r="O30" s="300"/>
      <c r="P30" s="300"/>
      <c r="Q30" s="300"/>
      <c r="R30" s="300"/>
      <c r="S30" s="301"/>
    </row>
    <row r="31" spans="1:34">
      <c r="A31" s="307"/>
      <c r="B31" s="1027"/>
      <c r="C31" s="329">
        <v>2</v>
      </c>
      <c r="D31" s="309" t="s">
        <v>718</v>
      </c>
      <c r="E31" s="309" t="s">
        <v>719</v>
      </c>
      <c r="F31" s="536">
        <v>0.374</v>
      </c>
      <c r="G31" s="536">
        <v>0.45100000000000001</v>
      </c>
      <c r="H31" s="536">
        <v>1.492</v>
      </c>
      <c r="I31" s="484">
        <v>1.9730000000000001</v>
      </c>
      <c r="J31" s="309">
        <f t="shared" ref="J31:J38" si="15">AVERAGE(F31:I31)</f>
        <v>1.0725</v>
      </c>
      <c r="K31" s="309">
        <v>7</v>
      </c>
      <c r="L31" s="300"/>
      <c r="M31" s="300"/>
      <c r="N31" s="300"/>
      <c r="O31" s="300"/>
      <c r="P31" s="300"/>
      <c r="Q31" s="300"/>
      <c r="R31" s="300"/>
      <c r="S31" s="301"/>
    </row>
    <row r="32" spans="1:34">
      <c r="A32" s="307"/>
      <c r="B32" s="1028"/>
      <c r="C32" s="329">
        <v>3</v>
      </c>
      <c r="D32" s="309" t="s">
        <v>720</v>
      </c>
      <c r="E32" s="309" t="s">
        <v>721</v>
      </c>
      <c r="F32" s="536">
        <v>2.5139999999999998</v>
      </c>
      <c r="G32" s="536">
        <v>0.39100000000000001</v>
      </c>
      <c r="H32" s="536">
        <v>1.64</v>
      </c>
      <c r="I32" s="484">
        <v>1.867</v>
      </c>
      <c r="J32" s="309">
        <f t="shared" si="15"/>
        <v>1.603</v>
      </c>
      <c r="K32" s="309">
        <v>7</v>
      </c>
      <c r="L32" s="300"/>
      <c r="M32" s="300"/>
      <c r="N32" s="300"/>
      <c r="O32" s="300"/>
      <c r="P32" s="300"/>
      <c r="Q32" s="300"/>
      <c r="R32" s="300"/>
      <c r="S32" s="301"/>
    </row>
    <row r="33" spans="1:19" ht="15" customHeight="1">
      <c r="A33" s="307"/>
      <c r="B33" s="1026" t="s">
        <v>727</v>
      </c>
      <c r="C33" s="328">
        <v>1</v>
      </c>
      <c r="D33" s="304" t="s">
        <v>716</v>
      </c>
      <c r="E33" s="304" t="s">
        <v>717</v>
      </c>
      <c r="F33" s="572">
        <v>0.47</v>
      </c>
      <c r="G33" s="572">
        <v>1.266</v>
      </c>
      <c r="H33" s="572">
        <v>0.80400000000000005</v>
      </c>
      <c r="I33" s="483">
        <v>3.1789999999999998</v>
      </c>
      <c r="J33" s="304">
        <f t="shared" si="15"/>
        <v>1.4297499999999999</v>
      </c>
      <c r="K33" s="304">
        <v>0.5</v>
      </c>
      <c r="L33" s="300"/>
      <c r="M33" s="300"/>
      <c r="N33" s="300"/>
      <c r="O33" s="300"/>
      <c r="P33" s="300"/>
      <c r="Q33" s="300"/>
      <c r="R33" s="300"/>
      <c r="S33" s="301"/>
    </row>
    <row r="34" spans="1:19">
      <c r="A34" s="307"/>
      <c r="B34" s="1027"/>
      <c r="C34" s="329">
        <v>2</v>
      </c>
      <c r="D34" s="309" t="s">
        <v>718</v>
      </c>
      <c r="E34" s="309" t="s">
        <v>719</v>
      </c>
      <c r="F34" s="536">
        <v>0.45700000000000002</v>
      </c>
      <c r="G34" s="536">
        <v>1.212</v>
      </c>
      <c r="H34" s="536">
        <v>1.145</v>
      </c>
      <c r="I34" s="484">
        <v>1.984</v>
      </c>
      <c r="J34" s="309">
        <f t="shared" si="15"/>
        <v>1.1995</v>
      </c>
      <c r="K34" s="309">
        <v>0.5</v>
      </c>
      <c r="L34" s="300"/>
      <c r="M34" s="300"/>
      <c r="N34" s="300"/>
      <c r="O34" s="300"/>
      <c r="P34" s="300"/>
      <c r="Q34" s="300"/>
      <c r="R34" s="300"/>
      <c r="S34" s="301"/>
    </row>
    <row r="35" spans="1:19">
      <c r="A35" s="307"/>
      <c r="B35" s="1028"/>
      <c r="C35" s="329">
        <v>3</v>
      </c>
      <c r="D35" s="309" t="s">
        <v>720</v>
      </c>
      <c r="E35" s="309" t="s">
        <v>721</v>
      </c>
      <c r="F35" s="536">
        <v>0.27</v>
      </c>
      <c r="G35" s="536">
        <v>0.93400000000000005</v>
      </c>
      <c r="H35" s="536">
        <v>1.1499999999999999</v>
      </c>
      <c r="I35" s="484">
        <v>1.71</v>
      </c>
      <c r="J35" s="309">
        <f t="shared" si="15"/>
        <v>1.016</v>
      </c>
      <c r="K35" s="309">
        <v>0.5</v>
      </c>
      <c r="L35" s="300"/>
      <c r="M35" s="300"/>
      <c r="N35" s="300"/>
      <c r="O35" s="300"/>
      <c r="P35" s="300"/>
      <c r="Q35" s="300"/>
      <c r="R35" s="300"/>
      <c r="S35" s="301"/>
    </row>
    <row r="36" spans="1:19">
      <c r="A36" s="307"/>
      <c r="B36" s="456" t="s">
        <v>117</v>
      </c>
      <c r="C36" s="328">
        <v>1</v>
      </c>
      <c r="D36" s="304" t="s">
        <v>716</v>
      </c>
      <c r="E36" s="304" t="s">
        <v>717</v>
      </c>
      <c r="F36" s="493">
        <v>43</v>
      </c>
      <c r="G36" s="493">
        <v>120</v>
      </c>
      <c r="H36" s="493">
        <v>13</v>
      </c>
      <c r="I36" s="506">
        <v>20</v>
      </c>
      <c r="J36" s="304">
        <f t="shared" si="15"/>
        <v>49</v>
      </c>
      <c r="K36" s="304">
        <v>350</v>
      </c>
      <c r="L36" s="300"/>
      <c r="M36" s="300"/>
      <c r="N36" s="300"/>
      <c r="O36" s="300"/>
      <c r="P36" s="300"/>
      <c r="Q36" s="300"/>
      <c r="R36" s="300"/>
      <c r="S36" s="301"/>
    </row>
    <row r="37" spans="1:19">
      <c r="A37" s="307"/>
      <c r="B37" s="457"/>
      <c r="C37" s="329">
        <v>2</v>
      </c>
      <c r="D37" s="309" t="s">
        <v>718</v>
      </c>
      <c r="E37" s="309" t="s">
        <v>719</v>
      </c>
      <c r="F37" s="492">
        <v>33</v>
      </c>
      <c r="G37" s="492">
        <v>105</v>
      </c>
      <c r="H37" s="492">
        <v>15</v>
      </c>
      <c r="I37" s="505">
        <v>24</v>
      </c>
      <c r="J37" s="309">
        <f t="shared" si="15"/>
        <v>44.25</v>
      </c>
      <c r="K37" s="309">
        <v>350</v>
      </c>
      <c r="L37" s="300"/>
      <c r="M37" s="300"/>
      <c r="N37" s="300"/>
      <c r="O37" s="300"/>
      <c r="P37" s="300"/>
      <c r="Q37" s="300"/>
      <c r="R37" s="300"/>
      <c r="S37" s="301"/>
    </row>
    <row r="38" spans="1:19">
      <c r="A38" s="307"/>
      <c r="B38" s="458"/>
      <c r="C38" s="329">
        <v>3</v>
      </c>
      <c r="D38" s="309" t="s">
        <v>720</v>
      </c>
      <c r="E38" s="309" t="s">
        <v>721</v>
      </c>
      <c r="F38" s="492">
        <v>46</v>
      </c>
      <c r="G38" s="492">
        <v>100</v>
      </c>
      <c r="H38" s="492">
        <v>27</v>
      </c>
      <c r="I38" s="505">
        <v>16</v>
      </c>
      <c r="J38" s="309">
        <f t="shared" si="15"/>
        <v>47.25</v>
      </c>
      <c r="K38" s="309">
        <v>350</v>
      </c>
      <c r="L38" s="300"/>
      <c r="M38" s="300"/>
      <c r="N38" s="300"/>
      <c r="O38" s="300"/>
      <c r="P38" s="300"/>
      <c r="Q38" s="300"/>
      <c r="R38" s="300"/>
      <c r="S38" s="301"/>
    </row>
    <row r="39" spans="1:19">
      <c r="A39" s="319"/>
      <c r="B39" s="300"/>
      <c r="C39" s="331"/>
      <c r="D39" s="311"/>
      <c r="E39" s="311"/>
      <c r="F39" s="311" t="s">
        <v>728</v>
      </c>
      <c r="G39" s="311" t="s">
        <v>729</v>
      </c>
      <c r="H39" s="311" t="s">
        <v>730</v>
      </c>
      <c r="I39" s="311" t="s">
        <v>59</v>
      </c>
      <c r="J39" s="300"/>
      <c r="K39" s="300"/>
      <c r="L39" s="300"/>
      <c r="M39" s="300"/>
      <c r="N39" s="300"/>
      <c r="O39" s="300"/>
      <c r="P39" s="300"/>
      <c r="Q39" s="300"/>
      <c r="R39" s="300"/>
      <c r="S39" s="301"/>
    </row>
    <row r="40" spans="1:19" ht="15" customHeight="1">
      <c r="A40" s="563" t="s">
        <v>314</v>
      </c>
      <c r="B40" s="564"/>
      <c r="C40" s="565"/>
      <c r="D40" s="308"/>
      <c r="E40" s="308"/>
      <c r="F40" s="311"/>
      <c r="G40" s="311"/>
      <c r="H40" s="311"/>
      <c r="I40" s="311"/>
      <c r="J40" s="300"/>
      <c r="K40" s="300"/>
      <c r="L40" s="300"/>
      <c r="M40" s="300"/>
      <c r="N40" s="300"/>
      <c r="O40" s="300"/>
      <c r="P40" s="300"/>
      <c r="Q40" s="300"/>
      <c r="R40" s="300"/>
      <c r="S40" s="301"/>
    </row>
    <row r="41" spans="1:19" ht="96" customHeight="1">
      <c r="A41" s="566"/>
      <c r="B41" s="567"/>
      <c r="C41" s="568"/>
      <c r="D41" s="464" t="s">
        <v>731</v>
      </c>
      <c r="E41" s="464" t="s">
        <v>717</v>
      </c>
      <c r="F41" s="508" t="s">
        <v>732</v>
      </c>
      <c r="G41" s="508" t="s">
        <v>733</v>
      </c>
      <c r="H41" s="508" t="s">
        <v>734</v>
      </c>
      <c r="I41" s="465"/>
      <c r="J41" s="300"/>
      <c r="K41" s="300"/>
      <c r="L41" s="300"/>
      <c r="M41" s="300"/>
      <c r="N41" s="300"/>
      <c r="O41" s="300"/>
      <c r="P41" s="300"/>
      <c r="Q41" s="300"/>
      <c r="R41" s="300"/>
      <c r="S41" s="301"/>
    </row>
    <row r="42" spans="1:19" ht="84.75" customHeight="1">
      <c r="A42" s="566"/>
      <c r="B42" s="567"/>
      <c r="C42" s="568"/>
      <c r="D42" s="309" t="s">
        <v>718</v>
      </c>
      <c r="E42" s="309" t="s">
        <v>719</v>
      </c>
      <c r="F42" s="320" t="s">
        <v>735</v>
      </c>
      <c r="G42" s="320" t="s">
        <v>736</v>
      </c>
      <c r="H42" s="320" t="s">
        <v>737</v>
      </c>
      <c r="I42" s="311"/>
      <c r="J42" s="300"/>
      <c r="K42" s="300"/>
      <c r="L42" s="300"/>
      <c r="M42" s="300"/>
      <c r="N42" s="300"/>
      <c r="O42" s="300"/>
      <c r="P42" s="300"/>
      <c r="Q42" s="300"/>
      <c r="R42" s="300"/>
      <c r="S42" s="301"/>
    </row>
    <row r="43" spans="1:19" ht="84" customHeight="1">
      <c r="A43" s="569"/>
      <c r="B43" s="570"/>
      <c r="C43" s="571"/>
      <c r="D43" s="309" t="s">
        <v>720</v>
      </c>
      <c r="E43" s="309" t="s">
        <v>721</v>
      </c>
      <c r="F43" s="320" t="s">
        <v>738</v>
      </c>
      <c r="G43" s="320" t="s">
        <v>736</v>
      </c>
      <c r="H43" s="320" t="s">
        <v>739</v>
      </c>
      <c r="I43" s="311"/>
      <c r="J43" s="300"/>
      <c r="K43" s="300"/>
      <c r="L43" s="300"/>
      <c r="M43" s="300"/>
      <c r="N43" s="300"/>
      <c r="O43" s="300"/>
      <c r="P43" s="300"/>
      <c r="Q43" s="300"/>
      <c r="R43" s="300"/>
      <c r="S43" s="301"/>
    </row>
    <row r="44" spans="1:19">
      <c r="A44" s="1005"/>
      <c r="B44" s="1006"/>
      <c r="C44" s="1007"/>
      <c r="D44" s="300"/>
      <c r="E44" s="300"/>
      <c r="F44" s="300"/>
      <c r="G44" s="300"/>
      <c r="H44" s="300"/>
      <c r="I44" s="300"/>
      <c r="J44" s="300"/>
      <c r="K44" s="300"/>
      <c r="L44" s="300"/>
      <c r="M44" s="300"/>
      <c r="N44" s="300"/>
      <c r="O44" s="300"/>
      <c r="P44" s="300"/>
      <c r="Q44" s="300"/>
      <c r="R44" s="300"/>
      <c r="S44" s="301"/>
    </row>
    <row r="45" spans="1:19">
      <c r="A45" s="1008"/>
      <c r="B45" s="1009"/>
      <c r="C45" s="1010"/>
      <c r="D45" s="300"/>
      <c r="E45" s="300"/>
      <c r="F45" s="300"/>
      <c r="G45" s="300"/>
      <c r="H45" s="300"/>
      <c r="I45" s="300"/>
      <c r="J45" s="300"/>
      <c r="K45" s="300"/>
      <c r="L45" s="300"/>
      <c r="M45" s="300"/>
      <c r="N45" s="300"/>
      <c r="O45" s="300"/>
      <c r="P45" s="300"/>
      <c r="Q45" s="300"/>
      <c r="R45" s="300"/>
      <c r="S45" s="301"/>
    </row>
    <row r="46" spans="1:19">
      <c r="A46" s="319"/>
      <c r="B46" s="300"/>
      <c r="C46" s="332"/>
      <c r="D46" s="300"/>
      <c r="E46" s="300"/>
      <c r="F46" s="300"/>
      <c r="G46" s="300"/>
      <c r="H46" s="300"/>
      <c r="I46" s="300"/>
      <c r="J46" s="300"/>
      <c r="K46" s="300"/>
      <c r="L46" s="300"/>
      <c r="M46" s="300"/>
      <c r="N46" s="300"/>
      <c r="O46" s="300"/>
      <c r="P46" s="300"/>
      <c r="Q46" s="300"/>
      <c r="R46" s="300"/>
      <c r="S46" s="301"/>
    </row>
    <row r="47" spans="1:19">
      <c r="A47" s="319"/>
      <c r="B47" s="300"/>
      <c r="C47" s="332"/>
      <c r="D47" s="300"/>
      <c r="E47" s="300"/>
      <c r="F47" s="300"/>
      <c r="G47" s="300"/>
      <c r="H47" s="300"/>
      <c r="I47" s="300"/>
      <c r="J47" s="300"/>
      <c r="K47" s="300"/>
      <c r="L47" s="300"/>
      <c r="M47" s="300"/>
      <c r="N47" s="300"/>
      <c r="O47" s="300"/>
      <c r="P47" s="300"/>
      <c r="Q47" s="300"/>
      <c r="R47" s="300"/>
      <c r="S47" s="301"/>
    </row>
    <row r="48" spans="1:19">
      <c r="A48" s="319"/>
      <c r="B48" s="300"/>
      <c r="C48" s="332"/>
      <c r="D48" s="625" t="s">
        <v>175</v>
      </c>
      <c r="E48" s="625"/>
      <c r="F48" s="625"/>
      <c r="G48" s="625"/>
      <c r="H48" s="625"/>
      <c r="I48" s="625"/>
      <c r="J48" s="625"/>
      <c r="K48" s="625"/>
      <c r="L48" s="300"/>
      <c r="M48" s="300"/>
      <c r="N48" s="300"/>
      <c r="O48" s="300"/>
      <c r="P48" s="300"/>
      <c r="Q48" s="300"/>
      <c r="R48" s="300"/>
      <c r="S48" s="301"/>
    </row>
    <row r="49" spans="1:19" ht="15" customHeight="1">
      <c r="A49" s="319"/>
      <c r="B49" s="300"/>
      <c r="C49" s="638"/>
      <c r="D49" s="996" t="s">
        <v>740</v>
      </c>
      <c r="E49" s="997"/>
      <c r="F49" s="997"/>
      <c r="G49" s="997"/>
      <c r="H49" s="997"/>
      <c r="I49" s="997"/>
      <c r="J49" s="997"/>
      <c r="K49" s="998"/>
      <c r="L49" s="623"/>
      <c r="M49" s="300"/>
      <c r="N49" s="300"/>
      <c r="O49" s="300"/>
      <c r="P49" s="300"/>
      <c r="Q49" s="300"/>
      <c r="R49" s="300"/>
      <c r="S49" s="301"/>
    </row>
    <row r="50" spans="1:19">
      <c r="A50" s="319"/>
      <c r="B50" s="300"/>
      <c r="C50" s="638"/>
      <c r="D50" s="999"/>
      <c r="E50" s="1000"/>
      <c r="F50" s="1000"/>
      <c r="G50" s="1000"/>
      <c r="H50" s="1000"/>
      <c r="I50" s="1000"/>
      <c r="J50" s="1000"/>
      <c r="K50" s="1001"/>
      <c r="L50" s="623"/>
      <c r="M50" s="300"/>
      <c r="N50" s="300"/>
      <c r="O50" s="300"/>
      <c r="P50" s="300"/>
      <c r="Q50" s="300"/>
      <c r="R50" s="300"/>
      <c r="S50" s="301"/>
    </row>
    <row r="51" spans="1:19">
      <c r="A51" s="319"/>
      <c r="B51" s="300"/>
      <c r="C51" s="638"/>
      <c r="D51" s="999"/>
      <c r="E51" s="1000"/>
      <c r="F51" s="1000"/>
      <c r="G51" s="1000"/>
      <c r="H51" s="1000"/>
      <c r="I51" s="1000"/>
      <c r="J51" s="1000"/>
      <c r="K51" s="1001"/>
      <c r="L51" s="623"/>
      <c r="M51" s="300"/>
      <c r="N51" s="300"/>
      <c r="O51" s="300"/>
      <c r="P51" s="300"/>
      <c r="Q51" s="300"/>
      <c r="R51" s="300"/>
      <c r="S51" s="301"/>
    </row>
    <row r="52" spans="1:19">
      <c r="A52" s="319"/>
      <c r="B52" s="300"/>
      <c r="C52" s="638"/>
      <c r="D52" s="999"/>
      <c r="E52" s="1000"/>
      <c r="F52" s="1000"/>
      <c r="G52" s="1000"/>
      <c r="H52" s="1000"/>
      <c r="I52" s="1000"/>
      <c r="J52" s="1000"/>
      <c r="K52" s="1001"/>
      <c r="L52" s="623"/>
      <c r="M52" s="300"/>
      <c r="N52" s="300"/>
      <c r="O52" s="300"/>
      <c r="P52" s="300"/>
      <c r="Q52" s="300"/>
      <c r="R52" s="300"/>
      <c r="S52" s="301"/>
    </row>
    <row r="53" spans="1:19">
      <c r="A53" s="319"/>
      <c r="B53" s="300"/>
      <c r="C53" s="638"/>
      <c r="D53" s="999"/>
      <c r="E53" s="1000"/>
      <c r="F53" s="1000"/>
      <c r="G53" s="1000"/>
      <c r="H53" s="1000"/>
      <c r="I53" s="1000"/>
      <c r="J53" s="1000"/>
      <c r="K53" s="1001"/>
      <c r="L53" s="623"/>
      <c r="M53" s="300"/>
      <c r="N53" s="300"/>
      <c r="O53" s="300"/>
      <c r="P53" s="300"/>
      <c r="Q53" s="300"/>
      <c r="R53" s="300"/>
      <c r="S53" s="301"/>
    </row>
    <row r="54" spans="1:19">
      <c r="A54" s="319"/>
      <c r="B54" s="300"/>
      <c r="C54" s="638"/>
      <c r="D54" s="999"/>
      <c r="E54" s="1000"/>
      <c r="F54" s="1000"/>
      <c r="G54" s="1000"/>
      <c r="H54" s="1000"/>
      <c r="I54" s="1000"/>
      <c r="J54" s="1000"/>
      <c r="K54" s="1001"/>
      <c r="L54" s="623"/>
      <c r="M54" s="300"/>
      <c r="N54" s="300"/>
      <c r="O54" s="300"/>
      <c r="P54" s="300"/>
      <c r="Q54" s="300"/>
      <c r="R54" s="300"/>
      <c r="S54" s="301"/>
    </row>
    <row r="55" spans="1:19">
      <c r="A55" s="319"/>
      <c r="B55" s="300"/>
      <c r="C55" s="638"/>
      <c r="D55" s="999"/>
      <c r="E55" s="1000"/>
      <c r="F55" s="1000"/>
      <c r="G55" s="1000"/>
      <c r="H55" s="1000"/>
      <c r="I55" s="1000"/>
      <c r="J55" s="1000"/>
      <c r="K55" s="1001"/>
      <c r="L55" s="623"/>
      <c r="M55" s="300"/>
      <c r="N55" s="300"/>
      <c r="O55" s="300"/>
      <c r="P55" s="300"/>
      <c r="Q55" s="300"/>
      <c r="R55" s="300"/>
      <c r="S55" s="301"/>
    </row>
    <row r="56" spans="1:19">
      <c r="A56" s="319"/>
      <c r="B56" s="300"/>
      <c r="C56" s="638"/>
      <c r="D56" s="999"/>
      <c r="E56" s="1000"/>
      <c r="F56" s="1000"/>
      <c r="G56" s="1000"/>
      <c r="H56" s="1000"/>
      <c r="I56" s="1000"/>
      <c r="J56" s="1000"/>
      <c r="K56" s="1001"/>
      <c r="L56" s="623"/>
      <c r="M56" s="300"/>
      <c r="N56" s="300"/>
      <c r="O56" s="300"/>
      <c r="P56" s="300"/>
      <c r="Q56" s="300"/>
      <c r="R56" s="300"/>
      <c r="S56" s="301"/>
    </row>
    <row r="57" spans="1:19">
      <c r="A57" s="319"/>
      <c r="B57" s="300"/>
      <c r="C57" s="638"/>
      <c r="D57" s="999"/>
      <c r="E57" s="1000"/>
      <c r="F57" s="1000"/>
      <c r="G57" s="1000"/>
      <c r="H57" s="1000"/>
      <c r="I57" s="1000"/>
      <c r="J57" s="1000"/>
      <c r="K57" s="1001"/>
      <c r="L57" s="623"/>
      <c r="M57" s="300"/>
      <c r="N57" s="300"/>
      <c r="O57" s="300"/>
      <c r="P57" s="300"/>
      <c r="Q57" s="300"/>
      <c r="R57" s="300"/>
      <c r="S57" s="301"/>
    </row>
    <row r="58" spans="1:19">
      <c r="A58" s="319"/>
      <c r="B58" s="300"/>
      <c r="C58" s="638"/>
      <c r="D58" s="999"/>
      <c r="E58" s="1000"/>
      <c r="F58" s="1000"/>
      <c r="G58" s="1000"/>
      <c r="H58" s="1000"/>
      <c r="I58" s="1000"/>
      <c r="J58" s="1000"/>
      <c r="K58" s="1001"/>
      <c r="L58" s="623"/>
      <c r="M58" s="300"/>
      <c r="N58" s="300"/>
      <c r="O58" s="300"/>
      <c r="P58" s="300"/>
      <c r="Q58" s="300"/>
      <c r="R58" s="300"/>
      <c r="S58" s="301"/>
    </row>
    <row r="59" spans="1:19">
      <c r="A59" s="319"/>
      <c r="B59" s="300"/>
      <c r="C59" s="638"/>
      <c r="D59" s="999"/>
      <c r="E59" s="1000"/>
      <c r="F59" s="1000"/>
      <c r="G59" s="1000"/>
      <c r="H59" s="1000"/>
      <c r="I59" s="1000"/>
      <c r="J59" s="1000"/>
      <c r="K59" s="1001"/>
      <c r="L59" s="623"/>
      <c r="M59" s="300"/>
      <c r="N59" s="300"/>
      <c r="O59" s="300"/>
      <c r="P59" s="300"/>
      <c r="Q59" s="300"/>
      <c r="R59" s="300"/>
      <c r="S59" s="301"/>
    </row>
    <row r="60" spans="1:19">
      <c r="A60" s="319"/>
      <c r="B60" s="300"/>
      <c r="C60" s="638"/>
      <c r="D60" s="999"/>
      <c r="E60" s="1000"/>
      <c r="F60" s="1000"/>
      <c r="G60" s="1000"/>
      <c r="H60" s="1000"/>
      <c r="I60" s="1000"/>
      <c r="J60" s="1000"/>
      <c r="K60" s="1001"/>
      <c r="L60" s="623"/>
      <c r="M60" s="300"/>
      <c r="N60" s="300"/>
      <c r="O60" s="300"/>
      <c r="P60" s="300"/>
      <c r="Q60" s="300"/>
      <c r="R60" s="300"/>
      <c r="S60" s="301"/>
    </row>
    <row r="61" spans="1:19">
      <c r="A61" s="319"/>
      <c r="B61" s="300"/>
      <c r="C61" s="638"/>
      <c r="D61" s="999"/>
      <c r="E61" s="1000"/>
      <c r="F61" s="1000"/>
      <c r="G61" s="1000"/>
      <c r="H61" s="1000"/>
      <c r="I61" s="1000"/>
      <c r="J61" s="1000"/>
      <c r="K61" s="1001"/>
      <c r="L61" s="623"/>
      <c r="M61" s="300"/>
      <c r="N61" s="300"/>
      <c r="O61" s="300"/>
      <c r="P61" s="300"/>
      <c r="Q61" s="300"/>
      <c r="R61" s="300"/>
      <c r="S61" s="301"/>
    </row>
    <row r="62" spans="1:19">
      <c r="A62" s="319"/>
      <c r="B62" s="300"/>
      <c r="C62" s="638"/>
      <c r="D62" s="1002"/>
      <c r="E62" s="1003"/>
      <c r="F62" s="1003"/>
      <c r="G62" s="1003"/>
      <c r="H62" s="1003"/>
      <c r="I62" s="1003"/>
      <c r="J62" s="1003"/>
      <c r="K62" s="1004"/>
      <c r="L62" s="623"/>
      <c r="M62" s="300"/>
      <c r="N62" s="300"/>
      <c r="O62" s="300"/>
      <c r="P62" s="300"/>
      <c r="Q62" s="300"/>
      <c r="R62" s="300"/>
      <c r="S62" s="301"/>
    </row>
    <row r="63" spans="1:19" ht="15" customHeight="1">
      <c r="A63" s="319"/>
      <c r="B63" s="300"/>
      <c r="C63" s="332"/>
      <c r="D63" s="627"/>
      <c r="E63" s="627"/>
      <c r="F63" s="627"/>
      <c r="G63" s="627"/>
      <c r="H63" s="627"/>
      <c r="I63" s="627"/>
      <c r="J63" s="627"/>
      <c r="K63" s="627"/>
      <c r="L63" s="300"/>
      <c r="M63" s="300"/>
      <c r="N63" s="300"/>
      <c r="O63" s="300"/>
      <c r="P63" s="300"/>
      <c r="Q63" s="300"/>
      <c r="R63" s="300"/>
      <c r="S63" s="301"/>
    </row>
    <row r="64" spans="1:19">
      <c r="A64" s="319"/>
      <c r="B64" s="300"/>
      <c r="C64" s="332"/>
      <c r="D64" s="300"/>
      <c r="E64" s="300"/>
      <c r="F64" s="300"/>
      <c r="G64" s="300"/>
      <c r="H64" s="300"/>
      <c r="I64" s="300"/>
      <c r="J64" s="300"/>
      <c r="K64" s="300"/>
      <c r="L64" s="300"/>
      <c r="M64" s="300"/>
      <c r="N64" s="300"/>
      <c r="O64" s="300"/>
      <c r="P64" s="300"/>
      <c r="Q64" s="300"/>
      <c r="R64" s="300"/>
      <c r="S64" s="301"/>
    </row>
    <row r="65" spans="1:19">
      <c r="A65" s="319"/>
      <c r="B65" s="300"/>
      <c r="C65" s="332"/>
      <c r="D65" s="300"/>
      <c r="E65" s="300"/>
      <c r="F65" s="300"/>
      <c r="G65" s="300"/>
      <c r="H65" s="300"/>
      <c r="I65" s="300"/>
      <c r="J65" s="300"/>
      <c r="K65" s="300"/>
      <c r="L65" s="300"/>
      <c r="M65" s="300"/>
      <c r="N65" s="300"/>
      <c r="O65" s="300"/>
      <c r="P65" s="300"/>
      <c r="Q65" s="300"/>
      <c r="R65" s="300"/>
      <c r="S65" s="301"/>
    </row>
    <row r="66" spans="1:19">
      <c r="A66" s="319"/>
      <c r="B66" s="300"/>
      <c r="C66" s="332"/>
      <c r="D66" s="300"/>
      <c r="E66" s="300"/>
      <c r="F66" s="300"/>
      <c r="G66" s="300"/>
      <c r="H66" s="300"/>
      <c r="I66" s="300"/>
      <c r="J66" s="300"/>
      <c r="K66" s="300"/>
      <c r="L66" s="300"/>
      <c r="M66" s="300"/>
      <c r="N66" s="300"/>
      <c r="O66" s="300"/>
      <c r="P66" s="300"/>
      <c r="Q66" s="300"/>
      <c r="R66" s="300"/>
      <c r="S66" s="301"/>
    </row>
    <row r="67" spans="1:19">
      <c r="A67" s="319"/>
      <c r="B67" s="300"/>
      <c r="C67" s="332"/>
      <c r="D67" s="300"/>
      <c r="E67" s="300"/>
      <c r="F67" s="300"/>
      <c r="G67" s="300"/>
      <c r="H67" s="300"/>
      <c r="I67" s="300"/>
      <c r="J67" s="300"/>
      <c r="K67" s="300"/>
      <c r="L67" s="300"/>
      <c r="M67" s="300"/>
      <c r="N67" s="300"/>
      <c r="O67" s="300"/>
      <c r="P67" s="300"/>
      <c r="Q67" s="300"/>
      <c r="R67" s="300"/>
      <c r="S67" s="301"/>
    </row>
    <row r="68" spans="1:19">
      <c r="A68" s="319"/>
      <c r="B68" s="300"/>
      <c r="C68" s="332"/>
      <c r="D68" s="300"/>
      <c r="E68" s="300"/>
      <c r="F68" s="300"/>
      <c r="G68" s="300"/>
      <c r="H68" s="300"/>
      <c r="I68" s="300"/>
      <c r="J68" s="300"/>
      <c r="K68" s="300"/>
      <c r="L68" s="300"/>
      <c r="M68" s="300"/>
      <c r="N68" s="300"/>
      <c r="O68" s="300"/>
      <c r="P68" s="300"/>
      <c r="Q68" s="300"/>
      <c r="R68" s="300"/>
      <c r="S68" s="301"/>
    </row>
    <row r="69" spans="1:19">
      <c r="A69" s="319"/>
      <c r="B69" s="300"/>
      <c r="C69" s="332"/>
      <c r="D69" s="300"/>
      <c r="E69" s="300"/>
      <c r="F69" s="300"/>
      <c r="G69" s="300"/>
      <c r="H69" s="300"/>
      <c r="I69" s="300"/>
      <c r="J69" s="300"/>
      <c r="K69" s="300"/>
      <c r="L69" s="300"/>
      <c r="M69" s="300"/>
      <c r="N69" s="300"/>
      <c r="O69" s="300"/>
      <c r="P69" s="300"/>
      <c r="Q69" s="300"/>
      <c r="R69" s="300"/>
      <c r="S69" s="301"/>
    </row>
    <row r="70" spans="1:19">
      <c r="A70" s="319"/>
      <c r="B70" s="300"/>
      <c r="C70" s="332"/>
      <c r="D70" s="300"/>
      <c r="E70" s="300"/>
      <c r="F70" s="300"/>
      <c r="G70" s="300"/>
      <c r="H70" s="300"/>
      <c r="I70" s="300"/>
      <c r="J70" s="300"/>
      <c r="K70" s="300"/>
      <c r="L70" s="300"/>
      <c r="M70" s="300"/>
      <c r="N70" s="300"/>
      <c r="O70" s="300"/>
      <c r="P70" s="300"/>
      <c r="Q70" s="300"/>
      <c r="R70" s="300"/>
      <c r="S70" s="301"/>
    </row>
    <row r="71" spans="1:19">
      <c r="A71" s="319"/>
      <c r="B71" s="300"/>
      <c r="C71" s="332"/>
      <c r="D71" s="300"/>
      <c r="E71" s="300"/>
      <c r="F71" s="300"/>
      <c r="G71" s="300"/>
      <c r="H71" s="300"/>
      <c r="I71" s="300"/>
      <c r="J71" s="300"/>
      <c r="K71" s="300"/>
      <c r="L71" s="300"/>
      <c r="M71" s="300"/>
      <c r="N71" s="300"/>
      <c r="O71" s="300"/>
      <c r="P71" s="300"/>
      <c r="Q71" s="300"/>
      <c r="R71" s="300"/>
      <c r="S71" s="301"/>
    </row>
    <row r="72" spans="1:19">
      <c r="A72" s="319"/>
      <c r="B72" s="300"/>
      <c r="C72" s="332"/>
      <c r="D72" s="300"/>
      <c r="E72" s="300"/>
      <c r="F72" s="300"/>
      <c r="G72" s="300"/>
      <c r="H72" s="300"/>
      <c r="I72" s="300"/>
      <c r="J72" s="300"/>
      <c r="K72" s="300"/>
      <c r="L72" s="300"/>
      <c r="M72" s="300"/>
      <c r="N72" s="300"/>
      <c r="O72" s="300"/>
      <c r="P72" s="300"/>
      <c r="Q72" s="300"/>
      <c r="R72" s="300"/>
      <c r="S72" s="301"/>
    </row>
    <row r="73" spans="1:19">
      <c r="A73" s="319"/>
      <c r="B73" s="300"/>
      <c r="C73" s="332"/>
      <c r="D73" s="300"/>
      <c r="E73" s="300"/>
      <c r="F73" s="300"/>
      <c r="G73" s="300"/>
      <c r="H73" s="300"/>
      <c r="I73" s="300"/>
      <c r="J73" s="300"/>
      <c r="K73" s="300"/>
      <c r="L73" s="300"/>
      <c r="M73" s="300"/>
      <c r="N73" s="300"/>
      <c r="O73" s="300"/>
      <c r="P73" s="300"/>
      <c r="Q73" s="300"/>
      <c r="R73" s="300"/>
      <c r="S73" s="301"/>
    </row>
    <row r="74" spans="1:19">
      <c r="A74" s="319"/>
      <c r="B74" s="300"/>
      <c r="C74" s="332"/>
      <c r="D74" s="300"/>
      <c r="E74" s="300"/>
      <c r="F74" s="300"/>
      <c r="G74" s="300"/>
      <c r="H74" s="300"/>
      <c r="I74" s="300"/>
      <c r="J74" s="300"/>
      <c r="K74" s="300"/>
      <c r="L74" s="300"/>
      <c r="M74" s="300"/>
      <c r="N74" s="300"/>
      <c r="O74" s="300"/>
      <c r="P74" s="300"/>
      <c r="Q74" s="300"/>
      <c r="R74" s="300"/>
      <c r="S74" s="301"/>
    </row>
    <row r="75" spans="1:19">
      <c r="A75" s="319"/>
      <c r="B75" s="300"/>
      <c r="C75" s="332"/>
      <c r="D75" s="300"/>
      <c r="E75" s="300"/>
      <c r="F75" s="300"/>
      <c r="G75" s="300"/>
      <c r="H75" s="300"/>
      <c r="I75" s="300"/>
      <c r="J75" s="300"/>
      <c r="K75" s="300"/>
      <c r="L75" s="300"/>
      <c r="M75" s="300"/>
      <c r="N75" s="300"/>
      <c r="O75" s="300"/>
      <c r="P75" s="300"/>
      <c r="Q75" s="300"/>
      <c r="R75" s="300"/>
      <c r="S75" s="301"/>
    </row>
    <row r="76" spans="1:19">
      <c r="A76" s="319"/>
      <c r="B76" s="300"/>
      <c r="C76" s="332"/>
      <c r="D76" s="300"/>
      <c r="E76" s="300"/>
      <c r="F76" s="300"/>
      <c r="G76" s="300"/>
      <c r="H76" s="300"/>
      <c r="I76" s="300"/>
      <c r="J76" s="300"/>
      <c r="K76" s="300"/>
      <c r="L76" s="300"/>
      <c r="M76" s="300"/>
      <c r="N76" s="300"/>
      <c r="O76" s="300"/>
      <c r="P76" s="300"/>
      <c r="Q76" s="300"/>
      <c r="R76" s="300"/>
      <c r="S76" s="301"/>
    </row>
    <row r="77" spans="1:19">
      <c r="A77" s="319"/>
      <c r="B77" s="300"/>
      <c r="C77" s="332"/>
      <c r="D77" s="300"/>
      <c r="E77" s="300"/>
      <c r="F77" s="300"/>
      <c r="G77" s="300"/>
      <c r="H77" s="300"/>
      <c r="I77" s="300"/>
      <c r="J77" s="300"/>
      <c r="K77" s="300"/>
      <c r="L77" s="300"/>
      <c r="M77" s="300"/>
      <c r="N77" s="300"/>
      <c r="O77" s="300"/>
      <c r="P77" s="300"/>
      <c r="Q77" s="300"/>
      <c r="R77" s="300"/>
      <c r="S77" s="301"/>
    </row>
    <row r="78" spans="1:19">
      <c r="A78" s="319"/>
      <c r="B78" s="300"/>
      <c r="C78" s="332"/>
      <c r="D78" s="300"/>
      <c r="E78" s="300"/>
      <c r="F78" s="300"/>
      <c r="G78" s="300"/>
      <c r="H78" s="300"/>
      <c r="I78" s="300"/>
      <c r="J78" s="300"/>
      <c r="K78" s="300"/>
      <c r="L78" s="300"/>
      <c r="M78" s="300"/>
      <c r="N78" s="300"/>
      <c r="O78" s="300"/>
      <c r="P78" s="300"/>
      <c r="Q78" s="300"/>
      <c r="R78" s="300"/>
      <c r="S78" s="301"/>
    </row>
    <row r="79" spans="1:19">
      <c r="A79" s="319"/>
      <c r="B79" s="300"/>
      <c r="C79" s="332"/>
      <c r="D79" s="300"/>
      <c r="E79" s="300"/>
      <c r="F79" s="300"/>
      <c r="G79" s="300"/>
      <c r="H79" s="300"/>
      <c r="I79" s="300"/>
      <c r="J79" s="300"/>
      <c r="K79" s="300"/>
      <c r="L79" s="300"/>
      <c r="M79" s="300"/>
      <c r="N79" s="300"/>
      <c r="O79" s="300"/>
      <c r="P79" s="300"/>
      <c r="Q79" s="300"/>
      <c r="R79" s="300"/>
      <c r="S79" s="301"/>
    </row>
    <row r="80" spans="1:19">
      <c r="A80" s="319"/>
      <c r="B80" s="300"/>
      <c r="C80" s="332"/>
      <c r="D80" s="300"/>
      <c r="E80" s="300"/>
      <c r="F80" s="300"/>
      <c r="G80" s="300"/>
      <c r="H80" s="300"/>
      <c r="I80" s="300"/>
      <c r="J80" s="300"/>
      <c r="K80" s="300"/>
      <c r="L80" s="300"/>
      <c r="M80" s="300"/>
      <c r="N80" s="300"/>
      <c r="O80" s="300"/>
      <c r="P80" s="300"/>
      <c r="Q80" s="300"/>
      <c r="R80" s="300"/>
      <c r="S80" s="301"/>
    </row>
    <row r="81" spans="1:19">
      <c r="A81" s="319"/>
      <c r="B81" s="300"/>
      <c r="C81" s="332"/>
      <c r="D81" s="300"/>
      <c r="E81" s="300"/>
      <c r="F81" s="300"/>
      <c r="G81" s="300"/>
      <c r="H81" s="300"/>
      <c r="I81" s="300"/>
      <c r="J81" s="300"/>
      <c r="K81" s="300"/>
      <c r="L81" s="300"/>
      <c r="M81" s="300"/>
      <c r="N81" s="300"/>
      <c r="O81" s="300"/>
      <c r="P81" s="300"/>
      <c r="Q81" s="300"/>
      <c r="R81" s="300"/>
      <c r="S81" s="301"/>
    </row>
    <row r="82" spans="1:19">
      <c r="A82" s="319"/>
      <c r="B82" s="300"/>
      <c r="C82" s="332"/>
      <c r="D82" s="300"/>
      <c r="E82" s="300"/>
      <c r="F82" s="300"/>
      <c r="G82" s="300"/>
      <c r="H82" s="300"/>
      <c r="I82" s="300"/>
      <c r="J82" s="300"/>
      <c r="K82" s="300"/>
      <c r="L82" s="300"/>
      <c r="M82" s="300"/>
      <c r="N82" s="300"/>
      <c r="O82" s="300"/>
      <c r="P82" s="300"/>
      <c r="Q82" s="300"/>
      <c r="R82" s="300"/>
      <c r="S82" s="301"/>
    </row>
    <row r="83" spans="1:19">
      <c r="A83" s="319"/>
      <c r="B83" s="300"/>
      <c r="C83" s="332"/>
      <c r="D83" s="300"/>
      <c r="E83" s="300"/>
      <c r="F83" s="300"/>
      <c r="G83" s="300"/>
      <c r="H83" s="300"/>
      <c r="I83" s="300"/>
      <c r="J83" s="300"/>
      <c r="K83" s="300"/>
      <c r="L83" s="300"/>
      <c r="M83" s="300"/>
      <c r="N83" s="300"/>
      <c r="O83" s="300"/>
      <c r="P83" s="300"/>
      <c r="Q83" s="300"/>
      <c r="R83" s="300"/>
      <c r="S83" s="301"/>
    </row>
    <row r="84" spans="1:19">
      <c r="A84" s="319"/>
      <c r="B84" s="300"/>
      <c r="C84" s="332"/>
      <c r="D84" s="300"/>
      <c r="E84" s="300"/>
      <c r="F84" s="300"/>
      <c r="G84" s="300"/>
      <c r="H84" s="300"/>
      <c r="I84" s="300"/>
      <c r="J84" s="300"/>
      <c r="K84" s="300"/>
      <c r="L84" s="300"/>
      <c r="M84" s="300"/>
      <c r="N84" s="300"/>
      <c r="O84" s="300"/>
      <c r="P84" s="300"/>
      <c r="Q84" s="300"/>
      <c r="R84" s="300"/>
      <c r="S84" s="301"/>
    </row>
    <row r="85" spans="1:19">
      <c r="A85" s="319"/>
      <c r="B85" s="300"/>
      <c r="C85" s="332"/>
      <c r="D85" s="300"/>
      <c r="E85" s="300"/>
      <c r="F85" s="300"/>
      <c r="G85" s="300"/>
      <c r="H85" s="300"/>
      <c r="I85" s="300"/>
      <c r="J85" s="300"/>
      <c r="K85" s="300"/>
      <c r="L85" s="300"/>
      <c r="M85" s="300"/>
      <c r="N85" s="300"/>
      <c r="O85" s="300"/>
      <c r="P85" s="300"/>
      <c r="Q85" s="300"/>
      <c r="R85" s="300"/>
      <c r="S85" s="301"/>
    </row>
    <row r="86" spans="1:19">
      <c r="A86" s="319"/>
      <c r="B86" s="300"/>
      <c r="C86" s="332"/>
      <c r="D86" s="300"/>
      <c r="E86" s="300"/>
      <c r="F86" s="300"/>
      <c r="G86" s="300"/>
      <c r="H86" s="300"/>
      <c r="I86" s="300"/>
      <c r="J86" s="300"/>
      <c r="K86" s="300"/>
      <c r="L86" s="300"/>
      <c r="M86" s="300"/>
      <c r="N86" s="300"/>
      <c r="O86" s="300"/>
      <c r="P86" s="300"/>
      <c r="Q86" s="300"/>
      <c r="R86" s="300"/>
      <c r="S86" s="301"/>
    </row>
    <row r="87" spans="1:19">
      <c r="A87" s="319"/>
      <c r="B87" s="300"/>
      <c r="C87" s="332"/>
      <c r="D87" s="300"/>
      <c r="E87" s="300"/>
      <c r="F87" s="300"/>
      <c r="G87" s="300"/>
      <c r="H87" s="300"/>
      <c r="I87" s="300"/>
      <c r="J87" s="300"/>
      <c r="K87" s="300"/>
      <c r="L87" s="300"/>
      <c r="M87" s="300"/>
      <c r="N87" s="300"/>
      <c r="O87" s="300"/>
      <c r="P87" s="300"/>
      <c r="Q87" s="300"/>
      <c r="R87" s="300"/>
      <c r="S87" s="301"/>
    </row>
    <row r="88" spans="1:19">
      <c r="A88" s="319"/>
      <c r="B88" s="300"/>
      <c r="C88" s="332"/>
      <c r="D88" s="300"/>
      <c r="E88" s="300"/>
      <c r="F88" s="300"/>
      <c r="G88" s="300"/>
      <c r="H88" s="300"/>
      <c r="I88" s="300"/>
      <c r="J88" s="300"/>
      <c r="K88" s="300"/>
      <c r="L88" s="300"/>
      <c r="M88" s="300"/>
      <c r="N88" s="300"/>
      <c r="O88" s="300"/>
      <c r="P88" s="300"/>
      <c r="Q88" s="300"/>
      <c r="R88" s="300"/>
      <c r="S88" s="301"/>
    </row>
    <row r="89" spans="1:19">
      <c r="A89" s="319"/>
      <c r="B89" s="300"/>
      <c r="C89" s="332"/>
      <c r="D89" s="300"/>
      <c r="E89" s="300"/>
      <c r="F89" s="300"/>
      <c r="G89" s="300"/>
      <c r="H89" s="300"/>
      <c r="I89" s="300"/>
      <c r="J89" s="300"/>
      <c r="K89" s="300"/>
      <c r="L89" s="300"/>
      <c r="M89" s="300"/>
      <c r="N89" s="300"/>
      <c r="O89" s="300"/>
      <c r="P89" s="300"/>
      <c r="Q89" s="300"/>
      <c r="R89" s="300"/>
      <c r="S89" s="301"/>
    </row>
    <row r="90" spans="1:19">
      <c r="A90" s="319"/>
      <c r="B90" s="300"/>
      <c r="C90" s="332"/>
      <c r="D90" s="300"/>
      <c r="E90" s="300"/>
      <c r="F90" s="300"/>
      <c r="G90" s="300"/>
      <c r="H90" s="300"/>
      <c r="I90" s="300"/>
      <c r="J90" s="300"/>
      <c r="K90" s="300"/>
      <c r="L90" s="300"/>
      <c r="M90" s="300"/>
      <c r="N90" s="300"/>
      <c r="O90" s="300"/>
      <c r="P90" s="300"/>
      <c r="Q90" s="300"/>
      <c r="R90" s="300"/>
      <c r="S90" s="301"/>
    </row>
    <row r="91" spans="1:19">
      <c r="A91" s="319"/>
      <c r="B91" s="300"/>
      <c r="C91" s="332"/>
      <c r="D91" s="300"/>
      <c r="E91" s="300"/>
      <c r="F91" s="300"/>
      <c r="G91" s="300"/>
      <c r="H91" s="300"/>
      <c r="I91" s="300"/>
      <c r="J91" s="300"/>
      <c r="K91" s="300"/>
      <c r="L91" s="300"/>
      <c r="M91" s="300"/>
      <c r="N91" s="300"/>
      <c r="O91" s="300"/>
      <c r="P91" s="300"/>
      <c r="Q91" s="300"/>
      <c r="R91" s="300"/>
      <c r="S91" s="301"/>
    </row>
    <row r="92" spans="1:19">
      <c r="A92" s="319"/>
      <c r="B92" s="300"/>
      <c r="C92" s="332"/>
      <c r="D92" s="300"/>
      <c r="E92" s="300"/>
      <c r="F92" s="300"/>
      <c r="G92" s="300"/>
      <c r="H92" s="300"/>
      <c r="I92" s="300"/>
      <c r="J92" s="300"/>
      <c r="K92" s="300"/>
      <c r="L92" s="300"/>
      <c r="M92" s="300"/>
      <c r="N92" s="300"/>
      <c r="O92" s="300"/>
      <c r="P92" s="300"/>
      <c r="Q92" s="300"/>
      <c r="R92" s="300"/>
      <c r="S92" s="301"/>
    </row>
    <row r="93" spans="1:19">
      <c r="A93" s="319"/>
      <c r="B93" s="300"/>
      <c r="C93" s="332"/>
      <c r="D93" s="300"/>
      <c r="E93" s="300"/>
      <c r="F93" s="300"/>
      <c r="G93" s="300"/>
      <c r="H93" s="300"/>
      <c r="I93" s="300"/>
      <c r="J93" s="300"/>
      <c r="K93" s="300"/>
      <c r="L93" s="300"/>
      <c r="M93" s="300"/>
      <c r="N93" s="300"/>
      <c r="O93" s="300"/>
      <c r="P93" s="300"/>
      <c r="Q93" s="300"/>
      <c r="R93" s="300"/>
      <c r="S93" s="301"/>
    </row>
    <row r="94" spans="1:19">
      <c r="A94" s="319"/>
      <c r="B94" s="300"/>
      <c r="C94" s="332"/>
      <c r="D94" s="300"/>
      <c r="E94" s="300"/>
      <c r="F94" s="300"/>
      <c r="G94" s="300"/>
      <c r="H94" s="300"/>
      <c r="I94" s="300"/>
      <c r="J94" s="300"/>
      <c r="K94" s="300"/>
      <c r="L94" s="300"/>
      <c r="M94" s="300"/>
      <c r="N94" s="300"/>
      <c r="O94" s="300"/>
      <c r="P94" s="300"/>
      <c r="Q94" s="300"/>
      <c r="R94" s="300"/>
      <c r="S94" s="301"/>
    </row>
    <row r="95" spans="1:19">
      <c r="A95" s="319"/>
      <c r="B95" s="300"/>
      <c r="C95" s="332"/>
      <c r="D95" s="300"/>
      <c r="E95" s="300"/>
      <c r="F95" s="300"/>
      <c r="G95" s="300"/>
      <c r="H95" s="300"/>
      <c r="I95" s="300"/>
      <c r="J95" s="300"/>
      <c r="K95" s="300"/>
      <c r="L95" s="300"/>
      <c r="M95" s="300"/>
      <c r="N95" s="300"/>
      <c r="O95" s="300"/>
      <c r="P95" s="300"/>
      <c r="Q95" s="300"/>
      <c r="R95" s="300"/>
      <c r="S95" s="301"/>
    </row>
    <row r="96" spans="1:19">
      <c r="A96" s="319"/>
      <c r="B96" s="300"/>
      <c r="C96" s="332"/>
      <c r="D96" s="300"/>
      <c r="E96" s="300"/>
      <c r="F96" s="300"/>
      <c r="G96" s="300"/>
      <c r="H96" s="300"/>
      <c r="I96" s="300"/>
      <c r="J96" s="300"/>
      <c r="K96" s="300"/>
      <c r="L96" s="300"/>
      <c r="M96" s="300"/>
      <c r="N96" s="300"/>
      <c r="O96" s="300"/>
      <c r="P96" s="300"/>
      <c r="Q96" s="300"/>
      <c r="R96" s="300"/>
      <c r="S96" s="301"/>
    </row>
    <row r="97" spans="1:19">
      <c r="A97" s="319"/>
      <c r="B97" s="300"/>
      <c r="C97" s="332"/>
      <c r="D97" s="300"/>
      <c r="E97" s="300"/>
      <c r="F97" s="300"/>
      <c r="G97" s="300"/>
      <c r="H97" s="300"/>
      <c r="I97" s="300"/>
      <c r="J97" s="300"/>
      <c r="K97" s="300"/>
      <c r="L97" s="300"/>
      <c r="M97" s="300"/>
      <c r="N97" s="300"/>
      <c r="O97" s="300"/>
      <c r="P97" s="300"/>
      <c r="Q97" s="300"/>
      <c r="R97" s="300"/>
      <c r="S97" s="301"/>
    </row>
    <row r="98" spans="1:19">
      <c r="A98" s="319"/>
      <c r="B98" s="300"/>
      <c r="C98" s="332"/>
      <c r="D98" s="300"/>
      <c r="E98" s="300"/>
      <c r="F98" s="300"/>
      <c r="G98" s="300"/>
      <c r="H98" s="300"/>
      <c r="I98" s="300"/>
      <c r="J98" s="300"/>
      <c r="K98" s="300"/>
      <c r="L98" s="300"/>
      <c r="M98" s="300"/>
      <c r="N98" s="300"/>
      <c r="O98" s="300"/>
      <c r="P98" s="300"/>
      <c r="Q98" s="300"/>
      <c r="R98" s="300"/>
      <c r="S98" s="301"/>
    </row>
    <row r="99" spans="1:19">
      <c r="A99" s="319"/>
      <c r="B99" s="300"/>
      <c r="C99" s="332"/>
      <c r="D99" s="300"/>
      <c r="E99" s="300"/>
      <c r="F99" s="300"/>
      <c r="G99" s="300"/>
      <c r="H99" s="300"/>
      <c r="I99" s="300"/>
      <c r="J99" s="300"/>
      <c r="K99" s="300"/>
      <c r="L99" s="300"/>
      <c r="M99" s="300"/>
      <c r="N99" s="300"/>
      <c r="O99" s="300"/>
      <c r="P99" s="300"/>
      <c r="Q99" s="300"/>
      <c r="R99" s="300"/>
      <c r="S99" s="301"/>
    </row>
    <row r="100" spans="1:19">
      <c r="A100" s="319"/>
      <c r="B100" s="300"/>
      <c r="C100" s="332"/>
      <c r="D100" s="300"/>
      <c r="E100" s="300"/>
      <c r="F100" s="300"/>
      <c r="G100" s="300"/>
      <c r="H100" s="300"/>
      <c r="I100" s="300"/>
      <c r="J100" s="300"/>
      <c r="K100" s="300"/>
      <c r="L100" s="300"/>
      <c r="M100" s="300"/>
      <c r="N100" s="300"/>
      <c r="O100" s="300"/>
      <c r="P100" s="300"/>
      <c r="Q100" s="300"/>
      <c r="R100" s="300"/>
      <c r="S100" s="301"/>
    </row>
    <row r="101" spans="1:19">
      <c r="A101" s="319"/>
      <c r="B101" s="300"/>
      <c r="C101" s="332"/>
      <c r="D101" s="300"/>
      <c r="E101" s="300"/>
      <c r="F101" s="300"/>
      <c r="G101" s="300"/>
      <c r="H101" s="300"/>
      <c r="I101" s="300"/>
      <c r="J101" s="300"/>
      <c r="K101" s="300"/>
      <c r="L101" s="300"/>
      <c r="M101" s="300"/>
      <c r="N101" s="300"/>
      <c r="O101" s="300"/>
      <c r="P101" s="300"/>
      <c r="Q101" s="300"/>
      <c r="R101" s="300"/>
      <c r="S101" s="301"/>
    </row>
    <row r="102" spans="1:19">
      <c r="A102" s="319"/>
      <c r="B102" s="300"/>
      <c r="C102" s="332"/>
      <c r="D102" s="300"/>
      <c r="E102" s="300"/>
      <c r="F102" s="300"/>
      <c r="G102" s="300"/>
      <c r="H102" s="300"/>
      <c r="I102" s="300"/>
      <c r="J102" s="300"/>
      <c r="K102" s="300"/>
      <c r="L102" s="300"/>
      <c r="M102" s="300"/>
      <c r="N102" s="300"/>
      <c r="O102" s="300"/>
      <c r="P102" s="300"/>
      <c r="Q102" s="300"/>
      <c r="R102" s="300"/>
      <c r="S102" s="301"/>
    </row>
    <row r="103" spans="1:19">
      <c r="A103" s="319"/>
      <c r="B103" s="300"/>
      <c r="C103" s="332"/>
      <c r="D103" s="300"/>
      <c r="E103" s="300"/>
      <c r="F103" s="300"/>
      <c r="G103" s="300"/>
      <c r="H103" s="300"/>
      <c r="I103" s="300"/>
      <c r="J103" s="300"/>
      <c r="K103" s="300"/>
      <c r="L103" s="300"/>
      <c r="M103" s="300"/>
      <c r="N103" s="300"/>
      <c r="O103" s="300"/>
      <c r="P103" s="300"/>
      <c r="Q103" s="300"/>
      <c r="R103" s="300"/>
      <c r="S103" s="301"/>
    </row>
    <row r="104" spans="1:19">
      <c r="A104" s="319"/>
      <c r="B104" s="300"/>
      <c r="C104" s="332"/>
      <c r="D104" s="300"/>
      <c r="E104" s="300"/>
      <c r="F104" s="300"/>
      <c r="G104" s="300"/>
      <c r="H104" s="300"/>
      <c r="I104" s="300"/>
      <c r="J104" s="300"/>
      <c r="K104" s="300"/>
      <c r="L104" s="300"/>
      <c r="M104" s="300"/>
      <c r="N104" s="300"/>
      <c r="O104" s="300"/>
      <c r="P104" s="300"/>
      <c r="Q104" s="300"/>
      <c r="R104" s="300"/>
      <c r="S104" s="301"/>
    </row>
    <row r="105" spans="1:19">
      <c r="A105" s="319"/>
      <c r="B105" s="300"/>
      <c r="C105" s="332"/>
      <c r="D105" s="300"/>
      <c r="E105" s="300"/>
      <c r="F105" s="300"/>
      <c r="G105" s="300"/>
      <c r="H105" s="300"/>
      <c r="I105" s="300"/>
      <c r="J105" s="300"/>
      <c r="K105" s="300"/>
      <c r="L105" s="300"/>
      <c r="M105" s="300"/>
      <c r="N105" s="300"/>
      <c r="O105" s="300"/>
      <c r="P105" s="300"/>
      <c r="Q105" s="300"/>
      <c r="R105" s="300"/>
      <c r="S105" s="301"/>
    </row>
    <row r="106" spans="1:19">
      <c r="A106" s="319"/>
      <c r="B106" s="300"/>
      <c r="C106" s="332"/>
      <c r="D106" s="300"/>
      <c r="E106" s="300"/>
      <c r="F106" s="300"/>
      <c r="G106" s="300"/>
      <c r="H106" s="300"/>
      <c r="I106" s="300"/>
      <c r="J106" s="300"/>
      <c r="K106" s="300"/>
      <c r="L106" s="300"/>
      <c r="M106" s="300"/>
      <c r="N106" s="300"/>
      <c r="O106" s="300"/>
      <c r="P106" s="300"/>
      <c r="Q106" s="300"/>
      <c r="R106" s="300"/>
      <c r="S106" s="301"/>
    </row>
    <row r="107" spans="1:19">
      <c r="A107" s="319"/>
      <c r="B107" s="300"/>
      <c r="C107" s="332"/>
      <c r="D107" s="300"/>
      <c r="E107" s="300"/>
      <c r="F107" s="300"/>
      <c r="G107" s="300"/>
      <c r="H107" s="300"/>
      <c r="I107" s="300"/>
      <c r="J107" s="300"/>
      <c r="K107" s="300"/>
      <c r="L107" s="300"/>
      <c r="M107" s="300"/>
      <c r="N107" s="300"/>
      <c r="O107" s="300"/>
      <c r="P107" s="300"/>
      <c r="Q107" s="300"/>
      <c r="R107" s="300"/>
      <c r="S107" s="301"/>
    </row>
    <row r="108" spans="1:19">
      <c r="A108" s="319"/>
      <c r="B108" s="300"/>
      <c r="C108" s="332"/>
      <c r="D108" s="300"/>
      <c r="E108" s="300"/>
      <c r="F108" s="300"/>
      <c r="G108" s="300"/>
      <c r="H108" s="300"/>
      <c r="I108" s="300"/>
      <c r="J108" s="300"/>
      <c r="K108" s="300"/>
      <c r="L108" s="300"/>
      <c r="M108" s="300"/>
      <c r="N108" s="300"/>
      <c r="O108" s="300"/>
      <c r="P108" s="300"/>
      <c r="Q108" s="300"/>
      <c r="R108" s="300"/>
      <c r="S108" s="301"/>
    </row>
    <row r="109" spans="1:19">
      <c r="A109" s="319"/>
      <c r="B109" s="300"/>
      <c r="C109" s="332"/>
      <c r="D109" s="300"/>
      <c r="E109" s="300"/>
      <c r="F109" s="300"/>
      <c r="G109" s="300"/>
      <c r="H109" s="300"/>
      <c r="I109" s="300"/>
      <c r="J109" s="300"/>
      <c r="K109" s="300"/>
      <c r="L109" s="300"/>
      <c r="M109" s="300"/>
      <c r="N109" s="300"/>
      <c r="O109" s="300"/>
      <c r="P109" s="300"/>
      <c r="Q109" s="300"/>
      <c r="R109" s="300"/>
      <c r="S109" s="301"/>
    </row>
    <row r="110" spans="1:19">
      <c r="A110" s="319"/>
      <c r="B110" s="300"/>
      <c r="C110" s="332"/>
      <c r="D110" s="300"/>
      <c r="E110" s="300"/>
      <c r="F110" s="300"/>
      <c r="G110" s="300"/>
      <c r="H110" s="300"/>
      <c r="I110" s="300"/>
      <c r="J110" s="300"/>
      <c r="K110" s="300"/>
      <c r="L110" s="300"/>
      <c r="M110" s="300"/>
      <c r="N110" s="300"/>
      <c r="O110" s="300"/>
      <c r="P110" s="300"/>
      <c r="Q110" s="300"/>
      <c r="R110" s="300"/>
      <c r="S110" s="301"/>
    </row>
    <row r="111" spans="1:19">
      <c r="A111" s="319"/>
      <c r="B111" s="300"/>
      <c r="C111" s="332"/>
      <c r="D111" s="300"/>
      <c r="E111" s="300"/>
      <c r="F111" s="300"/>
      <c r="G111" s="300"/>
      <c r="H111" s="300"/>
      <c r="I111" s="300"/>
      <c r="J111" s="300"/>
      <c r="K111" s="300"/>
      <c r="L111" s="300"/>
      <c r="M111" s="300"/>
      <c r="N111" s="300"/>
      <c r="O111" s="300"/>
      <c r="P111" s="300"/>
      <c r="Q111" s="300"/>
      <c r="R111" s="300"/>
      <c r="S111" s="301"/>
    </row>
    <row r="112" spans="1:19">
      <c r="A112" s="319"/>
      <c r="B112" s="300"/>
      <c r="C112" s="332"/>
      <c r="D112" s="300"/>
      <c r="E112" s="300"/>
      <c r="F112" s="300"/>
      <c r="G112" s="300"/>
      <c r="H112" s="300"/>
      <c r="I112" s="300"/>
      <c r="J112" s="300"/>
      <c r="K112" s="300"/>
      <c r="L112" s="300"/>
      <c r="M112" s="300"/>
      <c r="N112" s="300"/>
      <c r="O112" s="300"/>
      <c r="P112" s="300"/>
      <c r="Q112" s="300"/>
      <c r="R112" s="300"/>
      <c r="S112" s="301"/>
    </row>
    <row r="113" spans="1:19">
      <c r="A113" s="319"/>
      <c r="B113" s="300"/>
      <c r="C113" s="332"/>
      <c r="D113" s="300"/>
      <c r="E113" s="300"/>
      <c r="F113" s="300"/>
      <c r="G113" s="300"/>
      <c r="H113" s="300"/>
      <c r="I113" s="300"/>
      <c r="J113" s="300"/>
      <c r="K113" s="300"/>
      <c r="L113" s="300"/>
      <c r="M113" s="300"/>
      <c r="N113" s="300"/>
      <c r="O113" s="300"/>
      <c r="P113" s="300"/>
      <c r="Q113" s="300"/>
      <c r="R113" s="300"/>
      <c r="S113" s="301"/>
    </row>
    <row r="114" spans="1:19">
      <c r="A114" s="319"/>
      <c r="B114" s="300"/>
      <c r="C114" s="332"/>
      <c r="D114" s="300"/>
      <c r="E114" s="300"/>
      <c r="F114" s="300"/>
      <c r="G114" s="300"/>
      <c r="H114" s="300"/>
      <c r="I114" s="300"/>
      <c r="J114" s="300"/>
      <c r="K114" s="300"/>
      <c r="L114" s="300"/>
      <c r="M114" s="300"/>
      <c r="N114" s="300"/>
      <c r="O114" s="300"/>
      <c r="P114" s="300"/>
      <c r="Q114" s="300"/>
      <c r="R114" s="300"/>
      <c r="S114" s="301"/>
    </row>
    <row r="115" spans="1:19">
      <c r="A115" s="319"/>
      <c r="B115" s="300"/>
      <c r="C115" s="332"/>
      <c r="D115" s="300"/>
      <c r="E115" s="300"/>
      <c r="F115" s="300"/>
      <c r="G115" s="300"/>
      <c r="H115" s="300"/>
      <c r="I115" s="300"/>
      <c r="J115" s="300"/>
      <c r="K115" s="300"/>
      <c r="L115" s="300"/>
      <c r="M115" s="300"/>
      <c r="N115" s="300"/>
      <c r="O115" s="300"/>
      <c r="P115" s="300"/>
      <c r="Q115" s="300"/>
      <c r="R115" s="300"/>
      <c r="S115" s="301"/>
    </row>
    <row r="116" spans="1:19">
      <c r="A116" s="319"/>
      <c r="B116" s="300"/>
      <c r="C116" s="332"/>
      <c r="D116" s="300"/>
      <c r="E116" s="300"/>
      <c r="F116" s="300"/>
      <c r="G116" s="300"/>
      <c r="H116" s="300"/>
      <c r="I116" s="300"/>
      <c r="J116" s="300"/>
      <c r="K116" s="300"/>
      <c r="L116" s="300"/>
      <c r="M116" s="300"/>
      <c r="N116" s="300"/>
      <c r="O116" s="300"/>
      <c r="P116" s="300"/>
      <c r="Q116" s="300"/>
      <c r="R116" s="300"/>
      <c r="S116" s="301"/>
    </row>
    <row r="117" spans="1:19">
      <c r="A117" s="319"/>
      <c r="B117" s="300"/>
      <c r="C117" s="332"/>
      <c r="D117" s="300"/>
      <c r="E117" s="300"/>
      <c r="F117" s="300"/>
      <c r="G117" s="300"/>
      <c r="H117" s="300"/>
      <c r="I117" s="300"/>
      <c r="J117" s="300"/>
      <c r="K117" s="300"/>
      <c r="L117" s="300"/>
      <c r="M117" s="300"/>
      <c r="N117" s="300"/>
      <c r="O117" s="300"/>
      <c r="P117" s="300"/>
      <c r="Q117" s="300"/>
      <c r="R117" s="300"/>
      <c r="S117" s="301"/>
    </row>
    <row r="118" spans="1:19">
      <c r="A118" s="319"/>
      <c r="B118" s="300"/>
      <c r="C118" s="332"/>
      <c r="D118" s="300"/>
      <c r="E118" s="300"/>
      <c r="F118" s="300"/>
      <c r="G118" s="300"/>
      <c r="H118" s="300"/>
      <c r="I118" s="300"/>
      <c r="J118" s="300"/>
      <c r="K118" s="300"/>
      <c r="L118" s="300"/>
      <c r="M118" s="300"/>
      <c r="N118" s="300"/>
      <c r="O118" s="300"/>
      <c r="P118" s="300"/>
      <c r="Q118" s="300"/>
      <c r="R118" s="300"/>
      <c r="S118" s="301"/>
    </row>
    <row r="119" spans="1:19">
      <c r="A119" s="319"/>
      <c r="B119" s="300"/>
      <c r="C119" s="332"/>
      <c r="D119" s="300"/>
      <c r="E119" s="300"/>
      <c r="F119" s="300"/>
      <c r="G119" s="300"/>
      <c r="H119" s="300"/>
      <c r="I119" s="300"/>
      <c r="J119" s="300"/>
      <c r="K119" s="300"/>
      <c r="L119" s="300"/>
      <c r="M119" s="300"/>
      <c r="N119" s="300"/>
      <c r="O119" s="300"/>
      <c r="P119" s="300"/>
      <c r="Q119" s="300"/>
      <c r="R119" s="300"/>
      <c r="S119" s="301"/>
    </row>
    <row r="120" spans="1:19">
      <c r="A120" s="319"/>
      <c r="B120" s="300"/>
      <c r="C120" s="332"/>
      <c r="D120" s="300"/>
      <c r="E120" s="300"/>
      <c r="F120" s="300"/>
      <c r="G120" s="300"/>
      <c r="H120" s="300"/>
      <c r="I120" s="300"/>
      <c r="J120" s="300"/>
      <c r="K120" s="300"/>
      <c r="L120" s="300"/>
      <c r="M120" s="300"/>
      <c r="N120" s="300"/>
      <c r="O120" s="300"/>
      <c r="P120" s="300"/>
      <c r="Q120" s="300"/>
      <c r="R120" s="300"/>
      <c r="S120" s="301"/>
    </row>
    <row r="121" spans="1:19">
      <c r="A121" s="319"/>
      <c r="B121" s="300"/>
      <c r="C121" s="332"/>
      <c r="D121" s="300"/>
      <c r="E121" s="300"/>
      <c r="F121" s="300"/>
      <c r="G121" s="300"/>
      <c r="H121" s="300"/>
      <c r="I121" s="300"/>
      <c r="J121" s="300"/>
      <c r="K121" s="300"/>
      <c r="L121" s="300"/>
      <c r="M121" s="300"/>
      <c r="N121" s="300"/>
      <c r="O121" s="300"/>
      <c r="P121" s="300"/>
      <c r="Q121" s="300"/>
      <c r="R121" s="300"/>
      <c r="S121" s="301"/>
    </row>
    <row r="122" spans="1:19">
      <c r="A122" s="319"/>
      <c r="B122" s="300"/>
      <c r="C122" s="332"/>
      <c r="D122" s="300"/>
      <c r="E122" s="300"/>
      <c r="F122" s="300"/>
      <c r="G122" s="300"/>
      <c r="H122" s="300"/>
      <c r="I122" s="300"/>
      <c r="J122" s="300"/>
      <c r="K122" s="300"/>
      <c r="L122" s="300"/>
      <c r="M122" s="300"/>
      <c r="N122" s="300"/>
      <c r="O122" s="300"/>
      <c r="P122" s="300"/>
      <c r="Q122" s="300"/>
      <c r="R122" s="300"/>
      <c r="S122" s="301"/>
    </row>
    <row r="123" spans="1:19">
      <c r="A123" s="319"/>
      <c r="B123" s="300"/>
      <c r="C123" s="332"/>
      <c r="D123" s="300"/>
      <c r="E123" s="300"/>
      <c r="F123" s="300"/>
      <c r="G123" s="300"/>
      <c r="H123" s="300"/>
      <c r="I123" s="300"/>
      <c r="J123" s="300"/>
      <c r="K123" s="300"/>
      <c r="L123" s="300"/>
      <c r="M123" s="300"/>
      <c r="N123" s="300"/>
      <c r="O123" s="300"/>
      <c r="P123" s="300"/>
      <c r="Q123" s="300"/>
      <c r="R123" s="300"/>
      <c r="S123" s="301"/>
    </row>
    <row r="124" spans="1:19">
      <c r="A124" s="319"/>
      <c r="B124" s="300"/>
      <c r="C124" s="332"/>
      <c r="D124" s="300"/>
      <c r="E124" s="300"/>
      <c r="F124" s="300"/>
      <c r="G124" s="300"/>
      <c r="H124" s="300"/>
      <c r="I124" s="300"/>
      <c r="J124" s="300"/>
      <c r="K124" s="300"/>
      <c r="L124" s="300"/>
      <c r="M124" s="300"/>
      <c r="N124" s="300"/>
      <c r="O124" s="300"/>
      <c r="P124" s="300"/>
      <c r="Q124" s="300"/>
      <c r="R124" s="300"/>
      <c r="S124" s="301"/>
    </row>
    <row r="125" spans="1:19">
      <c r="A125" s="319"/>
      <c r="B125" s="300"/>
      <c r="C125" s="332"/>
      <c r="D125" s="300"/>
      <c r="E125" s="300"/>
      <c r="F125" s="300"/>
      <c r="G125" s="300"/>
      <c r="H125" s="300"/>
      <c r="I125" s="300"/>
      <c r="J125" s="300"/>
      <c r="K125" s="300"/>
      <c r="L125" s="300"/>
      <c r="M125" s="300"/>
      <c r="N125" s="300"/>
      <c r="O125" s="300"/>
      <c r="P125" s="300"/>
      <c r="Q125" s="300"/>
      <c r="R125" s="300"/>
      <c r="S125" s="301"/>
    </row>
    <row r="126" spans="1:19">
      <c r="A126" s="319"/>
      <c r="B126" s="300"/>
      <c r="C126" s="332"/>
      <c r="D126" s="300"/>
      <c r="E126" s="300"/>
      <c r="F126" s="300"/>
      <c r="G126" s="300"/>
      <c r="H126" s="300"/>
      <c r="I126" s="300"/>
      <c r="J126" s="300"/>
      <c r="K126" s="300"/>
      <c r="L126" s="300"/>
      <c r="M126" s="300"/>
      <c r="N126" s="300"/>
      <c r="O126" s="300"/>
      <c r="P126" s="300"/>
      <c r="Q126" s="300"/>
      <c r="R126" s="300"/>
      <c r="S126" s="301"/>
    </row>
    <row r="127" spans="1:19">
      <c r="A127" s="319"/>
      <c r="B127" s="300"/>
      <c r="C127" s="332"/>
      <c r="D127" s="300"/>
      <c r="E127" s="300"/>
      <c r="F127" s="300"/>
      <c r="G127" s="300"/>
      <c r="H127" s="300"/>
      <c r="I127" s="300"/>
      <c r="J127" s="300"/>
      <c r="K127" s="300"/>
      <c r="L127" s="300"/>
      <c r="M127" s="300"/>
      <c r="N127" s="300"/>
      <c r="O127" s="300"/>
      <c r="P127" s="300"/>
      <c r="Q127" s="300"/>
      <c r="R127" s="300"/>
      <c r="S127" s="301"/>
    </row>
    <row r="128" spans="1:19">
      <c r="A128" s="319"/>
      <c r="B128" s="300"/>
      <c r="C128" s="332"/>
      <c r="D128" s="300"/>
      <c r="E128" s="300"/>
      <c r="F128" s="300"/>
      <c r="G128" s="300"/>
      <c r="H128" s="300"/>
      <c r="I128" s="300"/>
      <c r="J128" s="300"/>
      <c r="K128" s="300"/>
      <c r="L128" s="300"/>
      <c r="M128" s="300"/>
      <c r="N128" s="300"/>
      <c r="O128" s="300"/>
      <c r="P128" s="300"/>
      <c r="Q128" s="300"/>
      <c r="R128" s="300"/>
      <c r="S128" s="301"/>
    </row>
    <row r="129" spans="1:19">
      <c r="A129" s="319"/>
      <c r="B129" s="300"/>
      <c r="C129" s="332"/>
      <c r="D129" s="300"/>
      <c r="E129" s="300"/>
      <c r="F129" s="300"/>
      <c r="G129" s="300"/>
      <c r="H129" s="300"/>
      <c r="I129" s="300"/>
      <c r="J129" s="300"/>
      <c r="K129" s="300"/>
      <c r="L129" s="300"/>
      <c r="M129" s="300"/>
      <c r="N129" s="300"/>
      <c r="O129" s="300"/>
      <c r="P129" s="300"/>
      <c r="Q129" s="300"/>
      <c r="R129" s="300"/>
      <c r="S129" s="301"/>
    </row>
    <row r="130" spans="1:19">
      <c r="A130" s="319"/>
      <c r="B130" s="300"/>
      <c r="C130" s="332"/>
      <c r="D130" s="300"/>
      <c r="E130" s="300"/>
      <c r="F130" s="300"/>
      <c r="G130" s="300"/>
      <c r="H130" s="300"/>
      <c r="I130" s="300"/>
      <c r="J130" s="300"/>
      <c r="K130" s="300"/>
      <c r="L130" s="300"/>
      <c r="M130" s="300"/>
      <c r="N130" s="300"/>
      <c r="O130" s="300"/>
      <c r="P130" s="300"/>
      <c r="Q130" s="300"/>
      <c r="R130" s="300"/>
      <c r="S130" s="301"/>
    </row>
    <row r="131" spans="1:19">
      <c r="A131" s="319"/>
      <c r="B131" s="300"/>
      <c r="C131" s="332"/>
      <c r="D131" s="300"/>
      <c r="E131" s="300"/>
      <c r="F131" s="300"/>
      <c r="G131" s="300"/>
      <c r="H131" s="300"/>
      <c r="I131" s="300"/>
      <c r="J131" s="300"/>
      <c r="K131" s="300"/>
      <c r="L131" s="300"/>
      <c r="M131" s="300"/>
      <c r="N131" s="300"/>
      <c r="O131" s="300"/>
      <c r="P131" s="300"/>
      <c r="Q131" s="300"/>
      <c r="R131" s="300"/>
      <c r="S131" s="301"/>
    </row>
    <row r="132" spans="1:19">
      <c r="A132" s="319"/>
      <c r="B132" s="300"/>
      <c r="C132" s="332"/>
      <c r="D132" s="300"/>
      <c r="E132" s="300"/>
      <c r="F132" s="300"/>
      <c r="G132" s="300"/>
      <c r="H132" s="300"/>
      <c r="I132" s="300"/>
      <c r="J132" s="300"/>
      <c r="K132" s="300"/>
      <c r="L132" s="300"/>
      <c r="M132" s="300"/>
      <c r="N132" s="300"/>
      <c r="O132" s="300"/>
      <c r="P132" s="300"/>
      <c r="Q132" s="300"/>
      <c r="R132" s="300"/>
      <c r="S132" s="301"/>
    </row>
    <row r="133" spans="1:19">
      <c r="A133" s="319"/>
      <c r="B133" s="300"/>
      <c r="C133" s="332"/>
      <c r="D133" s="300"/>
      <c r="E133" s="300"/>
      <c r="F133" s="300"/>
      <c r="G133" s="300"/>
      <c r="H133" s="300"/>
      <c r="I133" s="300"/>
      <c r="J133" s="300"/>
      <c r="K133" s="300"/>
      <c r="L133" s="300"/>
      <c r="M133" s="300"/>
      <c r="N133" s="300"/>
      <c r="O133" s="300"/>
      <c r="P133" s="300"/>
      <c r="Q133" s="300"/>
      <c r="R133" s="300"/>
      <c r="S133" s="301"/>
    </row>
    <row r="134" spans="1:19">
      <c r="A134" s="319"/>
      <c r="B134" s="300"/>
      <c r="C134" s="332"/>
      <c r="D134" s="300"/>
      <c r="E134" s="300"/>
      <c r="F134" s="300"/>
      <c r="G134" s="300"/>
      <c r="H134" s="300"/>
      <c r="I134" s="300"/>
      <c r="J134" s="300"/>
      <c r="K134" s="300"/>
      <c r="L134" s="300"/>
      <c r="M134" s="300"/>
      <c r="N134" s="300"/>
      <c r="O134" s="300"/>
      <c r="P134" s="300"/>
      <c r="Q134" s="300"/>
      <c r="R134" s="300"/>
      <c r="S134" s="301"/>
    </row>
    <row r="135" spans="1:19">
      <c r="A135" s="319"/>
      <c r="B135" s="300"/>
      <c r="C135" s="332"/>
      <c r="D135" s="300"/>
      <c r="E135" s="300"/>
      <c r="F135" s="300"/>
      <c r="G135" s="300"/>
      <c r="H135" s="300"/>
      <c r="I135" s="300"/>
      <c r="J135" s="300"/>
      <c r="K135" s="300"/>
      <c r="L135" s="300"/>
      <c r="M135" s="300"/>
      <c r="N135" s="300"/>
      <c r="O135" s="300"/>
      <c r="P135" s="300"/>
      <c r="Q135" s="300"/>
      <c r="R135" s="300"/>
      <c r="S135" s="301"/>
    </row>
    <row r="136" spans="1:19">
      <c r="A136" s="319"/>
      <c r="B136" s="300"/>
      <c r="C136" s="332"/>
      <c r="D136" s="300"/>
      <c r="E136" s="300"/>
      <c r="F136" s="300"/>
      <c r="G136" s="300"/>
      <c r="H136" s="300"/>
      <c r="I136" s="300"/>
      <c r="J136" s="300"/>
      <c r="K136" s="300"/>
      <c r="L136" s="300"/>
      <c r="M136" s="300"/>
      <c r="N136" s="300"/>
      <c r="O136" s="300"/>
      <c r="P136" s="300"/>
      <c r="Q136" s="300"/>
      <c r="R136" s="300"/>
      <c r="S136" s="301"/>
    </row>
    <row r="137" spans="1:19">
      <c r="A137" s="319"/>
      <c r="B137" s="300"/>
      <c r="C137" s="332"/>
      <c r="D137" s="300"/>
      <c r="E137" s="300"/>
      <c r="F137" s="300"/>
      <c r="G137" s="300"/>
      <c r="H137" s="300"/>
      <c r="I137" s="300"/>
      <c r="J137" s="300"/>
      <c r="K137" s="300"/>
      <c r="L137" s="300"/>
      <c r="M137" s="300"/>
      <c r="N137" s="300"/>
      <c r="O137" s="300"/>
      <c r="P137" s="300"/>
      <c r="Q137" s="300"/>
      <c r="R137" s="300"/>
      <c r="S137" s="301"/>
    </row>
    <row r="138" spans="1:19">
      <c r="A138" s="319"/>
      <c r="B138" s="300"/>
      <c r="C138" s="332"/>
      <c r="D138" s="300"/>
      <c r="E138" s="300"/>
      <c r="F138" s="300"/>
      <c r="G138" s="300"/>
      <c r="H138" s="300"/>
      <c r="I138" s="300"/>
      <c r="J138" s="300"/>
      <c r="K138" s="300"/>
      <c r="L138" s="300"/>
      <c r="M138" s="300"/>
      <c r="N138" s="300"/>
      <c r="O138" s="300"/>
      <c r="P138" s="300"/>
      <c r="Q138" s="300"/>
      <c r="R138" s="300"/>
      <c r="S138" s="301"/>
    </row>
    <row r="139" spans="1:19">
      <c r="A139" s="319"/>
      <c r="B139" s="300"/>
      <c r="C139" s="332"/>
      <c r="D139" s="300"/>
      <c r="E139" s="300"/>
      <c r="F139" s="300"/>
      <c r="G139" s="300"/>
      <c r="H139" s="300"/>
      <c r="I139" s="300"/>
      <c r="J139" s="300"/>
      <c r="K139" s="300"/>
      <c r="L139" s="300"/>
      <c r="M139" s="300"/>
      <c r="N139" s="300"/>
      <c r="O139" s="300"/>
      <c r="P139" s="300"/>
      <c r="Q139" s="300"/>
      <c r="R139" s="300"/>
      <c r="S139" s="301"/>
    </row>
    <row r="140" spans="1:19">
      <c r="A140" s="319"/>
      <c r="B140" s="300"/>
      <c r="C140" s="332"/>
      <c r="D140" s="300"/>
      <c r="E140" s="300"/>
      <c r="F140" s="300"/>
      <c r="G140" s="300"/>
      <c r="H140" s="300"/>
      <c r="I140" s="300"/>
      <c r="J140" s="300"/>
      <c r="K140" s="300"/>
      <c r="L140" s="300"/>
      <c r="M140" s="300"/>
      <c r="N140" s="300"/>
      <c r="O140" s="300"/>
      <c r="P140" s="300"/>
      <c r="Q140" s="300"/>
      <c r="R140" s="300"/>
      <c r="S140" s="301"/>
    </row>
    <row r="141" spans="1:19">
      <c r="A141" s="319"/>
      <c r="B141" s="300"/>
      <c r="C141" s="332"/>
      <c r="D141" s="300"/>
      <c r="E141" s="300"/>
      <c r="F141" s="300"/>
      <c r="G141" s="300"/>
      <c r="H141" s="300"/>
      <c r="I141" s="300"/>
      <c r="J141" s="300"/>
      <c r="K141" s="300"/>
      <c r="L141" s="300"/>
      <c r="M141" s="300"/>
      <c r="N141" s="300"/>
      <c r="O141" s="300"/>
      <c r="P141" s="300"/>
      <c r="Q141" s="300"/>
      <c r="R141" s="300"/>
      <c r="S141" s="301"/>
    </row>
    <row r="142" spans="1:19">
      <c r="A142" s="319"/>
      <c r="B142" s="300"/>
      <c r="C142" s="332"/>
      <c r="D142" s="300"/>
      <c r="E142" s="300"/>
      <c r="F142" s="300"/>
      <c r="G142" s="300"/>
      <c r="H142" s="300"/>
      <c r="I142" s="300"/>
      <c r="J142" s="300"/>
      <c r="K142" s="300"/>
      <c r="L142" s="300"/>
      <c r="M142" s="300"/>
      <c r="N142" s="300"/>
      <c r="O142" s="300"/>
      <c r="P142" s="300"/>
      <c r="Q142" s="300"/>
      <c r="R142" s="300"/>
      <c r="S142" s="301"/>
    </row>
    <row r="143" spans="1:19">
      <c r="A143" s="319"/>
      <c r="B143" s="300"/>
      <c r="C143" s="332"/>
      <c r="D143" s="300"/>
      <c r="E143" s="300"/>
      <c r="F143" s="300"/>
      <c r="G143" s="300"/>
      <c r="H143" s="300"/>
      <c r="I143" s="300"/>
      <c r="J143" s="300"/>
      <c r="K143" s="300"/>
      <c r="L143" s="300"/>
      <c r="M143" s="300"/>
      <c r="N143" s="300"/>
      <c r="O143" s="300"/>
      <c r="P143" s="300"/>
      <c r="Q143" s="300"/>
      <c r="R143" s="300"/>
      <c r="S143" s="301"/>
    </row>
    <row r="144" spans="1:19">
      <c r="A144" s="319"/>
      <c r="B144" s="300"/>
      <c r="C144" s="332"/>
      <c r="D144" s="300"/>
      <c r="E144" s="300"/>
      <c r="F144" s="300"/>
      <c r="G144" s="300"/>
      <c r="H144" s="300"/>
      <c r="I144" s="300"/>
      <c r="J144" s="300"/>
      <c r="K144" s="300"/>
      <c r="L144" s="300"/>
      <c r="M144" s="300"/>
      <c r="N144" s="300"/>
      <c r="O144" s="300"/>
      <c r="P144" s="300"/>
      <c r="Q144" s="300"/>
      <c r="R144" s="300"/>
      <c r="S144" s="301"/>
    </row>
    <row r="145" spans="1:19">
      <c r="A145" s="319"/>
      <c r="B145" s="300"/>
      <c r="C145" s="332"/>
      <c r="D145" s="300"/>
      <c r="E145" s="300"/>
      <c r="F145" s="300"/>
      <c r="G145" s="300"/>
      <c r="H145" s="300"/>
      <c r="I145" s="300"/>
      <c r="J145" s="300"/>
      <c r="K145" s="300"/>
      <c r="L145" s="300"/>
      <c r="M145" s="300"/>
      <c r="N145" s="300"/>
      <c r="O145" s="300"/>
      <c r="P145" s="300"/>
      <c r="Q145" s="300"/>
      <c r="R145" s="300"/>
      <c r="S145" s="301"/>
    </row>
    <row r="146" spans="1:19">
      <c r="A146" s="319"/>
      <c r="B146" s="300"/>
      <c r="C146" s="332"/>
      <c r="D146" s="300"/>
      <c r="E146" s="300"/>
      <c r="F146" s="300"/>
      <c r="G146" s="300"/>
      <c r="H146" s="300"/>
      <c r="I146" s="300"/>
      <c r="J146" s="300"/>
      <c r="K146" s="300"/>
      <c r="L146" s="300"/>
      <c r="M146" s="300"/>
      <c r="N146" s="300"/>
      <c r="O146" s="300"/>
      <c r="P146" s="300"/>
      <c r="Q146" s="300"/>
      <c r="R146" s="300"/>
      <c r="S146" s="301"/>
    </row>
    <row r="147" spans="1:19">
      <c r="A147" s="319"/>
      <c r="B147" s="300"/>
      <c r="C147" s="332"/>
      <c r="D147" s="300"/>
      <c r="E147" s="300"/>
      <c r="F147" s="300"/>
      <c r="G147" s="300"/>
      <c r="H147" s="300"/>
      <c r="I147" s="300"/>
      <c r="J147" s="300"/>
      <c r="K147" s="300"/>
      <c r="L147" s="300"/>
      <c r="M147" s="300"/>
      <c r="N147" s="300"/>
      <c r="O147" s="300"/>
      <c r="P147" s="300"/>
      <c r="Q147" s="300"/>
      <c r="R147" s="300"/>
      <c r="S147" s="301"/>
    </row>
    <row r="148" spans="1:19">
      <c r="A148" s="319"/>
      <c r="B148" s="300"/>
      <c r="C148" s="332"/>
      <c r="D148" s="300"/>
      <c r="E148" s="300"/>
      <c r="F148" s="300"/>
      <c r="G148" s="300"/>
      <c r="H148" s="300"/>
      <c r="I148" s="300"/>
      <c r="J148" s="300"/>
      <c r="K148" s="300"/>
      <c r="L148" s="300"/>
      <c r="M148" s="300"/>
      <c r="N148" s="300"/>
      <c r="O148" s="300"/>
      <c r="P148" s="300"/>
      <c r="Q148" s="300"/>
      <c r="R148" s="300"/>
      <c r="S148" s="301"/>
    </row>
    <row r="149" spans="1:19">
      <c r="A149" s="319"/>
      <c r="B149" s="300"/>
      <c r="C149" s="332"/>
      <c r="D149" s="300"/>
      <c r="E149" s="300"/>
      <c r="F149" s="300"/>
      <c r="G149" s="300"/>
      <c r="H149" s="300"/>
      <c r="I149" s="300"/>
      <c r="J149" s="300"/>
      <c r="K149" s="300"/>
      <c r="L149" s="300"/>
      <c r="M149" s="300"/>
      <c r="N149" s="300"/>
      <c r="O149" s="300"/>
      <c r="P149" s="300"/>
      <c r="Q149" s="300"/>
      <c r="R149" s="300"/>
      <c r="S149" s="301"/>
    </row>
    <row r="150" spans="1:19">
      <c r="A150" s="319"/>
      <c r="B150" s="300"/>
      <c r="C150" s="332"/>
      <c r="D150" s="300"/>
      <c r="E150" s="300"/>
      <c r="F150" s="300"/>
      <c r="G150" s="300"/>
      <c r="H150" s="300"/>
      <c r="I150" s="300"/>
      <c r="J150" s="300"/>
      <c r="K150" s="300"/>
      <c r="L150" s="300"/>
      <c r="M150" s="300"/>
      <c r="N150" s="300"/>
      <c r="O150" s="300"/>
      <c r="P150" s="300"/>
      <c r="Q150" s="300"/>
      <c r="R150" s="300"/>
      <c r="S150" s="301"/>
    </row>
    <row r="151" spans="1:19">
      <c r="A151" s="319"/>
      <c r="B151" s="300"/>
      <c r="C151" s="332"/>
      <c r="D151" s="300"/>
      <c r="E151" s="300"/>
      <c r="F151" s="300"/>
      <c r="G151" s="300"/>
      <c r="H151" s="300"/>
      <c r="I151" s="300"/>
      <c r="J151" s="300"/>
      <c r="K151" s="300"/>
      <c r="L151" s="300"/>
      <c r="M151" s="300"/>
      <c r="N151" s="300"/>
      <c r="O151" s="300"/>
      <c r="P151" s="300"/>
      <c r="Q151" s="300"/>
      <c r="R151" s="300"/>
      <c r="S151" s="301"/>
    </row>
    <row r="152" spans="1:19">
      <c r="A152" s="319"/>
      <c r="B152" s="300"/>
      <c r="C152" s="332"/>
      <c r="D152" s="300"/>
      <c r="E152" s="300"/>
      <c r="F152" s="300"/>
      <c r="G152" s="300"/>
      <c r="H152" s="300"/>
      <c r="I152" s="300"/>
      <c r="J152" s="300"/>
      <c r="K152" s="300"/>
      <c r="L152" s="300"/>
      <c r="M152" s="300"/>
      <c r="N152" s="300"/>
      <c r="O152" s="300"/>
      <c r="P152" s="300"/>
      <c r="Q152" s="300"/>
      <c r="R152" s="300"/>
      <c r="S152" s="301"/>
    </row>
    <row r="153" spans="1:19">
      <c r="A153" s="319"/>
      <c r="B153" s="300"/>
      <c r="C153" s="332"/>
      <c r="D153" s="300"/>
      <c r="E153" s="300"/>
      <c r="F153" s="300"/>
      <c r="G153" s="300"/>
      <c r="H153" s="300"/>
      <c r="I153" s="300"/>
      <c r="J153" s="300"/>
      <c r="K153" s="300"/>
      <c r="L153" s="300"/>
      <c r="M153" s="300"/>
      <c r="N153" s="300"/>
      <c r="O153" s="300"/>
      <c r="P153" s="300"/>
      <c r="Q153" s="300"/>
      <c r="R153" s="300"/>
      <c r="S153" s="301"/>
    </row>
    <row r="154" spans="1:19">
      <c r="A154" s="319"/>
      <c r="B154" s="300"/>
      <c r="C154" s="332"/>
      <c r="D154" s="300"/>
      <c r="E154" s="300"/>
      <c r="F154" s="300"/>
      <c r="G154" s="300"/>
      <c r="H154" s="300"/>
      <c r="I154" s="300"/>
      <c r="J154" s="300"/>
      <c r="K154" s="300"/>
      <c r="L154" s="300"/>
      <c r="M154" s="300"/>
      <c r="N154" s="300"/>
      <c r="O154" s="300"/>
      <c r="P154" s="300"/>
      <c r="Q154" s="300"/>
      <c r="R154" s="300"/>
      <c r="S154" s="301"/>
    </row>
    <row r="155" spans="1:19">
      <c r="A155" s="319"/>
      <c r="B155" s="300"/>
      <c r="C155" s="332"/>
      <c r="D155" s="300"/>
      <c r="E155" s="300"/>
      <c r="F155" s="300"/>
      <c r="G155" s="300"/>
      <c r="H155" s="300"/>
      <c r="I155" s="300"/>
      <c r="J155" s="300"/>
      <c r="K155" s="300"/>
      <c r="L155" s="300"/>
      <c r="M155" s="300"/>
      <c r="N155" s="300"/>
      <c r="O155" s="300"/>
      <c r="P155" s="300"/>
      <c r="Q155" s="300"/>
      <c r="R155" s="300"/>
      <c r="S155" s="301"/>
    </row>
    <row r="156" spans="1:19">
      <c r="A156" s="319"/>
      <c r="B156" s="300"/>
      <c r="C156" s="332"/>
      <c r="D156" s="300"/>
      <c r="E156" s="300"/>
      <c r="F156" s="300"/>
      <c r="G156" s="300"/>
      <c r="H156" s="300"/>
      <c r="I156" s="300"/>
      <c r="J156" s="300"/>
      <c r="K156" s="300"/>
      <c r="L156" s="300"/>
      <c r="M156" s="300"/>
      <c r="N156" s="300"/>
      <c r="O156" s="300"/>
      <c r="P156" s="300"/>
      <c r="Q156" s="300"/>
      <c r="R156" s="300"/>
      <c r="S156" s="301"/>
    </row>
    <row r="157" spans="1:19">
      <c r="A157" s="319"/>
      <c r="B157" s="300"/>
      <c r="C157" s="332"/>
      <c r="D157" s="300"/>
      <c r="E157" s="300"/>
      <c r="F157" s="300"/>
      <c r="G157" s="300"/>
      <c r="H157" s="300"/>
      <c r="I157" s="300"/>
      <c r="J157" s="300"/>
      <c r="K157" s="300"/>
      <c r="L157" s="300"/>
      <c r="M157" s="300"/>
      <c r="N157" s="300"/>
      <c r="O157" s="300"/>
      <c r="P157" s="300"/>
      <c r="Q157" s="300"/>
      <c r="R157" s="300"/>
      <c r="S157" s="301"/>
    </row>
    <row r="158" spans="1:19">
      <c r="A158" s="319"/>
      <c r="B158" s="300"/>
      <c r="C158" s="332"/>
      <c r="D158" s="300"/>
      <c r="E158" s="300"/>
      <c r="F158" s="300"/>
      <c r="G158" s="300"/>
      <c r="H158" s="300"/>
      <c r="I158" s="300"/>
      <c r="J158" s="300"/>
      <c r="K158" s="300"/>
      <c r="L158" s="300"/>
      <c r="M158" s="300"/>
      <c r="N158" s="300"/>
      <c r="O158" s="300"/>
      <c r="P158" s="300"/>
      <c r="Q158" s="300"/>
      <c r="R158" s="300"/>
      <c r="S158" s="301"/>
    </row>
    <row r="159" spans="1:19">
      <c r="A159" s="319"/>
      <c r="B159" s="300"/>
      <c r="C159" s="332"/>
      <c r="D159" s="300"/>
      <c r="E159" s="300"/>
      <c r="F159" s="300"/>
      <c r="G159" s="300"/>
      <c r="H159" s="300"/>
      <c r="I159" s="300"/>
      <c r="J159" s="300"/>
      <c r="K159" s="300"/>
      <c r="L159" s="300"/>
      <c r="M159" s="300"/>
      <c r="N159" s="300"/>
      <c r="O159" s="300"/>
      <c r="P159" s="300"/>
      <c r="Q159" s="300"/>
      <c r="R159" s="300"/>
      <c r="S159" s="301"/>
    </row>
    <row r="160" spans="1:19">
      <c r="A160" s="319"/>
      <c r="B160" s="300"/>
      <c r="C160" s="332"/>
      <c r="D160" s="300"/>
      <c r="E160" s="300"/>
      <c r="F160" s="300"/>
      <c r="G160" s="300"/>
      <c r="H160" s="300"/>
      <c r="I160" s="300"/>
      <c r="J160" s="300"/>
      <c r="K160" s="300"/>
      <c r="L160" s="300"/>
      <c r="M160" s="300"/>
      <c r="N160" s="300"/>
      <c r="O160" s="300"/>
      <c r="P160" s="300"/>
      <c r="Q160" s="300"/>
      <c r="R160" s="300"/>
      <c r="S160" s="301"/>
    </row>
    <row r="161" spans="1:19">
      <c r="A161" s="319"/>
      <c r="B161" s="300"/>
      <c r="C161" s="332"/>
      <c r="D161" s="300"/>
      <c r="E161" s="300"/>
      <c r="F161" s="300"/>
      <c r="G161" s="300"/>
      <c r="H161" s="300"/>
      <c r="I161" s="300"/>
      <c r="J161" s="300"/>
      <c r="K161" s="300"/>
      <c r="L161" s="300"/>
      <c r="M161" s="300"/>
      <c r="N161" s="300"/>
      <c r="O161" s="300"/>
      <c r="P161" s="300"/>
      <c r="Q161" s="300"/>
      <c r="R161" s="300"/>
      <c r="S161" s="301"/>
    </row>
    <row r="162" spans="1:19">
      <c r="A162" s="319"/>
      <c r="B162" s="300"/>
      <c r="C162" s="332"/>
      <c r="D162" s="300"/>
      <c r="E162" s="300"/>
      <c r="F162" s="300"/>
      <c r="G162" s="300"/>
      <c r="H162" s="300"/>
      <c r="I162" s="300"/>
      <c r="J162" s="300"/>
      <c r="K162" s="300"/>
      <c r="L162" s="300"/>
      <c r="M162" s="300"/>
      <c r="N162" s="300"/>
      <c r="O162" s="300"/>
      <c r="P162" s="300"/>
      <c r="Q162" s="300"/>
      <c r="R162" s="300"/>
      <c r="S162" s="301"/>
    </row>
    <row r="163" spans="1:19">
      <c r="A163" s="319"/>
      <c r="B163" s="300"/>
      <c r="C163" s="332"/>
      <c r="D163" s="300"/>
      <c r="E163" s="300"/>
      <c r="F163" s="300"/>
      <c r="G163" s="300"/>
      <c r="H163" s="300"/>
      <c r="I163" s="300"/>
      <c r="J163" s="300"/>
      <c r="K163" s="300"/>
      <c r="L163" s="300"/>
      <c r="M163" s="300"/>
      <c r="N163" s="300"/>
      <c r="O163" s="300"/>
      <c r="P163" s="300"/>
      <c r="Q163" s="300"/>
      <c r="R163" s="300"/>
      <c r="S163" s="301"/>
    </row>
    <row r="164" spans="1:19">
      <c r="A164" s="319"/>
      <c r="B164" s="300"/>
      <c r="C164" s="332"/>
      <c r="D164" s="300"/>
      <c r="E164" s="300"/>
      <c r="F164" s="300"/>
      <c r="G164" s="300"/>
      <c r="H164" s="300"/>
      <c r="I164" s="300"/>
      <c r="J164" s="300"/>
      <c r="K164" s="300"/>
      <c r="L164" s="300"/>
      <c r="M164" s="300"/>
      <c r="N164" s="300"/>
      <c r="O164" s="300"/>
      <c r="P164" s="300"/>
      <c r="Q164" s="300"/>
      <c r="R164" s="300"/>
      <c r="S164" s="301"/>
    </row>
    <row r="165" spans="1:19">
      <c r="A165" s="319"/>
      <c r="B165" s="300"/>
      <c r="C165" s="332"/>
      <c r="D165" s="300"/>
      <c r="E165" s="300"/>
      <c r="F165" s="300"/>
      <c r="G165" s="300"/>
      <c r="H165" s="300"/>
      <c r="I165" s="300"/>
      <c r="J165" s="300"/>
      <c r="K165" s="300"/>
      <c r="L165" s="300"/>
      <c r="M165" s="300"/>
      <c r="N165" s="300"/>
      <c r="O165" s="300"/>
      <c r="P165" s="300"/>
      <c r="Q165" s="300"/>
      <c r="R165" s="300"/>
      <c r="S165" s="301"/>
    </row>
    <row r="166" spans="1:19">
      <c r="A166" s="319"/>
      <c r="B166" s="300"/>
      <c r="C166" s="332"/>
      <c r="D166" s="300"/>
      <c r="E166" s="300"/>
      <c r="F166" s="300"/>
      <c r="G166" s="300"/>
      <c r="H166" s="300"/>
      <c r="I166" s="300"/>
      <c r="J166" s="300"/>
      <c r="K166" s="300"/>
      <c r="L166" s="300"/>
      <c r="M166" s="300"/>
      <c r="N166" s="300"/>
      <c r="O166" s="300"/>
      <c r="P166" s="300"/>
      <c r="Q166" s="300"/>
      <c r="R166" s="300"/>
      <c r="S166" s="301"/>
    </row>
    <row r="167" spans="1:19">
      <c r="A167" s="319"/>
      <c r="B167" s="300"/>
      <c r="C167" s="332"/>
      <c r="D167" s="300"/>
      <c r="E167" s="300"/>
      <c r="F167" s="300"/>
      <c r="G167" s="300"/>
      <c r="H167" s="300"/>
      <c r="I167" s="300"/>
      <c r="J167" s="300"/>
      <c r="K167" s="300"/>
      <c r="L167" s="300"/>
      <c r="M167" s="300"/>
      <c r="N167" s="300"/>
      <c r="O167" s="300"/>
      <c r="P167" s="300"/>
      <c r="Q167" s="300"/>
      <c r="R167" s="300"/>
      <c r="S167" s="301"/>
    </row>
    <row r="168" spans="1:19">
      <c r="A168" s="319"/>
      <c r="B168" s="300"/>
      <c r="C168" s="332"/>
      <c r="D168" s="300"/>
      <c r="E168" s="300"/>
      <c r="F168" s="300"/>
      <c r="G168" s="300"/>
      <c r="H168" s="300"/>
      <c r="I168" s="300"/>
      <c r="J168" s="300"/>
      <c r="K168" s="300"/>
      <c r="L168" s="300"/>
      <c r="M168" s="300"/>
      <c r="N168" s="300"/>
      <c r="O168" s="300"/>
      <c r="P168" s="300"/>
      <c r="Q168" s="300"/>
      <c r="R168" s="300"/>
      <c r="S168" s="301"/>
    </row>
    <row r="169" spans="1:19">
      <c r="A169" s="319"/>
      <c r="B169" s="300"/>
      <c r="C169" s="332"/>
      <c r="D169" s="300"/>
      <c r="E169" s="300"/>
      <c r="F169" s="300"/>
      <c r="G169" s="300"/>
      <c r="H169" s="300"/>
      <c r="I169" s="300"/>
      <c r="J169" s="300"/>
      <c r="K169" s="300"/>
      <c r="L169" s="300"/>
      <c r="M169" s="300"/>
      <c r="N169" s="300"/>
      <c r="O169" s="300"/>
      <c r="P169" s="300"/>
      <c r="Q169" s="300"/>
      <c r="R169" s="300"/>
      <c r="S169" s="301"/>
    </row>
    <row r="170" spans="1:19">
      <c r="A170" s="319"/>
      <c r="B170" s="300"/>
      <c r="C170" s="332"/>
      <c r="D170" s="300"/>
      <c r="E170" s="300"/>
      <c r="F170" s="300"/>
      <c r="G170" s="300"/>
      <c r="H170" s="300"/>
      <c r="I170" s="300"/>
      <c r="J170" s="300"/>
      <c r="K170" s="300"/>
      <c r="L170" s="300"/>
      <c r="M170" s="300"/>
      <c r="N170" s="300"/>
      <c r="O170" s="300"/>
      <c r="P170" s="300"/>
      <c r="Q170" s="300"/>
      <c r="R170" s="300"/>
      <c r="S170" s="301"/>
    </row>
    <row r="171" spans="1:19">
      <c r="A171" s="319"/>
      <c r="B171" s="300"/>
      <c r="C171" s="332"/>
      <c r="D171" s="300"/>
      <c r="E171" s="300"/>
      <c r="F171" s="300"/>
      <c r="G171" s="300"/>
      <c r="H171" s="300"/>
      <c r="I171" s="300"/>
      <c r="J171" s="300"/>
      <c r="K171" s="300"/>
      <c r="L171" s="300"/>
      <c r="M171" s="300"/>
      <c r="N171" s="300"/>
      <c r="O171" s="300"/>
      <c r="P171" s="300"/>
      <c r="Q171" s="300"/>
      <c r="R171" s="300"/>
      <c r="S171" s="301"/>
    </row>
    <row r="172" spans="1:19">
      <c r="A172" s="319"/>
      <c r="B172" s="300"/>
      <c r="C172" s="332"/>
      <c r="D172" s="300"/>
      <c r="E172" s="300"/>
      <c r="F172" s="300"/>
      <c r="G172" s="300"/>
      <c r="H172" s="300"/>
      <c r="I172" s="300"/>
      <c r="J172" s="300"/>
      <c r="K172" s="300"/>
      <c r="L172" s="300"/>
      <c r="M172" s="300"/>
      <c r="N172" s="300"/>
      <c r="O172" s="300"/>
      <c r="P172" s="300"/>
      <c r="Q172" s="300"/>
      <c r="R172" s="300"/>
      <c r="S172" s="301"/>
    </row>
    <row r="173" spans="1:19">
      <c r="A173" s="319"/>
      <c r="B173" s="300"/>
      <c r="C173" s="332"/>
      <c r="D173" s="300"/>
      <c r="E173" s="300"/>
      <c r="F173" s="300"/>
      <c r="G173" s="300"/>
      <c r="H173" s="300"/>
      <c r="I173" s="300"/>
      <c r="J173" s="300"/>
      <c r="K173" s="300"/>
      <c r="L173" s="300"/>
      <c r="M173" s="300"/>
      <c r="N173" s="300"/>
      <c r="O173" s="300"/>
      <c r="P173" s="300"/>
      <c r="Q173" s="300"/>
      <c r="R173" s="300"/>
      <c r="S173" s="301"/>
    </row>
    <row r="174" spans="1:19">
      <c r="A174" s="319"/>
      <c r="B174" s="300"/>
      <c r="C174" s="332"/>
      <c r="D174" s="300"/>
      <c r="E174" s="300"/>
      <c r="F174" s="300"/>
      <c r="G174" s="300"/>
      <c r="H174" s="300"/>
      <c r="I174" s="300"/>
      <c r="J174" s="300"/>
      <c r="K174" s="300"/>
      <c r="L174" s="300"/>
      <c r="M174" s="300"/>
      <c r="N174" s="300"/>
      <c r="O174" s="300"/>
      <c r="P174" s="300"/>
      <c r="Q174" s="300"/>
      <c r="R174" s="300"/>
      <c r="S174" s="301"/>
    </row>
    <row r="175" spans="1:19">
      <c r="A175" s="319"/>
      <c r="B175" s="300"/>
      <c r="C175" s="332"/>
      <c r="D175" s="300"/>
      <c r="E175" s="300"/>
      <c r="F175" s="300"/>
      <c r="G175" s="300"/>
      <c r="H175" s="300"/>
      <c r="I175" s="300"/>
      <c r="J175" s="300"/>
      <c r="K175" s="300"/>
      <c r="L175" s="300"/>
      <c r="M175" s="300"/>
      <c r="N175" s="300"/>
      <c r="O175" s="300"/>
      <c r="P175" s="300"/>
      <c r="Q175" s="300"/>
      <c r="R175" s="300"/>
      <c r="S175" s="301"/>
    </row>
    <row r="176" spans="1:19">
      <c r="A176" s="319"/>
      <c r="B176" s="300"/>
      <c r="C176" s="332"/>
      <c r="D176" s="300"/>
      <c r="E176" s="300"/>
      <c r="F176" s="300"/>
      <c r="G176" s="300"/>
      <c r="H176" s="300"/>
      <c r="I176" s="300"/>
      <c r="J176" s="300"/>
      <c r="K176" s="300"/>
      <c r="L176" s="300"/>
      <c r="M176" s="300"/>
      <c r="N176" s="300"/>
      <c r="O176" s="300"/>
      <c r="P176" s="300"/>
      <c r="Q176" s="300"/>
      <c r="R176" s="300"/>
      <c r="S176" s="301"/>
    </row>
    <row r="177" spans="1:19">
      <c r="A177" s="319"/>
      <c r="B177" s="300"/>
      <c r="C177" s="332"/>
      <c r="D177" s="300"/>
      <c r="E177" s="300"/>
      <c r="F177" s="300"/>
      <c r="G177" s="300"/>
      <c r="H177" s="300"/>
      <c r="I177" s="300"/>
      <c r="J177" s="300"/>
      <c r="K177" s="300"/>
      <c r="L177" s="300"/>
      <c r="M177" s="300"/>
      <c r="N177" s="300"/>
      <c r="O177" s="300"/>
      <c r="P177" s="300"/>
      <c r="Q177" s="300"/>
      <c r="R177" s="300"/>
      <c r="S177" s="301"/>
    </row>
    <row r="178" spans="1:19">
      <c r="A178" s="319"/>
      <c r="B178" s="300"/>
      <c r="C178" s="332"/>
      <c r="D178" s="300"/>
      <c r="E178" s="300"/>
      <c r="F178" s="300"/>
      <c r="G178" s="300"/>
      <c r="H178" s="300"/>
      <c r="I178" s="300"/>
      <c r="J178" s="300"/>
      <c r="K178" s="300"/>
      <c r="L178" s="300"/>
      <c r="M178" s="300"/>
      <c r="N178" s="300"/>
      <c r="O178" s="300"/>
      <c r="P178" s="300"/>
      <c r="Q178" s="300"/>
      <c r="R178" s="300"/>
      <c r="S178" s="301"/>
    </row>
    <row r="179" spans="1:19">
      <c r="A179" s="319"/>
      <c r="B179" s="300"/>
      <c r="C179" s="332"/>
      <c r="D179" s="300"/>
      <c r="E179" s="300"/>
      <c r="F179" s="300"/>
      <c r="G179" s="300"/>
      <c r="H179" s="300"/>
      <c r="I179" s="300"/>
      <c r="J179" s="300"/>
      <c r="K179" s="300"/>
      <c r="L179" s="300"/>
      <c r="M179" s="300"/>
      <c r="N179" s="300"/>
      <c r="O179" s="300"/>
      <c r="P179" s="300"/>
      <c r="Q179" s="300"/>
      <c r="R179" s="300"/>
      <c r="S179" s="301"/>
    </row>
    <row r="180" spans="1:19">
      <c r="A180" s="319"/>
      <c r="B180" s="300"/>
      <c r="C180" s="332"/>
      <c r="D180" s="300"/>
      <c r="E180" s="300"/>
      <c r="F180" s="300"/>
      <c r="G180" s="300"/>
      <c r="H180" s="300"/>
      <c r="I180" s="300"/>
      <c r="J180" s="300"/>
      <c r="K180" s="300"/>
      <c r="L180" s="300"/>
      <c r="M180" s="300"/>
      <c r="N180" s="300"/>
      <c r="O180" s="300"/>
      <c r="P180" s="300"/>
      <c r="Q180" s="300"/>
      <c r="R180" s="300"/>
      <c r="S180" s="301"/>
    </row>
    <row r="181" spans="1:19">
      <c r="A181" s="319"/>
      <c r="B181" s="300"/>
      <c r="C181" s="332"/>
      <c r="D181" s="300"/>
      <c r="E181" s="300"/>
      <c r="F181" s="300"/>
      <c r="G181" s="300"/>
      <c r="H181" s="300"/>
      <c r="I181" s="300"/>
      <c r="J181" s="300"/>
      <c r="K181" s="300"/>
      <c r="L181" s="300"/>
      <c r="M181" s="300"/>
      <c r="N181" s="300"/>
      <c r="O181" s="300"/>
      <c r="P181" s="300"/>
      <c r="Q181" s="300"/>
      <c r="R181" s="300"/>
      <c r="S181" s="301"/>
    </row>
    <row r="182" spans="1:19">
      <c r="A182" s="319"/>
      <c r="B182" s="300"/>
      <c r="C182" s="332"/>
      <c r="D182" s="300"/>
      <c r="E182" s="300"/>
      <c r="F182" s="300"/>
      <c r="G182" s="300"/>
      <c r="H182" s="300"/>
      <c r="I182" s="300"/>
      <c r="J182" s="300"/>
      <c r="K182" s="300"/>
      <c r="L182" s="300"/>
      <c r="M182" s="300"/>
      <c r="N182" s="300"/>
      <c r="O182" s="300"/>
      <c r="P182" s="300"/>
      <c r="Q182" s="300"/>
      <c r="R182" s="300"/>
      <c r="S182" s="301"/>
    </row>
    <row r="183" spans="1:19">
      <c r="A183" s="319"/>
      <c r="B183" s="300"/>
      <c r="C183" s="332"/>
      <c r="D183" s="300"/>
      <c r="E183" s="300"/>
      <c r="F183" s="300"/>
      <c r="G183" s="300"/>
      <c r="H183" s="300"/>
      <c r="I183" s="300"/>
      <c r="J183" s="300"/>
      <c r="K183" s="300"/>
      <c r="L183" s="300"/>
      <c r="M183" s="300"/>
      <c r="N183" s="300"/>
      <c r="O183" s="300"/>
      <c r="P183" s="300"/>
      <c r="Q183" s="300"/>
      <c r="R183" s="300"/>
      <c r="S183" s="301"/>
    </row>
    <row r="184" spans="1:19">
      <c r="A184" s="319"/>
      <c r="B184" s="300"/>
      <c r="C184" s="332"/>
      <c r="D184" s="300"/>
      <c r="E184" s="300"/>
      <c r="F184" s="300"/>
      <c r="G184" s="300"/>
      <c r="H184" s="300"/>
      <c r="I184" s="300"/>
      <c r="J184" s="300"/>
      <c r="K184" s="300"/>
      <c r="L184" s="300"/>
      <c r="M184" s="300"/>
      <c r="N184" s="300"/>
      <c r="O184" s="300"/>
      <c r="P184" s="300"/>
      <c r="Q184" s="300"/>
      <c r="R184" s="300"/>
      <c r="S184" s="301"/>
    </row>
    <row r="185" spans="1:19">
      <c r="A185" s="319"/>
      <c r="B185" s="300"/>
      <c r="C185" s="332"/>
      <c r="D185" s="300"/>
      <c r="E185" s="300"/>
      <c r="F185" s="300"/>
      <c r="G185" s="300"/>
      <c r="H185" s="300"/>
      <c r="I185" s="300"/>
      <c r="J185" s="300"/>
      <c r="K185" s="300"/>
      <c r="L185" s="300"/>
      <c r="M185" s="300"/>
      <c r="N185" s="300"/>
      <c r="O185" s="300"/>
      <c r="P185" s="300"/>
      <c r="Q185" s="300"/>
      <c r="R185" s="300"/>
      <c r="S185" s="301"/>
    </row>
    <row r="186" spans="1:19">
      <c r="A186" s="319"/>
      <c r="B186" s="300"/>
      <c r="C186" s="332"/>
      <c r="D186" s="300"/>
      <c r="E186" s="300"/>
      <c r="F186" s="300"/>
      <c r="G186" s="300"/>
      <c r="H186" s="300"/>
      <c r="I186" s="300"/>
      <c r="J186" s="300"/>
      <c r="K186" s="300"/>
      <c r="L186" s="300"/>
      <c r="M186" s="300"/>
      <c r="N186" s="300"/>
      <c r="O186" s="300"/>
      <c r="P186" s="300"/>
      <c r="Q186" s="300"/>
      <c r="R186" s="300"/>
      <c r="S186" s="301"/>
    </row>
    <row r="187" spans="1:19">
      <c r="A187" s="319"/>
      <c r="B187" s="300"/>
      <c r="C187" s="332"/>
      <c r="D187" s="300"/>
      <c r="E187" s="300"/>
      <c r="F187" s="300"/>
      <c r="G187" s="300"/>
      <c r="H187" s="300"/>
      <c r="I187" s="300"/>
      <c r="J187" s="300"/>
      <c r="K187" s="300"/>
      <c r="L187" s="300"/>
      <c r="M187" s="300"/>
      <c r="N187" s="300"/>
      <c r="O187" s="300"/>
      <c r="P187" s="300"/>
      <c r="Q187" s="300"/>
      <c r="R187" s="300"/>
      <c r="S187" s="301"/>
    </row>
    <row r="188" spans="1:19">
      <c r="A188" s="319"/>
      <c r="B188" s="300"/>
      <c r="C188" s="332"/>
      <c r="D188" s="300"/>
      <c r="E188" s="300"/>
      <c r="F188" s="300"/>
      <c r="G188" s="300"/>
      <c r="H188" s="300"/>
      <c r="I188" s="300"/>
      <c r="J188" s="300"/>
      <c r="K188" s="300"/>
      <c r="L188" s="300"/>
      <c r="M188" s="300"/>
      <c r="N188" s="300"/>
      <c r="O188" s="300"/>
      <c r="P188" s="300"/>
      <c r="Q188" s="300"/>
      <c r="R188" s="300"/>
      <c r="S188" s="301"/>
    </row>
    <row r="189" spans="1:19">
      <c r="A189" s="319"/>
      <c r="B189" s="300"/>
      <c r="C189" s="332"/>
      <c r="D189" s="300"/>
      <c r="E189" s="300"/>
      <c r="F189" s="300"/>
      <c r="G189" s="300"/>
      <c r="H189" s="300"/>
      <c r="I189" s="300"/>
      <c r="J189" s="300"/>
      <c r="K189" s="300"/>
      <c r="L189" s="300"/>
      <c r="M189" s="300"/>
      <c r="N189" s="300"/>
      <c r="O189" s="300"/>
      <c r="P189" s="300"/>
      <c r="Q189" s="300"/>
      <c r="R189" s="300"/>
      <c r="S189" s="301"/>
    </row>
    <row r="190" spans="1:19">
      <c r="A190" s="319"/>
      <c r="B190" s="300"/>
      <c r="C190" s="332"/>
      <c r="D190" s="300"/>
      <c r="E190" s="300"/>
      <c r="F190" s="300"/>
      <c r="G190" s="300"/>
      <c r="H190" s="300"/>
      <c r="I190" s="300"/>
      <c r="J190" s="300"/>
      <c r="K190" s="300"/>
      <c r="L190" s="300"/>
      <c r="M190" s="300"/>
      <c r="N190" s="300"/>
      <c r="O190" s="300"/>
      <c r="P190" s="300"/>
      <c r="Q190" s="300"/>
      <c r="R190" s="300"/>
      <c r="S190" s="301"/>
    </row>
    <row r="191" spans="1:19">
      <c r="A191" s="319"/>
      <c r="B191" s="300"/>
      <c r="C191" s="332"/>
      <c r="D191" s="300"/>
      <c r="E191" s="300"/>
      <c r="F191" s="300"/>
      <c r="G191" s="300"/>
      <c r="H191" s="300"/>
      <c r="I191" s="300"/>
      <c r="J191" s="300"/>
      <c r="K191" s="300"/>
      <c r="L191" s="300"/>
      <c r="M191" s="300"/>
      <c r="N191" s="300"/>
      <c r="O191" s="300"/>
      <c r="P191" s="300"/>
      <c r="Q191" s="300"/>
      <c r="R191" s="300"/>
      <c r="S191" s="301"/>
    </row>
    <row r="192" spans="1:19">
      <c r="A192" s="319"/>
      <c r="B192" s="300"/>
      <c r="C192" s="332"/>
      <c r="D192" s="300"/>
      <c r="E192" s="300"/>
      <c r="F192" s="300"/>
      <c r="G192" s="300"/>
      <c r="H192" s="300"/>
      <c r="I192" s="300"/>
      <c r="J192" s="300"/>
      <c r="K192" s="300"/>
      <c r="L192" s="300"/>
      <c r="M192" s="300"/>
      <c r="N192" s="300"/>
      <c r="O192" s="300"/>
      <c r="P192" s="300"/>
      <c r="Q192" s="300"/>
      <c r="R192" s="300"/>
      <c r="S192" s="301"/>
    </row>
    <row r="193" spans="1:19">
      <c r="A193" s="319"/>
      <c r="B193" s="300"/>
      <c r="C193" s="332"/>
      <c r="D193" s="300"/>
      <c r="E193" s="300"/>
      <c r="F193" s="300"/>
      <c r="G193" s="300"/>
      <c r="H193" s="300"/>
      <c r="I193" s="300"/>
      <c r="J193" s="300"/>
      <c r="K193" s="300"/>
      <c r="L193" s="300"/>
      <c r="M193" s="300"/>
      <c r="N193" s="300"/>
      <c r="O193" s="300"/>
      <c r="P193" s="300"/>
      <c r="Q193" s="300"/>
      <c r="R193" s="300"/>
      <c r="S193" s="301"/>
    </row>
    <row r="194" spans="1:19">
      <c r="A194" s="319"/>
      <c r="B194" s="300"/>
      <c r="C194" s="332"/>
      <c r="D194" s="300"/>
      <c r="E194" s="300"/>
      <c r="F194" s="300"/>
      <c r="G194" s="300"/>
      <c r="H194" s="300"/>
      <c r="I194" s="300"/>
      <c r="J194" s="300"/>
      <c r="K194" s="300"/>
      <c r="L194" s="300"/>
      <c r="M194" s="300"/>
      <c r="N194" s="300"/>
      <c r="O194" s="300"/>
      <c r="P194" s="300"/>
      <c r="Q194" s="300"/>
      <c r="R194" s="300"/>
      <c r="S194" s="301"/>
    </row>
    <row r="195" spans="1:19">
      <c r="A195" s="319"/>
      <c r="B195" s="300"/>
      <c r="C195" s="332"/>
      <c r="D195" s="300"/>
      <c r="E195" s="300"/>
      <c r="F195" s="300"/>
      <c r="G195" s="300"/>
      <c r="H195" s="300"/>
      <c r="I195" s="300"/>
      <c r="J195" s="300"/>
      <c r="K195" s="300"/>
      <c r="L195" s="300"/>
      <c r="M195" s="300"/>
      <c r="N195" s="300"/>
      <c r="O195" s="300"/>
      <c r="P195" s="300"/>
      <c r="Q195" s="300"/>
      <c r="R195" s="300"/>
      <c r="S195" s="301"/>
    </row>
    <row r="196" spans="1:19">
      <c r="A196" s="319"/>
      <c r="B196" s="300"/>
      <c r="C196" s="332"/>
      <c r="D196" s="300"/>
      <c r="E196" s="300"/>
      <c r="F196" s="300"/>
      <c r="G196" s="300"/>
      <c r="H196" s="300"/>
      <c r="I196" s="300"/>
      <c r="J196" s="300"/>
      <c r="K196" s="300"/>
      <c r="L196" s="300"/>
      <c r="M196" s="300"/>
      <c r="N196" s="300"/>
      <c r="O196" s="300"/>
      <c r="P196" s="300"/>
      <c r="Q196" s="300"/>
      <c r="R196" s="300"/>
      <c r="S196" s="301"/>
    </row>
    <row r="197" spans="1:19">
      <c r="A197" s="319"/>
      <c r="B197" s="300"/>
      <c r="C197" s="332"/>
      <c r="D197" s="300"/>
      <c r="E197" s="300"/>
      <c r="F197" s="300"/>
      <c r="G197" s="300"/>
      <c r="H197" s="300"/>
      <c r="I197" s="300"/>
      <c r="J197" s="300"/>
      <c r="K197" s="300"/>
      <c r="L197" s="300"/>
      <c r="M197" s="300"/>
      <c r="N197" s="300"/>
      <c r="O197" s="300"/>
      <c r="P197" s="300"/>
      <c r="Q197" s="300"/>
      <c r="R197" s="300"/>
      <c r="S197" s="301"/>
    </row>
    <row r="198" spans="1:19">
      <c r="A198" s="319"/>
      <c r="B198" s="300"/>
      <c r="C198" s="332"/>
      <c r="D198" s="300"/>
      <c r="E198" s="300"/>
      <c r="F198" s="300"/>
      <c r="G198" s="300"/>
      <c r="H198" s="300"/>
      <c r="I198" s="300"/>
      <c r="J198" s="300"/>
      <c r="K198" s="300"/>
      <c r="L198" s="300"/>
      <c r="M198" s="300"/>
      <c r="N198" s="300"/>
      <c r="O198" s="300"/>
      <c r="P198" s="300"/>
      <c r="Q198" s="300"/>
      <c r="R198" s="300"/>
      <c r="S198" s="301"/>
    </row>
    <row r="199" spans="1:19">
      <c r="A199" s="319"/>
      <c r="B199" s="300"/>
      <c r="C199" s="332"/>
      <c r="D199" s="300"/>
      <c r="E199" s="300"/>
      <c r="F199" s="300"/>
      <c r="G199" s="300"/>
      <c r="H199" s="300"/>
      <c r="I199" s="300"/>
      <c r="J199" s="300"/>
      <c r="K199" s="300"/>
      <c r="L199" s="300"/>
      <c r="M199" s="300"/>
      <c r="N199" s="300"/>
      <c r="O199" s="300"/>
      <c r="P199" s="300"/>
      <c r="Q199" s="300"/>
      <c r="R199" s="300"/>
      <c r="S199" s="301"/>
    </row>
    <row r="200" spans="1:19">
      <c r="A200" s="319"/>
      <c r="B200" s="300"/>
      <c r="C200" s="332"/>
      <c r="D200" s="300"/>
      <c r="E200" s="300"/>
      <c r="F200" s="300"/>
      <c r="G200" s="300"/>
      <c r="H200" s="300"/>
      <c r="I200" s="300"/>
      <c r="J200" s="300"/>
      <c r="K200" s="300"/>
      <c r="L200" s="300"/>
      <c r="M200" s="300"/>
      <c r="N200" s="300"/>
      <c r="O200" s="300"/>
      <c r="P200" s="300"/>
      <c r="Q200" s="300"/>
      <c r="R200" s="300"/>
      <c r="S200" s="301"/>
    </row>
    <row r="201" spans="1:19">
      <c r="A201" s="319"/>
      <c r="B201" s="300"/>
      <c r="C201" s="332"/>
      <c r="D201" s="300"/>
      <c r="E201" s="300"/>
      <c r="F201" s="300"/>
      <c r="G201" s="300"/>
      <c r="H201" s="300"/>
      <c r="I201" s="300"/>
      <c r="J201" s="300"/>
      <c r="K201" s="300"/>
      <c r="L201" s="300"/>
      <c r="M201" s="300"/>
      <c r="N201" s="300"/>
      <c r="O201" s="300"/>
      <c r="P201" s="300"/>
      <c r="Q201" s="300"/>
      <c r="R201" s="300"/>
      <c r="S201" s="301"/>
    </row>
    <row r="202" spans="1:19">
      <c r="A202" s="319"/>
      <c r="B202" s="300"/>
      <c r="C202" s="332"/>
      <c r="D202" s="300"/>
      <c r="E202" s="300"/>
      <c r="F202" s="300"/>
      <c r="G202" s="300"/>
      <c r="H202" s="300"/>
      <c r="I202" s="300"/>
      <c r="J202" s="300"/>
      <c r="K202" s="300"/>
      <c r="L202" s="300"/>
      <c r="M202" s="300"/>
      <c r="N202" s="300"/>
      <c r="O202" s="300"/>
      <c r="P202" s="300"/>
      <c r="Q202" s="300"/>
      <c r="R202" s="300"/>
      <c r="S202" s="301"/>
    </row>
    <row r="203" spans="1:19">
      <c r="A203" s="319"/>
      <c r="B203" s="300"/>
      <c r="C203" s="332"/>
      <c r="D203" s="300"/>
      <c r="E203" s="300"/>
      <c r="F203" s="300"/>
      <c r="G203" s="300"/>
      <c r="H203" s="300"/>
      <c r="I203" s="300"/>
      <c r="J203" s="300"/>
      <c r="K203" s="300"/>
      <c r="L203" s="300"/>
      <c r="M203" s="300"/>
      <c r="N203" s="300"/>
      <c r="O203" s="300"/>
      <c r="P203" s="300"/>
      <c r="Q203" s="300"/>
      <c r="R203" s="300"/>
      <c r="S203" s="301"/>
    </row>
    <row r="204" spans="1:19">
      <c r="A204" s="319"/>
      <c r="B204" s="300"/>
      <c r="C204" s="332"/>
      <c r="D204" s="300"/>
      <c r="E204" s="300"/>
      <c r="F204" s="300"/>
      <c r="G204" s="300"/>
      <c r="H204" s="300"/>
      <c r="I204" s="300"/>
      <c r="J204" s="300"/>
      <c r="K204" s="300"/>
      <c r="L204" s="300"/>
      <c r="M204" s="300"/>
      <c r="N204" s="300"/>
      <c r="O204" s="300"/>
      <c r="P204" s="300"/>
      <c r="Q204" s="300"/>
      <c r="R204" s="300"/>
      <c r="S204" s="301"/>
    </row>
    <row r="205" spans="1:19">
      <c r="A205" s="319"/>
      <c r="B205" s="300"/>
      <c r="C205" s="332"/>
      <c r="D205" s="300"/>
      <c r="E205" s="300"/>
      <c r="F205" s="300"/>
      <c r="G205" s="300"/>
      <c r="H205" s="300"/>
      <c r="I205" s="300"/>
      <c r="J205" s="300"/>
      <c r="K205" s="300"/>
      <c r="L205" s="300"/>
      <c r="M205" s="300"/>
      <c r="N205" s="300"/>
      <c r="O205" s="300"/>
      <c r="P205" s="300"/>
      <c r="Q205" s="300"/>
      <c r="R205" s="300"/>
      <c r="S205" s="301"/>
    </row>
    <row r="206" spans="1:19">
      <c r="A206" s="319"/>
      <c r="B206" s="300"/>
      <c r="C206" s="332"/>
      <c r="D206" s="300"/>
      <c r="E206" s="300"/>
      <c r="F206" s="300"/>
      <c r="G206" s="300"/>
      <c r="H206" s="300"/>
      <c r="I206" s="300"/>
      <c r="J206" s="300"/>
      <c r="K206" s="300"/>
      <c r="L206" s="300"/>
      <c r="M206" s="300"/>
      <c r="N206" s="300"/>
      <c r="O206" s="300"/>
      <c r="P206" s="300"/>
      <c r="Q206" s="300"/>
      <c r="R206" s="300"/>
      <c r="S206" s="301"/>
    </row>
    <row r="207" spans="1:19">
      <c r="A207" s="319"/>
      <c r="B207" s="300"/>
      <c r="C207" s="332"/>
      <c r="D207" s="300"/>
      <c r="E207" s="300"/>
      <c r="F207" s="300"/>
      <c r="G207" s="300"/>
      <c r="H207" s="300"/>
      <c r="I207" s="300"/>
      <c r="J207" s="300"/>
      <c r="K207" s="300"/>
      <c r="L207" s="300"/>
      <c r="M207" s="300"/>
      <c r="N207" s="300"/>
      <c r="O207" s="300"/>
      <c r="P207" s="300"/>
      <c r="Q207" s="300"/>
      <c r="R207" s="300"/>
      <c r="S207" s="301"/>
    </row>
    <row r="208" spans="1:19">
      <c r="A208" s="319"/>
      <c r="B208" s="300"/>
      <c r="C208" s="332"/>
      <c r="D208" s="300"/>
      <c r="E208" s="300"/>
      <c r="F208" s="300"/>
      <c r="G208" s="300"/>
      <c r="H208" s="300"/>
      <c r="I208" s="300"/>
      <c r="J208" s="300"/>
      <c r="K208" s="300"/>
      <c r="L208" s="300"/>
      <c r="M208" s="300"/>
      <c r="N208" s="300"/>
      <c r="O208" s="300"/>
      <c r="P208" s="300"/>
      <c r="Q208" s="300"/>
      <c r="R208" s="300"/>
      <c r="S208" s="301"/>
    </row>
    <row r="209" spans="1:19">
      <c r="A209" s="319"/>
      <c r="B209" s="300"/>
      <c r="C209" s="332"/>
      <c r="D209" s="300"/>
      <c r="E209" s="300"/>
      <c r="F209" s="300"/>
      <c r="G209" s="300"/>
      <c r="H209" s="300"/>
      <c r="I209" s="300"/>
      <c r="J209" s="300"/>
      <c r="K209" s="300"/>
      <c r="L209" s="300"/>
      <c r="M209" s="300"/>
      <c r="N209" s="300"/>
      <c r="O209" s="300"/>
      <c r="P209" s="300"/>
      <c r="Q209" s="300"/>
      <c r="R209" s="300"/>
      <c r="S209" s="301"/>
    </row>
    <row r="210" spans="1:19">
      <c r="A210" s="319"/>
      <c r="B210" s="300"/>
      <c r="C210" s="332"/>
      <c r="D210" s="300"/>
      <c r="E210" s="300"/>
      <c r="F210" s="300"/>
      <c r="G210" s="300"/>
      <c r="H210" s="300"/>
      <c r="I210" s="300"/>
      <c r="J210" s="300"/>
      <c r="K210" s="300"/>
      <c r="L210" s="300"/>
      <c r="M210" s="300"/>
      <c r="N210" s="300"/>
      <c r="O210" s="300"/>
      <c r="P210" s="300"/>
      <c r="Q210" s="300"/>
      <c r="R210" s="300"/>
      <c r="S210" s="301"/>
    </row>
    <row r="211" spans="1:19">
      <c r="A211" s="319"/>
      <c r="B211" s="300"/>
      <c r="C211" s="332"/>
      <c r="D211" s="300"/>
      <c r="E211" s="300"/>
      <c r="F211" s="300"/>
      <c r="G211" s="300"/>
      <c r="H211" s="300"/>
      <c r="I211" s="300"/>
      <c r="J211" s="300"/>
      <c r="K211" s="300"/>
      <c r="L211" s="300"/>
      <c r="M211" s="300"/>
      <c r="N211" s="300"/>
      <c r="O211" s="300"/>
      <c r="P211" s="300"/>
      <c r="Q211" s="300"/>
      <c r="R211" s="300"/>
      <c r="S211" s="301"/>
    </row>
    <row r="212" spans="1:19">
      <c r="A212" s="319"/>
      <c r="B212" s="300"/>
      <c r="C212" s="332"/>
      <c r="D212" s="300"/>
      <c r="E212" s="300"/>
      <c r="F212" s="300"/>
      <c r="G212" s="300"/>
      <c r="H212" s="300"/>
      <c r="I212" s="300"/>
      <c r="J212" s="300"/>
      <c r="K212" s="300"/>
      <c r="L212" s="300"/>
      <c r="M212" s="300"/>
      <c r="N212" s="300"/>
      <c r="O212" s="300"/>
      <c r="P212" s="300"/>
      <c r="Q212" s="300"/>
      <c r="R212" s="300"/>
      <c r="S212" s="301"/>
    </row>
    <row r="213" spans="1:19">
      <c r="A213" s="319"/>
      <c r="B213" s="300"/>
      <c r="C213" s="332"/>
      <c r="D213" s="300"/>
      <c r="E213" s="300"/>
      <c r="F213" s="300"/>
      <c r="G213" s="300"/>
      <c r="H213" s="300"/>
      <c r="I213" s="300"/>
      <c r="J213" s="300"/>
      <c r="K213" s="300"/>
      <c r="L213" s="300"/>
      <c r="M213" s="300"/>
      <c r="N213" s="300"/>
      <c r="O213" s="300"/>
      <c r="P213" s="300"/>
      <c r="Q213" s="300"/>
      <c r="R213" s="300"/>
      <c r="S213" s="301"/>
    </row>
    <row r="214" spans="1:19">
      <c r="A214" s="319"/>
      <c r="B214" s="300"/>
      <c r="C214" s="332"/>
      <c r="D214" s="300"/>
      <c r="E214" s="300"/>
      <c r="F214" s="300"/>
      <c r="G214" s="300"/>
      <c r="H214" s="300"/>
      <c r="I214" s="300"/>
      <c r="J214" s="300"/>
      <c r="K214" s="300"/>
      <c r="L214" s="300"/>
      <c r="M214" s="300"/>
      <c r="N214" s="300"/>
      <c r="O214" s="300"/>
      <c r="P214" s="300"/>
      <c r="Q214" s="300"/>
      <c r="R214" s="300"/>
      <c r="S214" s="301"/>
    </row>
    <row r="215" spans="1:19">
      <c r="A215" s="319"/>
      <c r="B215" s="300"/>
      <c r="C215" s="332"/>
      <c r="D215" s="300"/>
      <c r="E215" s="300"/>
      <c r="F215" s="300"/>
      <c r="G215" s="300"/>
      <c r="H215" s="300"/>
      <c r="I215" s="300"/>
      <c r="J215" s="300"/>
      <c r="K215" s="300"/>
      <c r="L215" s="300"/>
      <c r="M215" s="300"/>
      <c r="N215" s="300"/>
      <c r="O215" s="300"/>
      <c r="P215" s="300"/>
      <c r="Q215" s="300"/>
      <c r="R215" s="300"/>
      <c r="S215" s="301"/>
    </row>
    <row r="216" spans="1:19">
      <c r="A216" s="319"/>
      <c r="B216" s="300"/>
      <c r="C216" s="332"/>
      <c r="D216" s="300"/>
      <c r="E216" s="300"/>
      <c r="F216" s="300"/>
      <c r="G216" s="300"/>
      <c r="H216" s="300"/>
      <c r="I216" s="300"/>
      <c r="J216" s="300"/>
      <c r="K216" s="300"/>
      <c r="L216" s="300"/>
      <c r="M216" s="300"/>
      <c r="N216" s="300"/>
      <c r="O216" s="300"/>
      <c r="P216" s="300"/>
      <c r="Q216" s="300"/>
      <c r="R216" s="300"/>
      <c r="S216" s="301"/>
    </row>
    <row r="217" spans="1:19">
      <c r="A217" s="319"/>
      <c r="B217" s="300"/>
      <c r="C217" s="332"/>
      <c r="D217" s="300"/>
      <c r="E217" s="300"/>
      <c r="F217" s="300"/>
      <c r="G217" s="300"/>
      <c r="H217" s="300"/>
      <c r="I217" s="300"/>
      <c r="J217" s="300"/>
      <c r="K217" s="300"/>
      <c r="L217" s="300"/>
      <c r="M217" s="300"/>
      <c r="N217" s="300"/>
      <c r="O217" s="300"/>
      <c r="P217" s="300"/>
      <c r="Q217" s="300"/>
      <c r="R217" s="300"/>
      <c r="S217" s="301"/>
    </row>
    <row r="218" spans="1:19">
      <c r="A218" s="319"/>
      <c r="B218" s="300"/>
      <c r="C218" s="332"/>
      <c r="D218" s="300"/>
      <c r="E218" s="300"/>
      <c r="F218" s="300"/>
      <c r="G218" s="300"/>
      <c r="H218" s="300"/>
      <c r="I218" s="300"/>
      <c r="J218" s="300"/>
      <c r="K218" s="300"/>
      <c r="L218" s="300"/>
      <c r="M218" s="300"/>
      <c r="N218" s="300"/>
      <c r="O218" s="300"/>
      <c r="P218" s="300"/>
      <c r="Q218" s="300"/>
      <c r="R218" s="300"/>
      <c r="S218" s="301"/>
    </row>
    <row r="219" spans="1:19">
      <c r="A219" s="319"/>
      <c r="B219" s="300"/>
      <c r="C219" s="332"/>
      <c r="D219" s="300"/>
      <c r="E219" s="300"/>
      <c r="F219" s="300"/>
      <c r="G219" s="300"/>
      <c r="H219" s="300"/>
      <c r="I219" s="300"/>
      <c r="J219" s="300"/>
      <c r="K219" s="300"/>
      <c r="L219" s="300"/>
      <c r="M219" s="300"/>
      <c r="N219" s="300"/>
      <c r="O219" s="300"/>
      <c r="P219" s="300"/>
      <c r="Q219" s="300"/>
      <c r="R219" s="300"/>
      <c r="S219" s="301"/>
    </row>
    <row r="220" spans="1:19">
      <c r="A220" s="319"/>
      <c r="B220" s="300"/>
      <c r="C220" s="332"/>
      <c r="D220" s="300"/>
      <c r="E220" s="300"/>
      <c r="F220" s="300"/>
      <c r="G220" s="300"/>
      <c r="H220" s="300"/>
      <c r="I220" s="300"/>
      <c r="J220" s="300"/>
      <c r="K220" s="300"/>
      <c r="L220" s="300"/>
      <c r="M220" s="300"/>
      <c r="N220" s="300"/>
      <c r="O220" s="300"/>
      <c r="P220" s="300"/>
      <c r="Q220" s="300"/>
      <c r="R220" s="300"/>
      <c r="S220" s="301"/>
    </row>
    <row r="221" spans="1:19">
      <c r="A221" s="319"/>
      <c r="B221" s="300"/>
      <c r="C221" s="332"/>
      <c r="D221" s="300"/>
      <c r="E221" s="300"/>
      <c r="F221" s="300"/>
      <c r="G221" s="300"/>
      <c r="H221" s="300"/>
      <c r="I221" s="300"/>
      <c r="J221" s="300"/>
      <c r="K221" s="300"/>
      <c r="L221" s="300"/>
      <c r="M221" s="300"/>
      <c r="N221" s="300"/>
      <c r="O221" s="300"/>
      <c r="P221" s="300"/>
      <c r="Q221" s="300"/>
      <c r="R221" s="300"/>
      <c r="S221" s="301"/>
    </row>
    <row r="222" spans="1:19">
      <c r="A222" s="319"/>
      <c r="B222" s="300"/>
      <c r="C222" s="332"/>
      <c r="D222" s="300"/>
      <c r="E222" s="300"/>
      <c r="F222" s="300"/>
      <c r="G222" s="300"/>
      <c r="H222" s="300"/>
      <c r="I222" s="300"/>
      <c r="J222" s="300"/>
      <c r="K222" s="300"/>
      <c r="L222" s="300"/>
      <c r="M222" s="300"/>
      <c r="N222" s="300"/>
      <c r="O222" s="300"/>
      <c r="P222" s="300"/>
      <c r="Q222" s="300"/>
      <c r="R222" s="300"/>
      <c r="S222" s="301"/>
    </row>
    <row r="223" spans="1:19">
      <c r="A223" s="319"/>
      <c r="B223" s="300"/>
      <c r="C223" s="332"/>
      <c r="D223" s="300"/>
      <c r="E223" s="300"/>
      <c r="F223" s="300"/>
      <c r="G223" s="300"/>
      <c r="H223" s="300"/>
      <c r="I223" s="300"/>
      <c r="J223" s="300"/>
      <c r="K223" s="300"/>
      <c r="L223" s="300"/>
      <c r="M223" s="300"/>
      <c r="N223" s="300"/>
      <c r="O223" s="300"/>
      <c r="P223" s="300"/>
      <c r="Q223" s="300"/>
      <c r="R223" s="300"/>
      <c r="S223" s="301"/>
    </row>
    <row r="224" spans="1:19">
      <c r="A224" s="319"/>
      <c r="B224" s="300"/>
      <c r="C224" s="332"/>
      <c r="D224" s="300"/>
      <c r="E224" s="300"/>
      <c r="F224" s="300"/>
      <c r="G224" s="300"/>
      <c r="H224" s="300"/>
      <c r="I224" s="300"/>
      <c r="J224" s="300"/>
      <c r="K224" s="300"/>
      <c r="L224" s="300"/>
      <c r="M224" s="300"/>
      <c r="N224" s="300"/>
      <c r="O224" s="300"/>
      <c r="P224" s="300"/>
      <c r="Q224" s="300"/>
      <c r="R224" s="300"/>
      <c r="S224" s="301"/>
    </row>
    <row r="225" spans="1:19">
      <c r="A225" s="319"/>
      <c r="B225" s="300"/>
      <c r="C225" s="332"/>
      <c r="D225" s="300"/>
      <c r="E225" s="300"/>
      <c r="F225" s="300"/>
      <c r="G225" s="300"/>
      <c r="H225" s="300"/>
      <c r="I225" s="300"/>
      <c r="J225" s="300"/>
      <c r="K225" s="300"/>
      <c r="L225" s="300"/>
      <c r="M225" s="300"/>
      <c r="N225" s="300"/>
      <c r="O225" s="300"/>
      <c r="P225" s="300"/>
      <c r="Q225" s="300"/>
      <c r="R225" s="300"/>
      <c r="S225" s="301"/>
    </row>
    <row r="226" spans="1:19">
      <c r="A226" s="319"/>
      <c r="B226" s="300"/>
      <c r="C226" s="332"/>
      <c r="D226" s="300"/>
      <c r="E226" s="300"/>
      <c r="F226" s="300"/>
      <c r="G226" s="300"/>
      <c r="H226" s="300"/>
      <c r="I226" s="300"/>
      <c r="J226" s="300"/>
      <c r="K226" s="300"/>
      <c r="L226" s="300"/>
      <c r="M226" s="300"/>
      <c r="N226" s="300"/>
      <c r="O226" s="300"/>
      <c r="P226" s="300"/>
      <c r="Q226" s="300"/>
      <c r="R226" s="300"/>
      <c r="S226" s="301"/>
    </row>
    <row r="227" spans="1:19">
      <c r="A227" s="319"/>
      <c r="B227" s="300"/>
      <c r="C227" s="332"/>
      <c r="D227" s="300"/>
      <c r="E227" s="300"/>
      <c r="F227" s="300"/>
      <c r="G227" s="300"/>
      <c r="H227" s="300"/>
      <c r="I227" s="300"/>
      <c r="J227" s="300"/>
      <c r="K227" s="300"/>
      <c r="L227" s="300"/>
      <c r="M227" s="300"/>
      <c r="N227" s="300"/>
      <c r="O227" s="300"/>
      <c r="P227" s="300"/>
      <c r="Q227" s="300"/>
      <c r="R227" s="300"/>
      <c r="S227" s="301"/>
    </row>
    <row r="228" spans="1:19">
      <c r="A228" s="319"/>
      <c r="B228" s="300"/>
      <c r="C228" s="332"/>
      <c r="D228" s="300"/>
      <c r="E228" s="300"/>
      <c r="F228" s="300"/>
      <c r="G228" s="300"/>
      <c r="H228" s="300"/>
      <c r="I228" s="300"/>
      <c r="J228" s="300"/>
      <c r="K228" s="300"/>
      <c r="L228" s="300"/>
      <c r="M228" s="300"/>
      <c r="N228" s="300"/>
      <c r="O228" s="300"/>
      <c r="P228" s="300"/>
      <c r="Q228" s="300"/>
      <c r="R228" s="300"/>
      <c r="S228" s="301"/>
    </row>
    <row r="229" spans="1:19">
      <c r="A229" s="319"/>
      <c r="B229" s="300"/>
      <c r="C229" s="332"/>
      <c r="D229" s="300"/>
      <c r="E229" s="300"/>
      <c r="F229" s="300"/>
      <c r="G229" s="300"/>
      <c r="H229" s="300"/>
      <c r="I229" s="300"/>
      <c r="J229" s="300"/>
      <c r="K229" s="300"/>
      <c r="L229" s="300"/>
      <c r="M229" s="300"/>
      <c r="N229" s="300"/>
      <c r="O229" s="300"/>
      <c r="P229" s="300"/>
      <c r="Q229" s="300"/>
      <c r="R229" s="300"/>
      <c r="S229" s="301"/>
    </row>
    <row r="230" spans="1:19">
      <c r="A230" s="319"/>
      <c r="B230" s="300"/>
      <c r="C230" s="332"/>
      <c r="D230" s="300"/>
      <c r="E230" s="300"/>
      <c r="F230" s="300"/>
      <c r="G230" s="300"/>
      <c r="H230" s="300"/>
      <c r="I230" s="300"/>
      <c r="J230" s="300"/>
      <c r="K230" s="300"/>
      <c r="L230" s="300"/>
      <c r="M230" s="300"/>
      <c r="N230" s="300"/>
      <c r="O230" s="300"/>
      <c r="P230" s="300"/>
      <c r="Q230" s="300"/>
      <c r="R230" s="300"/>
      <c r="S230" s="301"/>
    </row>
    <row r="231" spans="1:19">
      <c r="A231" s="319"/>
      <c r="B231" s="300"/>
      <c r="C231" s="332"/>
      <c r="D231" s="300"/>
      <c r="E231" s="300"/>
      <c r="F231" s="300"/>
      <c r="G231" s="300"/>
      <c r="H231" s="300"/>
      <c r="I231" s="300"/>
      <c r="J231" s="300"/>
      <c r="K231" s="300"/>
      <c r="L231" s="300"/>
      <c r="M231" s="300"/>
      <c r="N231" s="300"/>
      <c r="O231" s="300"/>
      <c r="P231" s="300"/>
      <c r="Q231" s="300"/>
      <c r="R231" s="300"/>
      <c r="S231" s="301"/>
    </row>
    <row r="232" spans="1:19">
      <c r="A232" s="319"/>
      <c r="B232" s="300"/>
      <c r="C232" s="332"/>
      <c r="D232" s="300"/>
      <c r="E232" s="300"/>
      <c r="F232" s="300"/>
      <c r="G232" s="300"/>
      <c r="H232" s="300"/>
      <c r="I232" s="300"/>
      <c r="J232" s="300"/>
      <c r="K232" s="300"/>
      <c r="L232" s="300"/>
      <c r="M232" s="300"/>
      <c r="N232" s="300"/>
      <c r="O232" s="300"/>
      <c r="P232" s="300"/>
      <c r="Q232" s="300"/>
      <c r="R232" s="300"/>
      <c r="S232" s="301"/>
    </row>
    <row r="233" spans="1:19">
      <c r="A233" s="319"/>
      <c r="B233" s="300"/>
      <c r="C233" s="332"/>
      <c r="D233" s="300"/>
      <c r="E233" s="300"/>
      <c r="F233" s="300"/>
      <c r="G233" s="300"/>
      <c r="H233" s="300"/>
      <c r="I233" s="300"/>
      <c r="J233" s="300"/>
      <c r="K233" s="300"/>
      <c r="L233" s="300"/>
      <c r="M233" s="300"/>
      <c r="N233" s="300"/>
      <c r="O233" s="300"/>
      <c r="P233" s="300"/>
      <c r="Q233" s="300"/>
      <c r="R233" s="300"/>
      <c r="S233" s="301"/>
    </row>
    <row r="234" spans="1:19">
      <c r="A234" s="319"/>
      <c r="B234" s="300"/>
      <c r="C234" s="332"/>
      <c r="D234" s="300"/>
      <c r="E234" s="300"/>
      <c r="F234" s="300"/>
      <c r="G234" s="300"/>
      <c r="H234" s="300"/>
      <c r="I234" s="300"/>
      <c r="J234" s="300"/>
      <c r="K234" s="300"/>
      <c r="L234" s="300"/>
      <c r="M234" s="300"/>
      <c r="N234" s="300"/>
      <c r="O234" s="300"/>
      <c r="P234" s="300"/>
      <c r="Q234" s="300"/>
      <c r="R234" s="300"/>
      <c r="S234" s="301"/>
    </row>
    <row r="235" spans="1:19">
      <c r="A235" s="319"/>
      <c r="B235" s="300"/>
      <c r="C235" s="332"/>
      <c r="D235" s="300"/>
      <c r="E235" s="300"/>
      <c r="F235" s="300"/>
      <c r="G235" s="300"/>
      <c r="H235" s="300"/>
      <c r="I235" s="300"/>
      <c r="J235" s="300"/>
      <c r="K235" s="300"/>
      <c r="L235" s="300"/>
      <c r="M235" s="300"/>
      <c r="N235" s="300"/>
      <c r="O235" s="300"/>
      <c r="P235" s="300"/>
      <c r="Q235" s="300"/>
      <c r="R235" s="300"/>
      <c r="S235" s="301"/>
    </row>
    <row r="236" spans="1:19">
      <c r="A236" s="319"/>
      <c r="B236" s="300"/>
      <c r="C236" s="332"/>
      <c r="D236" s="300"/>
      <c r="E236" s="300"/>
      <c r="F236" s="300"/>
      <c r="G236" s="300"/>
      <c r="H236" s="300"/>
      <c r="I236" s="300"/>
      <c r="J236" s="300"/>
      <c r="K236" s="300"/>
      <c r="L236" s="300"/>
      <c r="M236" s="300"/>
      <c r="N236" s="300"/>
      <c r="O236" s="300"/>
      <c r="P236" s="300"/>
      <c r="Q236" s="300"/>
      <c r="R236" s="300"/>
      <c r="S236" s="301"/>
    </row>
    <row r="237" spans="1:19">
      <c r="A237" s="319"/>
      <c r="B237" s="300"/>
      <c r="C237" s="332"/>
      <c r="D237" s="300"/>
      <c r="E237" s="300"/>
      <c r="F237" s="300"/>
      <c r="G237" s="300"/>
      <c r="H237" s="300"/>
      <c r="I237" s="300"/>
      <c r="J237" s="300"/>
      <c r="K237" s="300"/>
      <c r="L237" s="300"/>
      <c r="M237" s="300"/>
      <c r="N237" s="300"/>
      <c r="O237" s="300"/>
      <c r="P237" s="300"/>
      <c r="Q237" s="300"/>
      <c r="R237" s="300"/>
      <c r="S237" s="301"/>
    </row>
    <row r="238" spans="1:19">
      <c r="A238" s="319"/>
      <c r="B238" s="300"/>
      <c r="C238" s="332"/>
      <c r="D238" s="300"/>
      <c r="E238" s="300"/>
      <c r="F238" s="300"/>
      <c r="G238" s="300"/>
      <c r="H238" s="300"/>
      <c r="I238" s="300"/>
      <c r="J238" s="300"/>
      <c r="K238" s="300"/>
      <c r="L238" s="300"/>
      <c r="M238" s="300"/>
      <c r="N238" s="300"/>
      <c r="O238" s="300"/>
      <c r="P238" s="300"/>
      <c r="Q238" s="300"/>
      <c r="R238" s="300"/>
      <c r="S238" s="301"/>
    </row>
    <row r="239" spans="1:19">
      <c r="A239" s="319"/>
      <c r="B239" s="300"/>
      <c r="C239" s="332"/>
      <c r="D239" s="300"/>
      <c r="E239" s="300"/>
      <c r="F239" s="300"/>
      <c r="G239" s="300"/>
      <c r="H239" s="300"/>
      <c r="I239" s="300"/>
      <c r="J239" s="300"/>
      <c r="K239" s="300"/>
      <c r="L239" s="300"/>
      <c r="M239" s="300"/>
      <c r="N239" s="300"/>
      <c r="O239" s="300"/>
      <c r="P239" s="300"/>
      <c r="Q239" s="300"/>
      <c r="R239" s="300"/>
      <c r="S239" s="301"/>
    </row>
    <row r="240" spans="1:19">
      <c r="A240" s="319"/>
      <c r="B240" s="300"/>
      <c r="C240" s="332"/>
      <c r="D240" s="300"/>
      <c r="E240" s="300"/>
      <c r="F240" s="300"/>
      <c r="G240" s="300"/>
      <c r="H240" s="300"/>
      <c r="I240" s="300"/>
      <c r="J240" s="300"/>
      <c r="K240" s="300"/>
      <c r="L240" s="300"/>
      <c r="M240" s="300"/>
      <c r="N240" s="300"/>
      <c r="O240" s="300"/>
      <c r="P240" s="300"/>
      <c r="Q240" s="300"/>
      <c r="R240" s="300"/>
      <c r="S240" s="301"/>
    </row>
    <row r="241" spans="1:19">
      <c r="A241" s="319"/>
      <c r="B241" s="300"/>
      <c r="C241" s="332"/>
      <c r="D241" s="300"/>
      <c r="E241" s="300"/>
      <c r="F241" s="300"/>
      <c r="G241" s="300"/>
      <c r="H241" s="300"/>
      <c r="I241" s="300"/>
      <c r="J241" s="300"/>
      <c r="K241" s="300"/>
      <c r="L241" s="300"/>
      <c r="M241" s="300"/>
      <c r="N241" s="300"/>
      <c r="O241" s="300"/>
      <c r="P241" s="300"/>
      <c r="Q241" s="300"/>
      <c r="R241" s="300"/>
      <c r="S241" s="301"/>
    </row>
    <row r="242" spans="1:19">
      <c r="A242" s="319"/>
      <c r="B242" s="300"/>
      <c r="C242" s="332"/>
      <c r="D242" s="300"/>
      <c r="E242" s="300"/>
      <c r="F242" s="300"/>
      <c r="G242" s="300"/>
      <c r="H242" s="300"/>
      <c r="I242" s="300"/>
      <c r="J242" s="300"/>
      <c r="K242" s="300"/>
      <c r="L242" s="300"/>
      <c r="M242" s="300"/>
      <c r="N242" s="300"/>
      <c r="O242" s="300"/>
      <c r="P242" s="300"/>
      <c r="Q242" s="300"/>
      <c r="R242" s="300"/>
      <c r="S242" s="301"/>
    </row>
    <row r="243" spans="1:19">
      <c r="A243" s="319"/>
      <c r="B243" s="300"/>
      <c r="C243" s="332"/>
      <c r="D243" s="300"/>
      <c r="E243" s="300"/>
      <c r="F243" s="300"/>
      <c r="G243" s="300"/>
      <c r="H243" s="300"/>
      <c r="I243" s="300"/>
      <c r="J243" s="300"/>
      <c r="K243" s="300"/>
      <c r="L243" s="300"/>
      <c r="M243" s="300"/>
      <c r="N243" s="300"/>
      <c r="O243" s="300"/>
      <c r="P243" s="300"/>
      <c r="Q243" s="300"/>
      <c r="R243" s="300"/>
      <c r="S243" s="301"/>
    </row>
    <row r="244" spans="1:19">
      <c r="A244" s="319"/>
      <c r="B244" s="300"/>
      <c r="C244" s="332"/>
      <c r="D244" s="300"/>
      <c r="E244" s="300"/>
      <c r="F244" s="300"/>
      <c r="G244" s="300"/>
      <c r="H244" s="300"/>
      <c r="I244" s="300"/>
      <c r="J244" s="300"/>
      <c r="K244" s="300"/>
      <c r="L244" s="300"/>
      <c r="M244" s="300"/>
      <c r="N244" s="300"/>
      <c r="O244" s="300"/>
      <c r="P244" s="300"/>
      <c r="Q244" s="300"/>
      <c r="R244" s="300"/>
      <c r="S244" s="301"/>
    </row>
    <row r="245" spans="1:19">
      <c r="A245" s="319"/>
      <c r="B245" s="300"/>
      <c r="C245" s="332"/>
      <c r="D245" s="300"/>
      <c r="E245" s="300"/>
      <c r="F245" s="300"/>
      <c r="G245" s="300"/>
      <c r="H245" s="300"/>
      <c r="I245" s="300"/>
      <c r="J245" s="300"/>
      <c r="K245" s="300"/>
      <c r="L245" s="300"/>
      <c r="M245" s="300"/>
      <c r="N245" s="300"/>
      <c r="O245" s="300"/>
      <c r="P245" s="300"/>
      <c r="Q245" s="300"/>
      <c r="R245" s="300"/>
      <c r="S245" s="301"/>
    </row>
    <row r="246" spans="1:19">
      <c r="A246" s="319"/>
      <c r="B246" s="300"/>
      <c r="C246" s="332"/>
      <c r="D246" s="300"/>
      <c r="E246" s="300"/>
      <c r="F246" s="300"/>
      <c r="G246" s="300"/>
      <c r="H246" s="300"/>
      <c r="I246" s="300"/>
      <c r="J246" s="300"/>
      <c r="K246" s="300"/>
      <c r="L246" s="300"/>
      <c r="M246" s="300"/>
      <c r="N246" s="300"/>
      <c r="O246" s="300"/>
      <c r="P246" s="300"/>
      <c r="Q246" s="300"/>
      <c r="R246" s="300"/>
      <c r="S246" s="301"/>
    </row>
    <row r="247" spans="1:19">
      <c r="A247" s="319"/>
      <c r="B247" s="300"/>
      <c r="C247" s="332"/>
      <c r="D247" s="300"/>
      <c r="E247" s="300"/>
      <c r="F247" s="300"/>
      <c r="G247" s="300"/>
      <c r="H247" s="300"/>
      <c r="I247" s="300"/>
      <c r="J247" s="300"/>
      <c r="K247" s="300"/>
      <c r="L247" s="300"/>
      <c r="M247" s="300"/>
      <c r="N247" s="300"/>
      <c r="O247" s="300"/>
      <c r="P247" s="300"/>
      <c r="Q247" s="300"/>
      <c r="R247" s="300"/>
      <c r="S247" s="301"/>
    </row>
    <row r="248" spans="1:19">
      <c r="A248" s="319"/>
      <c r="B248" s="300"/>
      <c r="C248" s="332"/>
      <c r="D248" s="300"/>
      <c r="E248" s="300"/>
      <c r="F248" s="300"/>
      <c r="G248" s="300"/>
      <c r="H248" s="300"/>
      <c r="I248" s="300"/>
      <c r="J248" s="300"/>
      <c r="K248" s="300"/>
      <c r="L248" s="300"/>
      <c r="M248" s="300"/>
      <c r="N248" s="300"/>
      <c r="O248" s="300"/>
      <c r="P248" s="300"/>
      <c r="Q248" s="300"/>
      <c r="R248" s="300"/>
      <c r="S248" s="301"/>
    </row>
    <row r="249" spans="1:19">
      <c r="A249" s="319"/>
      <c r="B249" s="300"/>
      <c r="C249" s="332"/>
      <c r="D249" s="300"/>
      <c r="E249" s="300"/>
      <c r="F249" s="300"/>
      <c r="G249" s="300"/>
      <c r="H249" s="300"/>
      <c r="I249" s="300"/>
      <c r="J249" s="300"/>
      <c r="K249" s="300"/>
      <c r="L249" s="300"/>
      <c r="M249" s="300"/>
      <c r="N249" s="300"/>
      <c r="O249" s="300"/>
      <c r="P249" s="300"/>
      <c r="Q249" s="300"/>
      <c r="R249" s="300"/>
      <c r="S249" s="301"/>
    </row>
    <row r="250" spans="1:19">
      <c r="A250" s="319"/>
      <c r="B250" s="300"/>
      <c r="C250" s="332"/>
      <c r="D250" s="300"/>
      <c r="E250" s="300"/>
      <c r="F250" s="300"/>
      <c r="G250" s="300"/>
      <c r="H250" s="300"/>
      <c r="I250" s="300"/>
      <c r="J250" s="300"/>
      <c r="K250" s="300"/>
      <c r="L250" s="300"/>
      <c r="M250" s="300"/>
      <c r="N250" s="300"/>
      <c r="O250" s="300"/>
      <c r="P250" s="300"/>
      <c r="Q250" s="300"/>
      <c r="R250" s="300"/>
      <c r="S250" s="301"/>
    </row>
    <row r="251" spans="1:19">
      <c r="A251" s="319"/>
      <c r="B251" s="300"/>
      <c r="C251" s="332"/>
      <c r="D251" s="300"/>
      <c r="E251" s="300"/>
      <c r="F251" s="300"/>
      <c r="G251" s="300"/>
      <c r="H251" s="300"/>
      <c r="I251" s="300"/>
      <c r="J251" s="300"/>
      <c r="K251" s="300"/>
      <c r="L251" s="300"/>
      <c r="M251" s="300"/>
      <c r="N251" s="300"/>
      <c r="O251" s="300"/>
      <c r="P251" s="300"/>
      <c r="Q251" s="300"/>
      <c r="R251" s="300"/>
      <c r="S251" s="301"/>
    </row>
    <row r="252" spans="1:19">
      <c r="A252" s="319"/>
      <c r="B252" s="300"/>
      <c r="C252" s="332"/>
      <c r="D252" s="300"/>
      <c r="E252" s="300"/>
      <c r="F252" s="300"/>
      <c r="G252" s="300"/>
      <c r="H252" s="300"/>
      <c r="I252" s="300"/>
      <c r="J252" s="300"/>
      <c r="K252" s="300"/>
      <c r="L252" s="300"/>
      <c r="M252" s="300"/>
      <c r="N252" s="300"/>
      <c r="O252" s="300"/>
      <c r="P252" s="300"/>
      <c r="Q252" s="300"/>
      <c r="R252" s="300"/>
      <c r="S252" s="301"/>
    </row>
    <row r="253" spans="1:19">
      <c r="A253" s="319"/>
      <c r="B253" s="300"/>
      <c r="C253" s="332"/>
      <c r="D253" s="300"/>
      <c r="E253" s="300"/>
      <c r="F253" s="300"/>
      <c r="G253" s="300"/>
      <c r="H253" s="300"/>
      <c r="I253" s="300"/>
      <c r="J253" s="300"/>
      <c r="K253" s="300"/>
      <c r="L253" s="300"/>
      <c r="M253" s="300"/>
      <c r="N253" s="300"/>
      <c r="O253" s="300"/>
      <c r="P253" s="300"/>
      <c r="Q253" s="300"/>
      <c r="R253" s="300"/>
      <c r="S253" s="301"/>
    </row>
    <row r="254" spans="1:19">
      <c r="A254" s="319"/>
      <c r="B254" s="300"/>
      <c r="C254" s="332"/>
      <c r="D254" s="300"/>
      <c r="E254" s="300"/>
      <c r="F254" s="300"/>
      <c r="G254" s="300"/>
      <c r="H254" s="300"/>
      <c r="I254" s="300"/>
      <c r="J254" s="300"/>
      <c r="K254" s="300"/>
      <c r="L254" s="300"/>
      <c r="M254" s="300"/>
      <c r="N254" s="300"/>
      <c r="O254" s="300"/>
      <c r="P254" s="300"/>
      <c r="Q254" s="300"/>
      <c r="R254" s="300"/>
      <c r="S254" s="301"/>
    </row>
    <row r="255" spans="1:19">
      <c r="A255" s="319"/>
      <c r="B255" s="300"/>
      <c r="C255" s="332"/>
      <c r="D255" s="300"/>
      <c r="E255" s="300"/>
      <c r="F255" s="300"/>
      <c r="G255" s="300"/>
      <c r="H255" s="300"/>
      <c r="I255" s="300"/>
      <c r="J255" s="300"/>
      <c r="K255" s="300"/>
      <c r="L255" s="300"/>
      <c r="M255" s="300"/>
      <c r="N255" s="300"/>
      <c r="O255" s="300"/>
      <c r="P255" s="300"/>
      <c r="Q255" s="300"/>
      <c r="R255" s="300"/>
      <c r="S255" s="301"/>
    </row>
    <row r="256" spans="1:19">
      <c r="A256" s="319"/>
      <c r="B256" s="300"/>
      <c r="C256" s="332"/>
      <c r="D256" s="300"/>
      <c r="E256" s="300"/>
      <c r="F256" s="300"/>
      <c r="G256" s="300"/>
      <c r="H256" s="300"/>
      <c r="I256" s="300"/>
      <c r="J256" s="300"/>
      <c r="K256" s="300"/>
      <c r="L256" s="300"/>
      <c r="M256" s="300"/>
      <c r="N256" s="300"/>
      <c r="O256" s="300"/>
      <c r="P256" s="300"/>
      <c r="Q256" s="300"/>
      <c r="R256" s="300"/>
      <c r="S256" s="301"/>
    </row>
    <row r="257" spans="1:19">
      <c r="A257" s="319"/>
      <c r="B257" s="300"/>
      <c r="C257" s="332"/>
      <c r="D257" s="300"/>
      <c r="E257" s="300"/>
      <c r="F257" s="300"/>
      <c r="G257" s="300"/>
      <c r="H257" s="300"/>
      <c r="I257" s="300"/>
      <c r="J257" s="300"/>
      <c r="K257" s="300"/>
      <c r="L257" s="300"/>
      <c r="M257" s="300"/>
      <c r="N257" s="300"/>
      <c r="O257" s="300"/>
      <c r="P257" s="300"/>
      <c r="Q257" s="300"/>
      <c r="R257" s="300"/>
      <c r="S257" s="301"/>
    </row>
    <row r="258" spans="1:19">
      <c r="A258" s="319"/>
      <c r="B258" s="300"/>
      <c r="C258" s="332"/>
      <c r="D258" s="300"/>
      <c r="E258" s="300"/>
      <c r="F258" s="300"/>
      <c r="G258" s="300"/>
      <c r="H258" s="300"/>
      <c r="I258" s="300"/>
      <c r="J258" s="300"/>
      <c r="K258" s="300"/>
      <c r="L258" s="300"/>
      <c r="M258" s="300"/>
      <c r="N258" s="300"/>
      <c r="O258" s="300"/>
      <c r="P258" s="300"/>
      <c r="Q258" s="300"/>
      <c r="R258" s="300"/>
      <c r="S258" s="301"/>
    </row>
    <row r="259" spans="1:19">
      <c r="A259" s="319"/>
      <c r="B259" s="300"/>
      <c r="C259" s="332"/>
      <c r="D259" s="300"/>
      <c r="E259" s="300"/>
      <c r="F259" s="300"/>
      <c r="G259" s="300"/>
      <c r="H259" s="300"/>
      <c r="I259" s="300"/>
      <c r="J259" s="300"/>
      <c r="K259" s="300"/>
      <c r="L259" s="300"/>
      <c r="M259" s="300"/>
      <c r="N259" s="300"/>
      <c r="O259" s="300"/>
      <c r="P259" s="300"/>
      <c r="Q259" s="300"/>
      <c r="R259" s="300"/>
      <c r="S259" s="301"/>
    </row>
    <row r="260" spans="1:19">
      <c r="A260" s="319"/>
      <c r="B260" s="300"/>
      <c r="C260" s="332"/>
      <c r="D260" s="300"/>
      <c r="E260" s="300"/>
      <c r="F260" s="300"/>
      <c r="G260" s="300"/>
      <c r="H260" s="300"/>
      <c r="I260" s="300"/>
      <c r="J260" s="300"/>
      <c r="K260" s="300"/>
      <c r="L260" s="300"/>
      <c r="M260" s="300"/>
      <c r="N260" s="300"/>
      <c r="O260" s="300"/>
      <c r="P260" s="300"/>
      <c r="Q260" s="300"/>
      <c r="R260" s="300"/>
      <c r="S260" s="301"/>
    </row>
    <row r="261" spans="1:19">
      <c r="A261" s="319"/>
      <c r="B261" s="300"/>
      <c r="C261" s="332"/>
      <c r="D261" s="300"/>
      <c r="E261" s="300"/>
      <c r="F261" s="300"/>
      <c r="G261" s="300"/>
      <c r="H261" s="300"/>
      <c r="I261" s="300"/>
      <c r="J261" s="300"/>
      <c r="K261" s="300"/>
      <c r="L261" s="300"/>
      <c r="M261" s="300"/>
      <c r="N261" s="300"/>
      <c r="O261" s="300"/>
      <c r="P261" s="300"/>
      <c r="Q261" s="300"/>
      <c r="R261" s="300"/>
      <c r="S261" s="301"/>
    </row>
    <row r="262" spans="1:19">
      <c r="A262" s="319"/>
      <c r="B262" s="300"/>
      <c r="C262" s="332"/>
      <c r="D262" s="300"/>
      <c r="E262" s="300"/>
      <c r="F262" s="300"/>
      <c r="G262" s="300"/>
      <c r="H262" s="300"/>
      <c r="I262" s="300"/>
      <c r="J262" s="300"/>
      <c r="K262" s="300"/>
      <c r="L262" s="300"/>
      <c r="M262" s="300"/>
      <c r="N262" s="300"/>
      <c r="O262" s="300"/>
      <c r="P262" s="300"/>
      <c r="Q262" s="300"/>
      <c r="R262" s="300"/>
      <c r="S262" s="301"/>
    </row>
    <row r="263" spans="1:19">
      <c r="A263" s="319"/>
      <c r="B263" s="300"/>
      <c r="C263" s="332"/>
      <c r="D263" s="300"/>
      <c r="E263" s="300"/>
      <c r="F263" s="300"/>
      <c r="G263" s="300"/>
      <c r="H263" s="300"/>
      <c r="I263" s="300"/>
      <c r="J263" s="300"/>
      <c r="K263" s="300"/>
      <c r="L263" s="300"/>
      <c r="M263" s="300"/>
      <c r="N263" s="300"/>
      <c r="O263" s="300"/>
      <c r="P263" s="300"/>
      <c r="Q263" s="300"/>
      <c r="R263" s="300"/>
      <c r="S263" s="301"/>
    </row>
    <row r="264" spans="1:19">
      <c r="A264" s="319"/>
      <c r="B264" s="300"/>
      <c r="C264" s="332"/>
      <c r="D264" s="300"/>
      <c r="E264" s="300"/>
      <c r="F264" s="300"/>
      <c r="G264" s="300"/>
      <c r="H264" s="300"/>
      <c r="I264" s="300"/>
      <c r="J264" s="300"/>
      <c r="K264" s="300"/>
      <c r="L264" s="300"/>
      <c r="M264" s="300"/>
      <c r="N264" s="300"/>
      <c r="O264" s="300"/>
      <c r="P264" s="300"/>
      <c r="Q264" s="300"/>
      <c r="R264" s="300"/>
      <c r="S264" s="301"/>
    </row>
    <row r="265" spans="1:19">
      <c r="A265" s="319"/>
      <c r="B265" s="300"/>
      <c r="C265" s="332"/>
      <c r="D265" s="300"/>
      <c r="E265" s="300"/>
      <c r="F265" s="300"/>
      <c r="G265" s="300"/>
      <c r="H265" s="300"/>
      <c r="I265" s="300"/>
      <c r="J265" s="300"/>
      <c r="K265" s="300"/>
      <c r="L265" s="300"/>
      <c r="M265" s="300"/>
      <c r="N265" s="300"/>
      <c r="O265" s="300"/>
      <c r="P265" s="300"/>
      <c r="Q265" s="300"/>
      <c r="R265" s="300"/>
      <c r="S265" s="301"/>
    </row>
    <row r="266" spans="1:19">
      <c r="A266" s="319"/>
      <c r="B266" s="300"/>
      <c r="C266" s="332"/>
      <c r="D266" s="300"/>
      <c r="E266" s="300"/>
      <c r="F266" s="300"/>
      <c r="G266" s="300"/>
      <c r="H266" s="300"/>
      <c r="I266" s="300"/>
      <c r="J266" s="300"/>
      <c r="K266" s="300"/>
      <c r="L266" s="300"/>
      <c r="M266" s="300"/>
      <c r="N266" s="300"/>
      <c r="O266" s="300"/>
      <c r="P266" s="300"/>
      <c r="Q266" s="300"/>
      <c r="R266" s="300"/>
      <c r="S266" s="301"/>
    </row>
    <row r="267" spans="1:19">
      <c r="A267" s="319"/>
      <c r="B267" s="300"/>
      <c r="C267" s="332"/>
      <c r="D267" s="300"/>
      <c r="E267" s="300"/>
      <c r="F267" s="300"/>
      <c r="G267" s="300"/>
      <c r="H267" s="300"/>
      <c r="I267" s="300"/>
      <c r="J267" s="300"/>
      <c r="K267" s="300"/>
      <c r="L267" s="300"/>
      <c r="M267" s="300"/>
      <c r="N267" s="300"/>
      <c r="O267" s="300"/>
      <c r="P267" s="300"/>
      <c r="Q267" s="300"/>
      <c r="R267" s="300"/>
      <c r="S267" s="301"/>
    </row>
    <row r="268" spans="1:19">
      <c r="A268" s="319"/>
      <c r="B268" s="300"/>
      <c r="C268" s="332"/>
      <c r="D268" s="300"/>
      <c r="E268" s="300"/>
      <c r="F268" s="300"/>
      <c r="G268" s="300"/>
      <c r="H268" s="300"/>
      <c r="I268" s="300"/>
      <c r="J268" s="300"/>
      <c r="K268" s="300"/>
      <c r="L268" s="300"/>
      <c r="M268" s="300"/>
      <c r="N268" s="300"/>
      <c r="O268" s="300"/>
      <c r="P268" s="300"/>
      <c r="Q268" s="300"/>
      <c r="R268" s="300"/>
      <c r="S268" s="301"/>
    </row>
    <row r="269" spans="1:19">
      <c r="A269" s="319"/>
      <c r="B269" s="300"/>
      <c r="C269" s="332"/>
      <c r="D269" s="300"/>
      <c r="E269" s="300"/>
      <c r="F269" s="300"/>
      <c r="G269" s="300"/>
      <c r="H269" s="300"/>
      <c r="I269" s="300"/>
      <c r="J269" s="300"/>
      <c r="K269" s="300"/>
      <c r="L269" s="300"/>
      <c r="M269" s="300"/>
      <c r="N269" s="300"/>
      <c r="O269" s="300"/>
      <c r="P269" s="300"/>
      <c r="Q269" s="300"/>
      <c r="R269" s="300"/>
      <c r="S269" s="301"/>
    </row>
    <row r="270" spans="1:19">
      <c r="A270" s="319"/>
      <c r="B270" s="300"/>
      <c r="C270" s="332"/>
      <c r="D270" s="300"/>
      <c r="E270" s="300"/>
      <c r="F270" s="300"/>
      <c r="G270" s="300"/>
      <c r="H270" s="300"/>
      <c r="I270" s="300"/>
      <c r="J270" s="300"/>
      <c r="K270" s="300"/>
      <c r="L270" s="300"/>
      <c r="M270" s="300"/>
      <c r="N270" s="300"/>
      <c r="O270" s="300"/>
      <c r="P270" s="300"/>
      <c r="Q270" s="300"/>
      <c r="R270" s="300"/>
      <c r="S270" s="301"/>
    </row>
    <row r="271" spans="1:19">
      <c r="A271" s="319"/>
      <c r="B271" s="300"/>
      <c r="C271" s="332"/>
      <c r="D271" s="300"/>
      <c r="E271" s="300"/>
      <c r="F271" s="300"/>
      <c r="G271" s="300"/>
      <c r="H271" s="300"/>
      <c r="I271" s="300"/>
      <c r="J271" s="300"/>
      <c r="K271" s="300"/>
      <c r="L271" s="300"/>
      <c r="M271" s="300"/>
      <c r="N271" s="300"/>
      <c r="O271" s="300"/>
      <c r="P271" s="300"/>
      <c r="Q271" s="300"/>
      <c r="R271" s="300"/>
      <c r="S271" s="301"/>
    </row>
    <row r="272" spans="1:19">
      <c r="A272" s="319"/>
      <c r="B272" s="300"/>
      <c r="C272" s="332"/>
      <c r="D272" s="300"/>
      <c r="E272" s="300"/>
      <c r="F272" s="300"/>
      <c r="G272" s="300"/>
      <c r="H272" s="300"/>
      <c r="I272" s="300"/>
      <c r="J272" s="300"/>
      <c r="K272" s="300"/>
      <c r="L272" s="300"/>
      <c r="M272" s="300"/>
      <c r="N272" s="300"/>
      <c r="O272" s="300"/>
      <c r="P272" s="300"/>
      <c r="Q272" s="300"/>
      <c r="R272" s="300"/>
      <c r="S272" s="301"/>
    </row>
    <row r="273" spans="1:19">
      <c r="A273" s="319"/>
      <c r="B273" s="300"/>
      <c r="C273" s="332"/>
      <c r="D273" s="300"/>
      <c r="E273" s="300"/>
      <c r="F273" s="300"/>
      <c r="G273" s="300"/>
      <c r="H273" s="300"/>
      <c r="I273" s="300"/>
      <c r="J273" s="300"/>
      <c r="K273" s="300"/>
      <c r="L273" s="300"/>
      <c r="M273" s="300"/>
      <c r="N273" s="300"/>
      <c r="O273" s="300"/>
      <c r="P273" s="300"/>
      <c r="Q273" s="300"/>
      <c r="R273" s="300"/>
      <c r="S273" s="301"/>
    </row>
    <row r="274" spans="1:19">
      <c r="A274" s="319"/>
      <c r="B274" s="300"/>
      <c r="C274" s="332"/>
      <c r="D274" s="300"/>
      <c r="E274" s="300"/>
      <c r="F274" s="300"/>
      <c r="G274" s="300"/>
      <c r="H274" s="300"/>
      <c r="I274" s="300"/>
      <c r="J274" s="300"/>
      <c r="K274" s="300"/>
      <c r="L274" s="300"/>
      <c r="M274" s="300"/>
      <c r="N274" s="300"/>
      <c r="O274" s="300"/>
      <c r="P274" s="300"/>
      <c r="Q274" s="300"/>
      <c r="R274" s="300"/>
      <c r="S274" s="301"/>
    </row>
    <row r="275" spans="1:19">
      <c r="A275" s="319"/>
      <c r="B275" s="300"/>
      <c r="C275" s="332"/>
      <c r="D275" s="300"/>
      <c r="E275" s="300"/>
      <c r="F275" s="300"/>
      <c r="G275" s="300"/>
      <c r="H275" s="300"/>
      <c r="I275" s="300"/>
      <c r="J275" s="300"/>
      <c r="K275" s="300"/>
      <c r="L275" s="300"/>
      <c r="M275" s="300"/>
      <c r="N275" s="300"/>
      <c r="O275" s="300"/>
      <c r="P275" s="300"/>
      <c r="Q275" s="300"/>
      <c r="R275" s="300"/>
      <c r="S275" s="301"/>
    </row>
    <row r="276" spans="1:19">
      <c r="A276" s="319"/>
      <c r="B276" s="300"/>
      <c r="C276" s="332"/>
      <c r="D276" s="300"/>
      <c r="E276" s="300"/>
      <c r="F276" s="300"/>
      <c r="G276" s="300"/>
      <c r="H276" s="300"/>
      <c r="I276" s="300"/>
      <c r="J276" s="300"/>
      <c r="K276" s="300"/>
      <c r="L276" s="300"/>
      <c r="M276" s="300"/>
      <c r="N276" s="300"/>
      <c r="O276" s="300"/>
      <c r="P276" s="300"/>
      <c r="Q276" s="300"/>
      <c r="R276" s="300"/>
      <c r="S276" s="301"/>
    </row>
    <row r="277" spans="1:19">
      <c r="A277" s="319"/>
      <c r="B277" s="300"/>
      <c r="C277" s="332"/>
      <c r="D277" s="300"/>
      <c r="E277" s="300"/>
      <c r="F277" s="300"/>
      <c r="G277" s="300"/>
      <c r="H277" s="300"/>
      <c r="I277" s="300"/>
      <c r="J277" s="300"/>
      <c r="K277" s="300"/>
      <c r="L277" s="300"/>
      <c r="M277" s="300"/>
      <c r="N277" s="300"/>
      <c r="O277" s="300"/>
      <c r="P277" s="300"/>
      <c r="Q277" s="300"/>
      <c r="R277" s="300"/>
      <c r="S277" s="301"/>
    </row>
    <row r="278" spans="1:19">
      <c r="A278" s="319"/>
      <c r="B278" s="300"/>
      <c r="C278" s="332"/>
      <c r="D278" s="300"/>
      <c r="E278" s="300"/>
      <c r="F278" s="300"/>
      <c r="G278" s="300"/>
      <c r="H278" s="300"/>
      <c r="I278" s="300"/>
      <c r="J278" s="300"/>
      <c r="K278" s="300"/>
      <c r="L278" s="300"/>
      <c r="M278" s="300"/>
      <c r="N278" s="300"/>
      <c r="O278" s="300"/>
      <c r="P278" s="300"/>
      <c r="Q278" s="300"/>
      <c r="R278" s="300"/>
      <c r="S278" s="301"/>
    </row>
    <row r="279" spans="1:19">
      <c r="A279" s="319"/>
      <c r="B279" s="300"/>
      <c r="C279" s="332"/>
      <c r="D279" s="300"/>
      <c r="E279" s="300"/>
      <c r="F279" s="300"/>
      <c r="G279" s="300"/>
      <c r="H279" s="300"/>
      <c r="I279" s="300"/>
      <c r="J279" s="300"/>
      <c r="K279" s="300"/>
      <c r="L279" s="300"/>
      <c r="M279" s="300"/>
      <c r="N279" s="300"/>
      <c r="O279" s="300"/>
      <c r="P279" s="300"/>
      <c r="Q279" s="300"/>
      <c r="R279" s="300"/>
      <c r="S279" s="301"/>
    </row>
    <row r="280" spans="1:19">
      <c r="A280" s="319"/>
      <c r="B280" s="300"/>
      <c r="C280" s="332"/>
      <c r="D280" s="300"/>
      <c r="E280" s="300"/>
      <c r="F280" s="300"/>
      <c r="G280" s="300"/>
      <c r="H280" s="300"/>
      <c r="I280" s="300"/>
      <c r="J280" s="300"/>
      <c r="K280" s="300"/>
      <c r="L280" s="300"/>
      <c r="M280" s="300"/>
      <c r="N280" s="300"/>
      <c r="O280" s="300"/>
      <c r="P280" s="300"/>
      <c r="Q280" s="300"/>
      <c r="R280" s="300"/>
      <c r="S280" s="301"/>
    </row>
    <row r="281" spans="1:19">
      <c r="A281" s="319"/>
      <c r="B281" s="300"/>
      <c r="C281" s="332"/>
      <c r="D281" s="300"/>
      <c r="E281" s="300"/>
      <c r="F281" s="300"/>
      <c r="G281" s="300"/>
      <c r="H281" s="300"/>
      <c r="I281" s="300"/>
      <c r="J281" s="300"/>
      <c r="K281" s="300"/>
      <c r="L281" s="300"/>
      <c r="M281" s="300"/>
      <c r="N281" s="300"/>
      <c r="O281" s="300"/>
      <c r="P281" s="300"/>
      <c r="Q281" s="300"/>
      <c r="R281" s="300"/>
      <c r="S281" s="301"/>
    </row>
    <row r="282" spans="1:19">
      <c r="A282" s="319"/>
      <c r="B282" s="300"/>
      <c r="C282" s="332"/>
      <c r="D282" s="300"/>
      <c r="E282" s="300"/>
      <c r="F282" s="300"/>
      <c r="G282" s="300"/>
      <c r="H282" s="300"/>
      <c r="I282" s="300"/>
      <c r="J282" s="300"/>
      <c r="K282" s="300"/>
      <c r="L282" s="300"/>
      <c r="M282" s="300"/>
      <c r="N282" s="300"/>
      <c r="O282" s="300"/>
      <c r="P282" s="300"/>
      <c r="Q282" s="300"/>
      <c r="R282" s="300"/>
      <c r="S282" s="301"/>
    </row>
    <row r="283" spans="1:19">
      <c r="A283" s="319"/>
      <c r="B283" s="300"/>
      <c r="C283" s="332"/>
      <c r="D283" s="300"/>
      <c r="E283" s="300"/>
      <c r="F283" s="300"/>
      <c r="G283" s="300"/>
      <c r="H283" s="300"/>
      <c r="I283" s="300"/>
      <c r="J283" s="300"/>
      <c r="K283" s="300"/>
      <c r="L283" s="300"/>
      <c r="M283" s="300"/>
      <c r="N283" s="300"/>
      <c r="O283" s="300"/>
      <c r="P283" s="300"/>
      <c r="Q283" s="300"/>
      <c r="R283" s="300"/>
      <c r="S283" s="301"/>
    </row>
    <row r="284" spans="1:19">
      <c r="A284" s="319"/>
      <c r="B284" s="300"/>
      <c r="C284" s="332"/>
      <c r="D284" s="300"/>
      <c r="E284" s="300"/>
      <c r="F284" s="300"/>
      <c r="G284" s="300"/>
      <c r="H284" s="300"/>
      <c r="I284" s="300"/>
      <c r="J284" s="300"/>
      <c r="K284" s="300"/>
      <c r="L284" s="300"/>
      <c r="M284" s="300"/>
      <c r="N284" s="300"/>
      <c r="O284" s="300"/>
      <c r="P284" s="300"/>
      <c r="Q284" s="300"/>
      <c r="R284" s="300"/>
      <c r="S284" s="301"/>
    </row>
    <row r="285" spans="1:19">
      <c r="A285" s="319"/>
      <c r="B285" s="300"/>
      <c r="C285" s="332"/>
      <c r="D285" s="300"/>
      <c r="E285" s="300"/>
      <c r="F285" s="300"/>
      <c r="G285" s="300"/>
      <c r="H285" s="300"/>
      <c r="I285" s="300"/>
      <c r="J285" s="300"/>
      <c r="K285" s="300"/>
      <c r="L285" s="300"/>
      <c r="M285" s="300"/>
      <c r="N285" s="300"/>
      <c r="O285" s="300"/>
      <c r="P285" s="300"/>
      <c r="Q285" s="300"/>
      <c r="R285" s="300"/>
      <c r="S285" s="301"/>
    </row>
    <row r="286" spans="1:19">
      <c r="A286" s="319"/>
      <c r="B286" s="300"/>
      <c r="C286" s="332"/>
      <c r="D286" s="300"/>
      <c r="E286" s="300"/>
      <c r="F286" s="300"/>
      <c r="G286" s="300"/>
      <c r="H286" s="300"/>
      <c r="I286" s="300"/>
      <c r="J286" s="300"/>
      <c r="K286" s="300"/>
      <c r="L286" s="300"/>
      <c r="M286" s="300"/>
      <c r="N286" s="300"/>
      <c r="O286" s="300"/>
      <c r="P286" s="300"/>
      <c r="Q286" s="300"/>
      <c r="R286" s="300"/>
      <c r="S286" s="301"/>
    </row>
    <row r="287" spans="1:19">
      <c r="A287" s="319"/>
      <c r="B287" s="300"/>
      <c r="C287" s="332"/>
      <c r="D287" s="300"/>
      <c r="E287" s="300"/>
      <c r="F287" s="300"/>
      <c r="G287" s="300"/>
      <c r="H287" s="300"/>
      <c r="I287" s="300"/>
      <c r="J287" s="300"/>
      <c r="K287" s="300"/>
      <c r="L287" s="300"/>
      <c r="M287" s="300"/>
      <c r="N287" s="300"/>
      <c r="O287" s="300"/>
      <c r="P287" s="300"/>
      <c r="Q287" s="300"/>
      <c r="R287" s="300"/>
      <c r="S287" s="301"/>
    </row>
    <row r="288" spans="1:19">
      <c r="A288" s="319"/>
      <c r="B288" s="300"/>
      <c r="C288" s="332"/>
      <c r="D288" s="300"/>
      <c r="E288" s="300"/>
      <c r="F288" s="300"/>
      <c r="G288" s="300"/>
      <c r="H288" s="300"/>
      <c r="I288" s="300"/>
      <c r="J288" s="300"/>
      <c r="K288" s="300"/>
      <c r="L288" s="300"/>
      <c r="M288" s="300"/>
      <c r="N288" s="300"/>
      <c r="O288" s="300"/>
      <c r="P288" s="300"/>
      <c r="Q288" s="300"/>
      <c r="R288" s="300"/>
      <c r="S288" s="301"/>
    </row>
    <row r="289" spans="1:19">
      <c r="A289" s="319"/>
      <c r="B289" s="300"/>
      <c r="C289" s="332"/>
      <c r="D289" s="300"/>
      <c r="E289" s="300"/>
      <c r="F289" s="300"/>
      <c r="G289" s="300"/>
      <c r="H289" s="300"/>
      <c r="I289" s="300"/>
      <c r="J289" s="300"/>
      <c r="K289" s="300"/>
      <c r="L289" s="300"/>
      <c r="M289" s="300"/>
      <c r="N289" s="300"/>
      <c r="O289" s="300"/>
      <c r="P289" s="300"/>
      <c r="Q289" s="300"/>
      <c r="R289" s="300"/>
      <c r="S289" s="301"/>
    </row>
    <row r="290" spans="1:19">
      <c r="A290" s="319"/>
      <c r="B290" s="300"/>
      <c r="C290" s="332"/>
      <c r="D290" s="300"/>
      <c r="E290" s="300"/>
      <c r="F290" s="300"/>
      <c r="G290" s="300"/>
      <c r="H290" s="300"/>
      <c r="I290" s="300"/>
      <c r="J290" s="300"/>
      <c r="K290" s="300"/>
      <c r="L290" s="300"/>
      <c r="M290" s="300"/>
      <c r="N290" s="300"/>
      <c r="O290" s="300"/>
      <c r="P290" s="300"/>
      <c r="Q290" s="300"/>
      <c r="R290" s="300"/>
      <c r="S290" s="301"/>
    </row>
    <row r="291" spans="1:19">
      <c r="A291" s="319"/>
      <c r="B291" s="300"/>
      <c r="C291" s="332"/>
      <c r="D291" s="300"/>
      <c r="E291" s="300"/>
      <c r="F291" s="300"/>
      <c r="G291" s="300"/>
      <c r="H291" s="300"/>
      <c r="I291" s="300"/>
      <c r="J291" s="300"/>
      <c r="K291" s="300"/>
      <c r="L291" s="300"/>
      <c r="M291" s="300"/>
      <c r="N291" s="300"/>
      <c r="O291" s="300"/>
      <c r="P291" s="300"/>
      <c r="Q291" s="300"/>
      <c r="R291" s="300"/>
      <c r="S291" s="301"/>
    </row>
    <row r="292" spans="1:19">
      <c r="A292" s="319"/>
      <c r="B292" s="300"/>
      <c r="C292" s="332"/>
      <c r="D292" s="300"/>
      <c r="E292" s="300"/>
      <c r="F292" s="300"/>
      <c r="G292" s="300"/>
      <c r="H292" s="300"/>
      <c r="I292" s="300"/>
      <c r="J292" s="300"/>
      <c r="K292" s="300"/>
      <c r="L292" s="300"/>
      <c r="M292" s="300"/>
      <c r="N292" s="300"/>
      <c r="O292" s="300"/>
      <c r="P292" s="300"/>
      <c r="Q292" s="300"/>
      <c r="R292" s="300"/>
      <c r="S292" s="301"/>
    </row>
    <row r="293" spans="1:19">
      <c r="A293" s="319"/>
      <c r="B293" s="300"/>
      <c r="C293" s="332"/>
      <c r="D293" s="300"/>
      <c r="E293" s="300"/>
      <c r="F293" s="300"/>
      <c r="G293" s="300"/>
      <c r="H293" s="300"/>
      <c r="I293" s="300"/>
      <c r="J293" s="300"/>
      <c r="K293" s="300"/>
      <c r="L293" s="300"/>
      <c r="M293" s="300"/>
      <c r="N293" s="300"/>
      <c r="O293" s="300"/>
      <c r="P293" s="300"/>
      <c r="Q293" s="300"/>
      <c r="R293" s="300"/>
      <c r="S293" s="301"/>
    </row>
    <row r="294" spans="1:19">
      <c r="A294" s="319"/>
      <c r="B294" s="300"/>
      <c r="C294" s="332"/>
      <c r="D294" s="300"/>
      <c r="E294" s="300"/>
      <c r="F294" s="300"/>
      <c r="G294" s="300"/>
      <c r="H294" s="300"/>
      <c r="I294" s="300"/>
      <c r="J294" s="300"/>
      <c r="K294" s="300"/>
      <c r="L294" s="300"/>
      <c r="M294" s="300"/>
      <c r="N294" s="300"/>
      <c r="O294" s="300"/>
      <c r="P294" s="300"/>
      <c r="Q294" s="300"/>
      <c r="R294" s="300"/>
      <c r="S294" s="301"/>
    </row>
    <row r="295" spans="1:19">
      <c r="A295" s="319"/>
      <c r="B295" s="300"/>
      <c r="C295" s="332"/>
      <c r="D295" s="300"/>
      <c r="E295" s="300"/>
      <c r="F295" s="300"/>
      <c r="G295" s="300"/>
      <c r="H295" s="300"/>
      <c r="I295" s="300"/>
      <c r="J295" s="300"/>
      <c r="K295" s="300"/>
      <c r="L295" s="300"/>
      <c r="M295" s="300"/>
      <c r="N295" s="300"/>
      <c r="O295" s="300"/>
      <c r="P295" s="300"/>
      <c r="Q295" s="300"/>
      <c r="R295" s="300"/>
      <c r="S295" s="301"/>
    </row>
    <row r="296" spans="1:19">
      <c r="A296" s="319"/>
      <c r="B296" s="300"/>
      <c r="C296" s="332"/>
      <c r="D296" s="300"/>
      <c r="E296" s="300"/>
      <c r="F296" s="300"/>
      <c r="G296" s="300"/>
      <c r="H296" s="300"/>
      <c r="I296" s="300"/>
      <c r="J296" s="300"/>
      <c r="K296" s="300"/>
      <c r="L296" s="300"/>
      <c r="M296" s="300"/>
      <c r="N296" s="300"/>
      <c r="O296" s="300"/>
      <c r="P296" s="300"/>
      <c r="Q296" s="300"/>
      <c r="R296" s="300"/>
      <c r="S296" s="301"/>
    </row>
    <row r="297" spans="1:19">
      <c r="A297" s="319"/>
      <c r="B297" s="300"/>
      <c r="C297" s="332"/>
      <c r="D297" s="300"/>
      <c r="E297" s="300"/>
      <c r="F297" s="300"/>
      <c r="G297" s="300"/>
      <c r="H297" s="300"/>
      <c r="I297" s="300"/>
      <c r="J297" s="300"/>
      <c r="K297" s="300"/>
      <c r="L297" s="300"/>
      <c r="M297" s="300"/>
      <c r="N297" s="300"/>
      <c r="O297" s="300"/>
      <c r="P297" s="300"/>
      <c r="Q297" s="300"/>
      <c r="R297" s="300"/>
      <c r="S297" s="301"/>
    </row>
    <row r="298" spans="1:19">
      <c r="A298" s="319"/>
      <c r="B298" s="300"/>
      <c r="C298" s="332"/>
      <c r="D298" s="300"/>
      <c r="E298" s="300"/>
      <c r="F298" s="300"/>
      <c r="G298" s="300"/>
      <c r="H298" s="300"/>
      <c r="I298" s="300"/>
      <c r="J298" s="300"/>
      <c r="K298" s="300"/>
      <c r="L298" s="300"/>
      <c r="M298" s="300"/>
      <c r="N298" s="300"/>
      <c r="O298" s="300"/>
      <c r="P298" s="300"/>
      <c r="Q298" s="300"/>
      <c r="R298" s="300"/>
      <c r="S298" s="301"/>
    </row>
    <row r="299" spans="1:19">
      <c r="A299" s="319"/>
      <c r="B299" s="300"/>
      <c r="C299" s="332"/>
      <c r="D299" s="300"/>
      <c r="E299" s="300"/>
      <c r="F299" s="300"/>
      <c r="G299" s="300"/>
      <c r="H299" s="300"/>
      <c r="I299" s="300"/>
      <c r="J299" s="300"/>
      <c r="K299" s="300"/>
      <c r="L299" s="300"/>
      <c r="M299" s="300"/>
      <c r="N299" s="300"/>
      <c r="O299" s="300"/>
      <c r="P299" s="300"/>
      <c r="Q299" s="300"/>
      <c r="R299" s="300"/>
      <c r="S299" s="301"/>
    </row>
    <row r="300" spans="1:19">
      <c r="A300" s="319"/>
      <c r="B300" s="300"/>
      <c r="C300" s="332"/>
      <c r="D300" s="300"/>
      <c r="E300" s="300"/>
      <c r="F300" s="300"/>
      <c r="G300" s="300"/>
      <c r="H300" s="300"/>
      <c r="I300" s="300"/>
      <c r="J300" s="300"/>
      <c r="K300" s="300"/>
      <c r="L300" s="300"/>
      <c r="M300" s="300"/>
      <c r="N300" s="300"/>
      <c r="O300" s="300"/>
      <c r="P300" s="300"/>
      <c r="Q300" s="300"/>
      <c r="R300" s="300"/>
      <c r="S300" s="301"/>
    </row>
    <row r="301" spans="1:19">
      <c r="A301" s="319"/>
      <c r="B301" s="300"/>
      <c r="C301" s="332"/>
      <c r="D301" s="300"/>
      <c r="E301" s="300"/>
      <c r="F301" s="300"/>
      <c r="G301" s="300"/>
      <c r="H301" s="300"/>
      <c r="I301" s="300"/>
      <c r="J301" s="300"/>
      <c r="K301" s="300"/>
      <c r="L301" s="300"/>
      <c r="M301" s="300"/>
      <c r="N301" s="300"/>
      <c r="O301" s="300"/>
      <c r="P301" s="300"/>
      <c r="Q301" s="300"/>
      <c r="R301" s="300"/>
      <c r="S301" s="301"/>
    </row>
    <row r="302" spans="1:19">
      <c r="A302" s="319"/>
      <c r="B302" s="300"/>
      <c r="C302" s="332"/>
      <c r="D302" s="300"/>
      <c r="E302" s="300"/>
      <c r="F302" s="300"/>
      <c r="G302" s="300"/>
      <c r="H302" s="300"/>
      <c r="I302" s="300"/>
      <c r="J302" s="300"/>
      <c r="K302" s="300"/>
      <c r="L302" s="300"/>
      <c r="M302" s="300"/>
      <c r="N302" s="300"/>
      <c r="O302" s="300"/>
      <c r="P302" s="300"/>
      <c r="Q302" s="300"/>
      <c r="R302" s="300"/>
      <c r="S302" s="301"/>
    </row>
    <row r="303" spans="1:19">
      <c r="A303" s="319"/>
      <c r="B303" s="300"/>
      <c r="C303" s="332"/>
      <c r="D303" s="300"/>
      <c r="E303" s="300"/>
      <c r="F303" s="300"/>
      <c r="G303" s="300"/>
      <c r="H303" s="300"/>
      <c r="I303" s="300"/>
      <c r="J303" s="300"/>
      <c r="K303" s="300"/>
      <c r="L303" s="300"/>
      <c r="M303" s="300"/>
      <c r="N303" s="300"/>
      <c r="O303" s="300"/>
      <c r="P303" s="300"/>
      <c r="Q303" s="300"/>
      <c r="R303" s="300"/>
      <c r="S303" s="301"/>
    </row>
    <row r="304" spans="1:19">
      <c r="A304" s="319"/>
      <c r="B304" s="300"/>
      <c r="C304" s="332"/>
      <c r="D304" s="300"/>
      <c r="E304" s="300"/>
      <c r="F304" s="300"/>
      <c r="G304" s="300"/>
      <c r="H304" s="300"/>
      <c r="I304" s="300"/>
      <c r="J304" s="300"/>
      <c r="K304" s="300"/>
      <c r="L304" s="300"/>
      <c r="M304" s="300"/>
      <c r="N304" s="300"/>
      <c r="O304" s="300"/>
      <c r="P304" s="300"/>
      <c r="Q304" s="300"/>
      <c r="R304" s="300"/>
      <c r="S304" s="301"/>
    </row>
    <row r="305" spans="1:19">
      <c r="A305" s="319"/>
      <c r="B305" s="300"/>
      <c r="C305" s="332"/>
      <c r="D305" s="300"/>
      <c r="E305" s="300"/>
      <c r="F305" s="300"/>
      <c r="G305" s="300"/>
      <c r="H305" s="300"/>
      <c r="I305" s="300"/>
      <c r="J305" s="300"/>
      <c r="K305" s="300"/>
      <c r="L305" s="300"/>
      <c r="M305" s="300"/>
      <c r="N305" s="300"/>
      <c r="O305" s="300"/>
      <c r="P305" s="300"/>
      <c r="Q305" s="300"/>
      <c r="R305" s="300"/>
      <c r="S305" s="301"/>
    </row>
    <row r="306" spans="1:19">
      <c r="A306" s="319"/>
      <c r="B306" s="300"/>
      <c r="C306" s="332"/>
      <c r="D306" s="300"/>
      <c r="E306" s="300"/>
      <c r="F306" s="300"/>
      <c r="G306" s="300"/>
      <c r="H306" s="300"/>
      <c r="I306" s="300"/>
      <c r="J306" s="300"/>
      <c r="K306" s="300"/>
      <c r="L306" s="300"/>
      <c r="M306" s="300"/>
      <c r="N306" s="300"/>
      <c r="O306" s="300"/>
      <c r="P306" s="300"/>
      <c r="Q306" s="300"/>
      <c r="R306" s="300"/>
      <c r="S306" s="301"/>
    </row>
    <row r="307" spans="1:19">
      <c r="A307" s="319"/>
      <c r="B307" s="300"/>
      <c r="C307" s="332"/>
      <c r="D307" s="300"/>
      <c r="E307" s="300"/>
      <c r="F307" s="300"/>
      <c r="G307" s="300"/>
      <c r="H307" s="300"/>
      <c r="I307" s="300"/>
      <c r="J307" s="300"/>
      <c r="K307" s="300"/>
      <c r="L307" s="300"/>
      <c r="M307" s="300"/>
      <c r="N307" s="300"/>
      <c r="O307" s="300"/>
      <c r="P307" s="300"/>
      <c r="Q307" s="300"/>
      <c r="R307" s="300"/>
      <c r="S307" s="301"/>
    </row>
    <row r="308" spans="1:19">
      <c r="A308" s="319"/>
      <c r="B308" s="300"/>
      <c r="C308" s="332"/>
      <c r="D308" s="300"/>
      <c r="E308" s="300"/>
      <c r="F308" s="300"/>
      <c r="G308" s="300"/>
      <c r="H308" s="300"/>
      <c r="I308" s="300"/>
      <c r="J308" s="300"/>
      <c r="K308" s="300"/>
      <c r="L308" s="300"/>
      <c r="M308" s="300"/>
      <c r="N308" s="300"/>
      <c r="O308" s="300"/>
      <c r="P308" s="300"/>
      <c r="Q308" s="300"/>
      <c r="R308" s="300"/>
      <c r="S308" s="301"/>
    </row>
    <row r="309" spans="1:19">
      <c r="A309" s="319"/>
      <c r="B309" s="300"/>
      <c r="C309" s="332"/>
      <c r="D309" s="300"/>
      <c r="E309" s="300"/>
      <c r="F309" s="300"/>
      <c r="G309" s="300"/>
      <c r="H309" s="300"/>
      <c r="I309" s="300"/>
      <c r="J309" s="300"/>
      <c r="K309" s="300"/>
      <c r="L309" s="300"/>
      <c r="M309" s="300"/>
      <c r="N309" s="300"/>
      <c r="O309" s="300"/>
      <c r="P309" s="300"/>
      <c r="Q309" s="300"/>
      <c r="R309" s="300"/>
      <c r="S309" s="301"/>
    </row>
    <row r="310" spans="1:19">
      <c r="A310" s="319"/>
      <c r="B310" s="300"/>
      <c r="C310" s="332"/>
      <c r="D310" s="300"/>
      <c r="E310" s="300"/>
      <c r="F310" s="300"/>
      <c r="G310" s="300"/>
      <c r="H310" s="300"/>
      <c r="I310" s="300"/>
      <c r="J310" s="300"/>
      <c r="K310" s="300"/>
      <c r="L310" s="300"/>
      <c r="M310" s="300"/>
      <c r="N310" s="300"/>
      <c r="O310" s="300"/>
      <c r="P310" s="300"/>
      <c r="Q310" s="300"/>
      <c r="R310" s="300"/>
      <c r="S310" s="301"/>
    </row>
    <row r="311" spans="1:19">
      <c r="A311" s="319"/>
      <c r="B311" s="300"/>
      <c r="C311" s="332"/>
      <c r="D311" s="300"/>
      <c r="E311" s="300"/>
      <c r="F311" s="300"/>
      <c r="G311" s="300"/>
      <c r="H311" s="300"/>
      <c r="I311" s="300"/>
      <c r="J311" s="300"/>
      <c r="K311" s="300"/>
      <c r="L311" s="300"/>
      <c r="M311" s="300"/>
      <c r="N311" s="300"/>
      <c r="O311" s="300"/>
      <c r="P311" s="300"/>
      <c r="Q311" s="300"/>
      <c r="R311" s="300"/>
      <c r="S311" s="301"/>
    </row>
    <row r="312" spans="1:19">
      <c r="A312" s="319"/>
      <c r="B312" s="300"/>
      <c r="C312" s="332"/>
      <c r="D312" s="300"/>
      <c r="E312" s="300"/>
      <c r="F312" s="300"/>
      <c r="G312" s="300"/>
      <c r="H312" s="300"/>
      <c r="I312" s="300"/>
      <c r="J312" s="300"/>
      <c r="K312" s="300"/>
      <c r="L312" s="300"/>
      <c r="M312" s="300"/>
      <c r="N312" s="300"/>
      <c r="O312" s="300"/>
      <c r="P312" s="300"/>
      <c r="Q312" s="300"/>
      <c r="R312" s="300"/>
      <c r="S312" s="301"/>
    </row>
    <row r="313" spans="1:19">
      <c r="A313" s="319"/>
      <c r="B313" s="300"/>
      <c r="C313" s="332"/>
      <c r="D313" s="300"/>
      <c r="E313" s="300"/>
      <c r="F313" s="300"/>
      <c r="G313" s="300"/>
      <c r="H313" s="300"/>
      <c r="I313" s="300"/>
      <c r="J313" s="300"/>
      <c r="K313" s="300"/>
      <c r="L313" s="300"/>
      <c r="M313" s="300"/>
      <c r="N313" s="300"/>
      <c r="O313" s="300"/>
      <c r="P313" s="300"/>
      <c r="Q313" s="300"/>
      <c r="R313" s="300"/>
      <c r="S313" s="301"/>
    </row>
    <row r="314" spans="1:19">
      <c r="A314" s="319"/>
      <c r="B314" s="300"/>
      <c r="C314" s="332"/>
      <c r="D314" s="300"/>
      <c r="E314" s="300"/>
      <c r="F314" s="300"/>
      <c r="G314" s="300"/>
      <c r="H314" s="300"/>
      <c r="I314" s="300"/>
      <c r="J314" s="300"/>
      <c r="K314" s="300"/>
      <c r="L314" s="300"/>
      <c r="M314" s="300"/>
      <c r="N314" s="300"/>
      <c r="O314" s="300"/>
      <c r="P314" s="300"/>
      <c r="Q314" s="300"/>
      <c r="R314" s="300"/>
      <c r="S314" s="301"/>
    </row>
    <row r="315" spans="1:19">
      <c r="A315" s="319"/>
      <c r="B315" s="300"/>
      <c r="C315" s="332"/>
      <c r="D315" s="300"/>
      <c r="E315" s="300"/>
      <c r="F315" s="300"/>
      <c r="G315" s="300"/>
      <c r="H315" s="300"/>
      <c r="I315" s="300"/>
      <c r="J315" s="300"/>
      <c r="K315" s="300"/>
      <c r="L315" s="300"/>
      <c r="M315" s="300"/>
      <c r="N315" s="300"/>
      <c r="O315" s="300"/>
      <c r="P315" s="300"/>
      <c r="Q315" s="300"/>
      <c r="R315" s="300"/>
      <c r="S315" s="301"/>
    </row>
    <row r="316" spans="1:19">
      <c r="A316" s="319"/>
      <c r="B316" s="300"/>
      <c r="C316" s="332"/>
      <c r="D316" s="300"/>
      <c r="E316" s="300"/>
      <c r="F316" s="300"/>
      <c r="G316" s="300"/>
      <c r="H316" s="300"/>
      <c r="I316" s="300"/>
      <c r="J316" s="300"/>
      <c r="K316" s="300"/>
      <c r="L316" s="300"/>
      <c r="M316" s="300"/>
      <c r="N316" s="300"/>
      <c r="O316" s="300"/>
      <c r="P316" s="300"/>
      <c r="Q316" s="300"/>
      <c r="R316" s="300"/>
      <c r="S316" s="301"/>
    </row>
    <row r="317" spans="1:19">
      <c r="A317" s="319"/>
      <c r="B317" s="300"/>
      <c r="C317" s="332"/>
      <c r="D317" s="300"/>
      <c r="E317" s="300"/>
      <c r="F317" s="300"/>
      <c r="G317" s="300"/>
      <c r="H317" s="300"/>
      <c r="I317" s="300"/>
      <c r="J317" s="300"/>
      <c r="K317" s="300"/>
      <c r="L317" s="300"/>
      <c r="M317" s="300"/>
      <c r="N317" s="300"/>
      <c r="O317" s="300"/>
      <c r="P317" s="300"/>
      <c r="Q317" s="300"/>
      <c r="R317" s="300"/>
      <c r="S317" s="301"/>
    </row>
    <row r="318" spans="1:19">
      <c r="A318" s="319"/>
      <c r="B318" s="300"/>
      <c r="C318" s="332"/>
      <c r="D318" s="300"/>
      <c r="E318" s="300"/>
      <c r="F318" s="300"/>
      <c r="G318" s="300"/>
      <c r="H318" s="300"/>
      <c r="I318" s="300"/>
      <c r="J318" s="300"/>
      <c r="K318" s="300"/>
      <c r="L318" s="300"/>
      <c r="M318" s="300"/>
      <c r="N318" s="300"/>
      <c r="O318" s="300"/>
      <c r="P318" s="300"/>
      <c r="Q318" s="300"/>
      <c r="R318" s="300"/>
      <c r="S318" s="301"/>
    </row>
    <row r="319" spans="1:19">
      <c r="A319" s="319"/>
      <c r="B319" s="300"/>
      <c r="C319" s="332"/>
      <c r="D319" s="300"/>
      <c r="E319" s="300"/>
      <c r="F319" s="300"/>
      <c r="G319" s="300"/>
      <c r="H319" s="300"/>
      <c r="I319" s="300"/>
      <c r="J319" s="300"/>
      <c r="K319" s="300"/>
      <c r="L319" s="300"/>
      <c r="M319" s="300"/>
      <c r="N319" s="300"/>
      <c r="O319" s="300"/>
      <c r="P319" s="300"/>
      <c r="Q319" s="300"/>
      <c r="R319" s="300"/>
      <c r="S319" s="301"/>
    </row>
    <row r="320" spans="1:19">
      <c r="A320" s="319"/>
      <c r="B320" s="300"/>
      <c r="C320" s="332"/>
      <c r="D320" s="300"/>
      <c r="E320" s="300"/>
      <c r="F320" s="300"/>
      <c r="G320" s="300"/>
      <c r="H320" s="300"/>
      <c r="I320" s="300"/>
      <c r="J320" s="300"/>
      <c r="K320" s="300"/>
      <c r="L320" s="300"/>
      <c r="M320" s="300"/>
      <c r="N320" s="300"/>
      <c r="O320" s="300"/>
      <c r="P320" s="300"/>
      <c r="Q320" s="300"/>
      <c r="R320" s="300"/>
      <c r="S320" s="301"/>
    </row>
    <row r="321" spans="1:19">
      <c r="A321" s="319"/>
      <c r="B321" s="300"/>
      <c r="C321" s="332"/>
      <c r="D321" s="300"/>
      <c r="E321" s="300"/>
      <c r="F321" s="300"/>
      <c r="G321" s="300"/>
      <c r="H321" s="300"/>
      <c r="I321" s="300"/>
      <c r="J321" s="300"/>
      <c r="K321" s="300"/>
      <c r="L321" s="300"/>
      <c r="M321" s="300"/>
      <c r="N321" s="300"/>
      <c r="O321" s="300"/>
      <c r="P321" s="300"/>
      <c r="Q321" s="300"/>
      <c r="R321" s="300"/>
      <c r="S321" s="301"/>
    </row>
    <row r="322" spans="1:19">
      <c r="A322" s="319"/>
      <c r="B322" s="300"/>
      <c r="C322" s="332"/>
      <c r="D322" s="300"/>
      <c r="E322" s="300"/>
      <c r="F322" s="300"/>
      <c r="G322" s="300"/>
      <c r="H322" s="300"/>
      <c r="I322" s="300"/>
      <c r="J322" s="300"/>
      <c r="K322" s="300"/>
      <c r="L322" s="300"/>
      <c r="M322" s="300"/>
      <c r="N322" s="300"/>
      <c r="O322" s="300"/>
      <c r="P322" s="300"/>
      <c r="Q322" s="300"/>
      <c r="R322" s="300"/>
      <c r="S322" s="301"/>
    </row>
    <row r="323" spans="1:19">
      <c r="A323" s="319"/>
      <c r="B323" s="300"/>
      <c r="C323" s="332"/>
      <c r="D323" s="300"/>
      <c r="E323" s="300"/>
      <c r="F323" s="300"/>
      <c r="G323" s="300"/>
      <c r="H323" s="300"/>
      <c r="I323" s="300"/>
      <c r="J323" s="300"/>
      <c r="K323" s="300"/>
      <c r="L323" s="300"/>
      <c r="M323" s="300"/>
      <c r="N323" s="300"/>
      <c r="O323" s="300"/>
      <c r="P323" s="300"/>
      <c r="Q323" s="300"/>
      <c r="R323" s="300"/>
      <c r="S323" s="301"/>
    </row>
    <row r="324" spans="1:19">
      <c r="A324" s="319"/>
      <c r="B324" s="300"/>
      <c r="C324" s="332"/>
      <c r="D324" s="300"/>
      <c r="E324" s="300"/>
      <c r="F324" s="300"/>
      <c r="G324" s="300"/>
      <c r="H324" s="300"/>
      <c r="I324" s="300"/>
      <c r="J324" s="300"/>
      <c r="K324" s="300"/>
      <c r="L324" s="300"/>
      <c r="M324" s="300"/>
      <c r="N324" s="300"/>
      <c r="O324" s="300"/>
      <c r="P324" s="300"/>
      <c r="Q324" s="300"/>
      <c r="R324" s="300"/>
      <c r="S324" s="301"/>
    </row>
    <row r="325" spans="1:19">
      <c r="A325" s="319"/>
      <c r="B325" s="300"/>
      <c r="C325" s="332"/>
      <c r="D325" s="300"/>
      <c r="E325" s="300"/>
      <c r="F325" s="300"/>
      <c r="G325" s="300"/>
      <c r="H325" s="300"/>
      <c r="I325" s="300"/>
      <c r="J325" s="300"/>
      <c r="K325" s="300"/>
      <c r="L325" s="300"/>
      <c r="M325" s="300"/>
      <c r="N325" s="300"/>
      <c r="O325" s="300"/>
      <c r="P325" s="300"/>
      <c r="Q325" s="300"/>
      <c r="R325" s="300"/>
      <c r="S325" s="301"/>
    </row>
    <row r="326" spans="1:19">
      <c r="A326" s="319"/>
      <c r="B326" s="300"/>
      <c r="C326" s="332"/>
      <c r="D326" s="300"/>
      <c r="E326" s="300"/>
      <c r="F326" s="300"/>
      <c r="G326" s="300"/>
      <c r="H326" s="300"/>
      <c r="I326" s="300"/>
      <c r="J326" s="300"/>
      <c r="K326" s="300"/>
      <c r="L326" s="300"/>
      <c r="M326" s="300"/>
      <c r="N326" s="300"/>
      <c r="O326" s="300"/>
      <c r="P326" s="300"/>
      <c r="Q326" s="300"/>
      <c r="R326" s="300"/>
      <c r="S326" s="301"/>
    </row>
    <row r="327" spans="1:19">
      <c r="A327" s="319"/>
      <c r="B327" s="300"/>
      <c r="C327" s="332"/>
      <c r="D327" s="300"/>
      <c r="E327" s="300"/>
      <c r="F327" s="300"/>
      <c r="G327" s="300"/>
      <c r="H327" s="300"/>
      <c r="I327" s="300"/>
      <c r="J327" s="300"/>
      <c r="K327" s="300"/>
      <c r="L327" s="300"/>
      <c r="M327" s="300"/>
      <c r="N327" s="300"/>
      <c r="O327" s="300"/>
      <c r="P327" s="300"/>
      <c r="Q327" s="300"/>
      <c r="R327" s="300"/>
      <c r="S327" s="301"/>
    </row>
    <row r="328" spans="1:19">
      <c r="A328" s="319"/>
      <c r="B328" s="300"/>
      <c r="C328" s="332"/>
      <c r="D328" s="300"/>
      <c r="E328" s="300"/>
      <c r="F328" s="300"/>
      <c r="G328" s="300"/>
      <c r="H328" s="300"/>
      <c r="I328" s="300"/>
      <c r="J328" s="300"/>
      <c r="K328" s="300"/>
      <c r="L328" s="300"/>
      <c r="M328" s="300"/>
      <c r="N328" s="300"/>
      <c r="O328" s="300"/>
      <c r="P328" s="300"/>
      <c r="Q328" s="300"/>
      <c r="R328" s="300"/>
      <c r="S328" s="301"/>
    </row>
    <row r="329" spans="1:19">
      <c r="A329" s="319"/>
      <c r="B329" s="300"/>
      <c r="C329" s="332"/>
      <c r="D329" s="300"/>
      <c r="E329" s="300"/>
      <c r="F329" s="300"/>
      <c r="G329" s="300"/>
      <c r="H329" s="300"/>
      <c r="I329" s="300"/>
      <c r="J329" s="300"/>
      <c r="K329" s="300"/>
      <c r="L329" s="300"/>
      <c r="M329" s="300"/>
      <c r="N329" s="300"/>
      <c r="O329" s="300"/>
      <c r="P329" s="300"/>
      <c r="Q329" s="300"/>
      <c r="R329" s="300"/>
      <c r="S329" s="301"/>
    </row>
    <row r="330" spans="1:19">
      <c r="A330" s="319"/>
      <c r="B330" s="300"/>
      <c r="C330" s="332"/>
      <c r="D330" s="300"/>
      <c r="E330" s="300"/>
      <c r="F330" s="300"/>
      <c r="G330" s="300"/>
      <c r="H330" s="300"/>
      <c r="I330" s="300"/>
      <c r="J330" s="300"/>
      <c r="K330" s="300"/>
      <c r="L330" s="300"/>
      <c r="M330" s="300"/>
      <c r="N330" s="300"/>
      <c r="O330" s="300"/>
      <c r="P330" s="300"/>
      <c r="Q330" s="300"/>
      <c r="R330" s="300"/>
      <c r="S330" s="301"/>
    </row>
    <row r="331" spans="1:19">
      <c r="A331" s="319"/>
      <c r="B331" s="300"/>
      <c r="C331" s="332"/>
      <c r="D331" s="300"/>
      <c r="E331" s="300"/>
      <c r="F331" s="300"/>
      <c r="G331" s="300"/>
      <c r="H331" s="300"/>
      <c r="I331" s="300"/>
      <c r="J331" s="300"/>
      <c r="K331" s="300"/>
      <c r="L331" s="300"/>
      <c r="M331" s="300"/>
      <c r="N331" s="300"/>
      <c r="O331" s="300"/>
      <c r="P331" s="300"/>
      <c r="Q331" s="300"/>
      <c r="R331" s="300"/>
      <c r="S331" s="301"/>
    </row>
    <row r="332" spans="1:19">
      <c r="A332" s="319"/>
      <c r="B332" s="300"/>
      <c r="C332" s="332"/>
      <c r="D332" s="300"/>
      <c r="E332" s="300"/>
      <c r="F332" s="300"/>
      <c r="G332" s="300"/>
      <c r="H332" s="300"/>
      <c r="I332" s="300"/>
      <c r="J332" s="300"/>
      <c r="K332" s="300"/>
      <c r="L332" s="300"/>
      <c r="M332" s="300"/>
      <c r="N332" s="300"/>
      <c r="O332" s="300"/>
      <c r="P332" s="300"/>
      <c r="Q332" s="300"/>
      <c r="R332" s="300"/>
      <c r="S332" s="301"/>
    </row>
    <row r="333" spans="1:19">
      <c r="A333" s="319"/>
      <c r="B333" s="300"/>
      <c r="C333" s="332"/>
      <c r="D333" s="300"/>
      <c r="E333" s="300"/>
      <c r="F333" s="300"/>
      <c r="G333" s="300"/>
      <c r="H333" s="300"/>
      <c r="I333" s="300"/>
      <c r="J333" s="300"/>
      <c r="K333" s="300"/>
      <c r="L333" s="300"/>
      <c r="M333" s="300"/>
      <c r="N333" s="300"/>
      <c r="O333" s="300"/>
      <c r="P333" s="300"/>
      <c r="Q333" s="300"/>
      <c r="R333" s="300"/>
      <c r="S333" s="301"/>
    </row>
    <row r="334" spans="1:19">
      <c r="A334" s="319"/>
      <c r="B334" s="300"/>
      <c r="C334" s="332"/>
      <c r="D334" s="300"/>
      <c r="E334" s="300"/>
      <c r="F334" s="300"/>
      <c r="G334" s="300"/>
      <c r="H334" s="300"/>
      <c r="I334" s="300"/>
      <c r="J334" s="300"/>
      <c r="K334" s="300"/>
      <c r="L334" s="300"/>
      <c r="M334" s="300"/>
      <c r="N334" s="300"/>
      <c r="O334" s="300"/>
      <c r="P334" s="300"/>
      <c r="Q334" s="300"/>
      <c r="R334" s="300"/>
      <c r="S334" s="301"/>
    </row>
    <row r="335" spans="1:19">
      <c r="A335" s="319"/>
      <c r="B335" s="300"/>
      <c r="C335" s="332"/>
      <c r="D335" s="300"/>
      <c r="E335" s="300"/>
      <c r="F335" s="300"/>
      <c r="G335" s="300"/>
      <c r="H335" s="300"/>
      <c r="I335" s="300"/>
      <c r="J335" s="300"/>
      <c r="K335" s="300"/>
      <c r="L335" s="300"/>
      <c r="M335" s="300"/>
      <c r="N335" s="300"/>
      <c r="O335" s="300"/>
      <c r="P335" s="300"/>
      <c r="Q335" s="300"/>
      <c r="R335" s="300"/>
      <c r="S335" s="301"/>
    </row>
    <row r="336" spans="1:19">
      <c r="A336" s="319"/>
      <c r="B336" s="300"/>
      <c r="C336" s="332"/>
      <c r="D336" s="300"/>
      <c r="E336" s="300"/>
      <c r="F336" s="300"/>
      <c r="G336" s="300"/>
      <c r="H336" s="300"/>
      <c r="I336" s="300"/>
      <c r="J336" s="300"/>
      <c r="K336" s="300"/>
      <c r="L336" s="300"/>
      <c r="M336" s="300"/>
      <c r="N336" s="300"/>
      <c r="O336" s="300"/>
      <c r="P336" s="300"/>
      <c r="Q336" s="300"/>
      <c r="R336" s="300"/>
      <c r="S336" s="301"/>
    </row>
    <row r="337" spans="1:19">
      <c r="A337" s="319"/>
      <c r="B337" s="300"/>
      <c r="C337" s="332"/>
      <c r="D337" s="300"/>
      <c r="E337" s="300"/>
      <c r="F337" s="300"/>
      <c r="G337" s="300"/>
      <c r="H337" s="300"/>
      <c r="I337" s="300"/>
      <c r="J337" s="300"/>
      <c r="K337" s="300"/>
      <c r="L337" s="300"/>
      <c r="M337" s="300"/>
      <c r="N337" s="300"/>
      <c r="O337" s="300"/>
      <c r="P337" s="300"/>
      <c r="Q337" s="300"/>
      <c r="R337" s="300"/>
      <c r="S337" s="301"/>
    </row>
    <row r="338" spans="1:19">
      <c r="A338" s="319"/>
      <c r="B338" s="300"/>
      <c r="C338" s="332"/>
      <c r="D338" s="300"/>
      <c r="E338" s="300"/>
      <c r="F338" s="300"/>
      <c r="G338" s="300"/>
      <c r="H338" s="300"/>
      <c r="I338" s="300"/>
      <c r="J338" s="300"/>
      <c r="K338" s="300"/>
      <c r="L338" s="300"/>
      <c r="M338" s="300"/>
      <c r="N338" s="300"/>
      <c r="O338" s="300"/>
      <c r="P338" s="300"/>
      <c r="Q338" s="300"/>
      <c r="R338" s="300"/>
      <c r="S338" s="301"/>
    </row>
    <row r="339" spans="1:19">
      <c r="A339" s="319"/>
      <c r="B339" s="300"/>
      <c r="C339" s="332"/>
      <c r="D339" s="300"/>
      <c r="E339" s="300"/>
      <c r="F339" s="300"/>
      <c r="G339" s="300"/>
      <c r="H339" s="300"/>
      <c r="I339" s="300"/>
      <c r="J339" s="300"/>
      <c r="K339" s="300"/>
      <c r="L339" s="300"/>
      <c r="M339" s="300"/>
      <c r="N339" s="300"/>
      <c r="O339" s="300"/>
      <c r="P339" s="300"/>
      <c r="Q339" s="300"/>
      <c r="R339" s="300"/>
      <c r="S339" s="301"/>
    </row>
    <row r="340" spans="1:19">
      <c r="A340" s="319"/>
      <c r="B340" s="300"/>
      <c r="C340" s="332"/>
      <c r="D340" s="300"/>
      <c r="E340" s="300"/>
      <c r="F340" s="300"/>
      <c r="G340" s="300"/>
      <c r="H340" s="300"/>
      <c r="I340" s="300"/>
      <c r="J340" s="300"/>
      <c r="K340" s="300"/>
      <c r="L340" s="300"/>
      <c r="M340" s="300"/>
      <c r="N340" s="300"/>
      <c r="O340" s="300"/>
      <c r="P340" s="300"/>
      <c r="Q340" s="300"/>
      <c r="R340" s="300"/>
      <c r="S340" s="301"/>
    </row>
    <row r="341" spans="1:19">
      <c r="A341" s="319"/>
      <c r="B341" s="300"/>
      <c r="C341" s="332"/>
      <c r="D341" s="300"/>
      <c r="E341" s="300"/>
      <c r="F341" s="300"/>
      <c r="G341" s="300"/>
      <c r="H341" s="300"/>
      <c r="I341" s="300"/>
      <c r="J341" s="300"/>
      <c r="K341" s="300"/>
      <c r="L341" s="300"/>
      <c r="M341" s="300"/>
      <c r="N341" s="300"/>
      <c r="O341" s="300"/>
      <c r="P341" s="300"/>
      <c r="Q341" s="300"/>
      <c r="R341" s="300"/>
      <c r="S341" s="301"/>
    </row>
    <row r="342" spans="1:19">
      <c r="A342" s="319"/>
      <c r="B342" s="300"/>
      <c r="C342" s="332"/>
      <c r="D342" s="300"/>
      <c r="E342" s="300"/>
      <c r="F342" s="300"/>
      <c r="G342" s="300"/>
      <c r="H342" s="300"/>
      <c r="I342" s="300"/>
      <c r="J342" s="300"/>
      <c r="K342" s="300"/>
      <c r="L342" s="300"/>
      <c r="M342" s="300"/>
      <c r="N342" s="300"/>
      <c r="O342" s="300"/>
      <c r="P342" s="300"/>
      <c r="Q342" s="300"/>
      <c r="R342" s="300"/>
      <c r="S342" s="301"/>
    </row>
    <row r="343" spans="1:19">
      <c r="A343" s="319"/>
      <c r="B343" s="300"/>
      <c r="C343" s="332"/>
      <c r="D343" s="300"/>
      <c r="E343" s="300"/>
      <c r="F343" s="300"/>
      <c r="G343" s="300"/>
      <c r="H343" s="300"/>
      <c r="I343" s="300"/>
      <c r="J343" s="300"/>
      <c r="K343" s="300"/>
      <c r="L343" s="300"/>
      <c r="M343" s="300"/>
      <c r="N343" s="300"/>
      <c r="O343" s="300"/>
      <c r="P343" s="300"/>
      <c r="Q343" s="300"/>
      <c r="R343" s="300"/>
      <c r="S343" s="301"/>
    </row>
    <row r="344" spans="1:19">
      <c r="A344" s="319"/>
      <c r="B344" s="300"/>
      <c r="C344" s="332"/>
      <c r="D344" s="300"/>
      <c r="E344" s="300"/>
      <c r="F344" s="300"/>
      <c r="G344" s="300"/>
      <c r="H344" s="300"/>
      <c r="I344" s="300"/>
      <c r="J344" s="300"/>
      <c r="K344" s="300"/>
      <c r="L344" s="300"/>
      <c r="M344" s="300"/>
      <c r="N344" s="300"/>
      <c r="O344" s="300"/>
      <c r="P344" s="300"/>
      <c r="Q344" s="300"/>
      <c r="R344" s="300"/>
      <c r="S344" s="301"/>
    </row>
    <row r="345" spans="1:19">
      <c r="A345" s="319"/>
      <c r="B345" s="300"/>
      <c r="C345" s="332"/>
      <c r="D345" s="300"/>
      <c r="E345" s="300"/>
      <c r="F345" s="300"/>
      <c r="G345" s="300"/>
      <c r="H345" s="300"/>
      <c r="I345" s="300"/>
      <c r="J345" s="300"/>
      <c r="K345" s="300"/>
      <c r="L345" s="300"/>
      <c r="M345" s="300"/>
      <c r="N345" s="300"/>
      <c r="O345" s="300"/>
      <c r="P345" s="300"/>
      <c r="Q345" s="300"/>
      <c r="R345" s="300"/>
      <c r="S345" s="301"/>
    </row>
    <row r="346" spans="1:19">
      <c r="A346" s="319"/>
      <c r="B346" s="300"/>
      <c r="C346" s="332"/>
      <c r="D346" s="300"/>
      <c r="E346" s="300"/>
      <c r="F346" s="300"/>
      <c r="G346" s="300"/>
      <c r="H346" s="300"/>
      <c r="I346" s="300"/>
      <c r="J346" s="300"/>
      <c r="K346" s="300"/>
      <c r="L346" s="300"/>
      <c r="M346" s="300"/>
      <c r="N346" s="300"/>
      <c r="O346" s="300"/>
      <c r="P346" s="300"/>
      <c r="Q346" s="300"/>
      <c r="R346" s="300"/>
      <c r="S346" s="301"/>
    </row>
    <row r="347" spans="1:19">
      <c r="A347" s="319"/>
      <c r="B347" s="300"/>
      <c r="C347" s="332"/>
      <c r="D347" s="300"/>
      <c r="E347" s="300"/>
      <c r="F347" s="300"/>
      <c r="G347" s="300"/>
      <c r="H347" s="300"/>
      <c r="I347" s="300"/>
      <c r="J347" s="300"/>
      <c r="K347" s="300"/>
      <c r="L347" s="300"/>
      <c r="M347" s="300"/>
      <c r="N347" s="300"/>
      <c r="O347" s="300"/>
      <c r="P347" s="300"/>
      <c r="Q347" s="300"/>
      <c r="R347" s="300"/>
      <c r="S347" s="301"/>
    </row>
    <row r="348" spans="1:19">
      <c r="A348" s="319"/>
      <c r="B348" s="300"/>
      <c r="C348" s="332"/>
      <c r="D348" s="300"/>
      <c r="E348" s="300"/>
      <c r="F348" s="300"/>
      <c r="G348" s="300"/>
      <c r="H348" s="300"/>
      <c r="I348" s="300"/>
      <c r="J348" s="300"/>
      <c r="K348" s="300"/>
      <c r="L348" s="300"/>
      <c r="M348" s="300"/>
      <c r="N348" s="300"/>
      <c r="O348" s="300"/>
      <c r="P348" s="300"/>
      <c r="Q348" s="300"/>
      <c r="R348" s="300"/>
      <c r="S348" s="301"/>
    </row>
    <row r="349" spans="1:19">
      <c r="A349" s="319"/>
      <c r="B349" s="300"/>
      <c r="C349" s="332"/>
      <c r="D349" s="300"/>
      <c r="E349" s="300"/>
      <c r="F349" s="300"/>
      <c r="G349" s="300"/>
      <c r="H349" s="300"/>
      <c r="I349" s="300"/>
      <c r="J349" s="300"/>
      <c r="K349" s="300"/>
      <c r="L349" s="300"/>
      <c r="M349" s="300"/>
      <c r="N349" s="300"/>
      <c r="O349" s="300"/>
      <c r="P349" s="300"/>
      <c r="Q349" s="300"/>
      <c r="R349" s="300"/>
      <c r="S349" s="301"/>
    </row>
    <row r="350" spans="1:19">
      <c r="A350" s="319"/>
      <c r="B350" s="300"/>
      <c r="C350" s="332"/>
      <c r="D350" s="300"/>
      <c r="E350" s="300"/>
      <c r="F350" s="300"/>
      <c r="G350" s="300"/>
      <c r="H350" s="300"/>
      <c r="I350" s="300"/>
      <c r="J350" s="300"/>
      <c r="K350" s="300"/>
      <c r="L350" s="300"/>
      <c r="M350" s="300"/>
      <c r="N350" s="300"/>
      <c r="O350" s="300"/>
      <c r="P350" s="300"/>
      <c r="Q350" s="300"/>
      <c r="R350" s="300"/>
      <c r="S350" s="301"/>
    </row>
    <row r="351" spans="1:19">
      <c r="A351" s="319"/>
      <c r="B351" s="300"/>
      <c r="C351" s="332"/>
      <c r="D351" s="300"/>
      <c r="E351" s="300"/>
      <c r="F351" s="300"/>
      <c r="G351" s="300"/>
      <c r="H351" s="300"/>
      <c r="I351" s="300"/>
      <c r="J351" s="300"/>
      <c r="K351" s="300"/>
      <c r="L351" s="300"/>
      <c r="M351" s="300"/>
      <c r="N351" s="300"/>
      <c r="O351" s="300"/>
      <c r="P351" s="300"/>
      <c r="Q351" s="300"/>
      <c r="R351" s="300"/>
      <c r="S351" s="301"/>
    </row>
    <row r="352" spans="1:19">
      <c r="A352" s="319"/>
      <c r="B352" s="300"/>
      <c r="C352" s="332"/>
      <c r="D352" s="300"/>
      <c r="E352" s="300"/>
      <c r="F352" s="300"/>
      <c r="G352" s="300"/>
      <c r="H352" s="300"/>
      <c r="I352" s="300"/>
      <c r="J352" s="300"/>
      <c r="K352" s="300"/>
      <c r="L352" s="300"/>
      <c r="M352" s="300"/>
      <c r="N352" s="300"/>
      <c r="O352" s="300"/>
      <c r="P352" s="300"/>
      <c r="Q352" s="300"/>
      <c r="R352" s="300"/>
      <c r="S352" s="301"/>
    </row>
    <row r="353" spans="1:19">
      <c r="A353" s="319"/>
      <c r="B353" s="300"/>
      <c r="C353" s="332"/>
      <c r="D353" s="300"/>
      <c r="E353" s="300"/>
      <c r="F353" s="300"/>
      <c r="G353" s="300"/>
      <c r="H353" s="300"/>
      <c r="I353" s="300"/>
      <c r="J353" s="300"/>
      <c r="K353" s="300"/>
      <c r="L353" s="300"/>
      <c r="M353" s="300"/>
      <c r="N353" s="300"/>
      <c r="O353" s="300"/>
      <c r="P353" s="300"/>
      <c r="Q353" s="300"/>
      <c r="R353" s="300"/>
      <c r="S353" s="301"/>
    </row>
    <row r="354" spans="1:19">
      <c r="A354" s="319"/>
      <c r="B354" s="300"/>
      <c r="C354" s="332"/>
      <c r="D354" s="300"/>
      <c r="E354" s="300"/>
      <c r="F354" s="300"/>
      <c r="G354" s="300"/>
      <c r="H354" s="300"/>
      <c r="I354" s="300"/>
      <c r="J354" s="300"/>
      <c r="K354" s="300"/>
      <c r="L354" s="300"/>
      <c r="M354" s="300"/>
      <c r="N354" s="300"/>
      <c r="O354" s="300"/>
      <c r="P354" s="300"/>
      <c r="Q354" s="300"/>
      <c r="R354" s="300"/>
      <c r="S354" s="301"/>
    </row>
    <row r="355" spans="1:19">
      <c r="A355" s="319"/>
      <c r="B355" s="300"/>
      <c r="C355" s="332"/>
      <c r="D355" s="300"/>
      <c r="E355" s="300"/>
      <c r="F355" s="300"/>
      <c r="G355" s="300"/>
      <c r="H355" s="300"/>
      <c r="I355" s="300"/>
      <c r="J355" s="300"/>
      <c r="K355" s="300"/>
      <c r="L355" s="300"/>
      <c r="M355" s="300"/>
      <c r="N355" s="300"/>
      <c r="O355" s="300"/>
      <c r="P355" s="300"/>
      <c r="Q355" s="300"/>
      <c r="R355" s="300"/>
      <c r="S355" s="301"/>
    </row>
    <row r="356" spans="1:19">
      <c r="A356" s="319"/>
      <c r="B356" s="300"/>
      <c r="C356" s="332"/>
      <c r="D356" s="300"/>
      <c r="E356" s="300"/>
      <c r="F356" s="300"/>
      <c r="G356" s="300"/>
      <c r="H356" s="300"/>
      <c r="I356" s="300"/>
      <c r="J356" s="300"/>
      <c r="K356" s="300"/>
      <c r="L356" s="300"/>
      <c r="M356" s="300"/>
      <c r="N356" s="300"/>
      <c r="O356" s="300"/>
      <c r="P356" s="300"/>
      <c r="Q356" s="300"/>
      <c r="R356" s="300"/>
      <c r="S356" s="301"/>
    </row>
    <row r="357" spans="1:19">
      <c r="A357" s="319"/>
      <c r="B357" s="300"/>
      <c r="C357" s="332"/>
      <c r="D357" s="300"/>
      <c r="E357" s="300"/>
      <c r="F357" s="300"/>
      <c r="G357" s="300"/>
      <c r="H357" s="300"/>
      <c r="I357" s="300"/>
      <c r="J357" s="300"/>
      <c r="K357" s="300"/>
      <c r="L357" s="300"/>
      <c r="M357" s="300"/>
      <c r="N357" s="300"/>
      <c r="O357" s="300"/>
      <c r="P357" s="300"/>
      <c r="Q357" s="300"/>
      <c r="R357" s="300"/>
      <c r="S357" s="301"/>
    </row>
    <row r="358" spans="1:19">
      <c r="A358" s="319"/>
      <c r="B358" s="300"/>
      <c r="C358" s="332"/>
      <c r="D358" s="300"/>
      <c r="E358" s="300"/>
      <c r="F358" s="300"/>
      <c r="G358" s="300"/>
      <c r="H358" s="300"/>
      <c r="I358" s="300"/>
      <c r="J358" s="300"/>
      <c r="K358" s="300"/>
      <c r="L358" s="300"/>
      <c r="M358" s="300"/>
      <c r="N358" s="300"/>
      <c r="O358" s="300"/>
      <c r="P358" s="300"/>
      <c r="Q358" s="300"/>
      <c r="R358" s="300"/>
      <c r="S358" s="301"/>
    </row>
    <row r="359" spans="1:19">
      <c r="A359" s="319"/>
      <c r="B359" s="300"/>
      <c r="C359" s="332"/>
      <c r="D359" s="300"/>
      <c r="E359" s="300"/>
      <c r="F359" s="300"/>
      <c r="G359" s="300"/>
      <c r="H359" s="300"/>
      <c r="I359" s="300"/>
      <c r="J359" s="300"/>
      <c r="K359" s="300"/>
      <c r="L359" s="300"/>
      <c r="M359" s="300"/>
      <c r="N359" s="300"/>
      <c r="O359" s="300"/>
      <c r="P359" s="300"/>
      <c r="Q359" s="300"/>
      <c r="R359" s="300"/>
      <c r="S359" s="301"/>
    </row>
    <row r="360" spans="1:19">
      <c r="A360" s="319"/>
      <c r="B360" s="300"/>
      <c r="C360" s="332"/>
      <c r="D360" s="300"/>
      <c r="E360" s="300"/>
      <c r="F360" s="300"/>
      <c r="G360" s="300"/>
      <c r="H360" s="300"/>
      <c r="I360" s="300"/>
      <c r="J360" s="300"/>
      <c r="K360" s="300"/>
      <c r="L360" s="300"/>
      <c r="M360" s="300"/>
      <c r="N360" s="300"/>
      <c r="O360" s="300"/>
      <c r="P360" s="300"/>
      <c r="Q360" s="300"/>
      <c r="R360" s="300"/>
      <c r="S360" s="301"/>
    </row>
    <row r="361" spans="1:19">
      <c r="A361" s="319"/>
      <c r="B361" s="300"/>
      <c r="C361" s="332"/>
      <c r="D361" s="300"/>
      <c r="E361" s="300"/>
      <c r="F361" s="300"/>
      <c r="G361" s="300"/>
      <c r="H361" s="300"/>
      <c r="I361" s="300"/>
      <c r="J361" s="300"/>
      <c r="K361" s="300"/>
      <c r="L361" s="300"/>
      <c r="M361" s="300"/>
      <c r="N361" s="300"/>
      <c r="O361" s="300"/>
      <c r="P361" s="300"/>
      <c r="Q361" s="300"/>
      <c r="R361" s="300"/>
      <c r="S361" s="301"/>
    </row>
    <row r="362" spans="1:19">
      <c r="A362" s="319"/>
      <c r="B362" s="300"/>
      <c r="C362" s="332"/>
      <c r="D362" s="300"/>
      <c r="E362" s="300"/>
      <c r="F362" s="300"/>
      <c r="G362" s="300"/>
      <c r="H362" s="300"/>
      <c r="I362" s="300"/>
      <c r="J362" s="300"/>
      <c r="K362" s="300"/>
      <c r="L362" s="300"/>
      <c r="M362" s="300"/>
      <c r="N362" s="300"/>
      <c r="O362" s="300"/>
      <c r="P362" s="300"/>
      <c r="Q362" s="300"/>
      <c r="R362" s="300"/>
      <c r="S362" s="301"/>
    </row>
    <row r="363" spans="1:19">
      <c r="A363" s="319"/>
      <c r="B363" s="300"/>
      <c r="C363" s="332"/>
      <c r="D363" s="300"/>
      <c r="E363" s="300"/>
      <c r="F363" s="300"/>
      <c r="G363" s="300"/>
      <c r="H363" s="300"/>
      <c r="I363" s="300"/>
      <c r="J363" s="300"/>
      <c r="K363" s="300"/>
      <c r="L363" s="300"/>
      <c r="M363" s="300"/>
      <c r="N363" s="300"/>
      <c r="O363" s="300"/>
      <c r="P363" s="300"/>
      <c r="Q363" s="300"/>
      <c r="R363" s="300"/>
      <c r="S363" s="301"/>
    </row>
    <row r="364" spans="1:19">
      <c r="A364" s="319"/>
      <c r="B364" s="300"/>
      <c r="C364" s="332"/>
      <c r="D364" s="300"/>
      <c r="E364" s="300"/>
      <c r="F364" s="300"/>
      <c r="G364" s="300"/>
      <c r="H364" s="300"/>
      <c r="I364" s="300"/>
      <c r="J364" s="300"/>
      <c r="K364" s="300"/>
      <c r="L364" s="300"/>
      <c r="M364" s="300"/>
      <c r="N364" s="300"/>
      <c r="O364" s="300"/>
      <c r="P364" s="300"/>
      <c r="Q364" s="300"/>
      <c r="R364" s="300"/>
      <c r="S364" s="301"/>
    </row>
    <row r="365" spans="1:19">
      <c r="A365" s="319"/>
      <c r="B365" s="300"/>
      <c r="C365" s="332"/>
      <c r="D365" s="300"/>
      <c r="E365" s="300"/>
      <c r="F365" s="300"/>
      <c r="G365" s="300"/>
      <c r="H365" s="300"/>
      <c r="I365" s="300"/>
      <c r="J365" s="300"/>
      <c r="K365" s="300"/>
      <c r="L365" s="300"/>
      <c r="M365" s="300"/>
      <c r="N365" s="300"/>
      <c r="O365" s="300"/>
      <c r="P365" s="300"/>
      <c r="Q365" s="300"/>
      <c r="R365" s="300"/>
      <c r="S365" s="301"/>
    </row>
    <row r="366" spans="1:19">
      <c r="A366" s="319"/>
      <c r="B366" s="300"/>
      <c r="C366" s="332"/>
      <c r="D366" s="300"/>
      <c r="E366" s="300"/>
      <c r="F366" s="300"/>
      <c r="G366" s="300"/>
      <c r="H366" s="300"/>
      <c r="I366" s="300"/>
      <c r="J366" s="300"/>
      <c r="K366" s="300"/>
      <c r="L366" s="300"/>
      <c r="M366" s="300"/>
      <c r="N366" s="300"/>
      <c r="O366" s="300"/>
      <c r="P366" s="300"/>
      <c r="Q366" s="300"/>
      <c r="R366" s="300"/>
      <c r="S366" s="301"/>
    </row>
    <row r="367" spans="1:19">
      <c r="A367" s="319"/>
      <c r="B367" s="300"/>
      <c r="C367" s="332"/>
      <c r="D367" s="300"/>
      <c r="E367" s="300"/>
      <c r="F367" s="300"/>
      <c r="G367" s="300"/>
      <c r="H367" s="300"/>
      <c r="I367" s="300"/>
      <c r="J367" s="300"/>
      <c r="K367" s="300"/>
      <c r="L367" s="300"/>
      <c r="M367" s="300"/>
      <c r="N367" s="300"/>
      <c r="O367" s="300"/>
      <c r="P367" s="300"/>
      <c r="Q367" s="300"/>
      <c r="R367" s="300"/>
      <c r="S367" s="301"/>
    </row>
    <row r="368" spans="1:19">
      <c r="A368" s="319"/>
      <c r="B368" s="300"/>
      <c r="C368" s="332"/>
      <c r="D368" s="300"/>
      <c r="E368" s="300"/>
      <c r="F368" s="300"/>
      <c r="G368" s="300"/>
      <c r="H368" s="300"/>
      <c r="I368" s="300"/>
      <c r="J368" s="300"/>
      <c r="K368" s="300"/>
      <c r="L368" s="300"/>
      <c r="M368" s="300"/>
      <c r="N368" s="300"/>
      <c r="O368" s="300"/>
      <c r="P368" s="300"/>
      <c r="Q368" s="300"/>
      <c r="R368" s="300"/>
      <c r="S368" s="301"/>
    </row>
    <row r="369" spans="1:19">
      <c r="A369" s="319"/>
      <c r="B369" s="300"/>
      <c r="C369" s="332"/>
      <c r="D369" s="300"/>
      <c r="E369" s="300"/>
      <c r="F369" s="300"/>
      <c r="G369" s="300"/>
      <c r="H369" s="300"/>
      <c r="I369" s="300"/>
      <c r="J369" s="300"/>
      <c r="K369" s="300"/>
      <c r="L369" s="300"/>
      <c r="M369" s="300"/>
      <c r="N369" s="300"/>
      <c r="O369" s="300"/>
      <c r="P369" s="300"/>
      <c r="Q369" s="300"/>
      <c r="R369" s="300"/>
      <c r="S369" s="301"/>
    </row>
    <row r="370" spans="1:19">
      <c r="A370" s="319"/>
      <c r="B370" s="300"/>
      <c r="C370" s="332"/>
      <c r="D370" s="300"/>
      <c r="E370" s="300"/>
      <c r="F370" s="300"/>
      <c r="G370" s="300"/>
      <c r="H370" s="300"/>
      <c r="I370" s="300"/>
      <c r="J370" s="300"/>
      <c r="K370" s="300"/>
      <c r="L370" s="300"/>
      <c r="M370" s="300"/>
      <c r="N370" s="300"/>
      <c r="O370" s="300"/>
      <c r="P370" s="300"/>
      <c r="Q370" s="300"/>
      <c r="R370" s="300"/>
      <c r="S370" s="301"/>
    </row>
    <row r="371" spans="1:19">
      <c r="A371" s="319"/>
      <c r="B371" s="300"/>
      <c r="C371" s="332"/>
      <c r="D371" s="300"/>
      <c r="E371" s="300"/>
      <c r="F371" s="300"/>
      <c r="G371" s="300"/>
      <c r="H371" s="300"/>
      <c r="I371" s="300"/>
      <c r="J371" s="300"/>
      <c r="K371" s="300"/>
      <c r="L371" s="300"/>
      <c r="M371" s="300"/>
      <c r="N371" s="300"/>
      <c r="O371" s="300"/>
      <c r="P371" s="300"/>
      <c r="Q371" s="300"/>
      <c r="R371" s="300"/>
      <c r="S371" s="301"/>
    </row>
    <row r="372" spans="1:19">
      <c r="A372" s="319"/>
      <c r="B372" s="300"/>
      <c r="C372" s="332"/>
      <c r="D372" s="300"/>
      <c r="E372" s="300"/>
      <c r="F372" s="300"/>
      <c r="G372" s="300"/>
      <c r="H372" s="300"/>
      <c r="I372" s="300"/>
      <c r="J372" s="300"/>
      <c r="K372" s="300"/>
      <c r="L372" s="300"/>
      <c r="M372" s="300"/>
      <c r="N372" s="300"/>
      <c r="O372" s="300"/>
      <c r="P372" s="300"/>
      <c r="Q372" s="300"/>
      <c r="R372" s="300"/>
      <c r="S372" s="301"/>
    </row>
    <row r="373" spans="1:19">
      <c r="A373" s="319"/>
      <c r="B373" s="300"/>
      <c r="C373" s="332"/>
      <c r="D373" s="300"/>
      <c r="E373" s="300"/>
      <c r="F373" s="300"/>
      <c r="G373" s="300"/>
      <c r="H373" s="300"/>
      <c r="I373" s="300"/>
      <c r="J373" s="300"/>
      <c r="K373" s="300"/>
      <c r="L373" s="300"/>
      <c r="M373" s="300"/>
      <c r="N373" s="300"/>
      <c r="O373" s="300"/>
      <c r="P373" s="300"/>
      <c r="Q373" s="300"/>
      <c r="R373" s="300"/>
      <c r="S373" s="301"/>
    </row>
    <row r="374" spans="1:19">
      <c r="A374" s="319"/>
      <c r="B374" s="300"/>
      <c r="C374" s="332"/>
      <c r="D374" s="300"/>
      <c r="E374" s="300"/>
      <c r="F374" s="300"/>
      <c r="G374" s="300"/>
      <c r="H374" s="300"/>
      <c r="I374" s="300"/>
      <c r="J374" s="300"/>
      <c r="K374" s="300"/>
      <c r="L374" s="300"/>
      <c r="M374" s="300"/>
      <c r="N374" s="300"/>
      <c r="O374" s="300"/>
      <c r="P374" s="300"/>
      <c r="Q374" s="300"/>
      <c r="R374" s="300"/>
      <c r="S374" s="301"/>
    </row>
    <row r="375" spans="1:19">
      <c r="A375" s="319"/>
      <c r="B375" s="300"/>
      <c r="C375" s="332"/>
      <c r="D375" s="300"/>
      <c r="E375" s="300"/>
      <c r="F375" s="300"/>
      <c r="G375" s="300"/>
      <c r="H375" s="300"/>
      <c r="I375" s="300"/>
      <c r="J375" s="300"/>
      <c r="K375" s="300"/>
      <c r="L375" s="300"/>
      <c r="M375" s="300"/>
      <c r="N375" s="300"/>
      <c r="O375" s="300"/>
      <c r="P375" s="300"/>
      <c r="Q375" s="300"/>
      <c r="R375" s="300"/>
      <c r="S375" s="301"/>
    </row>
    <row r="376" spans="1:19">
      <c r="A376" s="319"/>
      <c r="B376" s="300"/>
      <c r="C376" s="332"/>
      <c r="D376" s="300"/>
      <c r="E376" s="300"/>
      <c r="F376" s="300"/>
      <c r="G376" s="300"/>
      <c r="H376" s="300"/>
      <c r="I376" s="300"/>
      <c r="J376" s="300"/>
      <c r="K376" s="300"/>
      <c r="L376" s="300"/>
      <c r="M376" s="300"/>
      <c r="N376" s="300"/>
      <c r="O376" s="300"/>
      <c r="P376" s="300"/>
      <c r="Q376" s="300"/>
      <c r="R376" s="300"/>
      <c r="S376" s="301"/>
    </row>
    <row r="377" spans="1:19">
      <c r="A377" s="319"/>
      <c r="B377" s="300"/>
      <c r="C377" s="332"/>
      <c r="D377" s="300"/>
      <c r="E377" s="300"/>
      <c r="F377" s="300"/>
      <c r="G377" s="300"/>
      <c r="H377" s="300"/>
      <c r="I377" s="300"/>
      <c r="J377" s="300"/>
      <c r="K377" s="300"/>
      <c r="L377" s="300"/>
      <c r="M377" s="300"/>
      <c r="N377" s="300"/>
      <c r="O377" s="300"/>
      <c r="P377" s="300"/>
      <c r="Q377" s="300"/>
      <c r="R377" s="300"/>
      <c r="S377" s="301"/>
    </row>
    <row r="378" spans="1:19">
      <c r="A378" s="319"/>
      <c r="B378" s="300"/>
      <c r="C378" s="332"/>
      <c r="D378" s="300"/>
      <c r="E378" s="300"/>
      <c r="F378" s="300"/>
      <c r="G378" s="300"/>
      <c r="H378" s="300"/>
      <c r="I378" s="300"/>
      <c r="J378" s="300"/>
      <c r="K378" s="300"/>
      <c r="L378" s="300"/>
      <c r="M378" s="300"/>
      <c r="N378" s="300"/>
      <c r="O378" s="300"/>
      <c r="P378" s="300"/>
      <c r="Q378" s="300"/>
      <c r="R378" s="300"/>
      <c r="S378" s="301"/>
    </row>
    <row r="379" spans="1:19">
      <c r="A379" s="319"/>
      <c r="B379" s="300"/>
      <c r="C379" s="332"/>
      <c r="D379" s="300"/>
      <c r="E379" s="300"/>
      <c r="F379" s="300"/>
      <c r="G379" s="300"/>
      <c r="H379" s="300"/>
      <c r="I379" s="300"/>
      <c r="J379" s="300"/>
      <c r="K379" s="300"/>
      <c r="L379" s="300"/>
      <c r="M379" s="300"/>
      <c r="N379" s="300"/>
      <c r="O379" s="300"/>
      <c r="P379" s="300"/>
      <c r="Q379" s="300"/>
      <c r="R379" s="300"/>
      <c r="S379" s="301"/>
    </row>
    <row r="380" spans="1:19">
      <c r="A380" s="319"/>
      <c r="B380" s="300"/>
      <c r="C380" s="332"/>
      <c r="D380" s="300"/>
      <c r="E380" s="300"/>
      <c r="F380" s="300"/>
      <c r="G380" s="300"/>
      <c r="H380" s="300"/>
      <c r="I380" s="300"/>
      <c r="J380" s="300"/>
      <c r="K380" s="300"/>
      <c r="L380" s="300"/>
      <c r="M380" s="300"/>
      <c r="N380" s="300"/>
      <c r="O380" s="300"/>
      <c r="P380" s="300"/>
      <c r="Q380" s="300"/>
      <c r="R380" s="300"/>
      <c r="S380" s="301"/>
    </row>
    <row r="381" spans="1:19">
      <c r="A381" s="319"/>
      <c r="B381" s="300"/>
      <c r="C381" s="332"/>
      <c r="D381" s="300"/>
      <c r="E381" s="300"/>
      <c r="F381" s="300"/>
      <c r="G381" s="300"/>
      <c r="H381" s="300"/>
      <c r="I381" s="300"/>
      <c r="J381" s="300"/>
      <c r="K381" s="300"/>
      <c r="L381" s="300"/>
      <c r="M381" s="300"/>
      <c r="N381" s="300"/>
      <c r="O381" s="300"/>
      <c r="P381" s="300"/>
      <c r="Q381" s="300"/>
      <c r="R381" s="300"/>
      <c r="S381" s="301"/>
    </row>
    <row r="382" spans="1:19">
      <c r="A382" s="319"/>
      <c r="B382" s="300"/>
      <c r="C382" s="332"/>
      <c r="D382" s="300"/>
      <c r="E382" s="300"/>
      <c r="F382" s="300"/>
      <c r="G382" s="300"/>
      <c r="H382" s="300"/>
      <c r="I382" s="300"/>
      <c r="J382" s="300"/>
      <c r="K382" s="300"/>
      <c r="L382" s="300"/>
      <c r="M382" s="300"/>
      <c r="N382" s="300"/>
      <c r="O382" s="300"/>
      <c r="P382" s="300"/>
      <c r="Q382" s="300"/>
      <c r="R382" s="300"/>
      <c r="S382" s="301"/>
    </row>
    <row r="383" spans="1:19">
      <c r="A383" s="319"/>
      <c r="B383" s="300"/>
      <c r="C383" s="332"/>
      <c r="D383" s="300"/>
      <c r="E383" s="300"/>
      <c r="F383" s="300"/>
      <c r="G383" s="300"/>
      <c r="H383" s="300"/>
      <c r="I383" s="300"/>
      <c r="J383" s="300"/>
      <c r="K383" s="300"/>
      <c r="L383" s="300"/>
      <c r="M383" s="300"/>
      <c r="N383" s="300"/>
      <c r="O383" s="300"/>
      <c r="P383" s="300"/>
      <c r="Q383" s="300"/>
      <c r="R383" s="300"/>
      <c r="S383" s="301"/>
    </row>
    <row r="384" spans="1:19">
      <c r="A384" s="319"/>
      <c r="B384" s="300"/>
      <c r="C384" s="332"/>
      <c r="D384" s="300"/>
      <c r="E384" s="300"/>
      <c r="F384" s="300"/>
      <c r="G384" s="300"/>
      <c r="H384" s="300"/>
      <c r="I384" s="300"/>
      <c r="J384" s="300"/>
      <c r="K384" s="300"/>
      <c r="L384" s="300"/>
      <c r="M384" s="300"/>
      <c r="N384" s="300"/>
      <c r="O384" s="300"/>
      <c r="P384" s="300"/>
      <c r="Q384" s="300"/>
      <c r="R384" s="300"/>
      <c r="S384" s="301"/>
    </row>
    <row r="385" spans="1:19">
      <c r="A385" s="319"/>
      <c r="B385" s="300"/>
      <c r="C385" s="332"/>
      <c r="D385" s="300"/>
      <c r="E385" s="300"/>
      <c r="F385" s="300"/>
      <c r="G385" s="300"/>
      <c r="H385" s="300"/>
      <c r="I385" s="300"/>
      <c r="J385" s="300"/>
      <c r="K385" s="300"/>
      <c r="L385" s="300"/>
      <c r="M385" s="300"/>
      <c r="N385" s="300"/>
      <c r="O385" s="300"/>
      <c r="P385" s="300"/>
      <c r="Q385" s="300"/>
      <c r="R385" s="300"/>
      <c r="S385" s="301"/>
    </row>
    <row r="386" spans="1:19">
      <c r="A386" s="319"/>
      <c r="B386" s="300"/>
      <c r="C386" s="332"/>
      <c r="D386" s="300"/>
      <c r="E386" s="300"/>
      <c r="F386" s="300"/>
      <c r="G386" s="300"/>
      <c r="H386" s="300"/>
      <c r="I386" s="300"/>
      <c r="J386" s="300"/>
      <c r="K386" s="300"/>
      <c r="L386" s="300"/>
      <c r="M386" s="300"/>
      <c r="N386" s="300"/>
      <c r="O386" s="300"/>
      <c r="P386" s="300"/>
      <c r="Q386" s="300"/>
      <c r="R386" s="300"/>
      <c r="S386" s="301"/>
    </row>
    <row r="387" spans="1:19">
      <c r="A387" s="319"/>
      <c r="B387" s="300"/>
      <c r="C387" s="332"/>
      <c r="D387" s="300"/>
      <c r="E387" s="300"/>
      <c r="F387" s="300"/>
      <c r="G387" s="300"/>
      <c r="H387" s="300"/>
      <c r="I387" s="300"/>
      <c r="J387" s="300"/>
      <c r="K387" s="300"/>
      <c r="L387" s="300"/>
      <c r="M387" s="300"/>
      <c r="N387" s="300"/>
      <c r="O387" s="300"/>
      <c r="P387" s="300"/>
      <c r="Q387" s="300"/>
      <c r="R387" s="300"/>
      <c r="S387" s="301"/>
    </row>
    <row r="388" spans="1:19">
      <c r="A388" s="319"/>
      <c r="B388" s="300"/>
      <c r="C388" s="332"/>
      <c r="D388" s="300"/>
      <c r="E388" s="300"/>
      <c r="F388" s="300"/>
      <c r="G388" s="300"/>
      <c r="H388" s="300"/>
      <c r="I388" s="300"/>
      <c r="J388" s="300"/>
      <c r="K388" s="300"/>
      <c r="L388" s="300"/>
      <c r="M388" s="300"/>
      <c r="N388" s="300"/>
      <c r="O388" s="300"/>
      <c r="P388" s="300"/>
      <c r="Q388" s="300"/>
      <c r="R388" s="300"/>
      <c r="S388" s="301"/>
    </row>
    <row r="389" spans="1:19">
      <c r="A389" s="319"/>
      <c r="B389" s="300"/>
      <c r="C389" s="332"/>
      <c r="D389" s="300"/>
      <c r="E389" s="300"/>
      <c r="F389" s="300"/>
      <c r="G389" s="300"/>
      <c r="H389" s="300"/>
      <c r="I389" s="300"/>
      <c r="J389" s="300"/>
      <c r="K389" s="300"/>
      <c r="L389" s="300"/>
      <c r="M389" s="300"/>
      <c r="N389" s="300"/>
      <c r="O389" s="300"/>
      <c r="P389" s="300"/>
      <c r="Q389" s="300"/>
      <c r="R389" s="300"/>
      <c r="S389" s="301"/>
    </row>
    <row r="390" spans="1:19">
      <c r="A390" s="319"/>
      <c r="B390" s="300"/>
      <c r="C390" s="332"/>
      <c r="D390" s="300"/>
      <c r="E390" s="300"/>
      <c r="F390" s="300"/>
      <c r="G390" s="300"/>
      <c r="H390" s="300"/>
      <c r="I390" s="300"/>
      <c r="J390" s="300"/>
      <c r="K390" s="300"/>
      <c r="L390" s="300"/>
      <c r="M390" s="300"/>
      <c r="N390" s="300"/>
      <c r="O390" s="300"/>
      <c r="P390" s="300"/>
      <c r="Q390" s="300"/>
      <c r="R390" s="300"/>
      <c r="S390" s="301"/>
    </row>
    <row r="391" spans="1:19">
      <c r="A391" s="319"/>
      <c r="B391" s="300"/>
      <c r="C391" s="332"/>
      <c r="D391" s="300"/>
      <c r="E391" s="300"/>
      <c r="F391" s="300"/>
      <c r="G391" s="300"/>
      <c r="H391" s="300"/>
      <c r="I391" s="300"/>
      <c r="J391" s="300"/>
      <c r="K391" s="300"/>
      <c r="L391" s="300"/>
      <c r="M391" s="300"/>
      <c r="N391" s="300"/>
      <c r="O391" s="300"/>
      <c r="P391" s="300"/>
      <c r="Q391" s="300"/>
      <c r="R391" s="300"/>
      <c r="S391" s="301"/>
    </row>
    <row r="392" spans="1:19">
      <c r="A392" s="319"/>
      <c r="B392" s="300"/>
      <c r="C392" s="332"/>
      <c r="D392" s="300"/>
      <c r="E392" s="300"/>
      <c r="F392" s="300"/>
      <c r="G392" s="300"/>
      <c r="H392" s="300"/>
      <c r="I392" s="300"/>
      <c r="J392" s="300"/>
      <c r="K392" s="300"/>
      <c r="L392" s="300"/>
      <c r="M392" s="300"/>
      <c r="N392" s="300"/>
      <c r="O392" s="300"/>
      <c r="P392" s="300"/>
      <c r="Q392" s="300"/>
      <c r="R392" s="300"/>
      <c r="S392" s="301"/>
    </row>
    <row r="393" spans="1:19">
      <c r="A393" s="319"/>
      <c r="B393" s="300"/>
      <c r="C393" s="332"/>
      <c r="D393" s="300"/>
      <c r="E393" s="300"/>
      <c r="F393" s="300"/>
      <c r="G393" s="300"/>
      <c r="H393" s="300"/>
      <c r="I393" s="300"/>
      <c r="J393" s="300"/>
      <c r="K393" s="300"/>
      <c r="L393" s="300"/>
      <c r="M393" s="300"/>
      <c r="N393" s="300"/>
      <c r="O393" s="300"/>
      <c r="P393" s="300"/>
      <c r="Q393" s="300"/>
      <c r="R393" s="300"/>
      <c r="S393" s="301"/>
    </row>
    <row r="394" spans="1:19">
      <c r="A394" s="319"/>
      <c r="B394" s="300"/>
      <c r="C394" s="332"/>
      <c r="D394" s="300"/>
      <c r="E394" s="300"/>
      <c r="F394" s="300"/>
      <c r="G394" s="300"/>
      <c r="H394" s="300"/>
      <c r="I394" s="300"/>
      <c r="J394" s="300"/>
      <c r="K394" s="300"/>
      <c r="L394" s="300"/>
      <c r="M394" s="300"/>
      <c r="N394" s="300"/>
      <c r="O394" s="300"/>
      <c r="P394" s="300"/>
      <c r="Q394" s="300"/>
      <c r="R394" s="300"/>
      <c r="S394" s="301"/>
    </row>
    <row r="395" spans="1:19">
      <c r="A395" s="319"/>
      <c r="B395" s="300"/>
      <c r="C395" s="332"/>
      <c r="D395" s="300"/>
      <c r="E395" s="300"/>
      <c r="F395" s="300"/>
      <c r="G395" s="300"/>
      <c r="H395" s="300"/>
      <c r="I395" s="300"/>
      <c r="J395" s="300"/>
      <c r="K395" s="300"/>
      <c r="L395" s="300"/>
      <c r="M395" s="300"/>
      <c r="N395" s="300"/>
      <c r="O395" s="300"/>
      <c r="P395" s="300"/>
      <c r="Q395" s="300"/>
      <c r="R395" s="300"/>
      <c r="S395" s="301"/>
    </row>
    <row r="396" spans="1:19">
      <c r="A396" s="319"/>
      <c r="B396" s="300"/>
      <c r="C396" s="332"/>
      <c r="D396" s="300"/>
      <c r="E396" s="300"/>
      <c r="F396" s="300"/>
      <c r="G396" s="300"/>
      <c r="H396" s="300"/>
      <c r="I396" s="300"/>
      <c r="J396" s="300"/>
      <c r="K396" s="300"/>
      <c r="L396" s="300"/>
      <c r="M396" s="300"/>
      <c r="N396" s="300"/>
      <c r="O396" s="300"/>
      <c r="P396" s="300"/>
      <c r="Q396" s="300"/>
      <c r="R396" s="300"/>
      <c r="S396" s="301"/>
    </row>
    <row r="397" spans="1:19">
      <c r="A397" s="319"/>
      <c r="B397" s="300"/>
      <c r="C397" s="332"/>
      <c r="D397" s="300"/>
      <c r="E397" s="300"/>
      <c r="F397" s="300"/>
      <c r="G397" s="300"/>
      <c r="H397" s="300"/>
      <c r="I397" s="300"/>
      <c r="J397" s="300"/>
      <c r="K397" s="300"/>
      <c r="L397" s="300"/>
      <c r="M397" s="300"/>
      <c r="N397" s="300"/>
      <c r="O397" s="300"/>
      <c r="P397" s="300"/>
      <c r="Q397" s="300"/>
      <c r="R397" s="300"/>
      <c r="S397" s="301"/>
    </row>
    <row r="398" spans="1:19">
      <c r="A398" s="319"/>
      <c r="B398" s="300"/>
      <c r="C398" s="332"/>
      <c r="D398" s="300"/>
      <c r="E398" s="300"/>
      <c r="F398" s="300"/>
      <c r="G398" s="300"/>
      <c r="H398" s="300"/>
      <c r="I398" s="300"/>
      <c r="J398" s="300"/>
      <c r="K398" s="300"/>
      <c r="L398" s="300"/>
      <c r="M398" s="300"/>
      <c r="N398" s="300"/>
      <c r="O398" s="300"/>
      <c r="P398" s="300"/>
      <c r="Q398" s="300"/>
      <c r="R398" s="300"/>
      <c r="S398" s="301"/>
    </row>
    <row r="399" spans="1:19">
      <c r="A399" s="319"/>
      <c r="B399" s="300"/>
      <c r="C399" s="332"/>
      <c r="D399" s="300"/>
      <c r="E399" s="300"/>
      <c r="F399" s="300"/>
      <c r="G399" s="300"/>
      <c r="H399" s="300"/>
      <c r="I399" s="300"/>
      <c r="J399" s="300"/>
      <c r="K399" s="300"/>
      <c r="L399" s="300"/>
      <c r="M399" s="300"/>
      <c r="N399" s="300"/>
      <c r="O399" s="300"/>
      <c r="P399" s="300"/>
      <c r="Q399" s="300"/>
      <c r="R399" s="300"/>
      <c r="S399" s="301"/>
    </row>
    <row r="400" spans="1:19">
      <c r="A400" s="319"/>
      <c r="B400" s="300"/>
      <c r="C400" s="332"/>
      <c r="D400" s="300"/>
      <c r="E400" s="300"/>
      <c r="F400" s="300"/>
      <c r="G400" s="300"/>
      <c r="H400" s="300"/>
      <c r="I400" s="300"/>
      <c r="J400" s="300"/>
      <c r="K400" s="300"/>
      <c r="L400" s="300"/>
      <c r="M400" s="300"/>
      <c r="N400" s="300"/>
      <c r="O400" s="300"/>
      <c r="P400" s="300"/>
      <c r="Q400" s="300"/>
      <c r="R400" s="300"/>
      <c r="S400" s="301"/>
    </row>
    <row r="401" spans="1:19">
      <c r="A401" s="319"/>
      <c r="B401" s="300"/>
      <c r="C401" s="332"/>
      <c r="D401" s="300"/>
      <c r="E401" s="300"/>
      <c r="F401" s="300"/>
      <c r="G401" s="300"/>
      <c r="H401" s="300"/>
      <c r="I401" s="300"/>
      <c r="J401" s="300"/>
      <c r="K401" s="300"/>
      <c r="L401" s="300"/>
      <c r="M401" s="300"/>
      <c r="N401" s="300"/>
      <c r="O401" s="300"/>
      <c r="P401" s="300"/>
      <c r="Q401" s="300"/>
      <c r="R401" s="300"/>
      <c r="S401" s="301"/>
    </row>
    <row r="402" spans="1:19">
      <c r="A402" s="319"/>
      <c r="B402" s="300"/>
      <c r="C402" s="332"/>
      <c r="D402" s="300"/>
      <c r="E402" s="300"/>
      <c r="F402" s="300"/>
      <c r="G402" s="300"/>
      <c r="H402" s="300"/>
      <c r="I402" s="300"/>
      <c r="J402" s="300"/>
      <c r="K402" s="300"/>
      <c r="L402" s="300"/>
      <c r="M402" s="300"/>
      <c r="N402" s="300"/>
      <c r="O402" s="300"/>
      <c r="P402" s="300"/>
      <c r="Q402" s="300"/>
      <c r="R402" s="300"/>
      <c r="S402" s="301"/>
    </row>
    <row r="403" spans="1:19">
      <c r="A403" s="319"/>
      <c r="B403" s="300"/>
      <c r="C403" s="332"/>
      <c r="D403" s="300"/>
      <c r="E403" s="300"/>
      <c r="F403" s="300"/>
      <c r="G403" s="300"/>
      <c r="H403" s="300"/>
      <c r="I403" s="300"/>
      <c r="J403" s="300"/>
      <c r="K403" s="300"/>
      <c r="L403" s="300"/>
      <c r="M403" s="300"/>
      <c r="N403" s="300"/>
      <c r="O403" s="300"/>
      <c r="P403" s="300"/>
      <c r="Q403" s="300"/>
      <c r="R403" s="300"/>
      <c r="S403" s="301"/>
    </row>
    <row r="404" spans="1:19">
      <c r="A404" s="319"/>
      <c r="B404" s="300"/>
      <c r="C404" s="332"/>
      <c r="D404" s="300"/>
      <c r="E404" s="300"/>
      <c r="F404" s="300"/>
      <c r="G404" s="300"/>
      <c r="H404" s="300"/>
      <c r="I404" s="300"/>
      <c r="J404" s="300"/>
      <c r="K404" s="300"/>
      <c r="L404" s="300"/>
      <c r="M404" s="300"/>
      <c r="N404" s="300"/>
      <c r="O404" s="300"/>
      <c r="P404" s="300"/>
      <c r="Q404" s="300"/>
      <c r="R404" s="300"/>
      <c r="S404" s="301"/>
    </row>
    <row r="405" spans="1:19">
      <c r="A405" s="319"/>
      <c r="B405" s="300"/>
      <c r="C405" s="332"/>
      <c r="D405" s="300"/>
      <c r="E405" s="300"/>
      <c r="F405" s="300"/>
      <c r="G405" s="300"/>
      <c r="H405" s="300"/>
      <c r="I405" s="300"/>
      <c r="J405" s="300"/>
      <c r="K405" s="300"/>
      <c r="L405" s="300"/>
      <c r="M405" s="300"/>
      <c r="N405" s="300"/>
      <c r="O405" s="300"/>
      <c r="P405" s="300"/>
      <c r="Q405" s="300"/>
      <c r="R405" s="300"/>
      <c r="S405" s="301"/>
    </row>
    <row r="406" spans="1:19">
      <c r="A406" s="319"/>
      <c r="B406" s="300"/>
      <c r="C406" s="332"/>
      <c r="D406" s="300"/>
      <c r="E406" s="300"/>
      <c r="F406" s="300"/>
      <c r="G406" s="300"/>
      <c r="H406" s="300"/>
      <c r="I406" s="300"/>
      <c r="J406" s="300"/>
      <c r="K406" s="300"/>
      <c r="L406" s="300"/>
      <c r="M406" s="300"/>
      <c r="N406" s="300"/>
      <c r="O406" s="300"/>
      <c r="P406" s="300"/>
      <c r="Q406" s="300"/>
      <c r="R406" s="300"/>
      <c r="S406" s="301"/>
    </row>
    <row r="407" spans="1:19">
      <c r="A407" s="319"/>
      <c r="B407" s="300"/>
      <c r="C407" s="332"/>
      <c r="D407" s="300"/>
      <c r="E407" s="300"/>
      <c r="F407" s="300"/>
      <c r="G407" s="300"/>
      <c r="H407" s="300"/>
      <c r="I407" s="300"/>
      <c r="J407" s="300"/>
      <c r="K407" s="300"/>
      <c r="L407" s="300"/>
      <c r="M407" s="300"/>
      <c r="N407" s="300"/>
      <c r="O407" s="300"/>
      <c r="P407" s="300"/>
      <c r="Q407" s="300"/>
      <c r="R407" s="300"/>
      <c r="S407" s="301"/>
    </row>
    <row r="408" spans="1:19">
      <c r="A408" s="319"/>
      <c r="B408" s="300"/>
      <c r="C408" s="332"/>
      <c r="D408" s="300"/>
      <c r="E408" s="300"/>
      <c r="F408" s="300"/>
      <c r="G408" s="300"/>
      <c r="H408" s="300"/>
      <c r="I408" s="300"/>
      <c r="J408" s="300"/>
      <c r="K408" s="300"/>
      <c r="L408" s="300"/>
      <c r="M408" s="300"/>
      <c r="N408" s="300"/>
      <c r="O408" s="300"/>
      <c r="P408" s="300"/>
      <c r="Q408" s="300"/>
      <c r="R408" s="300"/>
      <c r="S408" s="301"/>
    </row>
    <row r="409" spans="1:19">
      <c r="A409" s="319"/>
      <c r="B409" s="300"/>
      <c r="C409" s="332"/>
      <c r="D409" s="300"/>
      <c r="E409" s="300"/>
      <c r="F409" s="300"/>
      <c r="G409" s="300"/>
      <c r="H409" s="300"/>
      <c r="I409" s="300"/>
      <c r="J409" s="300"/>
      <c r="K409" s="300"/>
      <c r="L409" s="300"/>
      <c r="M409" s="300"/>
      <c r="N409" s="300"/>
      <c r="O409" s="300"/>
      <c r="P409" s="300"/>
      <c r="Q409" s="300"/>
      <c r="R409" s="300"/>
      <c r="S409" s="301"/>
    </row>
    <row r="410" spans="1:19">
      <c r="A410" s="319"/>
      <c r="B410" s="300"/>
      <c r="C410" s="332"/>
      <c r="D410" s="300"/>
      <c r="E410" s="300"/>
      <c r="F410" s="300"/>
      <c r="G410" s="300"/>
      <c r="H410" s="300"/>
      <c r="I410" s="300"/>
      <c r="J410" s="300"/>
      <c r="K410" s="300"/>
      <c r="L410" s="300"/>
      <c r="M410" s="300"/>
      <c r="N410" s="300"/>
      <c r="O410" s="300"/>
      <c r="P410" s="300"/>
      <c r="Q410" s="300"/>
      <c r="R410" s="300"/>
      <c r="S410" s="301"/>
    </row>
    <row r="411" spans="1:19">
      <c r="A411" s="319"/>
      <c r="B411" s="300"/>
      <c r="C411" s="332"/>
      <c r="D411" s="300"/>
      <c r="E411" s="300"/>
      <c r="F411" s="300"/>
      <c r="G411" s="300"/>
      <c r="H411" s="300"/>
      <c r="I411" s="300"/>
      <c r="J411" s="300"/>
      <c r="K411" s="300"/>
      <c r="L411" s="300"/>
      <c r="M411" s="300"/>
      <c r="N411" s="300"/>
      <c r="O411" s="300"/>
      <c r="P411" s="300"/>
      <c r="Q411" s="300"/>
      <c r="R411" s="300"/>
      <c r="S411" s="301"/>
    </row>
    <row r="412" spans="1:19">
      <c r="A412" s="319"/>
      <c r="B412" s="300"/>
      <c r="C412" s="332"/>
      <c r="D412" s="300"/>
      <c r="E412" s="300"/>
      <c r="F412" s="300"/>
      <c r="G412" s="300"/>
      <c r="H412" s="300"/>
      <c r="I412" s="300"/>
      <c r="J412" s="300"/>
      <c r="K412" s="300"/>
      <c r="L412" s="300"/>
      <c r="M412" s="300"/>
      <c r="N412" s="300"/>
      <c r="O412" s="300"/>
      <c r="P412" s="300"/>
      <c r="Q412" s="300"/>
      <c r="R412" s="300"/>
      <c r="S412" s="301"/>
    </row>
    <row r="413" spans="1:19">
      <c r="A413" s="319"/>
      <c r="B413" s="300"/>
      <c r="C413" s="332"/>
      <c r="D413" s="300"/>
      <c r="E413" s="300"/>
      <c r="F413" s="300"/>
      <c r="G413" s="300"/>
      <c r="H413" s="300"/>
      <c r="I413" s="300"/>
      <c r="J413" s="300"/>
      <c r="K413" s="300"/>
      <c r="L413" s="300"/>
      <c r="M413" s="300"/>
      <c r="N413" s="300"/>
      <c r="O413" s="300"/>
      <c r="P413" s="300"/>
      <c r="Q413" s="300"/>
      <c r="R413" s="300"/>
      <c r="S413" s="301"/>
    </row>
    <row r="414" spans="1:19">
      <c r="A414" s="319"/>
      <c r="B414" s="300"/>
      <c r="C414" s="332"/>
      <c r="D414" s="300"/>
      <c r="E414" s="300"/>
      <c r="F414" s="300"/>
      <c r="G414" s="300"/>
      <c r="H414" s="300"/>
      <c r="I414" s="300"/>
      <c r="J414" s="300"/>
      <c r="K414" s="300"/>
      <c r="L414" s="300"/>
      <c r="M414" s="300"/>
      <c r="N414" s="300"/>
      <c r="O414" s="300"/>
      <c r="P414" s="300"/>
      <c r="Q414" s="300"/>
      <c r="R414" s="300"/>
      <c r="S414" s="301"/>
    </row>
    <row r="415" spans="1:19">
      <c r="A415" s="319"/>
      <c r="B415" s="300"/>
      <c r="C415" s="332"/>
      <c r="D415" s="300"/>
      <c r="E415" s="300"/>
      <c r="F415" s="300"/>
      <c r="G415" s="300"/>
      <c r="H415" s="300"/>
      <c r="I415" s="300"/>
      <c r="J415" s="300"/>
      <c r="K415" s="300"/>
      <c r="L415" s="300"/>
      <c r="M415" s="300"/>
      <c r="N415" s="300"/>
      <c r="O415" s="300"/>
      <c r="P415" s="300"/>
      <c r="Q415" s="300"/>
      <c r="R415" s="300"/>
      <c r="S415" s="301"/>
    </row>
    <row r="416" spans="1:19">
      <c r="A416" s="319"/>
      <c r="B416" s="300"/>
      <c r="C416" s="332"/>
      <c r="D416" s="300"/>
      <c r="E416" s="300"/>
      <c r="F416" s="300"/>
      <c r="G416" s="300"/>
      <c r="H416" s="300"/>
      <c r="I416" s="300"/>
      <c r="J416" s="300"/>
      <c r="K416" s="300"/>
      <c r="L416" s="300"/>
      <c r="M416" s="300"/>
      <c r="N416" s="300"/>
      <c r="O416" s="300"/>
      <c r="P416" s="300"/>
      <c r="Q416" s="300"/>
      <c r="R416" s="300"/>
      <c r="S416" s="301"/>
    </row>
    <row r="417" spans="1:19">
      <c r="A417" s="319"/>
      <c r="B417" s="300"/>
      <c r="C417" s="332"/>
      <c r="D417" s="300"/>
      <c r="E417" s="300"/>
      <c r="F417" s="300"/>
      <c r="G417" s="300"/>
      <c r="H417" s="300"/>
      <c r="I417" s="300"/>
      <c r="J417" s="300"/>
      <c r="K417" s="300"/>
      <c r="L417" s="300"/>
      <c r="M417" s="300"/>
      <c r="N417" s="300"/>
      <c r="O417" s="300"/>
      <c r="P417" s="300"/>
      <c r="Q417" s="300"/>
      <c r="R417" s="300"/>
      <c r="S417" s="301"/>
    </row>
    <row r="418" spans="1:19">
      <c r="A418" s="319"/>
      <c r="B418" s="300"/>
      <c r="C418" s="332"/>
      <c r="D418" s="300"/>
      <c r="E418" s="300"/>
      <c r="F418" s="300"/>
      <c r="G418" s="300"/>
      <c r="H418" s="300"/>
      <c r="I418" s="300"/>
      <c r="J418" s="300"/>
      <c r="K418" s="300"/>
      <c r="L418" s="300"/>
      <c r="M418" s="300"/>
      <c r="N418" s="300"/>
      <c r="O418" s="300"/>
      <c r="P418" s="300"/>
      <c r="Q418" s="300"/>
      <c r="R418" s="300"/>
      <c r="S418" s="301"/>
    </row>
    <row r="419" spans="1:19">
      <c r="A419" s="319"/>
      <c r="B419" s="300"/>
      <c r="C419" s="332"/>
      <c r="D419" s="300"/>
      <c r="E419" s="300"/>
      <c r="F419" s="300"/>
      <c r="G419" s="300"/>
      <c r="H419" s="300"/>
      <c r="I419" s="300"/>
      <c r="J419" s="300"/>
      <c r="K419" s="300"/>
      <c r="L419" s="300"/>
      <c r="M419" s="300"/>
      <c r="N419" s="300"/>
      <c r="O419" s="300"/>
      <c r="P419" s="300"/>
      <c r="Q419" s="300"/>
      <c r="R419" s="300"/>
      <c r="S419" s="301"/>
    </row>
    <row r="420" spans="1:19">
      <c r="A420" s="319"/>
      <c r="B420" s="300"/>
      <c r="C420" s="332"/>
      <c r="D420" s="300"/>
      <c r="E420" s="300"/>
      <c r="F420" s="300"/>
      <c r="G420" s="300"/>
      <c r="H420" s="300"/>
      <c r="I420" s="300"/>
      <c r="J420" s="300"/>
      <c r="K420" s="300"/>
      <c r="L420" s="300"/>
      <c r="M420" s="300"/>
      <c r="N420" s="300"/>
      <c r="O420" s="300"/>
      <c r="P420" s="300"/>
      <c r="Q420" s="300"/>
      <c r="R420" s="300"/>
      <c r="S420" s="301"/>
    </row>
    <row r="421" spans="1:19">
      <c r="A421" s="319"/>
      <c r="B421" s="300"/>
      <c r="C421" s="332"/>
      <c r="D421" s="300"/>
      <c r="E421" s="300"/>
      <c r="F421" s="300"/>
      <c r="G421" s="300"/>
      <c r="H421" s="300"/>
      <c r="I421" s="300"/>
      <c r="J421" s="300"/>
      <c r="K421" s="300"/>
      <c r="L421" s="300"/>
      <c r="M421" s="300"/>
      <c r="N421" s="300"/>
      <c r="O421" s="300"/>
      <c r="P421" s="300"/>
      <c r="Q421" s="300"/>
      <c r="R421" s="300"/>
      <c r="S421" s="301"/>
    </row>
    <row r="422" spans="1:19">
      <c r="A422" s="319"/>
      <c r="B422" s="300"/>
      <c r="C422" s="332"/>
      <c r="D422" s="300"/>
      <c r="E422" s="300"/>
      <c r="F422" s="300"/>
      <c r="G422" s="300"/>
      <c r="H422" s="300"/>
      <c r="I422" s="300"/>
      <c r="J422" s="300"/>
      <c r="K422" s="300"/>
      <c r="L422" s="300"/>
      <c r="M422" s="300"/>
      <c r="N422" s="300"/>
      <c r="O422" s="300"/>
      <c r="P422" s="300"/>
      <c r="Q422" s="300"/>
      <c r="R422" s="300"/>
      <c r="S422" s="301"/>
    </row>
    <row r="423" spans="1:19">
      <c r="A423" s="319"/>
      <c r="B423" s="300"/>
      <c r="C423" s="332"/>
      <c r="D423" s="300"/>
      <c r="E423" s="300"/>
      <c r="F423" s="300"/>
      <c r="G423" s="300"/>
      <c r="H423" s="300"/>
      <c r="I423" s="300"/>
      <c r="J423" s="300"/>
      <c r="K423" s="300"/>
      <c r="L423" s="300"/>
      <c r="M423" s="300"/>
      <c r="N423" s="300"/>
      <c r="O423" s="300"/>
      <c r="P423" s="300"/>
      <c r="Q423" s="300"/>
      <c r="R423" s="300"/>
      <c r="S423" s="301"/>
    </row>
    <row r="424" spans="1:19">
      <c r="A424" s="319"/>
      <c r="B424" s="300"/>
      <c r="C424" s="332"/>
      <c r="D424" s="300"/>
      <c r="E424" s="300"/>
      <c r="F424" s="300"/>
      <c r="G424" s="300"/>
      <c r="H424" s="300"/>
      <c r="I424" s="300"/>
      <c r="J424" s="300"/>
      <c r="K424" s="300"/>
      <c r="L424" s="300"/>
      <c r="M424" s="300"/>
      <c r="N424" s="300"/>
      <c r="O424" s="300"/>
      <c r="P424" s="300"/>
      <c r="Q424" s="300"/>
      <c r="R424" s="300"/>
      <c r="S424" s="301"/>
    </row>
    <row r="425" spans="1:19">
      <c r="A425" s="319"/>
      <c r="B425" s="300"/>
      <c r="C425" s="332"/>
      <c r="D425" s="300"/>
      <c r="E425" s="300"/>
      <c r="F425" s="300"/>
      <c r="G425" s="300"/>
      <c r="H425" s="300"/>
      <c r="I425" s="300"/>
      <c r="J425" s="300"/>
      <c r="K425" s="300"/>
      <c r="L425" s="300"/>
      <c r="M425" s="300"/>
      <c r="N425" s="300"/>
      <c r="O425" s="300"/>
      <c r="P425" s="300"/>
      <c r="Q425" s="300"/>
      <c r="R425" s="300"/>
      <c r="S425" s="301"/>
    </row>
    <row r="426" spans="1:19">
      <c r="A426" s="319"/>
      <c r="B426" s="300"/>
      <c r="C426" s="332"/>
      <c r="D426" s="300"/>
      <c r="E426" s="300"/>
      <c r="F426" s="300"/>
      <c r="G426" s="300"/>
      <c r="H426" s="300"/>
      <c r="I426" s="300"/>
      <c r="J426" s="300"/>
      <c r="K426" s="300"/>
      <c r="L426" s="300"/>
      <c r="M426" s="300"/>
      <c r="N426" s="300"/>
      <c r="O426" s="300"/>
      <c r="P426" s="300"/>
      <c r="Q426" s="300"/>
      <c r="R426" s="300"/>
      <c r="S426" s="301"/>
    </row>
    <row r="427" spans="1:19">
      <c r="A427" s="319"/>
      <c r="B427" s="300"/>
      <c r="C427" s="332"/>
      <c r="D427" s="300"/>
      <c r="E427" s="300"/>
      <c r="F427" s="300"/>
      <c r="G427" s="300"/>
      <c r="H427" s="300"/>
      <c r="I427" s="300"/>
      <c r="J427" s="300"/>
      <c r="K427" s="300"/>
      <c r="L427" s="300"/>
      <c r="M427" s="300"/>
      <c r="N427" s="300"/>
      <c r="O427" s="300"/>
      <c r="P427" s="300"/>
      <c r="Q427" s="300"/>
      <c r="R427" s="300"/>
      <c r="S427" s="301"/>
    </row>
    <row r="428" spans="1:19">
      <c r="A428" s="319"/>
      <c r="B428" s="300"/>
      <c r="C428" s="332"/>
      <c r="D428" s="300"/>
      <c r="E428" s="300"/>
      <c r="F428" s="300"/>
      <c r="G428" s="300"/>
      <c r="H428" s="300"/>
      <c r="I428" s="300"/>
      <c r="J428" s="300"/>
      <c r="K428" s="300"/>
      <c r="L428" s="300"/>
      <c r="M428" s="300"/>
      <c r="N428" s="300"/>
      <c r="O428" s="300"/>
      <c r="P428" s="300"/>
      <c r="Q428" s="300"/>
      <c r="R428" s="300"/>
      <c r="S428" s="301"/>
    </row>
    <row r="429" spans="1:19">
      <c r="A429" s="319"/>
      <c r="B429" s="300"/>
      <c r="C429" s="332"/>
      <c r="D429" s="300"/>
      <c r="E429" s="300"/>
      <c r="F429" s="300"/>
      <c r="G429" s="300"/>
      <c r="H429" s="300"/>
      <c r="I429" s="300"/>
      <c r="J429" s="300"/>
      <c r="K429" s="300"/>
      <c r="L429" s="300"/>
      <c r="M429" s="300"/>
      <c r="N429" s="300"/>
      <c r="O429" s="300"/>
      <c r="P429" s="300"/>
      <c r="Q429" s="300"/>
      <c r="R429" s="300"/>
      <c r="S429" s="301"/>
    </row>
    <row r="430" spans="1:19">
      <c r="A430" s="319"/>
      <c r="B430" s="300"/>
      <c r="C430" s="332"/>
      <c r="D430" s="300"/>
      <c r="E430" s="300"/>
      <c r="F430" s="300"/>
      <c r="G430" s="300"/>
      <c r="H430" s="300"/>
      <c r="I430" s="300"/>
      <c r="J430" s="300"/>
      <c r="K430" s="300"/>
      <c r="L430" s="300"/>
      <c r="M430" s="300"/>
      <c r="N430" s="300"/>
      <c r="O430" s="300"/>
      <c r="P430" s="300"/>
      <c r="Q430" s="300"/>
      <c r="R430" s="300"/>
      <c r="S430" s="301"/>
    </row>
    <row r="431" spans="1:19">
      <c r="A431" s="319"/>
      <c r="B431" s="300"/>
      <c r="C431" s="332"/>
      <c r="D431" s="300"/>
      <c r="E431" s="300"/>
      <c r="F431" s="300"/>
      <c r="G431" s="300"/>
      <c r="H431" s="300"/>
      <c r="I431" s="300"/>
      <c r="J431" s="300"/>
      <c r="K431" s="300"/>
      <c r="L431" s="300"/>
      <c r="M431" s="300"/>
      <c r="N431" s="300"/>
      <c r="O431" s="300"/>
      <c r="P431" s="300"/>
      <c r="Q431" s="300"/>
      <c r="R431" s="300"/>
      <c r="S431" s="301"/>
    </row>
    <row r="432" spans="1:19">
      <c r="A432" s="319"/>
      <c r="B432" s="300"/>
      <c r="C432" s="332"/>
      <c r="D432" s="300"/>
      <c r="E432" s="300"/>
      <c r="F432" s="300"/>
      <c r="G432" s="300"/>
      <c r="H432" s="300"/>
      <c r="I432" s="300"/>
      <c r="J432" s="300"/>
      <c r="K432" s="300"/>
      <c r="L432" s="300"/>
      <c r="M432" s="300"/>
      <c r="N432" s="300"/>
      <c r="O432" s="300"/>
      <c r="P432" s="300"/>
      <c r="Q432" s="300"/>
      <c r="R432" s="300"/>
      <c r="S432" s="301"/>
    </row>
    <row r="433" spans="1:19">
      <c r="A433" s="319"/>
      <c r="B433" s="300"/>
      <c r="C433" s="332"/>
      <c r="D433" s="300"/>
      <c r="E433" s="300"/>
      <c r="F433" s="300"/>
      <c r="G433" s="300"/>
      <c r="H433" s="300"/>
      <c r="I433" s="300"/>
      <c r="J433" s="300"/>
      <c r="K433" s="300"/>
      <c r="L433" s="300"/>
      <c r="M433" s="300"/>
      <c r="N433" s="300"/>
      <c r="O433" s="300"/>
      <c r="P433" s="300"/>
      <c r="Q433" s="300"/>
      <c r="R433" s="300"/>
      <c r="S433" s="301"/>
    </row>
    <row r="434" spans="1:19">
      <c r="A434" s="319"/>
      <c r="B434" s="300"/>
      <c r="C434" s="332"/>
      <c r="D434" s="300"/>
      <c r="E434" s="300"/>
      <c r="F434" s="300"/>
      <c r="G434" s="300"/>
      <c r="H434" s="300"/>
      <c r="I434" s="300"/>
      <c r="J434" s="300"/>
      <c r="K434" s="300"/>
      <c r="L434" s="300"/>
      <c r="M434" s="300"/>
      <c r="N434" s="300"/>
      <c r="O434" s="300"/>
      <c r="P434" s="300"/>
      <c r="Q434" s="300"/>
      <c r="R434" s="300"/>
      <c r="S434" s="301"/>
    </row>
    <row r="435" spans="1:19">
      <c r="A435" s="319"/>
      <c r="B435" s="300"/>
      <c r="C435" s="332"/>
      <c r="D435" s="300"/>
      <c r="E435" s="300"/>
      <c r="F435" s="300"/>
      <c r="G435" s="300"/>
      <c r="H435" s="300"/>
      <c r="I435" s="300"/>
      <c r="J435" s="300"/>
      <c r="K435" s="300"/>
      <c r="L435" s="300"/>
      <c r="M435" s="300"/>
      <c r="N435" s="300"/>
      <c r="O435" s="300"/>
      <c r="P435" s="300"/>
      <c r="Q435" s="300"/>
      <c r="R435" s="300"/>
      <c r="S435" s="301"/>
    </row>
    <row r="436" spans="1:19">
      <c r="A436" s="319"/>
      <c r="B436" s="300"/>
      <c r="C436" s="332"/>
      <c r="D436" s="300"/>
      <c r="E436" s="300"/>
      <c r="F436" s="300"/>
      <c r="G436" s="300"/>
      <c r="H436" s="300"/>
      <c r="I436" s="300"/>
      <c r="J436" s="300"/>
      <c r="K436" s="300"/>
      <c r="L436" s="300"/>
      <c r="M436" s="300"/>
      <c r="N436" s="300"/>
      <c r="O436" s="300"/>
      <c r="P436" s="300"/>
      <c r="Q436" s="300"/>
      <c r="R436" s="300"/>
      <c r="S436" s="301"/>
    </row>
    <row r="437" spans="1:19">
      <c r="A437" s="319"/>
      <c r="B437" s="300"/>
      <c r="C437" s="332"/>
      <c r="D437" s="300"/>
      <c r="E437" s="300"/>
      <c r="F437" s="300"/>
      <c r="G437" s="300"/>
      <c r="H437" s="300"/>
      <c r="I437" s="300"/>
      <c r="J437" s="300"/>
      <c r="K437" s="300"/>
      <c r="L437" s="300"/>
      <c r="M437" s="300"/>
      <c r="N437" s="300"/>
      <c r="O437" s="300"/>
      <c r="P437" s="300"/>
      <c r="Q437" s="300"/>
      <c r="R437" s="300"/>
      <c r="S437" s="301"/>
    </row>
    <row r="438" spans="1:19">
      <c r="A438" s="319"/>
      <c r="B438" s="300"/>
      <c r="C438" s="332"/>
      <c r="D438" s="300"/>
      <c r="E438" s="300"/>
      <c r="F438" s="300"/>
      <c r="G438" s="300"/>
      <c r="H438" s="300"/>
      <c r="I438" s="300"/>
      <c r="J438" s="300"/>
      <c r="K438" s="300"/>
      <c r="L438" s="300"/>
      <c r="M438" s="300"/>
      <c r="N438" s="300"/>
      <c r="O438" s="300"/>
      <c r="P438" s="300"/>
      <c r="Q438" s="300"/>
      <c r="R438" s="300"/>
      <c r="S438" s="301"/>
    </row>
    <row r="439" spans="1:19">
      <c r="A439" s="319"/>
      <c r="B439" s="300"/>
      <c r="C439" s="332"/>
      <c r="D439" s="300"/>
      <c r="E439" s="300"/>
      <c r="F439" s="300"/>
      <c r="G439" s="300"/>
      <c r="H439" s="300"/>
      <c r="I439" s="300"/>
      <c r="J439" s="300"/>
      <c r="K439" s="300"/>
      <c r="L439" s="300"/>
      <c r="M439" s="300"/>
      <c r="N439" s="300"/>
      <c r="O439" s="300"/>
      <c r="P439" s="300"/>
      <c r="Q439" s="300"/>
      <c r="R439" s="300"/>
      <c r="S439" s="301"/>
    </row>
    <row r="440" spans="1:19">
      <c r="A440" s="319"/>
      <c r="B440" s="300"/>
      <c r="C440" s="332"/>
      <c r="D440" s="300"/>
      <c r="E440" s="300"/>
      <c r="F440" s="300"/>
      <c r="G440" s="300"/>
      <c r="H440" s="300"/>
      <c r="I440" s="300"/>
      <c r="J440" s="300"/>
      <c r="K440" s="300"/>
      <c r="L440" s="300"/>
      <c r="M440" s="300"/>
      <c r="N440" s="300"/>
      <c r="O440" s="300"/>
      <c r="P440" s="300"/>
      <c r="Q440" s="300"/>
      <c r="R440" s="300"/>
      <c r="S440" s="301"/>
    </row>
    <row r="441" spans="1:19">
      <c r="A441" s="319"/>
      <c r="B441" s="300"/>
      <c r="C441" s="332"/>
      <c r="D441" s="300"/>
      <c r="E441" s="300"/>
      <c r="F441" s="300"/>
      <c r="G441" s="300"/>
      <c r="H441" s="300"/>
      <c r="I441" s="300"/>
      <c r="J441" s="300"/>
      <c r="K441" s="300"/>
      <c r="L441" s="300"/>
      <c r="M441" s="300"/>
      <c r="N441" s="300"/>
      <c r="O441" s="300"/>
      <c r="P441" s="300"/>
      <c r="Q441" s="300"/>
      <c r="R441" s="300"/>
      <c r="S441" s="301"/>
    </row>
    <row r="442" spans="1:19">
      <c r="A442" s="319"/>
      <c r="B442" s="300"/>
      <c r="C442" s="332"/>
      <c r="D442" s="300"/>
      <c r="E442" s="300"/>
      <c r="F442" s="300"/>
      <c r="G442" s="300"/>
      <c r="H442" s="300"/>
      <c r="I442" s="300"/>
      <c r="J442" s="300"/>
      <c r="K442" s="300"/>
      <c r="L442" s="300"/>
      <c r="M442" s="300"/>
      <c r="N442" s="300"/>
      <c r="O442" s="300"/>
      <c r="P442" s="300"/>
      <c r="Q442" s="300"/>
      <c r="R442" s="300"/>
      <c r="S442" s="301"/>
    </row>
    <row r="443" spans="1:19">
      <c r="A443" s="319"/>
      <c r="B443" s="300"/>
      <c r="C443" s="332"/>
      <c r="D443" s="300"/>
      <c r="E443" s="300"/>
      <c r="F443" s="300"/>
      <c r="G443" s="300"/>
      <c r="H443" s="300"/>
      <c r="I443" s="300"/>
      <c r="J443" s="300"/>
      <c r="K443" s="300"/>
      <c r="L443" s="300"/>
      <c r="M443" s="300"/>
      <c r="N443" s="300"/>
      <c r="O443" s="300"/>
      <c r="P443" s="300"/>
      <c r="Q443" s="300"/>
      <c r="R443" s="300"/>
      <c r="S443" s="301"/>
    </row>
    <row r="444" spans="1:19">
      <c r="A444" s="319"/>
      <c r="B444" s="300"/>
      <c r="C444" s="332"/>
      <c r="D444" s="300"/>
      <c r="E444" s="300"/>
      <c r="F444" s="300"/>
      <c r="G444" s="300"/>
      <c r="H444" s="300"/>
      <c r="I444" s="300"/>
      <c r="J444" s="300"/>
      <c r="K444" s="300"/>
      <c r="L444" s="300"/>
      <c r="M444" s="300"/>
      <c r="N444" s="300"/>
      <c r="O444" s="300"/>
      <c r="P444" s="300"/>
      <c r="Q444" s="300"/>
      <c r="R444" s="300"/>
      <c r="S444" s="301"/>
    </row>
    <row r="445" spans="1:19">
      <c r="A445" s="319"/>
      <c r="B445" s="300"/>
      <c r="C445" s="332"/>
      <c r="D445" s="300"/>
      <c r="E445" s="300"/>
      <c r="F445" s="300"/>
      <c r="G445" s="300"/>
      <c r="H445" s="300"/>
      <c r="I445" s="300"/>
      <c r="J445" s="300"/>
      <c r="K445" s="300"/>
      <c r="L445" s="300"/>
      <c r="M445" s="300"/>
      <c r="N445" s="300"/>
      <c r="O445" s="300"/>
      <c r="P445" s="300"/>
      <c r="Q445" s="300"/>
      <c r="R445" s="300"/>
      <c r="S445" s="301"/>
    </row>
    <row r="446" spans="1:19">
      <c r="A446" s="319"/>
      <c r="B446" s="300"/>
      <c r="C446" s="332"/>
      <c r="D446" s="300"/>
      <c r="E446" s="300"/>
      <c r="F446" s="300"/>
      <c r="G446" s="300"/>
      <c r="H446" s="300"/>
      <c r="I446" s="300"/>
      <c r="J446" s="300"/>
      <c r="K446" s="300"/>
      <c r="L446" s="300"/>
      <c r="M446" s="300"/>
      <c r="N446" s="300"/>
      <c r="O446" s="300"/>
      <c r="P446" s="300"/>
      <c r="Q446" s="300"/>
      <c r="R446" s="300"/>
      <c r="S446" s="301"/>
    </row>
    <row r="447" spans="1:19">
      <c r="A447" s="319"/>
      <c r="B447" s="300"/>
      <c r="C447" s="332"/>
      <c r="D447" s="300"/>
      <c r="E447" s="300"/>
      <c r="F447" s="300"/>
      <c r="G447" s="300"/>
      <c r="H447" s="300"/>
      <c r="I447" s="300"/>
      <c r="J447" s="300"/>
      <c r="K447" s="300"/>
      <c r="L447" s="300"/>
      <c r="M447" s="300"/>
      <c r="N447" s="300"/>
      <c r="O447" s="300"/>
      <c r="P447" s="300"/>
      <c r="Q447" s="300"/>
      <c r="R447" s="300"/>
      <c r="S447" s="301"/>
    </row>
    <row r="448" spans="1:19">
      <c r="A448" s="319"/>
      <c r="B448" s="300"/>
      <c r="C448" s="332"/>
      <c r="D448" s="300"/>
      <c r="E448" s="300"/>
      <c r="F448" s="300"/>
      <c r="G448" s="300"/>
      <c r="H448" s="300"/>
      <c r="I448" s="300"/>
      <c r="J448" s="300"/>
      <c r="K448" s="300"/>
      <c r="L448" s="300"/>
      <c r="M448" s="300"/>
      <c r="N448" s="300"/>
      <c r="O448" s="300"/>
      <c r="P448" s="300"/>
      <c r="Q448" s="300"/>
      <c r="R448" s="300"/>
      <c r="S448" s="301"/>
    </row>
    <row r="449" spans="1:19">
      <c r="A449" s="319"/>
      <c r="B449" s="300"/>
      <c r="C449" s="332"/>
      <c r="D449" s="300"/>
      <c r="E449" s="300"/>
      <c r="F449" s="300"/>
      <c r="G449" s="300"/>
      <c r="H449" s="300"/>
      <c r="I449" s="300"/>
      <c r="J449" s="300"/>
      <c r="K449" s="300"/>
      <c r="L449" s="300"/>
      <c r="M449" s="300"/>
      <c r="N449" s="300"/>
      <c r="O449" s="300"/>
      <c r="P449" s="300"/>
      <c r="Q449" s="300"/>
      <c r="R449" s="300"/>
      <c r="S449" s="301"/>
    </row>
    <row r="450" spans="1:19">
      <c r="A450" s="319"/>
      <c r="B450" s="300"/>
      <c r="C450" s="332"/>
      <c r="D450" s="300"/>
      <c r="E450" s="300"/>
      <c r="F450" s="300"/>
      <c r="G450" s="300"/>
      <c r="H450" s="300"/>
      <c r="I450" s="300"/>
      <c r="J450" s="300"/>
      <c r="K450" s="300"/>
      <c r="L450" s="300"/>
      <c r="M450" s="300"/>
      <c r="N450" s="300"/>
      <c r="O450" s="300"/>
      <c r="P450" s="300"/>
      <c r="Q450" s="300"/>
      <c r="R450" s="300"/>
      <c r="S450" s="301"/>
    </row>
    <row r="451" spans="1:19">
      <c r="A451" s="319"/>
      <c r="B451" s="300"/>
      <c r="C451" s="332"/>
      <c r="D451" s="300"/>
      <c r="E451" s="300"/>
      <c r="F451" s="300"/>
      <c r="G451" s="300"/>
      <c r="H451" s="300"/>
      <c r="I451" s="300"/>
      <c r="J451" s="300"/>
      <c r="K451" s="300"/>
      <c r="L451" s="300"/>
      <c r="M451" s="300"/>
      <c r="N451" s="300"/>
      <c r="O451" s="300"/>
      <c r="P451" s="300"/>
      <c r="Q451" s="300"/>
      <c r="R451" s="300"/>
      <c r="S451" s="301"/>
    </row>
    <row r="452" spans="1:19">
      <c r="A452" s="319"/>
      <c r="B452" s="300"/>
      <c r="C452" s="332"/>
      <c r="D452" s="300"/>
      <c r="E452" s="300"/>
      <c r="F452" s="300"/>
      <c r="G452" s="300"/>
      <c r="H452" s="300"/>
      <c r="I452" s="300"/>
      <c r="J452" s="300"/>
      <c r="K452" s="300"/>
      <c r="L452" s="300"/>
      <c r="M452" s="300"/>
      <c r="N452" s="300"/>
      <c r="O452" s="300"/>
      <c r="P452" s="300"/>
      <c r="Q452" s="300"/>
      <c r="R452" s="300"/>
      <c r="S452" s="301"/>
    </row>
    <row r="453" spans="1:19">
      <c r="A453" s="319"/>
      <c r="B453" s="300"/>
      <c r="C453" s="332"/>
      <c r="D453" s="300"/>
      <c r="E453" s="300"/>
      <c r="F453" s="300"/>
      <c r="G453" s="300"/>
      <c r="H453" s="300"/>
      <c r="I453" s="300"/>
      <c r="J453" s="300"/>
      <c r="K453" s="300"/>
      <c r="L453" s="300"/>
      <c r="M453" s="300"/>
      <c r="N453" s="300"/>
      <c r="O453" s="300"/>
      <c r="P453" s="300"/>
      <c r="Q453" s="300"/>
      <c r="R453" s="300"/>
      <c r="S453" s="301"/>
    </row>
    <row r="454" spans="1:19">
      <c r="A454" s="319"/>
      <c r="B454" s="300"/>
      <c r="C454" s="332"/>
      <c r="D454" s="300"/>
      <c r="E454" s="300"/>
      <c r="F454" s="300"/>
      <c r="G454" s="300"/>
      <c r="H454" s="300"/>
      <c r="I454" s="300"/>
      <c r="J454" s="300"/>
      <c r="K454" s="300"/>
      <c r="L454" s="300"/>
      <c r="M454" s="300"/>
      <c r="N454" s="300"/>
      <c r="O454" s="300"/>
      <c r="P454" s="300"/>
      <c r="Q454" s="300"/>
      <c r="R454" s="300"/>
      <c r="S454" s="301"/>
    </row>
    <row r="455" spans="1:19">
      <c r="A455" s="319"/>
      <c r="B455" s="300"/>
      <c r="C455" s="332"/>
      <c r="D455" s="300"/>
      <c r="E455" s="300"/>
      <c r="F455" s="300"/>
      <c r="G455" s="300"/>
      <c r="H455" s="300"/>
      <c r="I455" s="300"/>
      <c r="J455" s="300"/>
      <c r="K455" s="300"/>
      <c r="L455" s="300"/>
      <c r="M455" s="300"/>
      <c r="N455" s="300"/>
      <c r="O455" s="300"/>
      <c r="P455" s="300"/>
      <c r="Q455" s="300"/>
      <c r="R455" s="300"/>
      <c r="S455" s="301"/>
    </row>
    <row r="456" spans="1:19">
      <c r="A456" s="319"/>
      <c r="B456" s="300"/>
      <c r="C456" s="332"/>
      <c r="D456" s="300"/>
      <c r="E456" s="300"/>
      <c r="F456" s="300"/>
      <c r="G456" s="300"/>
      <c r="H456" s="300"/>
      <c r="I456" s="300"/>
      <c r="J456" s="300"/>
      <c r="K456" s="300"/>
      <c r="L456" s="300"/>
      <c r="M456" s="300"/>
      <c r="N456" s="300"/>
      <c r="O456" s="300"/>
      <c r="P456" s="300"/>
      <c r="Q456" s="300"/>
      <c r="R456" s="300"/>
      <c r="S456" s="301"/>
    </row>
    <row r="457" spans="1:19">
      <c r="A457" s="319"/>
      <c r="B457" s="300"/>
      <c r="C457" s="332"/>
      <c r="D457" s="300"/>
      <c r="E457" s="300"/>
      <c r="F457" s="300"/>
      <c r="G457" s="300"/>
      <c r="H457" s="300"/>
      <c r="I457" s="300"/>
      <c r="J457" s="300"/>
      <c r="K457" s="300"/>
      <c r="L457" s="300"/>
      <c r="M457" s="300"/>
      <c r="N457" s="300"/>
      <c r="O457" s="300"/>
      <c r="P457" s="300"/>
      <c r="Q457" s="300"/>
      <c r="R457" s="300"/>
      <c r="S457" s="301"/>
    </row>
    <row r="458" spans="1:19">
      <c r="A458" s="319"/>
      <c r="B458" s="300"/>
      <c r="C458" s="332"/>
      <c r="D458" s="300"/>
      <c r="E458" s="300"/>
      <c r="F458" s="300"/>
      <c r="G458" s="300"/>
      <c r="H458" s="300"/>
      <c r="I458" s="300"/>
      <c r="J458" s="300"/>
      <c r="K458" s="300"/>
      <c r="L458" s="300"/>
      <c r="M458" s="300"/>
      <c r="N458" s="300"/>
      <c r="O458" s="300"/>
      <c r="P458" s="300"/>
      <c r="Q458" s="300"/>
      <c r="R458" s="300"/>
      <c r="S458" s="301"/>
    </row>
    <row r="459" spans="1:19">
      <c r="A459" s="319"/>
      <c r="B459" s="300"/>
      <c r="C459" s="332"/>
      <c r="D459" s="300"/>
      <c r="E459" s="300"/>
      <c r="F459" s="300"/>
      <c r="G459" s="300"/>
      <c r="H459" s="300"/>
      <c r="I459" s="300"/>
      <c r="J459" s="300"/>
      <c r="K459" s="300"/>
      <c r="L459" s="300"/>
      <c r="M459" s="300"/>
      <c r="N459" s="300"/>
      <c r="O459" s="300"/>
      <c r="P459" s="300"/>
      <c r="Q459" s="300"/>
      <c r="R459" s="300"/>
      <c r="S459" s="301"/>
    </row>
    <row r="460" spans="1:19">
      <c r="A460" s="319"/>
      <c r="B460" s="300"/>
      <c r="C460" s="332"/>
      <c r="D460" s="300"/>
      <c r="E460" s="300"/>
      <c r="F460" s="300"/>
      <c r="G460" s="300"/>
      <c r="H460" s="300"/>
      <c r="I460" s="300"/>
      <c r="J460" s="300"/>
      <c r="K460" s="300"/>
      <c r="L460" s="300"/>
      <c r="M460" s="300"/>
      <c r="N460" s="300"/>
      <c r="O460" s="300"/>
      <c r="P460" s="300"/>
      <c r="Q460" s="300"/>
      <c r="R460" s="300"/>
      <c r="S460" s="301"/>
    </row>
    <row r="461" spans="1:19">
      <c r="A461" s="319"/>
      <c r="B461" s="300"/>
      <c r="C461" s="332"/>
      <c r="D461" s="300"/>
      <c r="E461" s="300"/>
      <c r="F461" s="300"/>
      <c r="G461" s="300"/>
      <c r="H461" s="300"/>
      <c r="I461" s="300"/>
      <c r="J461" s="300"/>
      <c r="K461" s="300"/>
      <c r="L461" s="300"/>
      <c r="M461" s="300"/>
      <c r="N461" s="300"/>
      <c r="O461" s="300"/>
      <c r="P461" s="300"/>
      <c r="Q461" s="300"/>
      <c r="R461" s="300"/>
      <c r="S461" s="301"/>
    </row>
    <row r="462" spans="1:19">
      <c r="A462" s="319"/>
      <c r="B462" s="300"/>
      <c r="C462" s="332"/>
      <c r="D462" s="300"/>
      <c r="E462" s="300"/>
      <c r="F462" s="300"/>
      <c r="G462" s="300"/>
      <c r="H462" s="300"/>
      <c r="I462" s="300"/>
      <c r="J462" s="300"/>
      <c r="K462" s="300"/>
      <c r="L462" s="300"/>
      <c r="M462" s="300"/>
      <c r="N462" s="300"/>
      <c r="O462" s="300"/>
      <c r="P462" s="300"/>
      <c r="Q462" s="300"/>
      <c r="R462" s="300"/>
      <c r="S462" s="301"/>
    </row>
    <row r="463" spans="1:19">
      <c r="A463" s="319"/>
      <c r="B463" s="300"/>
      <c r="C463" s="332"/>
      <c r="D463" s="300"/>
      <c r="E463" s="300"/>
      <c r="F463" s="300"/>
      <c r="G463" s="300"/>
      <c r="H463" s="300"/>
      <c r="I463" s="300"/>
      <c r="J463" s="300"/>
      <c r="K463" s="300"/>
      <c r="L463" s="300"/>
      <c r="M463" s="300"/>
      <c r="N463" s="300"/>
      <c r="O463" s="300"/>
      <c r="P463" s="300"/>
      <c r="Q463" s="300"/>
      <c r="R463" s="300"/>
      <c r="S463" s="301"/>
    </row>
    <row r="464" spans="1:19">
      <c r="A464" s="319"/>
      <c r="B464" s="300"/>
      <c r="C464" s="332"/>
      <c r="D464" s="300"/>
      <c r="E464" s="300"/>
      <c r="F464" s="300"/>
      <c r="G464" s="300"/>
      <c r="H464" s="300"/>
      <c r="I464" s="300"/>
      <c r="J464" s="300"/>
      <c r="K464" s="300"/>
      <c r="L464" s="300"/>
      <c r="M464" s="300"/>
      <c r="N464" s="300"/>
      <c r="O464" s="300"/>
      <c r="P464" s="300"/>
      <c r="Q464" s="300"/>
      <c r="R464" s="300"/>
      <c r="S464" s="301"/>
    </row>
    <row r="465" spans="1:19">
      <c r="A465" s="319"/>
      <c r="B465" s="300"/>
      <c r="C465" s="332"/>
      <c r="D465" s="300"/>
      <c r="E465" s="300"/>
      <c r="F465" s="300"/>
      <c r="G465" s="300"/>
      <c r="H465" s="300"/>
      <c r="I465" s="300"/>
      <c r="J465" s="300"/>
      <c r="K465" s="300"/>
      <c r="L465" s="300"/>
      <c r="M465" s="300"/>
      <c r="N465" s="300"/>
      <c r="O465" s="300"/>
      <c r="P465" s="300"/>
      <c r="Q465" s="300"/>
      <c r="R465" s="300"/>
      <c r="S465" s="301"/>
    </row>
    <row r="466" spans="1:19">
      <c r="A466" s="319"/>
      <c r="B466" s="300"/>
      <c r="C466" s="332"/>
      <c r="D466" s="300"/>
      <c r="E466" s="300"/>
      <c r="F466" s="300"/>
      <c r="G466" s="300"/>
      <c r="H466" s="300"/>
      <c r="I466" s="300"/>
      <c r="J466" s="300"/>
      <c r="K466" s="300"/>
      <c r="L466" s="300"/>
      <c r="M466" s="300"/>
      <c r="N466" s="300"/>
      <c r="O466" s="300"/>
      <c r="P466" s="300"/>
      <c r="Q466" s="300"/>
      <c r="R466" s="300"/>
      <c r="S466" s="301"/>
    </row>
    <row r="467" spans="1:19">
      <c r="A467" s="319"/>
      <c r="B467" s="300"/>
      <c r="C467" s="332"/>
      <c r="D467" s="300"/>
      <c r="E467" s="300"/>
      <c r="F467" s="300"/>
      <c r="G467" s="300"/>
      <c r="H467" s="300"/>
      <c r="I467" s="300"/>
      <c r="J467" s="300"/>
      <c r="K467" s="300"/>
      <c r="L467" s="300"/>
      <c r="M467" s="300"/>
      <c r="N467" s="300"/>
      <c r="O467" s="300"/>
      <c r="P467" s="300"/>
      <c r="Q467" s="300"/>
      <c r="R467" s="300"/>
      <c r="S467" s="301"/>
    </row>
    <row r="468" spans="1:19">
      <c r="A468" s="319"/>
      <c r="B468" s="300"/>
      <c r="C468" s="332"/>
      <c r="D468" s="300"/>
      <c r="E468" s="300"/>
      <c r="F468" s="300"/>
      <c r="G468" s="300"/>
      <c r="H468" s="300"/>
      <c r="I468" s="300"/>
      <c r="J468" s="300"/>
      <c r="K468" s="300"/>
      <c r="L468" s="300"/>
      <c r="M468" s="300"/>
      <c r="N468" s="300"/>
      <c r="O468" s="300"/>
      <c r="P468" s="300"/>
      <c r="Q468" s="300"/>
      <c r="R468" s="300"/>
      <c r="S468" s="301"/>
    </row>
    <row r="469" spans="1:19">
      <c r="A469" s="319"/>
      <c r="B469" s="300"/>
      <c r="C469" s="332"/>
      <c r="D469" s="300"/>
      <c r="E469" s="300"/>
      <c r="F469" s="300"/>
      <c r="G469" s="300"/>
      <c r="H469" s="300"/>
      <c r="I469" s="300"/>
      <c r="J469" s="300"/>
      <c r="K469" s="300"/>
      <c r="L469" s="300"/>
      <c r="M469" s="300"/>
      <c r="N469" s="300"/>
      <c r="O469" s="300"/>
      <c r="P469" s="300"/>
      <c r="Q469" s="300"/>
      <c r="R469" s="300"/>
      <c r="S469" s="301"/>
    </row>
    <row r="470" spans="1:19">
      <c r="A470" s="319"/>
      <c r="B470" s="300"/>
      <c r="C470" s="332"/>
      <c r="D470" s="300"/>
      <c r="E470" s="300"/>
      <c r="F470" s="300"/>
      <c r="G470" s="300"/>
      <c r="H470" s="300"/>
      <c r="I470" s="300"/>
      <c r="J470" s="300"/>
      <c r="K470" s="300"/>
      <c r="L470" s="300"/>
      <c r="M470" s="300"/>
      <c r="N470" s="300"/>
      <c r="O470" s="300"/>
      <c r="P470" s="300"/>
      <c r="Q470" s="300"/>
      <c r="R470" s="300"/>
      <c r="S470" s="301"/>
    </row>
    <row r="471" spans="1:19">
      <c r="A471" s="319"/>
      <c r="B471" s="300"/>
      <c r="C471" s="332"/>
      <c r="D471" s="300"/>
      <c r="E471" s="300"/>
      <c r="F471" s="300"/>
      <c r="G471" s="300"/>
      <c r="H471" s="300"/>
      <c r="I471" s="300"/>
      <c r="J471" s="300"/>
      <c r="K471" s="300"/>
      <c r="L471" s="300"/>
      <c r="M471" s="300"/>
      <c r="N471" s="300"/>
      <c r="O471" s="300"/>
      <c r="P471" s="300"/>
      <c r="Q471" s="300"/>
      <c r="R471" s="300"/>
      <c r="S471" s="301"/>
    </row>
    <row r="472" spans="1:19">
      <c r="A472" s="319"/>
      <c r="B472" s="300"/>
      <c r="C472" s="332"/>
      <c r="D472" s="300"/>
      <c r="E472" s="300"/>
      <c r="F472" s="300"/>
      <c r="G472" s="300"/>
      <c r="H472" s="300"/>
      <c r="I472" s="300"/>
      <c r="J472" s="300"/>
      <c r="K472" s="300"/>
      <c r="L472" s="300"/>
      <c r="M472" s="300"/>
      <c r="N472" s="300"/>
      <c r="O472" s="300"/>
      <c r="P472" s="300"/>
      <c r="Q472" s="300"/>
      <c r="R472" s="300"/>
      <c r="S472" s="301"/>
    </row>
    <row r="473" spans="1:19">
      <c r="A473" s="319"/>
      <c r="B473" s="300"/>
      <c r="C473" s="332"/>
      <c r="D473" s="300"/>
      <c r="E473" s="300"/>
      <c r="F473" s="300"/>
      <c r="G473" s="300"/>
      <c r="H473" s="300"/>
      <c r="I473" s="300"/>
      <c r="J473" s="300"/>
      <c r="K473" s="300"/>
      <c r="L473" s="300"/>
      <c r="M473" s="300"/>
      <c r="N473" s="300"/>
      <c r="O473" s="300"/>
      <c r="P473" s="300"/>
      <c r="Q473" s="300"/>
      <c r="R473" s="300"/>
      <c r="S473" s="301"/>
    </row>
    <row r="474" spans="1:19">
      <c r="A474" s="319"/>
      <c r="B474" s="300"/>
      <c r="C474" s="332"/>
      <c r="D474" s="300"/>
      <c r="E474" s="300"/>
      <c r="F474" s="300"/>
      <c r="G474" s="300"/>
      <c r="H474" s="300"/>
      <c r="I474" s="300"/>
      <c r="J474" s="300"/>
      <c r="K474" s="300"/>
      <c r="L474" s="300"/>
      <c r="M474" s="300"/>
      <c r="N474" s="300"/>
      <c r="O474" s="300"/>
      <c r="P474" s="300"/>
      <c r="Q474" s="300"/>
      <c r="R474" s="300"/>
      <c r="S474" s="301"/>
    </row>
    <row r="475" spans="1:19">
      <c r="A475" s="319"/>
      <c r="B475" s="300"/>
      <c r="C475" s="332"/>
      <c r="D475" s="300"/>
      <c r="E475" s="300"/>
      <c r="F475" s="300"/>
      <c r="G475" s="300"/>
      <c r="H475" s="300"/>
      <c r="I475" s="300"/>
      <c r="J475" s="300"/>
      <c r="K475" s="300"/>
      <c r="L475" s="300"/>
      <c r="M475" s="300"/>
      <c r="N475" s="300"/>
      <c r="O475" s="300"/>
      <c r="P475" s="300"/>
      <c r="Q475" s="300"/>
      <c r="R475" s="300"/>
      <c r="S475" s="301"/>
    </row>
    <row r="476" spans="1:19">
      <c r="A476" s="319"/>
      <c r="B476" s="300"/>
      <c r="C476" s="332"/>
      <c r="D476" s="300"/>
      <c r="E476" s="300"/>
      <c r="F476" s="300"/>
      <c r="G476" s="300"/>
      <c r="H476" s="300"/>
      <c r="I476" s="300"/>
      <c r="J476" s="300"/>
      <c r="K476" s="300"/>
      <c r="L476" s="300"/>
      <c r="M476" s="300"/>
      <c r="N476" s="300"/>
      <c r="O476" s="300"/>
      <c r="P476" s="300"/>
      <c r="Q476" s="300"/>
      <c r="R476" s="300"/>
      <c r="S476" s="301"/>
    </row>
    <row r="477" spans="1:19">
      <c r="A477" s="319"/>
      <c r="B477" s="300"/>
      <c r="C477" s="332"/>
      <c r="D477" s="300"/>
      <c r="E477" s="300"/>
      <c r="F477" s="300"/>
      <c r="G477" s="300"/>
      <c r="H477" s="300"/>
      <c r="I477" s="300"/>
      <c r="J477" s="300"/>
      <c r="K477" s="300"/>
      <c r="L477" s="300"/>
      <c r="M477" s="300"/>
      <c r="N477" s="300"/>
      <c r="O477" s="300"/>
      <c r="P477" s="300"/>
      <c r="Q477" s="300"/>
      <c r="R477" s="300"/>
      <c r="S477" s="301"/>
    </row>
    <row r="478" spans="1:19">
      <c r="A478" s="319"/>
      <c r="B478" s="300"/>
      <c r="C478" s="332"/>
      <c r="D478" s="300"/>
      <c r="E478" s="300"/>
      <c r="F478" s="300"/>
      <c r="G478" s="300"/>
      <c r="H478" s="300"/>
      <c r="I478" s="300"/>
      <c r="J478" s="300"/>
      <c r="K478" s="300"/>
      <c r="L478" s="300"/>
      <c r="M478" s="300"/>
      <c r="N478" s="300"/>
      <c r="O478" s="300"/>
      <c r="P478" s="300"/>
      <c r="Q478" s="300"/>
      <c r="R478" s="300"/>
      <c r="S478" s="301"/>
    </row>
    <row r="479" spans="1:19">
      <c r="A479" s="319"/>
      <c r="B479" s="300"/>
      <c r="C479" s="332"/>
      <c r="D479" s="300"/>
      <c r="E479" s="300"/>
      <c r="F479" s="300"/>
      <c r="G479" s="300"/>
      <c r="H479" s="300"/>
      <c r="I479" s="300"/>
      <c r="J479" s="300"/>
      <c r="K479" s="300"/>
      <c r="L479" s="300"/>
      <c r="M479" s="300"/>
      <c r="N479" s="300"/>
      <c r="O479" s="300"/>
      <c r="P479" s="300"/>
      <c r="Q479" s="300"/>
      <c r="R479" s="300"/>
      <c r="S479" s="301"/>
    </row>
    <row r="480" spans="1:19">
      <c r="A480" s="319"/>
      <c r="B480" s="300"/>
      <c r="C480" s="332"/>
      <c r="D480" s="300"/>
      <c r="E480" s="300"/>
      <c r="F480" s="300"/>
      <c r="G480" s="300"/>
      <c r="H480" s="300"/>
      <c r="I480" s="300"/>
      <c r="J480" s="300"/>
      <c r="K480" s="300"/>
      <c r="L480" s="300"/>
      <c r="M480" s="300"/>
      <c r="N480" s="300"/>
      <c r="O480" s="300"/>
      <c r="P480" s="300"/>
      <c r="Q480" s="300"/>
      <c r="R480" s="300"/>
      <c r="S480" s="301"/>
    </row>
    <row r="481" spans="1:19">
      <c r="A481" s="319"/>
      <c r="B481" s="300"/>
      <c r="C481" s="332"/>
      <c r="D481" s="300"/>
      <c r="E481" s="300"/>
      <c r="F481" s="300"/>
      <c r="G481" s="300"/>
      <c r="H481" s="300"/>
      <c r="I481" s="300"/>
      <c r="J481" s="300"/>
      <c r="K481" s="300"/>
      <c r="L481" s="300"/>
      <c r="M481" s="300"/>
      <c r="N481" s="300"/>
      <c r="O481" s="300"/>
      <c r="P481" s="300"/>
      <c r="Q481" s="300"/>
      <c r="R481" s="300"/>
      <c r="S481" s="301"/>
    </row>
    <row r="482" spans="1:19">
      <c r="A482" s="319"/>
      <c r="B482" s="300"/>
      <c r="C482" s="332"/>
      <c r="D482" s="300"/>
      <c r="E482" s="300"/>
      <c r="F482" s="300"/>
      <c r="G482" s="300"/>
      <c r="H482" s="300"/>
      <c r="I482" s="300"/>
      <c r="J482" s="300"/>
      <c r="K482" s="300"/>
      <c r="L482" s="300"/>
      <c r="M482" s="300"/>
      <c r="N482" s="300"/>
      <c r="O482" s="300"/>
      <c r="P482" s="300"/>
      <c r="Q482" s="300"/>
      <c r="R482" s="300"/>
      <c r="S482" s="301"/>
    </row>
    <row r="483" spans="1:19">
      <c r="A483" s="319"/>
      <c r="B483" s="300"/>
      <c r="C483" s="332"/>
      <c r="D483" s="300"/>
      <c r="E483" s="300"/>
      <c r="F483" s="300"/>
      <c r="G483" s="300"/>
      <c r="H483" s="300"/>
      <c r="I483" s="300"/>
      <c r="J483" s="300"/>
      <c r="K483" s="300"/>
      <c r="L483" s="300"/>
      <c r="M483" s="300"/>
      <c r="N483" s="300"/>
      <c r="O483" s="300"/>
      <c r="P483" s="300"/>
      <c r="Q483" s="300"/>
      <c r="R483" s="300"/>
      <c r="S483" s="301"/>
    </row>
    <row r="484" spans="1:19">
      <c r="A484" s="319"/>
      <c r="B484" s="300"/>
      <c r="C484" s="332"/>
      <c r="D484" s="300"/>
      <c r="E484" s="300"/>
      <c r="F484" s="300"/>
      <c r="G484" s="300"/>
      <c r="H484" s="300"/>
      <c r="I484" s="300"/>
      <c r="J484" s="300"/>
      <c r="K484" s="300"/>
      <c r="L484" s="300"/>
      <c r="M484" s="300"/>
      <c r="N484" s="300"/>
      <c r="O484" s="300"/>
      <c r="P484" s="300"/>
      <c r="Q484" s="300"/>
      <c r="R484" s="300"/>
      <c r="S484" s="301"/>
    </row>
    <row r="485" spans="1:19">
      <c r="A485" s="319"/>
      <c r="B485" s="300"/>
      <c r="C485" s="332"/>
      <c r="D485" s="300"/>
      <c r="E485" s="300"/>
      <c r="F485" s="300"/>
      <c r="G485" s="300"/>
      <c r="H485" s="300"/>
      <c r="I485" s="300"/>
      <c r="J485" s="300"/>
      <c r="K485" s="300"/>
      <c r="L485" s="300"/>
      <c r="M485" s="300"/>
      <c r="N485" s="300"/>
      <c r="O485" s="300"/>
      <c r="P485" s="300"/>
      <c r="Q485" s="300"/>
      <c r="R485" s="300"/>
      <c r="S485" s="301"/>
    </row>
    <row r="486" spans="1:19">
      <c r="A486" s="319"/>
      <c r="B486" s="300"/>
      <c r="C486" s="332"/>
      <c r="D486" s="300"/>
      <c r="E486" s="300"/>
      <c r="F486" s="300"/>
      <c r="G486" s="300"/>
      <c r="H486" s="300"/>
      <c r="I486" s="300"/>
      <c r="J486" s="300"/>
      <c r="K486" s="300"/>
      <c r="L486" s="300"/>
      <c r="M486" s="300"/>
      <c r="N486" s="300"/>
      <c r="O486" s="300"/>
      <c r="P486" s="300"/>
      <c r="Q486" s="300"/>
      <c r="R486" s="300"/>
      <c r="S486" s="301"/>
    </row>
    <row r="487" spans="1:19">
      <c r="A487" s="319"/>
      <c r="B487" s="300"/>
      <c r="C487" s="332"/>
      <c r="D487" s="300"/>
      <c r="E487" s="300"/>
      <c r="F487" s="300"/>
      <c r="G487" s="300"/>
      <c r="H487" s="300"/>
      <c r="I487" s="300"/>
      <c r="J487" s="300"/>
      <c r="K487" s="300"/>
      <c r="L487" s="300"/>
      <c r="M487" s="300"/>
      <c r="N487" s="300"/>
      <c r="O487" s="300"/>
      <c r="P487" s="300"/>
      <c r="Q487" s="300"/>
      <c r="R487" s="300"/>
      <c r="S487" s="301"/>
    </row>
    <row r="488" spans="1:19">
      <c r="A488" s="319"/>
      <c r="B488" s="300"/>
      <c r="C488" s="332"/>
      <c r="D488" s="300"/>
      <c r="E488" s="300"/>
      <c r="F488" s="300"/>
      <c r="G488" s="300"/>
      <c r="H488" s="300"/>
      <c r="I488" s="300"/>
      <c r="J488" s="300"/>
      <c r="K488" s="300"/>
      <c r="L488" s="300"/>
      <c r="M488" s="300"/>
      <c r="N488" s="300"/>
      <c r="O488" s="300"/>
      <c r="P488" s="300"/>
      <c r="Q488" s="300"/>
      <c r="R488" s="300"/>
      <c r="S488" s="301"/>
    </row>
    <row r="489" spans="1:19">
      <c r="A489" s="319"/>
      <c r="B489" s="300"/>
      <c r="C489" s="332"/>
      <c r="D489" s="300"/>
      <c r="E489" s="300"/>
      <c r="F489" s="300"/>
      <c r="G489" s="300"/>
      <c r="H489" s="300"/>
      <c r="I489" s="300"/>
      <c r="J489" s="300"/>
      <c r="K489" s="300"/>
      <c r="L489" s="300"/>
      <c r="M489" s="300"/>
      <c r="N489" s="300"/>
      <c r="O489" s="300"/>
      <c r="P489" s="300"/>
      <c r="Q489" s="300"/>
      <c r="R489" s="300"/>
      <c r="S489" s="301"/>
    </row>
    <row r="490" spans="1:19">
      <c r="A490" s="319"/>
      <c r="B490" s="300"/>
      <c r="C490" s="332"/>
      <c r="D490" s="300"/>
      <c r="E490" s="300"/>
      <c r="F490" s="300"/>
      <c r="G490" s="300"/>
      <c r="H490" s="300"/>
      <c r="I490" s="300"/>
      <c r="J490" s="300"/>
      <c r="K490" s="300"/>
      <c r="L490" s="300"/>
      <c r="M490" s="300"/>
      <c r="N490" s="300"/>
      <c r="O490" s="300"/>
      <c r="P490" s="300"/>
      <c r="Q490" s="300"/>
      <c r="R490" s="300"/>
      <c r="S490" s="301"/>
    </row>
    <row r="491" spans="1:19">
      <c r="A491" s="319"/>
      <c r="B491" s="300"/>
      <c r="C491" s="332"/>
      <c r="D491" s="300"/>
      <c r="E491" s="300"/>
      <c r="F491" s="300"/>
      <c r="G491" s="300"/>
      <c r="H491" s="300"/>
      <c r="I491" s="300"/>
      <c r="J491" s="300"/>
      <c r="K491" s="300"/>
      <c r="L491" s="300"/>
      <c r="M491" s="300"/>
      <c r="N491" s="300"/>
      <c r="O491" s="300"/>
      <c r="P491" s="300"/>
      <c r="Q491" s="300"/>
      <c r="R491" s="300"/>
      <c r="S491" s="301"/>
    </row>
    <row r="492" spans="1:19">
      <c r="A492" s="319"/>
      <c r="B492" s="300"/>
      <c r="C492" s="332"/>
      <c r="D492" s="300"/>
      <c r="E492" s="300"/>
      <c r="F492" s="300"/>
      <c r="G492" s="300"/>
      <c r="H492" s="300"/>
      <c r="I492" s="300"/>
      <c r="J492" s="300"/>
      <c r="K492" s="300"/>
      <c r="L492" s="300"/>
      <c r="M492" s="300"/>
      <c r="N492" s="300"/>
      <c r="O492" s="300"/>
      <c r="P492" s="300"/>
      <c r="Q492" s="300"/>
      <c r="R492" s="300"/>
      <c r="S492" s="301"/>
    </row>
    <row r="493" spans="1:19">
      <c r="A493" s="319"/>
      <c r="B493" s="300"/>
      <c r="C493" s="332"/>
      <c r="D493" s="300"/>
      <c r="E493" s="300"/>
      <c r="F493" s="300"/>
      <c r="G493" s="300"/>
      <c r="H493" s="300"/>
      <c r="I493" s="300"/>
      <c r="J493" s="300"/>
      <c r="K493" s="300"/>
      <c r="L493" s="300"/>
      <c r="M493" s="300"/>
      <c r="N493" s="300"/>
      <c r="O493" s="300"/>
      <c r="P493" s="300"/>
      <c r="Q493" s="300"/>
      <c r="R493" s="300"/>
      <c r="S493" s="301"/>
    </row>
    <row r="494" spans="1:19">
      <c r="A494" s="319"/>
      <c r="B494" s="300"/>
      <c r="C494" s="332"/>
      <c r="D494" s="300"/>
      <c r="E494" s="300"/>
      <c r="F494" s="300"/>
      <c r="G494" s="300"/>
      <c r="H494" s="300"/>
      <c r="I494" s="300"/>
      <c r="J494" s="300"/>
      <c r="K494" s="300"/>
      <c r="L494" s="300"/>
      <c r="M494" s="300"/>
      <c r="N494" s="300"/>
      <c r="O494" s="300"/>
      <c r="P494" s="300"/>
      <c r="Q494" s="300"/>
      <c r="R494" s="300"/>
      <c r="S494" s="301"/>
    </row>
    <row r="495" spans="1:19">
      <c r="A495" s="319"/>
      <c r="B495" s="300"/>
      <c r="C495" s="332"/>
      <c r="D495" s="300"/>
      <c r="E495" s="300"/>
      <c r="F495" s="300"/>
      <c r="G495" s="300"/>
      <c r="H495" s="300"/>
      <c r="I495" s="300"/>
      <c r="J495" s="300"/>
      <c r="K495" s="300"/>
      <c r="L495" s="300"/>
      <c r="M495" s="300"/>
      <c r="N495" s="300"/>
      <c r="O495" s="300"/>
      <c r="P495" s="300"/>
      <c r="Q495" s="300"/>
      <c r="R495" s="300"/>
      <c r="S495" s="301"/>
    </row>
    <row r="496" spans="1:19">
      <c r="A496" s="319"/>
      <c r="B496" s="300"/>
      <c r="C496" s="332"/>
      <c r="D496" s="300"/>
      <c r="E496" s="300"/>
      <c r="F496" s="300"/>
      <c r="G496" s="300"/>
      <c r="H496" s="300"/>
      <c r="I496" s="300"/>
      <c r="J496" s="300"/>
      <c r="K496" s="300"/>
      <c r="L496" s="300"/>
      <c r="M496" s="300"/>
      <c r="N496" s="300"/>
      <c r="O496" s="300"/>
      <c r="P496" s="300"/>
      <c r="Q496" s="300"/>
      <c r="R496" s="300"/>
      <c r="S496" s="301"/>
    </row>
    <row r="497" spans="1:19">
      <c r="A497" s="319"/>
      <c r="B497" s="300"/>
      <c r="C497" s="332"/>
      <c r="D497" s="300"/>
      <c r="E497" s="300"/>
      <c r="F497" s="300"/>
      <c r="G497" s="300"/>
      <c r="H497" s="300"/>
      <c r="I497" s="300"/>
      <c r="J497" s="300"/>
      <c r="K497" s="300"/>
      <c r="L497" s="300"/>
      <c r="M497" s="300"/>
      <c r="N497" s="300"/>
      <c r="O497" s="300"/>
      <c r="P497" s="300"/>
      <c r="Q497" s="300"/>
      <c r="R497" s="300"/>
      <c r="S497" s="301"/>
    </row>
    <row r="498" spans="1:19">
      <c r="A498" s="319"/>
      <c r="B498" s="300"/>
      <c r="C498" s="332"/>
      <c r="D498" s="300"/>
      <c r="E498" s="300"/>
      <c r="F498" s="300"/>
      <c r="G498" s="300"/>
      <c r="H498" s="300"/>
      <c r="I498" s="300"/>
      <c r="J498" s="300"/>
      <c r="K498" s="300"/>
      <c r="L498" s="300"/>
      <c r="M498" s="300"/>
      <c r="N498" s="300"/>
      <c r="O498" s="300"/>
      <c r="P498" s="300"/>
      <c r="Q498" s="300"/>
      <c r="R498" s="300"/>
      <c r="S498" s="301"/>
    </row>
    <row r="499" spans="1:19">
      <c r="A499" s="319"/>
      <c r="B499" s="300"/>
      <c r="C499" s="332"/>
      <c r="D499" s="300"/>
      <c r="E499" s="300"/>
      <c r="F499" s="300"/>
      <c r="G499" s="300"/>
      <c r="H499" s="300"/>
      <c r="I499" s="300"/>
      <c r="J499" s="300"/>
      <c r="K499" s="300"/>
      <c r="L499" s="300"/>
      <c r="M499" s="300"/>
      <c r="N499" s="300"/>
      <c r="O499" s="300"/>
      <c r="P499" s="300"/>
      <c r="Q499" s="300"/>
      <c r="R499" s="300"/>
      <c r="S499" s="301"/>
    </row>
    <row r="500" spans="1:19">
      <c r="A500" s="319"/>
      <c r="B500" s="300"/>
      <c r="C500" s="332"/>
      <c r="D500" s="300"/>
      <c r="E500" s="300"/>
      <c r="F500" s="300"/>
      <c r="G500" s="300"/>
      <c r="H500" s="300"/>
      <c r="I500" s="300"/>
      <c r="J500" s="300"/>
      <c r="K500" s="300"/>
      <c r="L500" s="300"/>
      <c r="M500" s="300"/>
      <c r="N500" s="300"/>
      <c r="O500" s="300"/>
      <c r="P500" s="300"/>
      <c r="Q500" s="300"/>
      <c r="R500" s="300"/>
      <c r="S500" s="301"/>
    </row>
    <row r="501" spans="1:19">
      <c r="A501" s="319"/>
      <c r="B501" s="300"/>
      <c r="C501" s="332"/>
      <c r="D501" s="300"/>
      <c r="E501" s="300"/>
      <c r="F501" s="300"/>
      <c r="G501" s="300"/>
      <c r="H501" s="300"/>
      <c r="I501" s="300"/>
      <c r="J501" s="300"/>
      <c r="K501" s="300"/>
      <c r="L501" s="300"/>
      <c r="M501" s="300"/>
      <c r="N501" s="300"/>
      <c r="O501" s="300"/>
      <c r="P501" s="300"/>
      <c r="Q501" s="300"/>
      <c r="R501" s="300"/>
      <c r="S501" s="301"/>
    </row>
    <row r="502" spans="1:19">
      <c r="A502" s="319"/>
      <c r="B502" s="300"/>
      <c r="C502" s="332"/>
      <c r="D502" s="300"/>
      <c r="E502" s="300"/>
      <c r="F502" s="300"/>
      <c r="G502" s="300"/>
      <c r="H502" s="300"/>
      <c r="I502" s="300"/>
      <c r="J502" s="300"/>
      <c r="K502" s="300"/>
      <c r="L502" s="300"/>
      <c r="M502" s="300"/>
      <c r="N502" s="300"/>
      <c r="O502" s="300"/>
      <c r="P502" s="300"/>
      <c r="Q502" s="300"/>
      <c r="R502" s="300"/>
      <c r="S502" s="301"/>
    </row>
    <row r="503" spans="1:19">
      <c r="A503" s="319"/>
      <c r="B503" s="300"/>
      <c r="C503" s="332"/>
      <c r="D503" s="300"/>
      <c r="E503" s="300"/>
      <c r="F503" s="300"/>
      <c r="G503" s="300"/>
      <c r="H503" s="300"/>
      <c r="I503" s="300"/>
      <c r="J503" s="300"/>
      <c r="K503" s="300"/>
      <c r="L503" s="300"/>
      <c r="M503" s="300"/>
      <c r="N503" s="300"/>
      <c r="O503" s="300"/>
      <c r="P503" s="300"/>
      <c r="Q503" s="300"/>
      <c r="R503" s="300"/>
      <c r="S503" s="301"/>
    </row>
    <row r="504" spans="1:19">
      <c r="A504" s="319"/>
      <c r="B504" s="300"/>
      <c r="C504" s="332"/>
      <c r="D504" s="300"/>
      <c r="E504" s="300"/>
      <c r="F504" s="300"/>
      <c r="G504" s="300"/>
      <c r="H504" s="300"/>
      <c r="I504" s="300"/>
      <c r="J504" s="300"/>
      <c r="K504" s="300"/>
      <c r="L504" s="300"/>
      <c r="M504" s="300"/>
      <c r="N504" s="300"/>
      <c r="O504" s="300"/>
      <c r="P504" s="300"/>
      <c r="Q504" s="300"/>
      <c r="R504" s="300"/>
      <c r="S504" s="301"/>
    </row>
    <row r="505" spans="1:19">
      <c r="A505" s="319"/>
      <c r="B505" s="300"/>
      <c r="C505" s="332"/>
      <c r="D505" s="300"/>
      <c r="E505" s="300"/>
      <c r="F505" s="300"/>
      <c r="G505" s="300"/>
      <c r="H505" s="300"/>
      <c r="I505" s="300"/>
      <c r="J505" s="300"/>
      <c r="K505" s="300"/>
      <c r="L505" s="300"/>
      <c r="M505" s="300"/>
      <c r="N505" s="300"/>
      <c r="O505" s="300"/>
      <c r="P505" s="300"/>
      <c r="Q505" s="300"/>
      <c r="R505" s="300"/>
      <c r="S505" s="301"/>
    </row>
    <row r="506" spans="1:19">
      <c r="A506" s="319"/>
      <c r="B506" s="300"/>
      <c r="C506" s="332"/>
      <c r="D506" s="300"/>
      <c r="E506" s="300"/>
      <c r="F506" s="300"/>
      <c r="G506" s="300"/>
      <c r="H506" s="300"/>
      <c r="I506" s="300"/>
      <c r="J506" s="300"/>
      <c r="K506" s="300"/>
      <c r="L506" s="300"/>
      <c r="M506" s="300"/>
      <c r="N506" s="300"/>
      <c r="O506" s="300"/>
      <c r="P506" s="300"/>
      <c r="Q506" s="300"/>
      <c r="R506" s="300"/>
      <c r="S506" s="301"/>
    </row>
    <row r="507" spans="1:19">
      <c r="A507" s="319"/>
      <c r="B507" s="300"/>
      <c r="C507" s="332"/>
      <c r="D507" s="300"/>
      <c r="E507" s="300"/>
      <c r="F507" s="300"/>
      <c r="G507" s="300"/>
      <c r="H507" s="300"/>
      <c r="I507" s="300"/>
      <c r="J507" s="300"/>
      <c r="K507" s="300"/>
      <c r="L507" s="300"/>
      <c r="M507" s="300"/>
      <c r="N507" s="300"/>
      <c r="O507" s="300"/>
      <c r="P507" s="300"/>
      <c r="Q507" s="300"/>
      <c r="R507" s="300"/>
      <c r="S507" s="301"/>
    </row>
    <row r="508" spans="1:19">
      <c r="A508" s="319"/>
      <c r="B508" s="300"/>
      <c r="C508" s="332"/>
      <c r="D508" s="300"/>
      <c r="E508" s="300"/>
      <c r="F508" s="300"/>
      <c r="G508" s="300"/>
      <c r="H508" s="300"/>
      <c r="I508" s="300"/>
      <c r="J508" s="300"/>
      <c r="K508" s="300"/>
      <c r="L508" s="300"/>
      <c r="M508" s="300"/>
      <c r="N508" s="300"/>
      <c r="O508" s="300"/>
      <c r="P508" s="300"/>
      <c r="Q508" s="300"/>
      <c r="R508" s="300"/>
      <c r="S508" s="301"/>
    </row>
    <row r="509" spans="1:19">
      <c r="A509" s="319"/>
      <c r="B509" s="300"/>
      <c r="C509" s="332"/>
      <c r="D509" s="300"/>
      <c r="E509" s="300"/>
      <c r="F509" s="300"/>
      <c r="G509" s="300"/>
      <c r="H509" s="300"/>
      <c r="I509" s="300"/>
      <c r="J509" s="300"/>
      <c r="K509" s="300"/>
      <c r="L509" s="300"/>
      <c r="M509" s="300"/>
      <c r="N509" s="300"/>
      <c r="O509" s="300"/>
      <c r="P509" s="300"/>
      <c r="Q509" s="300"/>
      <c r="R509" s="300"/>
      <c r="S509" s="301"/>
    </row>
    <row r="510" spans="1:19">
      <c r="A510" s="319"/>
      <c r="B510" s="300"/>
      <c r="C510" s="332"/>
      <c r="D510" s="300"/>
      <c r="E510" s="300"/>
      <c r="F510" s="300"/>
      <c r="G510" s="300"/>
      <c r="H510" s="300"/>
      <c r="I510" s="300"/>
      <c r="J510" s="300"/>
      <c r="K510" s="300"/>
      <c r="L510" s="300"/>
      <c r="M510" s="300"/>
      <c r="N510" s="300"/>
      <c r="O510" s="300"/>
      <c r="P510" s="300"/>
      <c r="Q510" s="300"/>
      <c r="R510" s="300"/>
      <c r="S510" s="301"/>
    </row>
    <row r="511" spans="1:19">
      <c r="A511" s="319"/>
      <c r="B511" s="300"/>
      <c r="C511" s="332"/>
      <c r="D511" s="300"/>
      <c r="E511" s="300"/>
      <c r="F511" s="300"/>
      <c r="G511" s="300"/>
      <c r="H511" s="300"/>
      <c r="I511" s="300"/>
      <c r="J511" s="300"/>
      <c r="K511" s="300"/>
      <c r="L511" s="300"/>
      <c r="M511" s="300"/>
      <c r="N511" s="300"/>
      <c r="O511" s="300"/>
      <c r="P511" s="300"/>
      <c r="Q511" s="300"/>
      <c r="R511" s="300"/>
      <c r="S511" s="301"/>
    </row>
    <row r="512" spans="1:19">
      <c r="A512" s="319"/>
      <c r="B512" s="300"/>
      <c r="C512" s="332"/>
      <c r="D512" s="300"/>
      <c r="E512" s="300"/>
      <c r="F512" s="300"/>
      <c r="G512" s="300"/>
      <c r="H512" s="300"/>
      <c r="I512" s="300"/>
      <c r="J512" s="300"/>
      <c r="K512" s="300"/>
      <c r="L512" s="300"/>
      <c r="M512" s="300"/>
      <c r="N512" s="300"/>
      <c r="O512" s="300"/>
      <c r="P512" s="300"/>
      <c r="Q512" s="300"/>
      <c r="R512" s="300"/>
      <c r="S512" s="301"/>
    </row>
    <row r="513" spans="1:19">
      <c r="A513" s="319"/>
      <c r="B513" s="300"/>
      <c r="C513" s="332"/>
      <c r="D513" s="300"/>
      <c r="E513" s="300"/>
      <c r="F513" s="300"/>
      <c r="G513" s="300"/>
      <c r="H513" s="300"/>
      <c r="I513" s="300"/>
      <c r="J513" s="300"/>
      <c r="K513" s="300"/>
      <c r="L513" s="300"/>
      <c r="M513" s="300"/>
      <c r="N513" s="300"/>
      <c r="O513" s="300"/>
      <c r="P513" s="300"/>
      <c r="Q513" s="300"/>
      <c r="R513" s="300"/>
      <c r="S513" s="301"/>
    </row>
    <row r="514" spans="1:19">
      <c r="A514" s="319"/>
      <c r="B514" s="300"/>
      <c r="C514" s="332"/>
      <c r="D514" s="300"/>
      <c r="E514" s="300"/>
      <c r="F514" s="300"/>
      <c r="G514" s="300"/>
      <c r="H514" s="300"/>
      <c r="I514" s="300"/>
      <c r="J514" s="300"/>
      <c r="K514" s="300"/>
      <c r="L514" s="300"/>
      <c r="M514" s="300"/>
      <c r="N514" s="300"/>
      <c r="O514" s="300"/>
      <c r="P514" s="300"/>
      <c r="Q514" s="300"/>
      <c r="R514" s="300"/>
      <c r="S514" s="301"/>
    </row>
    <row r="515" spans="1:19">
      <c r="A515" s="319"/>
      <c r="B515" s="300"/>
      <c r="C515" s="332"/>
      <c r="D515" s="300"/>
      <c r="E515" s="300"/>
      <c r="F515" s="300"/>
      <c r="G515" s="300"/>
      <c r="H515" s="300"/>
      <c r="I515" s="300"/>
      <c r="J515" s="300"/>
      <c r="K515" s="300"/>
      <c r="L515" s="300"/>
      <c r="M515" s="300"/>
      <c r="N515" s="300"/>
      <c r="O515" s="300"/>
      <c r="P515" s="300"/>
      <c r="Q515" s="300"/>
      <c r="R515" s="300"/>
      <c r="S515" s="301"/>
    </row>
    <row r="516" spans="1:19">
      <c r="A516" s="319"/>
      <c r="B516" s="300"/>
      <c r="C516" s="332"/>
      <c r="D516" s="300"/>
      <c r="E516" s="300"/>
      <c r="F516" s="300"/>
      <c r="G516" s="300"/>
      <c r="H516" s="300"/>
      <c r="I516" s="300"/>
      <c r="J516" s="300"/>
      <c r="K516" s="300"/>
      <c r="L516" s="300"/>
      <c r="M516" s="300"/>
      <c r="N516" s="300"/>
      <c r="O516" s="300"/>
      <c r="P516" s="300"/>
      <c r="Q516" s="300"/>
      <c r="R516" s="300"/>
      <c r="S516" s="301"/>
    </row>
    <row r="517" spans="1:19">
      <c r="A517" s="319"/>
      <c r="B517" s="300"/>
      <c r="C517" s="332"/>
      <c r="D517" s="300"/>
      <c r="E517" s="300"/>
      <c r="F517" s="300"/>
      <c r="G517" s="300"/>
      <c r="H517" s="300"/>
      <c r="I517" s="300"/>
      <c r="J517" s="300"/>
      <c r="K517" s="300"/>
      <c r="L517" s="300"/>
      <c r="M517" s="300"/>
      <c r="N517" s="300"/>
      <c r="O517" s="300"/>
      <c r="P517" s="300"/>
      <c r="Q517" s="300"/>
      <c r="R517" s="300"/>
      <c r="S517" s="301"/>
    </row>
    <row r="518" spans="1:19">
      <c r="A518" s="319"/>
      <c r="B518" s="300"/>
      <c r="C518" s="332"/>
      <c r="D518" s="300"/>
      <c r="E518" s="300"/>
      <c r="F518" s="300"/>
      <c r="G518" s="300"/>
      <c r="H518" s="300"/>
      <c r="I518" s="300"/>
      <c r="J518" s="300"/>
      <c r="K518" s="300"/>
      <c r="L518" s="300"/>
      <c r="M518" s="300"/>
      <c r="N518" s="300"/>
      <c r="O518" s="300"/>
      <c r="P518" s="300"/>
      <c r="Q518" s="300"/>
      <c r="R518" s="300"/>
      <c r="S518" s="301"/>
    </row>
    <row r="519" spans="1:19">
      <c r="A519" s="319"/>
      <c r="B519" s="300"/>
      <c r="C519" s="332"/>
      <c r="D519" s="300"/>
      <c r="E519" s="300"/>
      <c r="F519" s="300"/>
      <c r="G519" s="300"/>
      <c r="H519" s="300"/>
      <c r="I519" s="300"/>
      <c r="J519" s="300"/>
      <c r="K519" s="300"/>
      <c r="L519" s="300"/>
      <c r="M519" s="300"/>
      <c r="N519" s="300"/>
      <c r="O519" s="300"/>
      <c r="P519" s="300"/>
      <c r="Q519" s="300"/>
      <c r="R519" s="300"/>
      <c r="S519" s="301"/>
    </row>
    <row r="520" spans="1:19">
      <c r="A520" s="319"/>
      <c r="B520" s="300"/>
      <c r="C520" s="332"/>
      <c r="D520" s="300"/>
      <c r="E520" s="300"/>
      <c r="F520" s="300"/>
      <c r="G520" s="300"/>
      <c r="H520" s="300"/>
      <c r="I520" s="300"/>
      <c r="J520" s="300"/>
      <c r="K520" s="300"/>
      <c r="L520" s="300"/>
      <c r="M520" s="300"/>
      <c r="N520" s="300"/>
      <c r="O520" s="300"/>
      <c r="P520" s="300"/>
      <c r="Q520" s="300"/>
      <c r="R520" s="300"/>
      <c r="S520" s="301"/>
    </row>
    <row r="521" spans="1:19">
      <c r="A521" s="319"/>
      <c r="B521" s="300"/>
      <c r="C521" s="332"/>
      <c r="D521" s="300"/>
      <c r="E521" s="300"/>
      <c r="F521" s="300"/>
      <c r="G521" s="300"/>
      <c r="H521" s="300"/>
      <c r="I521" s="300"/>
      <c r="J521" s="300"/>
      <c r="K521" s="300"/>
      <c r="L521" s="300"/>
      <c r="M521" s="300"/>
      <c r="N521" s="300"/>
      <c r="O521" s="300"/>
      <c r="P521" s="300"/>
      <c r="Q521" s="300"/>
      <c r="R521" s="300"/>
      <c r="S521" s="301"/>
    </row>
    <row r="522" spans="1:19">
      <c r="A522" s="319"/>
      <c r="B522" s="300"/>
      <c r="C522" s="332"/>
      <c r="D522" s="300"/>
      <c r="E522" s="300"/>
      <c r="F522" s="300"/>
      <c r="G522" s="300"/>
      <c r="H522" s="300"/>
      <c r="I522" s="300"/>
      <c r="J522" s="300"/>
      <c r="K522" s="300"/>
      <c r="L522" s="300"/>
      <c r="M522" s="300"/>
      <c r="N522" s="300"/>
      <c r="O522" s="300"/>
      <c r="P522" s="300"/>
      <c r="Q522" s="300"/>
      <c r="R522" s="300"/>
      <c r="S522" s="301"/>
    </row>
    <row r="523" spans="1:19">
      <c r="A523" s="319"/>
      <c r="B523" s="300"/>
      <c r="C523" s="332"/>
      <c r="D523" s="300"/>
      <c r="E523" s="300"/>
      <c r="F523" s="300"/>
      <c r="G523" s="300"/>
      <c r="H523" s="300"/>
      <c r="I523" s="300"/>
      <c r="J523" s="300"/>
      <c r="K523" s="300"/>
      <c r="L523" s="300"/>
      <c r="M523" s="300"/>
      <c r="N523" s="300"/>
      <c r="O523" s="300"/>
      <c r="P523" s="300"/>
      <c r="Q523" s="300"/>
      <c r="R523" s="300"/>
      <c r="S523" s="301"/>
    </row>
    <row r="524" spans="1:19">
      <c r="A524" s="319"/>
      <c r="B524" s="300"/>
      <c r="C524" s="332"/>
      <c r="D524" s="300"/>
      <c r="E524" s="300"/>
      <c r="F524" s="300"/>
      <c r="G524" s="300"/>
      <c r="H524" s="300"/>
      <c r="I524" s="300"/>
      <c r="J524" s="300"/>
      <c r="K524" s="300"/>
      <c r="L524" s="300"/>
      <c r="M524" s="300"/>
      <c r="N524" s="300"/>
      <c r="O524" s="300"/>
      <c r="P524" s="300"/>
      <c r="Q524" s="300"/>
      <c r="R524" s="300"/>
      <c r="S524" s="301"/>
    </row>
    <row r="525" spans="1:19">
      <c r="A525" s="319"/>
      <c r="B525" s="300"/>
      <c r="C525" s="332"/>
      <c r="D525" s="300"/>
      <c r="E525" s="300"/>
      <c r="F525" s="300"/>
      <c r="G525" s="300"/>
      <c r="H525" s="300"/>
      <c r="I525" s="300"/>
      <c r="J525" s="300"/>
      <c r="K525" s="300"/>
      <c r="L525" s="300"/>
      <c r="M525" s="300"/>
      <c r="N525" s="300"/>
      <c r="O525" s="300"/>
      <c r="P525" s="300"/>
      <c r="Q525" s="300"/>
      <c r="R525" s="300"/>
      <c r="S525" s="301"/>
    </row>
    <row r="526" spans="1:19">
      <c r="A526" s="319"/>
      <c r="B526" s="300"/>
      <c r="C526" s="332"/>
      <c r="D526" s="300"/>
      <c r="E526" s="300"/>
      <c r="F526" s="300"/>
      <c r="G526" s="300"/>
      <c r="H526" s="300"/>
      <c r="I526" s="300"/>
      <c r="J526" s="300"/>
      <c r="K526" s="300"/>
      <c r="L526" s="300"/>
      <c r="M526" s="300"/>
      <c r="N526" s="300"/>
      <c r="O526" s="300"/>
      <c r="P526" s="300"/>
      <c r="Q526" s="300"/>
      <c r="R526" s="300"/>
      <c r="S526" s="301"/>
    </row>
    <row r="527" spans="1:19">
      <c r="A527" s="319"/>
      <c r="B527" s="300"/>
      <c r="C527" s="332"/>
      <c r="D527" s="300"/>
      <c r="E527" s="300"/>
      <c r="F527" s="300"/>
      <c r="G527" s="300"/>
      <c r="H527" s="300"/>
      <c r="I527" s="300"/>
      <c r="J527" s="300"/>
      <c r="K527" s="300"/>
      <c r="L527" s="300"/>
      <c r="M527" s="300"/>
      <c r="N527" s="300"/>
      <c r="O527" s="300"/>
      <c r="P527" s="300"/>
      <c r="Q527" s="300"/>
      <c r="R527" s="300"/>
      <c r="S527" s="301"/>
    </row>
    <row r="528" spans="1:19">
      <c r="A528" s="319"/>
      <c r="B528" s="300"/>
      <c r="C528" s="332"/>
      <c r="D528" s="300"/>
      <c r="E528" s="300"/>
      <c r="F528" s="300"/>
      <c r="G528" s="300"/>
      <c r="H528" s="300"/>
      <c r="I528" s="300"/>
      <c r="J528" s="300"/>
      <c r="K528" s="300"/>
      <c r="L528" s="300"/>
      <c r="M528" s="300"/>
      <c r="N528" s="300"/>
      <c r="O528" s="300"/>
      <c r="P528" s="300"/>
      <c r="Q528" s="300"/>
      <c r="R528" s="300"/>
      <c r="S528" s="301"/>
    </row>
    <row r="529" spans="1:19">
      <c r="A529" s="319"/>
      <c r="B529" s="300"/>
      <c r="C529" s="332"/>
      <c r="D529" s="300"/>
      <c r="E529" s="300"/>
      <c r="F529" s="300"/>
      <c r="G529" s="300"/>
      <c r="H529" s="300"/>
      <c r="I529" s="300"/>
      <c r="J529" s="300"/>
      <c r="K529" s="300"/>
      <c r="L529" s="300"/>
      <c r="M529" s="300"/>
      <c r="N529" s="300"/>
      <c r="O529" s="300"/>
      <c r="P529" s="300"/>
      <c r="Q529" s="300"/>
      <c r="R529" s="300"/>
      <c r="S529" s="301"/>
    </row>
    <row r="530" spans="1:19">
      <c r="A530" s="319"/>
      <c r="B530" s="300"/>
      <c r="C530" s="332"/>
      <c r="D530" s="300"/>
      <c r="E530" s="300"/>
      <c r="F530" s="300"/>
      <c r="G530" s="300"/>
      <c r="H530" s="300"/>
      <c r="I530" s="300"/>
      <c r="J530" s="300"/>
      <c r="K530" s="300"/>
      <c r="L530" s="300"/>
      <c r="M530" s="300"/>
      <c r="N530" s="300"/>
      <c r="O530" s="300"/>
      <c r="P530" s="300"/>
      <c r="Q530" s="300"/>
      <c r="R530" s="300"/>
      <c r="S530" s="301"/>
    </row>
    <row r="531" spans="1:19">
      <c r="A531" s="319"/>
      <c r="B531" s="300"/>
      <c r="C531" s="332"/>
      <c r="D531" s="300"/>
      <c r="E531" s="300"/>
      <c r="F531" s="300"/>
      <c r="G531" s="300"/>
      <c r="H531" s="300"/>
      <c r="I531" s="300"/>
      <c r="J531" s="300"/>
      <c r="K531" s="300"/>
      <c r="L531" s="300"/>
      <c r="M531" s="300"/>
      <c r="N531" s="300"/>
      <c r="O531" s="300"/>
      <c r="P531" s="300"/>
      <c r="Q531" s="300"/>
      <c r="R531" s="300"/>
      <c r="S531" s="301"/>
    </row>
    <row r="532" spans="1:19">
      <c r="A532" s="319"/>
      <c r="B532" s="300"/>
      <c r="C532" s="332"/>
      <c r="D532" s="300"/>
      <c r="E532" s="300"/>
      <c r="F532" s="300"/>
      <c r="G532" s="300"/>
      <c r="H532" s="300"/>
      <c r="I532" s="300"/>
      <c r="J532" s="300"/>
      <c r="K532" s="300"/>
      <c r="L532" s="300"/>
      <c r="M532" s="300"/>
      <c r="N532" s="300"/>
      <c r="O532" s="300"/>
      <c r="P532" s="300"/>
      <c r="Q532" s="300"/>
      <c r="R532" s="300"/>
      <c r="S532" s="301"/>
    </row>
    <row r="533" spans="1:19">
      <c r="A533" s="319"/>
      <c r="B533" s="300"/>
      <c r="C533" s="332"/>
      <c r="D533" s="300"/>
      <c r="E533" s="300"/>
      <c r="F533" s="300"/>
      <c r="G533" s="300"/>
      <c r="H533" s="300"/>
      <c r="I533" s="300"/>
      <c r="J533" s="300"/>
      <c r="K533" s="300"/>
      <c r="L533" s="300"/>
      <c r="M533" s="300"/>
      <c r="N533" s="300"/>
      <c r="O533" s="300"/>
      <c r="P533" s="300"/>
      <c r="Q533" s="300"/>
      <c r="R533" s="300"/>
      <c r="S533" s="301"/>
    </row>
    <row r="534" spans="1:19">
      <c r="A534" s="319"/>
      <c r="B534" s="300"/>
      <c r="C534" s="332"/>
      <c r="D534" s="300"/>
      <c r="E534" s="300"/>
      <c r="F534" s="300"/>
      <c r="G534" s="300"/>
      <c r="H534" s="300"/>
      <c r="I534" s="300"/>
      <c r="J534" s="300"/>
      <c r="K534" s="300"/>
      <c r="L534" s="300"/>
      <c r="M534" s="300"/>
      <c r="N534" s="300"/>
      <c r="O534" s="300"/>
      <c r="P534" s="300"/>
      <c r="Q534" s="300"/>
      <c r="R534" s="300"/>
      <c r="S534" s="301"/>
    </row>
    <row r="535" spans="1:19">
      <c r="A535" s="319"/>
      <c r="B535" s="300"/>
      <c r="C535" s="332"/>
      <c r="D535" s="300"/>
      <c r="E535" s="300"/>
      <c r="F535" s="300"/>
      <c r="G535" s="300"/>
      <c r="H535" s="300"/>
      <c r="I535" s="300"/>
      <c r="J535" s="300"/>
      <c r="K535" s="300"/>
      <c r="L535" s="300"/>
      <c r="M535" s="300"/>
      <c r="N535" s="300"/>
      <c r="O535" s="300"/>
      <c r="P535" s="300"/>
      <c r="Q535" s="300"/>
      <c r="R535" s="300"/>
      <c r="S535" s="301"/>
    </row>
    <row r="536" spans="1:19">
      <c r="A536" s="319"/>
      <c r="B536" s="300"/>
      <c r="C536" s="332"/>
      <c r="D536" s="300"/>
      <c r="E536" s="300"/>
      <c r="F536" s="300"/>
      <c r="G536" s="300"/>
      <c r="H536" s="300"/>
      <c r="I536" s="300"/>
      <c r="J536" s="300"/>
      <c r="K536" s="300"/>
      <c r="L536" s="300"/>
      <c r="M536" s="300"/>
      <c r="N536" s="300"/>
      <c r="O536" s="300"/>
      <c r="P536" s="300"/>
      <c r="Q536" s="300"/>
      <c r="R536" s="300"/>
      <c r="S536" s="301"/>
    </row>
    <row r="537" spans="1:19">
      <c r="A537" s="319"/>
      <c r="B537" s="300"/>
      <c r="C537" s="332"/>
      <c r="D537" s="300"/>
      <c r="E537" s="300"/>
      <c r="F537" s="300"/>
      <c r="G537" s="300"/>
      <c r="H537" s="300"/>
      <c r="I537" s="300"/>
      <c r="J537" s="300"/>
      <c r="K537" s="300"/>
      <c r="L537" s="300"/>
      <c r="M537" s="300"/>
      <c r="N537" s="300"/>
      <c r="O537" s="300"/>
      <c r="P537" s="300"/>
      <c r="Q537" s="300"/>
      <c r="R537" s="300"/>
      <c r="S537" s="301"/>
    </row>
    <row r="538" spans="1:19">
      <c r="A538" s="319"/>
      <c r="B538" s="300"/>
      <c r="C538" s="332"/>
      <c r="D538" s="300"/>
      <c r="E538" s="300"/>
      <c r="F538" s="300"/>
      <c r="G538" s="300"/>
      <c r="H538" s="300"/>
      <c r="I538" s="300"/>
      <c r="J538" s="300"/>
      <c r="K538" s="300"/>
      <c r="L538" s="300"/>
      <c r="M538" s="300"/>
      <c r="N538" s="300"/>
      <c r="O538" s="300"/>
      <c r="P538" s="300"/>
      <c r="Q538" s="300"/>
      <c r="R538" s="300"/>
      <c r="S538" s="301"/>
    </row>
    <row r="539" spans="1:19">
      <c r="A539" s="319"/>
      <c r="B539" s="300"/>
      <c r="C539" s="332"/>
      <c r="D539" s="300"/>
      <c r="E539" s="300"/>
      <c r="F539" s="300"/>
      <c r="G539" s="300"/>
      <c r="H539" s="300"/>
      <c r="I539" s="300"/>
      <c r="J539" s="300"/>
      <c r="K539" s="300"/>
      <c r="L539" s="300"/>
      <c r="M539" s="300"/>
      <c r="N539" s="300"/>
      <c r="O539" s="300"/>
      <c r="P539" s="300"/>
      <c r="Q539" s="300"/>
      <c r="R539" s="300"/>
      <c r="S539" s="301"/>
    </row>
    <row r="540" spans="1:19">
      <c r="A540" s="319"/>
      <c r="B540" s="300"/>
      <c r="C540" s="332"/>
      <c r="D540" s="300"/>
      <c r="E540" s="300"/>
      <c r="F540" s="300"/>
      <c r="G540" s="300"/>
      <c r="H540" s="300"/>
      <c r="I540" s="300"/>
      <c r="J540" s="300"/>
      <c r="K540" s="300"/>
      <c r="L540" s="300"/>
      <c r="M540" s="300"/>
      <c r="N540" s="300"/>
      <c r="O540" s="300"/>
      <c r="P540" s="300"/>
      <c r="Q540" s="300"/>
      <c r="R540" s="300"/>
      <c r="S540" s="301"/>
    </row>
    <row r="541" spans="1:19">
      <c r="A541" s="319"/>
      <c r="B541" s="300"/>
      <c r="C541" s="332"/>
      <c r="D541" s="300"/>
      <c r="E541" s="300"/>
      <c r="F541" s="300"/>
      <c r="G541" s="300"/>
      <c r="H541" s="300"/>
      <c r="I541" s="300"/>
      <c r="J541" s="300"/>
      <c r="K541" s="300"/>
      <c r="L541" s="300"/>
      <c r="M541" s="300"/>
      <c r="N541" s="300"/>
      <c r="O541" s="300"/>
      <c r="P541" s="300"/>
      <c r="Q541" s="300"/>
      <c r="R541" s="300"/>
      <c r="S541" s="301"/>
    </row>
    <row r="542" spans="1:19">
      <c r="A542" s="319"/>
      <c r="B542" s="300"/>
      <c r="C542" s="332"/>
      <c r="D542" s="300"/>
      <c r="E542" s="300"/>
      <c r="F542" s="300"/>
      <c r="G542" s="300"/>
      <c r="H542" s="300"/>
      <c r="I542" s="300"/>
      <c r="J542" s="300"/>
      <c r="K542" s="300"/>
      <c r="L542" s="300"/>
      <c r="M542" s="300"/>
      <c r="N542" s="300"/>
      <c r="O542" s="300"/>
      <c r="P542" s="300"/>
      <c r="Q542" s="300"/>
      <c r="R542" s="300"/>
      <c r="S542" s="301"/>
    </row>
    <row r="543" spans="1:19">
      <c r="A543" s="319"/>
      <c r="B543" s="300"/>
      <c r="C543" s="332"/>
      <c r="D543" s="300"/>
      <c r="E543" s="300"/>
      <c r="F543" s="300"/>
      <c r="G543" s="300"/>
      <c r="H543" s="300"/>
      <c r="I543" s="300"/>
      <c r="J543" s="300"/>
      <c r="K543" s="300"/>
      <c r="L543" s="300"/>
      <c r="M543" s="300"/>
      <c r="N543" s="300"/>
      <c r="O543" s="300"/>
      <c r="P543" s="300"/>
      <c r="Q543" s="300"/>
      <c r="R543" s="300"/>
      <c r="S543" s="301"/>
    </row>
    <row r="544" spans="1:19">
      <c r="A544" s="319"/>
      <c r="B544" s="300"/>
      <c r="C544" s="332"/>
      <c r="D544" s="300"/>
      <c r="E544" s="300"/>
      <c r="F544" s="300"/>
      <c r="G544" s="300"/>
      <c r="H544" s="300"/>
      <c r="I544" s="300"/>
      <c r="J544" s="300"/>
      <c r="K544" s="300"/>
      <c r="L544" s="300"/>
      <c r="M544" s="300"/>
      <c r="N544" s="300"/>
      <c r="O544" s="300"/>
      <c r="P544" s="300"/>
      <c r="Q544" s="300"/>
      <c r="R544" s="300"/>
      <c r="S544" s="301"/>
    </row>
    <row r="545" spans="1:19">
      <c r="A545" s="319"/>
      <c r="B545" s="300"/>
      <c r="C545" s="332"/>
      <c r="D545" s="300"/>
      <c r="E545" s="300"/>
      <c r="F545" s="300"/>
      <c r="G545" s="300"/>
      <c r="H545" s="300"/>
      <c r="I545" s="300"/>
      <c r="J545" s="300"/>
      <c r="K545" s="300"/>
      <c r="L545" s="300"/>
      <c r="M545" s="300"/>
      <c r="N545" s="300"/>
      <c r="O545" s="300"/>
      <c r="P545" s="300"/>
      <c r="Q545" s="300"/>
      <c r="R545" s="300"/>
      <c r="S545" s="301"/>
    </row>
    <row r="546" spans="1:19">
      <c r="A546" s="319"/>
      <c r="B546" s="300"/>
      <c r="C546" s="332"/>
      <c r="D546" s="300"/>
      <c r="E546" s="300"/>
      <c r="F546" s="300"/>
      <c r="G546" s="300"/>
      <c r="H546" s="300"/>
      <c r="I546" s="300"/>
      <c r="J546" s="300"/>
      <c r="K546" s="300"/>
      <c r="L546" s="300"/>
      <c r="M546" s="300"/>
      <c r="N546" s="300"/>
      <c r="O546" s="300"/>
      <c r="P546" s="300"/>
      <c r="Q546" s="300"/>
      <c r="R546" s="300"/>
      <c r="S546" s="301"/>
    </row>
    <row r="547" spans="1:19">
      <c r="A547" s="319"/>
      <c r="B547" s="300"/>
      <c r="C547" s="332"/>
      <c r="D547" s="300"/>
      <c r="E547" s="300"/>
      <c r="F547" s="300"/>
      <c r="G547" s="300"/>
      <c r="H547" s="300"/>
      <c r="I547" s="300"/>
      <c r="J547" s="300"/>
      <c r="K547" s="300"/>
      <c r="L547" s="300"/>
      <c r="M547" s="300"/>
      <c r="N547" s="300"/>
      <c r="O547" s="300"/>
      <c r="P547" s="300"/>
      <c r="Q547" s="300"/>
      <c r="R547" s="300"/>
      <c r="S547" s="301"/>
    </row>
    <row r="548" spans="1:19">
      <c r="A548" s="319"/>
      <c r="B548" s="300"/>
      <c r="C548" s="332"/>
      <c r="D548" s="300"/>
      <c r="E548" s="300"/>
      <c r="F548" s="300"/>
      <c r="G548" s="300"/>
      <c r="H548" s="300"/>
      <c r="I548" s="300"/>
      <c r="J548" s="300"/>
      <c r="K548" s="300"/>
      <c r="L548" s="300"/>
      <c r="M548" s="300"/>
      <c r="N548" s="300"/>
      <c r="O548" s="300"/>
      <c r="P548" s="300"/>
      <c r="Q548" s="300"/>
      <c r="R548" s="300"/>
      <c r="S548" s="301"/>
    </row>
    <row r="549" spans="1:19">
      <c r="A549" s="319"/>
      <c r="B549" s="300"/>
      <c r="C549" s="332"/>
      <c r="D549" s="300"/>
      <c r="E549" s="300"/>
      <c r="F549" s="300"/>
      <c r="G549" s="300"/>
      <c r="H549" s="300"/>
      <c r="I549" s="300"/>
      <c r="J549" s="300"/>
      <c r="K549" s="300"/>
      <c r="L549" s="300"/>
      <c r="M549" s="300"/>
      <c r="N549" s="300"/>
      <c r="O549" s="300"/>
      <c r="P549" s="300"/>
      <c r="Q549" s="300"/>
      <c r="R549" s="300"/>
      <c r="S549" s="301"/>
    </row>
    <row r="550" spans="1:19">
      <c r="A550" s="319"/>
      <c r="B550" s="300"/>
      <c r="C550" s="332"/>
      <c r="D550" s="300"/>
      <c r="E550" s="300"/>
      <c r="F550" s="300"/>
      <c r="G550" s="300"/>
      <c r="H550" s="300"/>
      <c r="I550" s="300"/>
      <c r="J550" s="300"/>
      <c r="K550" s="300"/>
      <c r="L550" s="300"/>
      <c r="M550" s="300"/>
      <c r="N550" s="300"/>
      <c r="O550" s="300"/>
      <c r="P550" s="300"/>
      <c r="Q550" s="300"/>
      <c r="R550" s="300"/>
      <c r="S550" s="301"/>
    </row>
    <row r="551" spans="1:19">
      <c r="A551" s="319"/>
      <c r="B551" s="300"/>
      <c r="C551" s="332"/>
      <c r="D551" s="300"/>
      <c r="E551" s="300"/>
      <c r="F551" s="300"/>
      <c r="G551" s="300"/>
      <c r="H551" s="300"/>
      <c r="I551" s="300"/>
      <c r="J551" s="300"/>
      <c r="K551" s="300"/>
      <c r="L551" s="300"/>
      <c r="M551" s="300"/>
      <c r="N551" s="300"/>
      <c r="O551" s="300"/>
      <c r="P551" s="300"/>
      <c r="Q551" s="300"/>
      <c r="R551" s="300"/>
      <c r="S551" s="301"/>
    </row>
    <row r="552" spans="1:19">
      <c r="A552" s="319"/>
      <c r="B552" s="300"/>
      <c r="C552" s="332"/>
      <c r="D552" s="300"/>
      <c r="E552" s="300"/>
      <c r="F552" s="300"/>
      <c r="G552" s="300"/>
      <c r="H552" s="300"/>
      <c r="I552" s="300"/>
      <c r="J552" s="300"/>
      <c r="K552" s="300"/>
      <c r="L552" s="300"/>
      <c r="M552" s="300"/>
      <c r="N552" s="300"/>
      <c r="O552" s="300"/>
      <c r="P552" s="300"/>
      <c r="Q552" s="300"/>
      <c r="R552" s="300"/>
      <c r="S552" s="301"/>
    </row>
    <row r="553" spans="1:19">
      <c r="A553" s="319"/>
      <c r="B553" s="300"/>
      <c r="C553" s="332"/>
      <c r="D553" s="300"/>
      <c r="E553" s="300"/>
      <c r="F553" s="300"/>
      <c r="G553" s="300"/>
      <c r="H553" s="300"/>
      <c r="I553" s="300"/>
      <c r="J553" s="300"/>
      <c r="K553" s="300"/>
      <c r="L553" s="300"/>
      <c r="M553" s="300"/>
      <c r="N553" s="300"/>
      <c r="O553" s="300"/>
      <c r="P553" s="300"/>
      <c r="Q553" s="300"/>
      <c r="R553" s="300"/>
      <c r="S553" s="301"/>
    </row>
    <row r="554" spans="1:19">
      <c r="A554" s="319"/>
      <c r="B554" s="300"/>
      <c r="C554" s="332"/>
      <c r="D554" s="300"/>
      <c r="E554" s="300"/>
      <c r="F554" s="300"/>
      <c r="G554" s="300"/>
      <c r="H554" s="300"/>
      <c r="I554" s="300"/>
      <c r="J554" s="300"/>
      <c r="K554" s="300"/>
      <c r="L554" s="300"/>
      <c r="M554" s="300"/>
      <c r="N554" s="300"/>
      <c r="O554" s="300"/>
      <c r="P554" s="300"/>
      <c r="Q554" s="300"/>
      <c r="R554" s="300"/>
      <c r="S554" s="301"/>
    </row>
    <row r="555" spans="1:19">
      <c r="A555" s="319"/>
      <c r="B555" s="300"/>
      <c r="C555" s="332"/>
      <c r="D555" s="300"/>
      <c r="E555" s="300"/>
      <c r="F555" s="300"/>
      <c r="G555" s="300"/>
      <c r="H555" s="300"/>
      <c r="I555" s="300"/>
      <c r="J555" s="300"/>
      <c r="K555" s="300"/>
      <c r="L555" s="300"/>
      <c r="M555" s="300"/>
      <c r="N555" s="300"/>
      <c r="O555" s="300"/>
      <c r="P555" s="300"/>
      <c r="Q555" s="300"/>
      <c r="R555" s="300"/>
      <c r="S555" s="301"/>
    </row>
    <row r="556" spans="1:19">
      <c r="A556" s="319"/>
      <c r="B556" s="300"/>
      <c r="C556" s="332"/>
      <c r="D556" s="300"/>
      <c r="E556" s="300"/>
      <c r="F556" s="300"/>
      <c r="G556" s="300"/>
      <c r="H556" s="300"/>
      <c r="I556" s="300"/>
      <c r="J556" s="300"/>
      <c r="K556" s="300"/>
      <c r="L556" s="300"/>
      <c r="M556" s="300"/>
      <c r="N556" s="300"/>
      <c r="O556" s="300"/>
      <c r="P556" s="300"/>
      <c r="Q556" s="300"/>
      <c r="R556" s="300"/>
      <c r="S556" s="301"/>
    </row>
    <row r="557" spans="1:19">
      <c r="A557" s="319"/>
      <c r="B557" s="300"/>
      <c r="C557" s="332"/>
      <c r="D557" s="300"/>
      <c r="E557" s="300"/>
      <c r="F557" s="300"/>
      <c r="G557" s="300"/>
      <c r="H557" s="300"/>
      <c r="I557" s="300"/>
      <c r="J557" s="300"/>
      <c r="K557" s="300"/>
      <c r="L557" s="300"/>
      <c r="M557" s="300"/>
      <c r="N557" s="300"/>
      <c r="O557" s="300"/>
      <c r="P557" s="300"/>
      <c r="Q557" s="300"/>
      <c r="R557" s="300"/>
      <c r="S557" s="301"/>
    </row>
    <row r="558" spans="1:19">
      <c r="A558" s="319"/>
      <c r="B558" s="300"/>
      <c r="C558" s="332"/>
      <c r="D558" s="300"/>
      <c r="E558" s="300"/>
      <c r="F558" s="300"/>
      <c r="G558" s="300"/>
      <c r="H558" s="300"/>
      <c r="I558" s="300"/>
      <c r="J558" s="300"/>
      <c r="K558" s="300"/>
      <c r="L558" s="300"/>
      <c r="M558" s="300"/>
      <c r="N558" s="300"/>
      <c r="O558" s="300"/>
      <c r="P558" s="300"/>
      <c r="Q558" s="300"/>
      <c r="R558" s="300"/>
      <c r="S558" s="301"/>
    </row>
    <row r="559" spans="1:19">
      <c r="A559" s="319"/>
      <c r="B559" s="300"/>
      <c r="C559" s="332"/>
      <c r="D559" s="300"/>
      <c r="E559" s="300"/>
      <c r="F559" s="300"/>
      <c r="G559" s="300"/>
      <c r="H559" s="300"/>
      <c r="I559" s="300"/>
      <c r="J559" s="300"/>
      <c r="K559" s="300"/>
      <c r="L559" s="300"/>
      <c r="M559" s="300"/>
      <c r="N559" s="300"/>
      <c r="O559" s="300"/>
      <c r="P559" s="300"/>
      <c r="Q559" s="300"/>
      <c r="R559" s="300"/>
      <c r="S559" s="301"/>
    </row>
    <row r="560" spans="1:19">
      <c r="A560" s="319"/>
      <c r="B560" s="300"/>
      <c r="C560" s="332"/>
      <c r="D560" s="300"/>
      <c r="E560" s="300"/>
      <c r="F560" s="300"/>
      <c r="G560" s="300"/>
      <c r="H560" s="300"/>
      <c r="I560" s="300"/>
      <c r="J560" s="300"/>
      <c r="K560" s="300"/>
      <c r="L560" s="300"/>
      <c r="M560" s="300"/>
      <c r="N560" s="300"/>
      <c r="O560" s="300"/>
      <c r="P560" s="300"/>
      <c r="Q560" s="300"/>
      <c r="R560" s="300"/>
      <c r="S560" s="301"/>
    </row>
    <row r="561" spans="1:19">
      <c r="A561" s="319"/>
      <c r="B561" s="300"/>
      <c r="C561" s="332"/>
      <c r="D561" s="300"/>
      <c r="E561" s="300"/>
      <c r="F561" s="300"/>
      <c r="G561" s="300"/>
      <c r="H561" s="300"/>
      <c r="I561" s="300"/>
      <c r="J561" s="300"/>
      <c r="K561" s="300"/>
      <c r="L561" s="300"/>
      <c r="M561" s="300"/>
      <c r="N561" s="300"/>
      <c r="O561" s="300"/>
      <c r="P561" s="300"/>
      <c r="Q561" s="300"/>
      <c r="R561" s="300"/>
      <c r="S561" s="301"/>
    </row>
    <row r="562" spans="1:19">
      <c r="A562" s="319"/>
      <c r="B562" s="300"/>
      <c r="C562" s="332"/>
      <c r="D562" s="300"/>
      <c r="E562" s="300"/>
      <c r="F562" s="300"/>
      <c r="G562" s="300"/>
      <c r="H562" s="300"/>
      <c r="I562" s="300"/>
      <c r="J562" s="300"/>
      <c r="K562" s="300"/>
      <c r="L562" s="300"/>
      <c r="M562" s="300"/>
      <c r="N562" s="300"/>
      <c r="O562" s="300"/>
      <c r="P562" s="300"/>
      <c r="Q562" s="300"/>
      <c r="R562" s="300"/>
      <c r="S562" s="301"/>
    </row>
    <row r="563" spans="1:19">
      <c r="A563" s="319"/>
      <c r="B563" s="300"/>
      <c r="C563" s="332"/>
      <c r="D563" s="300"/>
      <c r="E563" s="300"/>
      <c r="F563" s="300"/>
      <c r="G563" s="300"/>
      <c r="H563" s="300"/>
      <c r="I563" s="300"/>
      <c r="J563" s="300"/>
      <c r="K563" s="300"/>
      <c r="L563" s="300"/>
      <c r="M563" s="300"/>
      <c r="N563" s="300"/>
      <c r="O563" s="300"/>
      <c r="P563" s="300"/>
      <c r="Q563" s="300"/>
      <c r="R563" s="300"/>
      <c r="S563" s="301"/>
    </row>
    <row r="564" spans="1:19">
      <c r="A564" s="319"/>
      <c r="B564" s="300"/>
      <c r="C564" s="332"/>
      <c r="D564" s="300"/>
      <c r="E564" s="300"/>
      <c r="F564" s="300"/>
      <c r="G564" s="300"/>
      <c r="H564" s="300"/>
      <c r="I564" s="300"/>
      <c r="J564" s="300"/>
      <c r="K564" s="300"/>
      <c r="L564" s="300"/>
      <c r="M564" s="300"/>
      <c r="N564" s="300"/>
      <c r="O564" s="300"/>
      <c r="P564" s="300"/>
      <c r="Q564" s="300"/>
      <c r="R564" s="300"/>
      <c r="S564" s="301"/>
    </row>
    <row r="565" spans="1:19">
      <c r="A565" s="319"/>
      <c r="B565" s="300"/>
      <c r="C565" s="332"/>
      <c r="D565" s="300"/>
      <c r="E565" s="300"/>
      <c r="F565" s="300"/>
      <c r="G565" s="300"/>
      <c r="H565" s="300"/>
      <c r="I565" s="300"/>
      <c r="J565" s="300"/>
      <c r="K565" s="300"/>
      <c r="L565" s="300"/>
      <c r="M565" s="300"/>
      <c r="N565" s="300"/>
      <c r="O565" s="300"/>
      <c r="P565" s="300"/>
      <c r="Q565" s="300"/>
      <c r="R565" s="300"/>
      <c r="S565" s="301"/>
    </row>
    <row r="566" spans="1:19">
      <c r="A566" s="319"/>
      <c r="B566" s="300"/>
      <c r="C566" s="332"/>
      <c r="D566" s="300"/>
      <c r="E566" s="300"/>
      <c r="F566" s="300"/>
      <c r="G566" s="300"/>
      <c r="H566" s="300"/>
      <c r="I566" s="300"/>
      <c r="J566" s="300"/>
      <c r="K566" s="300"/>
      <c r="L566" s="300"/>
      <c r="M566" s="300"/>
      <c r="N566" s="300"/>
      <c r="O566" s="300"/>
      <c r="P566" s="300"/>
      <c r="Q566" s="300"/>
      <c r="R566" s="300"/>
      <c r="S566" s="301"/>
    </row>
    <row r="567" spans="1:19">
      <c r="A567" s="319"/>
      <c r="B567" s="300"/>
      <c r="C567" s="332"/>
      <c r="D567" s="300"/>
      <c r="E567" s="300"/>
      <c r="F567" s="300"/>
      <c r="G567" s="300"/>
      <c r="H567" s="300"/>
      <c r="I567" s="300"/>
      <c r="J567" s="300"/>
      <c r="K567" s="300"/>
      <c r="L567" s="300"/>
      <c r="M567" s="300"/>
      <c r="N567" s="300"/>
      <c r="O567" s="300"/>
      <c r="P567" s="300"/>
      <c r="Q567" s="300"/>
      <c r="R567" s="300"/>
      <c r="S567" s="301"/>
    </row>
    <row r="568" spans="1:19">
      <c r="A568" s="319"/>
      <c r="B568" s="300"/>
      <c r="C568" s="332"/>
      <c r="D568" s="300"/>
      <c r="E568" s="300"/>
      <c r="F568" s="300"/>
      <c r="G568" s="300"/>
      <c r="H568" s="300"/>
      <c r="I568" s="300"/>
      <c r="J568" s="300"/>
      <c r="K568" s="300"/>
      <c r="L568" s="300"/>
      <c r="M568" s="300"/>
      <c r="N568" s="300"/>
      <c r="O568" s="300"/>
      <c r="P568" s="300"/>
      <c r="Q568" s="300"/>
      <c r="R568" s="300"/>
      <c r="S568" s="301"/>
    </row>
    <row r="569" spans="1:19">
      <c r="A569" s="319"/>
      <c r="B569" s="300"/>
      <c r="C569" s="332"/>
      <c r="D569" s="300"/>
      <c r="E569" s="300"/>
      <c r="F569" s="300"/>
      <c r="G569" s="300"/>
      <c r="H569" s="300"/>
      <c r="I569" s="300"/>
      <c r="J569" s="300"/>
      <c r="K569" s="300"/>
      <c r="L569" s="300"/>
      <c r="M569" s="300"/>
      <c r="N569" s="300"/>
      <c r="O569" s="300"/>
      <c r="P569" s="300"/>
      <c r="Q569" s="300"/>
      <c r="R569" s="300"/>
      <c r="S569" s="301"/>
    </row>
    <row r="570" spans="1:19">
      <c r="A570" s="319"/>
      <c r="B570" s="300"/>
      <c r="C570" s="332"/>
      <c r="D570" s="300"/>
      <c r="E570" s="300"/>
      <c r="F570" s="300"/>
      <c r="G570" s="300"/>
      <c r="H570" s="300"/>
      <c r="I570" s="300"/>
      <c r="J570" s="300"/>
      <c r="K570" s="300"/>
      <c r="L570" s="300"/>
      <c r="M570" s="300"/>
      <c r="N570" s="300"/>
      <c r="O570" s="300"/>
      <c r="P570" s="300"/>
      <c r="Q570" s="300"/>
      <c r="R570" s="300"/>
      <c r="S570" s="301"/>
    </row>
    <row r="571" spans="1:19">
      <c r="A571" s="319"/>
      <c r="B571" s="300"/>
      <c r="C571" s="332"/>
      <c r="D571" s="300"/>
      <c r="E571" s="300"/>
      <c r="F571" s="300"/>
      <c r="G571" s="300"/>
      <c r="H571" s="300"/>
      <c r="I571" s="300"/>
      <c r="J571" s="300"/>
      <c r="K571" s="300"/>
      <c r="L571" s="300"/>
      <c r="M571" s="300"/>
      <c r="N571" s="300"/>
      <c r="O571" s="300"/>
      <c r="P571" s="300"/>
      <c r="Q571" s="300"/>
      <c r="R571" s="300"/>
      <c r="S571" s="301"/>
    </row>
    <row r="572" spans="1:19">
      <c r="A572" s="319"/>
      <c r="B572" s="300"/>
      <c r="C572" s="332"/>
      <c r="D572" s="300"/>
      <c r="E572" s="300"/>
      <c r="F572" s="300"/>
      <c r="G572" s="300"/>
      <c r="H572" s="300"/>
      <c r="I572" s="300"/>
      <c r="J572" s="300"/>
      <c r="K572" s="300"/>
      <c r="L572" s="300"/>
      <c r="M572" s="300"/>
      <c r="N572" s="300"/>
      <c r="O572" s="300"/>
      <c r="P572" s="300"/>
      <c r="Q572" s="300"/>
      <c r="R572" s="300"/>
      <c r="S572" s="301"/>
    </row>
    <row r="573" spans="1:19">
      <c r="A573" s="319"/>
      <c r="B573" s="300"/>
      <c r="C573" s="332"/>
      <c r="D573" s="300"/>
      <c r="E573" s="300"/>
      <c r="F573" s="300"/>
      <c r="G573" s="300"/>
      <c r="H573" s="300"/>
      <c r="I573" s="300"/>
      <c r="J573" s="300"/>
      <c r="K573" s="300"/>
      <c r="L573" s="300"/>
      <c r="M573" s="300"/>
      <c r="N573" s="300"/>
      <c r="O573" s="300"/>
      <c r="P573" s="300"/>
      <c r="Q573" s="300"/>
      <c r="R573" s="300"/>
      <c r="S573" s="301"/>
    </row>
    <row r="574" spans="1:19">
      <c r="A574" s="319"/>
      <c r="B574" s="300"/>
      <c r="C574" s="332"/>
      <c r="D574" s="300"/>
      <c r="E574" s="300"/>
      <c r="F574" s="300"/>
      <c r="G574" s="300"/>
      <c r="H574" s="300"/>
      <c r="I574" s="300"/>
      <c r="J574" s="300"/>
      <c r="K574" s="300"/>
      <c r="L574" s="300"/>
      <c r="M574" s="300"/>
      <c r="N574" s="300"/>
      <c r="O574" s="300"/>
      <c r="P574" s="300"/>
      <c r="Q574" s="300"/>
      <c r="R574" s="300"/>
      <c r="S574" s="301"/>
    </row>
    <row r="575" spans="1:19">
      <c r="A575" s="319"/>
      <c r="B575" s="300"/>
      <c r="C575" s="332"/>
      <c r="D575" s="300"/>
      <c r="E575" s="300"/>
      <c r="F575" s="300"/>
      <c r="G575" s="300"/>
      <c r="H575" s="300"/>
      <c r="I575" s="300"/>
      <c r="J575" s="300"/>
      <c r="K575" s="300"/>
      <c r="L575" s="300"/>
      <c r="M575" s="300"/>
      <c r="N575" s="300"/>
      <c r="O575" s="300"/>
      <c r="P575" s="300"/>
      <c r="Q575" s="300"/>
      <c r="R575" s="300"/>
      <c r="S575" s="301"/>
    </row>
    <row r="576" spans="1:19">
      <c r="A576" s="319"/>
      <c r="B576" s="300"/>
      <c r="C576" s="332"/>
      <c r="D576" s="300"/>
      <c r="E576" s="300"/>
      <c r="F576" s="300"/>
      <c r="G576" s="300"/>
      <c r="H576" s="300"/>
      <c r="I576" s="300"/>
      <c r="J576" s="300"/>
      <c r="K576" s="300"/>
      <c r="L576" s="300"/>
      <c r="M576" s="300"/>
      <c r="N576" s="300"/>
      <c r="O576" s="300"/>
      <c r="P576" s="300"/>
      <c r="Q576" s="300"/>
      <c r="R576" s="300"/>
      <c r="S576" s="301"/>
    </row>
    <row r="577" spans="1:19">
      <c r="A577" s="319"/>
      <c r="B577" s="300"/>
      <c r="C577" s="332"/>
      <c r="D577" s="300"/>
      <c r="E577" s="300"/>
      <c r="F577" s="300"/>
      <c r="G577" s="300"/>
      <c r="H577" s="300"/>
      <c r="I577" s="300"/>
      <c r="J577" s="300"/>
      <c r="K577" s="300"/>
      <c r="L577" s="300"/>
      <c r="M577" s="300"/>
      <c r="N577" s="300"/>
      <c r="O577" s="300"/>
      <c r="P577" s="300"/>
      <c r="Q577" s="300"/>
      <c r="R577" s="300"/>
      <c r="S577" s="301"/>
    </row>
    <row r="578" spans="1:19">
      <c r="A578" s="319"/>
      <c r="B578" s="300"/>
      <c r="C578" s="332"/>
      <c r="D578" s="300"/>
      <c r="E578" s="300"/>
      <c r="F578" s="300"/>
      <c r="G578" s="300"/>
      <c r="H578" s="300"/>
      <c r="I578" s="300"/>
      <c r="J578" s="300"/>
      <c r="K578" s="300"/>
      <c r="L578" s="300"/>
      <c r="M578" s="300"/>
      <c r="N578" s="300"/>
      <c r="O578" s="300"/>
      <c r="P578" s="300"/>
      <c r="Q578" s="300"/>
      <c r="R578" s="300"/>
      <c r="S578" s="301"/>
    </row>
    <row r="579" spans="1:19">
      <c r="A579" s="319"/>
      <c r="B579" s="300"/>
      <c r="C579" s="332"/>
      <c r="D579" s="300"/>
      <c r="E579" s="300"/>
      <c r="F579" s="300"/>
      <c r="G579" s="300"/>
      <c r="H579" s="300"/>
      <c r="I579" s="300"/>
      <c r="J579" s="300"/>
      <c r="K579" s="300"/>
      <c r="L579" s="300"/>
      <c r="M579" s="300"/>
      <c r="N579" s="300"/>
      <c r="O579" s="300"/>
      <c r="P579" s="300"/>
      <c r="Q579" s="300"/>
      <c r="R579" s="300"/>
      <c r="S579" s="301"/>
    </row>
    <row r="580" spans="1:19">
      <c r="A580" s="319"/>
      <c r="B580" s="300"/>
      <c r="C580" s="332"/>
      <c r="D580" s="300"/>
      <c r="E580" s="300"/>
      <c r="F580" s="300"/>
      <c r="G580" s="300"/>
      <c r="H580" s="300"/>
      <c r="I580" s="300"/>
      <c r="J580" s="300"/>
      <c r="K580" s="300"/>
      <c r="L580" s="300"/>
      <c r="M580" s="300"/>
      <c r="N580" s="300"/>
      <c r="O580" s="300"/>
      <c r="P580" s="300"/>
      <c r="Q580" s="300"/>
      <c r="R580" s="300"/>
      <c r="S580" s="301"/>
    </row>
    <row r="581" spans="1:19">
      <c r="A581" s="319"/>
      <c r="B581" s="300"/>
      <c r="C581" s="332"/>
      <c r="D581" s="300"/>
      <c r="E581" s="300"/>
      <c r="F581" s="300"/>
      <c r="G581" s="300"/>
      <c r="H581" s="300"/>
      <c r="I581" s="300"/>
      <c r="J581" s="300"/>
      <c r="K581" s="300"/>
      <c r="L581" s="300"/>
      <c r="M581" s="300"/>
      <c r="N581" s="300"/>
      <c r="O581" s="300"/>
      <c r="P581" s="300"/>
      <c r="Q581" s="300"/>
      <c r="R581" s="300"/>
      <c r="S581" s="301"/>
    </row>
    <row r="582" spans="1:19">
      <c r="A582" s="319"/>
      <c r="B582" s="300"/>
      <c r="C582" s="332"/>
      <c r="D582" s="300"/>
      <c r="E582" s="300"/>
      <c r="F582" s="300"/>
      <c r="G582" s="300"/>
      <c r="H582" s="300"/>
      <c r="I582" s="300"/>
      <c r="J582" s="300"/>
      <c r="K582" s="300"/>
      <c r="L582" s="300"/>
      <c r="M582" s="300"/>
      <c r="N582" s="300"/>
      <c r="O582" s="300"/>
      <c r="P582" s="300"/>
      <c r="Q582" s="300"/>
      <c r="R582" s="300"/>
      <c r="S582" s="301"/>
    </row>
    <row r="583" spans="1:19">
      <c r="A583" s="319"/>
      <c r="B583" s="300"/>
      <c r="C583" s="332"/>
      <c r="D583" s="300"/>
      <c r="E583" s="300"/>
      <c r="F583" s="300"/>
      <c r="G583" s="300"/>
      <c r="H583" s="300"/>
      <c r="I583" s="300"/>
      <c r="J583" s="300"/>
      <c r="K583" s="300"/>
      <c r="L583" s="300"/>
      <c r="M583" s="300"/>
      <c r="N583" s="300"/>
      <c r="O583" s="300"/>
      <c r="P583" s="300"/>
      <c r="Q583" s="300"/>
      <c r="R583" s="300"/>
      <c r="S583" s="301"/>
    </row>
    <row r="584" spans="1:19">
      <c r="A584" s="319"/>
      <c r="B584" s="300"/>
      <c r="C584" s="332"/>
      <c r="D584" s="300"/>
      <c r="E584" s="300"/>
      <c r="F584" s="300"/>
      <c r="G584" s="300"/>
      <c r="H584" s="300"/>
      <c r="I584" s="300"/>
      <c r="J584" s="300"/>
      <c r="K584" s="300"/>
      <c r="L584" s="300"/>
      <c r="M584" s="300"/>
      <c r="N584" s="300"/>
      <c r="O584" s="300"/>
      <c r="P584" s="300"/>
      <c r="Q584" s="300"/>
      <c r="R584" s="300"/>
      <c r="S584" s="301"/>
    </row>
    <row r="585" spans="1:19">
      <c r="A585" s="319"/>
      <c r="B585" s="300"/>
      <c r="C585" s="332"/>
      <c r="D585" s="300"/>
      <c r="E585" s="300"/>
      <c r="F585" s="300"/>
      <c r="G585" s="300"/>
      <c r="H585" s="300"/>
      <c r="I585" s="300"/>
      <c r="J585" s="300"/>
      <c r="K585" s="300"/>
      <c r="L585" s="300"/>
      <c r="M585" s="300"/>
      <c r="N585" s="300"/>
      <c r="O585" s="300"/>
      <c r="P585" s="300"/>
      <c r="Q585" s="300"/>
      <c r="R585" s="300"/>
      <c r="S585" s="301"/>
    </row>
    <row r="586" spans="1:19">
      <c r="A586" s="319"/>
      <c r="B586" s="300"/>
      <c r="C586" s="332"/>
      <c r="D586" s="300"/>
      <c r="E586" s="300"/>
      <c r="F586" s="300"/>
      <c r="G586" s="300"/>
      <c r="H586" s="300"/>
      <c r="I586" s="300"/>
      <c r="J586" s="300"/>
      <c r="K586" s="300"/>
      <c r="L586" s="300"/>
      <c r="M586" s="300"/>
      <c r="N586" s="300"/>
      <c r="O586" s="300"/>
      <c r="P586" s="300"/>
      <c r="Q586" s="300"/>
      <c r="R586" s="300"/>
      <c r="S586" s="301"/>
    </row>
    <row r="587" spans="1:19">
      <c r="A587" s="319"/>
      <c r="B587" s="300"/>
      <c r="C587" s="332"/>
      <c r="D587" s="300"/>
      <c r="E587" s="300"/>
      <c r="F587" s="300"/>
      <c r="G587" s="300"/>
      <c r="H587" s="300"/>
      <c r="I587" s="300"/>
      <c r="J587" s="300"/>
      <c r="K587" s="300"/>
      <c r="L587" s="300"/>
      <c r="M587" s="300"/>
      <c r="N587" s="300"/>
      <c r="O587" s="300"/>
      <c r="P587" s="300"/>
      <c r="Q587" s="300"/>
      <c r="R587" s="300"/>
      <c r="S587" s="301"/>
    </row>
    <row r="588" spans="1:19">
      <c r="A588" s="319"/>
      <c r="B588" s="300"/>
      <c r="C588" s="332"/>
      <c r="D588" s="300"/>
      <c r="E588" s="300"/>
      <c r="F588" s="300"/>
      <c r="G588" s="300"/>
      <c r="H588" s="300"/>
      <c r="I588" s="300"/>
      <c r="J588" s="300"/>
      <c r="K588" s="300"/>
      <c r="L588" s="300"/>
      <c r="M588" s="300"/>
      <c r="N588" s="300"/>
      <c r="O588" s="300"/>
      <c r="P588" s="300"/>
      <c r="Q588" s="300"/>
      <c r="R588" s="300"/>
      <c r="S588" s="301"/>
    </row>
    <row r="589" spans="1:19">
      <c r="A589" s="319"/>
      <c r="B589" s="300"/>
      <c r="C589" s="332"/>
      <c r="D589" s="300"/>
      <c r="E589" s="300"/>
      <c r="F589" s="300"/>
      <c r="G589" s="300"/>
      <c r="H589" s="300"/>
      <c r="I589" s="300"/>
      <c r="J589" s="300"/>
      <c r="K589" s="300"/>
      <c r="L589" s="300"/>
      <c r="M589" s="300"/>
      <c r="N589" s="300"/>
      <c r="O589" s="300"/>
      <c r="P589" s="300"/>
      <c r="Q589" s="300"/>
      <c r="R589" s="300"/>
      <c r="S589" s="301"/>
    </row>
    <row r="590" spans="1:19">
      <c r="A590" s="319"/>
      <c r="B590" s="300"/>
      <c r="C590" s="332"/>
      <c r="D590" s="300"/>
      <c r="E590" s="300"/>
      <c r="F590" s="300"/>
      <c r="G590" s="300"/>
      <c r="H590" s="300"/>
      <c r="I590" s="300"/>
      <c r="J590" s="300"/>
      <c r="K590" s="300"/>
      <c r="L590" s="300"/>
      <c r="M590" s="300"/>
      <c r="N590" s="300"/>
      <c r="O590" s="300"/>
      <c r="P590" s="300"/>
      <c r="Q590" s="300"/>
      <c r="R590" s="300"/>
      <c r="S590" s="301"/>
    </row>
    <row r="591" spans="1:19">
      <c r="A591" s="319"/>
      <c r="B591" s="300"/>
      <c r="C591" s="332"/>
      <c r="D591" s="300"/>
      <c r="E591" s="300"/>
      <c r="F591" s="300"/>
      <c r="G591" s="300"/>
      <c r="H591" s="300"/>
      <c r="I591" s="300"/>
      <c r="J591" s="300"/>
      <c r="K591" s="300"/>
      <c r="L591" s="300"/>
      <c r="M591" s="300"/>
      <c r="N591" s="300"/>
      <c r="O591" s="300"/>
      <c r="P591" s="300"/>
      <c r="Q591" s="300"/>
      <c r="R591" s="300"/>
      <c r="S591" s="301"/>
    </row>
    <row r="592" spans="1:19">
      <c r="A592" s="319"/>
      <c r="B592" s="300"/>
      <c r="C592" s="332"/>
      <c r="D592" s="300"/>
      <c r="E592" s="300"/>
      <c r="F592" s="300"/>
      <c r="G592" s="300"/>
      <c r="H592" s="300"/>
      <c r="I592" s="300"/>
      <c r="J592" s="300"/>
      <c r="K592" s="300"/>
      <c r="L592" s="300"/>
      <c r="M592" s="300"/>
      <c r="N592" s="300"/>
      <c r="O592" s="300"/>
      <c r="P592" s="300"/>
      <c r="Q592" s="300"/>
      <c r="R592" s="300"/>
      <c r="S592" s="301"/>
    </row>
    <row r="593" spans="1:19">
      <c r="A593" s="319"/>
      <c r="B593" s="300"/>
      <c r="C593" s="332"/>
      <c r="D593" s="300"/>
      <c r="E593" s="300"/>
      <c r="F593" s="300"/>
      <c r="G593" s="300"/>
      <c r="H593" s="300"/>
      <c r="I593" s="300"/>
      <c r="J593" s="300"/>
      <c r="K593" s="300"/>
      <c r="L593" s="300"/>
      <c r="M593" s="300"/>
      <c r="N593" s="300"/>
      <c r="O593" s="300"/>
      <c r="P593" s="300"/>
      <c r="Q593" s="300"/>
      <c r="R593" s="300"/>
      <c r="S593" s="301"/>
    </row>
    <row r="594" spans="1:19">
      <c r="A594" s="319"/>
      <c r="B594" s="300"/>
      <c r="C594" s="332"/>
      <c r="D594" s="300"/>
      <c r="E594" s="300"/>
      <c r="F594" s="300"/>
      <c r="G594" s="300"/>
      <c r="H594" s="300"/>
      <c r="I594" s="300"/>
      <c r="J594" s="300"/>
      <c r="K594" s="300"/>
      <c r="L594" s="300"/>
      <c r="M594" s="300"/>
      <c r="N594" s="300"/>
      <c r="O594" s="300"/>
      <c r="P594" s="300"/>
      <c r="Q594" s="300"/>
      <c r="R594" s="300"/>
      <c r="S594" s="301"/>
    </row>
    <row r="595" spans="1:19">
      <c r="A595" s="319"/>
      <c r="B595" s="300"/>
      <c r="C595" s="332"/>
      <c r="D595" s="300"/>
      <c r="E595" s="300"/>
      <c r="F595" s="300"/>
      <c r="G595" s="300"/>
      <c r="H595" s="300"/>
      <c r="I595" s="300"/>
      <c r="J595" s="300"/>
      <c r="K595" s="300"/>
      <c r="L595" s="300"/>
      <c r="M595" s="300"/>
      <c r="N595" s="300"/>
      <c r="O595" s="300"/>
      <c r="P595" s="300"/>
      <c r="Q595" s="300"/>
      <c r="R595" s="300"/>
      <c r="S595" s="301"/>
    </row>
    <row r="596" spans="1:19">
      <c r="A596" s="319"/>
      <c r="B596" s="300"/>
      <c r="C596" s="332"/>
      <c r="D596" s="300"/>
      <c r="E596" s="300"/>
      <c r="F596" s="300"/>
      <c r="G596" s="300"/>
      <c r="H596" s="300"/>
      <c r="I596" s="300"/>
      <c r="J596" s="300"/>
      <c r="K596" s="300"/>
      <c r="L596" s="300"/>
      <c r="M596" s="300"/>
      <c r="N596" s="300"/>
      <c r="O596" s="300"/>
      <c r="P596" s="300"/>
      <c r="Q596" s="300"/>
      <c r="R596" s="300"/>
      <c r="S596" s="301"/>
    </row>
    <row r="597" spans="1:19">
      <c r="A597" s="319"/>
      <c r="B597" s="300"/>
      <c r="C597" s="332"/>
      <c r="D597" s="300"/>
      <c r="E597" s="300"/>
      <c r="F597" s="300"/>
      <c r="G597" s="300"/>
      <c r="H597" s="300"/>
      <c r="I597" s="300"/>
      <c r="J597" s="300"/>
      <c r="K597" s="300"/>
      <c r="L597" s="300"/>
      <c r="M597" s="300"/>
      <c r="N597" s="300"/>
      <c r="O597" s="300"/>
      <c r="P597" s="300"/>
      <c r="Q597" s="300"/>
      <c r="R597" s="300"/>
      <c r="S597" s="301"/>
    </row>
    <row r="598" spans="1:19">
      <c r="A598" s="319"/>
      <c r="B598" s="300"/>
      <c r="C598" s="332"/>
      <c r="D598" s="300"/>
      <c r="E598" s="300"/>
      <c r="F598" s="300"/>
      <c r="G598" s="300"/>
      <c r="H598" s="300"/>
      <c r="I598" s="300"/>
      <c r="J598" s="300"/>
      <c r="K598" s="300"/>
      <c r="L598" s="300"/>
      <c r="M598" s="300"/>
      <c r="N598" s="300"/>
      <c r="O598" s="300"/>
      <c r="P598" s="300"/>
      <c r="Q598" s="300"/>
      <c r="R598" s="300"/>
      <c r="S598" s="301"/>
    </row>
    <row r="599" spans="1:19">
      <c r="A599" s="319"/>
      <c r="B599" s="300"/>
      <c r="C599" s="332"/>
      <c r="D599" s="300"/>
      <c r="E599" s="300"/>
      <c r="F599" s="300"/>
      <c r="G599" s="300"/>
      <c r="H599" s="300"/>
      <c r="I599" s="300"/>
      <c r="J599" s="300"/>
      <c r="K599" s="300"/>
      <c r="L599" s="300"/>
      <c r="M599" s="300"/>
      <c r="N599" s="300"/>
      <c r="O599" s="300"/>
      <c r="P599" s="300"/>
      <c r="Q599" s="300"/>
      <c r="R599" s="300"/>
      <c r="S599" s="301"/>
    </row>
    <row r="600" spans="1:19">
      <c r="A600" s="319"/>
      <c r="B600" s="300"/>
      <c r="C600" s="332"/>
      <c r="D600" s="300"/>
      <c r="E600" s="300"/>
      <c r="F600" s="300"/>
      <c r="G600" s="300"/>
      <c r="H600" s="300"/>
      <c r="I600" s="300"/>
      <c r="J600" s="300"/>
      <c r="K600" s="300"/>
      <c r="L600" s="300"/>
      <c r="M600" s="300"/>
      <c r="N600" s="300"/>
      <c r="O600" s="300"/>
      <c r="P600" s="300"/>
      <c r="Q600" s="300"/>
      <c r="R600" s="300"/>
      <c r="S600" s="301"/>
    </row>
    <row r="601" spans="1:19">
      <c r="A601" s="319"/>
      <c r="B601" s="300"/>
      <c r="C601" s="332"/>
      <c r="D601" s="300"/>
      <c r="E601" s="300"/>
      <c r="F601" s="300"/>
      <c r="G601" s="300"/>
      <c r="H601" s="300"/>
      <c r="I601" s="300"/>
      <c r="J601" s="300"/>
      <c r="K601" s="300"/>
      <c r="L601" s="300"/>
      <c r="M601" s="300"/>
      <c r="N601" s="300"/>
      <c r="O601" s="300"/>
      <c r="P601" s="300"/>
      <c r="Q601" s="300"/>
      <c r="R601" s="300"/>
      <c r="S601" s="301"/>
    </row>
    <row r="602" spans="1:19">
      <c r="A602" s="319"/>
      <c r="B602" s="300"/>
      <c r="C602" s="332"/>
      <c r="D602" s="300"/>
      <c r="E602" s="300"/>
      <c r="F602" s="300"/>
      <c r="G602" s="300"/>
      <c r="H602" s="300"/>
      <c r="I602" s="300"/>
      <c r="J602" s="300"/>
      <c r="K602" s="300"/>
      <c r="L602" s="300"/>
      <c r="M602" s="300"/>
      <c r="N602" s="300"/>
      <c r="O602" s="300"/>
      <c r="P602" s="300"/>
      <c r="Q602" s="300"/>
      <c r="R602" s="300"/>
      <c r="S602" s="301"/>
    </row>
    <row r="603" spans="1:19">
      <c r="A603" s="319"/>
      <c r="B603" s="300"/>
      <c r="C603" s="332"/>
      <c r="D603" s="300"/>
      <c r="E603" s="300"/>
      <c r="F603" s="300"/>
      <c r="G603" s="300"/>
      <c r="H603" s="300"/>
      <c r="I603" s="300"/>
      <c r="J603" s="300"/>
      <c r="K603" s="300"/>
      <c r="L603" s="300"/>
      <c r="M603" s="300"/>
      <c r="N603" s="300"/>
      <c r="O603" s="300"/>
      <c r="P603" s="300"/>
      <c r="Q603" s="300"/>
      <c r="R603" s="300"/>
      <c r="S603" s="301"/>
    </row>
    <row r="604" spans="1:19">
      <c r="A604" s="319"/>
      <c r="B604" s="300"/>
      <c r="C604" s="332"/>
      <c r="D604" s="300"/>
      <c r="E604" s="300"/>
      <c r="F604" s="300"/>
      <c r="G604" s="300"/>
      <c r="H604" s="300"/>
      <c r="I604" s="300"/>
      <c r="J604" s="300"/>
      <c r="K604" s="300"/>
      <c r="L604" s="300"/>
      <c r="M604" s="300"/>
      <c r="N604" s="300"/>
      <c r="O604" s="300"/>
      <c r="P604" s="300"/>
      <c r="Q604" s="300"/>
      <c r="R604" s="300"/>
      <c r="S604" s="301"/>
    </row>
    <row r="605" spans="1:19">
      <c r="A605" s="319"/>
      <c r="B605" s="300"/>
      <c r="C605" s="332"/>
      <c r="D605" s="300"/>
      <c r="E605" s="300"/>
      <c r="F605" s="300"/>
      <c r="G605" s="300"/>
      <c r="H605" s="300"/>
      <c r="I605" s="300"/>
      <c r="J605" s="300"/>
      <c r="K605" s="300"/>
      <c r="L605" s="300"/>
      <c r="M605" s="300"/>
      <c r="N605" s="300"/>
      <c r="O605" s="300"/>
      <c r="P605" s="300"/>
      <c r="Q605" s="300"/>
      <c r="R605" s="300"/>
      <c r="S605" s="301"/>
    </row>
    <row r="606" spans="1:19">
      <c r="A606" s="319"/>
      <c r="B606" s="300"/>
      <c r="C606" s="332"/>
      <c r="D606" s="300"/>
      <c r="E606" s="300"/>
      <c r="F606" s="300"/>
      <c r="G606" s="300"/>
      <c r="H606" s="300"/>
      <c r="I606" s="300"/>
      <c r="J606" s="300"/>
      <c r="K606" s="300"/>
      <c r="L606" s="300"/>
      <c r="M606" s="300"/>
      <c r="N606" s="300"/>
      <c r="O606" s="300"/>
      <c r="P606" s="300"/>
      <c r="Q606" s="300"/>
      <c r="R606" s="300"/>
      <c r="S606" s="301"/>
    </row>
    <row r="607" spans="1:19">
      <c r="A607" s="319"/>
      <c r="B607" s="300"/>
      <c r="C607" s="332"/>
      <c r="D607" s="300"/>
      <c r="E607" s="300"/>
      <c r="F607" s="300"/>
      <c r="G607" s="300"/>
      <c r="H607" s="300"/>
      <c r="I607" s="300"/>
      <c r="J607" s="300"/>
      <c r="K607" s="300"/>
      <c r="L607" s="300"/>
      <c r="M607" s="300"/>
      <c r="N607" s="300"/>
      <c r="O607" s="300"/>
      <c r="P607" s="300"/>
      <c r="Q607" s="300"/>
      <c r="R607" s="300"/>
      <c r="S607" s="301"/>
    </row>
    <row r="608" spans="1:19">
      <c r="A608" s="319"/>
      <c r="B608" s="300"/>
      <c r="C608" s="332"/>
      <c r="D608" s="300"/>
      <c r="E608" s="300"/>
      <c r="F608" s="300"/>
      <c r="G608" s="300"/>
      <c r="H608" s="300"/>
      <c r="I608" s="300"/>
      <c r="J608" s="300"/>
      <c r="K608" s="300"/>
      <c r="L608" s="300"/>
      <c r="M608" s="300"/>
      <c r="N608" s="300"/>
      <c r="O608" s="300"/>
      <c r="P608" s="300"/>
      <c r="Q608" s="300"/>
      <c r="R608" s="300"/>
      <c r="S608" s="301"/>
    </row>
    <row r="609" spans="1:19">
      <c r="A609" s="319"/>
      <c r="B609" s="300"/>
      <c r="C609" s="332"/>
      <c r="D609" s="300"/>
      <c r="E609" s="300"/>
      <c r="F609" s="300"/>
      <c r="G609" s="300"/>
      <c r="H609" s="300"/>
      <c r="I609" s="300"/>
      <c r="J609" s="300"/>
      <c r="K609" s="300"/>
      <c r="L609" s="300"/>
      <c r="M609" s="300"/>
      <c r="N609" s="300"/>
      <c r="O609" s="300"/>
      <c r="P609" s="300"/>
      <c r="Q609" s="300"/>
      <c r="R609" s="300"/>
      <c r="S609" s="301"/>
    </row>
    <row r="610" spans="1:19">
      <c r="A610" s="319"/>
      <c r="B610" s="300"/>
      <c r="C610" s="332"/>
      <c r="D610" s="300"/>
      <c r="E610" s="300"/>
      <c r="F610" s="300"/>
      <c r="G610" s="300"/>
      <c r="H610" s="300"/>
      <c r="I610" s="300"/>
      <c r="J610" s="300"/>
      <c r="K610" s="300"/>
      <c r="L610" s="300"/>
      <c r="M610" s="300"/>
      <c r="N610" s="300"/>
      <c r="O610" s="300"/>
      <c r="P610" s="300"/>
      <c r="Q610" s="300"/>
      <c r="R610" s="300"/>
      <c r="S610" s="301"/>
    </row>
    <row r="611" spans="1:19">
      <c r="A611" s="319"/>
      <c r="B611" s="300"/>
      <c r="C611" s="332"/>
      <c r="D611" s="300"/>
      <c r="E611" s="300"/>
      <c r="F611" s="300"/>
      <c r="G611" s="300"/>
      <c r="H611" s="300"/>
      <c r="I611" s="300"/>
      <c r="J611" s="300"/>
      <c r="K611" s="300"/>
      <c r="L611" s="300"/>
      <c r="M611" s="300"/>
      <c r="N611" s="300"/>
      <c r="O611" s="300"/>
      <c r="P611" s="300"/>
      <c r="Q611" s="300"/>
      <c r="R611" s="300"/>
      <c r="S611" s="301"/>
    </row>
    <row r="612" spans="1:19">
      <c r="A612" s="319"/>
      <c r="B612" s="300"/>
      <c r="C612" s="332"/>
      <c r="D612" s="300"/>
      <c r="E612" s="300"/>
      <c r="F612" s="300"/>
      <c r="G612" s="300"/>
      <c r="H612" s="300"/>
      <c r="I612" s="300"/>
      <c r="J612" s="300"/>
      <c r="K612" s="300"/>
      <c r="L612" s="300"/>
      <c r="M612" s="300"/>
      <c r="N612" s="300"/>
      <c r="O612" s="300"/>
      <c r="P612" s="300"/>
      <c r="Q612" s="300"/>
      <c r="R612" s="300"/>
      <c r="S612" s="301"/>
    </row>
    <row r="613" spans="1:19">
      <c r="A613" s="319"/>
      <c r="B613" s="300"/>
      <c r="C613" s="332"/>
      <c r="D613" s="300"/>
      <c r="E613" s="300"/>
      <c r="F613" s="300"/>
      <c r="G613" s="300"/>
      <c r="H613" s="300"/>
      <c r="I613" s="300"/>
      <c r="J613" s="300"/>
      <c r="K613" s="300"/>
      <c r="L613" s="300"/>
      <c r="M613" s="300"/>
      <c r="N613" s="300"/>
      <c r="O613" s="300"/>
      <c r="P613" s="300"/>
      <c r="Q613" s="300"/>
      <c r="R613" s="300"/>
      <c r="S613" s="301"/>
    </row>
    <row r="614" spans="1:19">
      <c r="A614" s="319"/>
      <c r="B614" s="300"/>
      <c r="C614" s="332"/>
      <c r="D614" s="300"/>
      <c r="E614" s="300"/>
      <c r="F614" s="300"/>
      <c r="G614" s="300"/>
      <c r="H614" s="300"/>
      <c r="I614" s="300"/>
      <c r="J614" s="300"/>
      <c r="K614" s="300"/>
      <c r="L614" s="300"/>
      <c r="M614" s="300"/>
      <c r="N614" s="300"/>
      <c r="O614" s="300"/>
      <c r="P614" s="300"/>
      <c r="Q614" s="300"/>
      <c r="R614" s="300"/>
      <c r="S614" s="301"/>
    </row>
    <row r="615" spans="1:19">
      <c r="A615" s="319"/>
      <c r="B615" s="300"/>
      <c r="C615" s="332"/>
      <c r="D615" s="300"/>
      <c r="E615" s="300"/>
      <c r="F615" s="300"/>
      <c r="G615" s="300"/>
      <c r="H615" s="300"/>
      <c r="I615" s="300"/>
      <c r="J615" s="300"/>
      <c r="K615" s="300"/>
      <c r="L615" s="300"/>
      <c r="M615" s="300"/>
      <c r="N615" s="300"/>
      <c r="O615" s="300"/>
      <c r="P615" s="300"/>
      <c r="Q615" s="300"/>
      <c r="R615" s="300"/>
      <c r="S615" s="301"/>
    </row>
    <row r="616" spans="1:19">
      <c r="A616" s="319"/>
      <c r="B616" s="300"/>
      <c r="C616" s="332"/>
      <c r="D616" s="300"/>
      <c r="E616" s="300"/>
      <c r="F616" s="300"/>
      <c r="G616" s="300"/>
      <c r="H616" s="300"/>
      <c r="I616" s="300"/>
      <c r="J616" s="300"/>
      <c r="K616" s="300"/>
      <c r="L616" s="300"/>
      <c r="M616" s="300"/>
      <c r="N616" s="300"/>
      <c r="O616" s="300"/>
      <c r="P616" s="300"/>
      <c r="Q616" s="300"/>
      <c r="R616" s="300"/>
      <c r="S616" s="301"/>
    </row>
    <row r="617" spans="1:19">
      <c r="A617" s="319"/>
      <c r="B617" s="300"/>
      <c r="C617" s="332"/>
      <c r="D617" s="300"/>
      <c r="E617" s="300"/>
      <c r="F617" s="300"/>
      <c r="G617" s="300"/>
      <c r="H617" s="300"/>
      <c r="I617" s="300"/>
      <c r="J617" s="300"/>
      <c r="K617" s="300"/>
      <c r="L617" s="300"/>
      <c r="M617" s="300"/>
      <c r="N617" s="300"/>
      <c r="O617" s="300"/>
      <c r="P617" s="300"/>
      <c r="Q617" s="300"/>
      <c r="R617" s="300"/>
      <c r="S617" s="301"/>
    </row>
    <row r="618" spans="1:19">
      <c r="A618" s="319"/>
      <c r="B618" s="300"/>
      <c r="C618" s="332"/>
      <c r="D618" s="300"/>
      <c r="E618" s="300"/>
      <c r="F618" s="300"/>
      <c r="G618" s="300"/>
      <c r="H618" s="300"/>
      <c r="I618" s="300"/>
      <c r="J618" s="300"/>
      <c r="K618" s="300"/>
      <c r="L618" s="300"/>
      <c r="M618" s="300"/>
      <c r="N618" s="300"/>
      <c r="O618" s="300"/>
      <c r="P618" s="300"/>
      <c r="Q618" s="300"/>
      <c r="R618" s="300"/>
      <c r="S618" s="301"/>
    </row>
    <row r="619" spans="1:19">
      <c r="A619" s="319"/>
      <c r="B619" s="300"/>
      <c r="C619" s="332"/>
      <c r="D619" s="300"/>
      <c r="E619" s="300"/>
      <c r="F619" s="300"/>
      <c r="G619" s="300"/>
      <c r="H619" s="300"/>
      <c r="I619" s="300"/>
      <c r="J619" s="300"/>
      <c r="K619" s="300"/>
      <c r="L619" s="300"/>
      <c r="M619" s="300"/>
      <c r="N619" s="300"/>
      <c r="O619" s="300"/>
      <c r="P619" s="300"/>
      <c r="Q619" s="300"/>
      <c r="R619" s="300"/>
      <c r="S619" s="301"/>
    </row>
    <row r="620" spans="1:19">
      <c r="A620" s="319"/>
      <c r="B620" s="300"/>
      <c r="C620" s="332"/>
      <c r="D620" s="300"/>
      <c r="E620" s="300"/>
      <c r="F620" s="300"/>
      <c r="G620" s="300"/>
      <c r="H620" s="300"/>
      <c r="I620" s="300"/>
      <c r="J620" s="300"/>
      <c r="K620" s="300"/>
      <c r="L620" s="300"/>
      <c r="M620" s="300"/>
      <c r="N620" s="300"/>
      <c r="O620" s="300"/>
      <c r="P620" s="300"/>
      <c r="Q620" s="300"/>
      <c r="R620" s="300"/>
      <c r="S620" s="301"/>
    </row>
    <row r="621" spans="1:19">
      <c r="A621" s="319"/>
      <c r="B621" s="300"/>
      <c r="C621" s="332"/>
      <c r="D621" s="300"/>
      <c r="E621" s="300"/>
      <c r="F621" s="300"/>
      <c r="G621" s="300"/>
      <c r="H621" s="300"/>
      <c r="I621" s="300"/>
      <c r="J621" s="300"/>
      <c r="K621" s="300"/>
      <c r="L621" s="300"/>
      <c r="M621" s="300"/>
      <c r="N621" s="300"/>
      <c r="O621" s="300"/>
      <c r="P621" s="300"/>
      <c r="Q621" s="300"/>
      <c r="R621" s="300"/>
      <c r="S621" s="301"/>
    </row>
    <row r="622" spans="1:19">
      <c r="A622" s="319"/>
      <c r="B622" s="300"/>
      <c r="C622" s="332"/>
      <c r="D622" s="300"/>
      <c r="E622" s="300"/>
      <c r="F622" s="300"/>
      <c r="G622" s="300"/>
      <c r="H622" s="300"/>
      <c r="I622" s="300"/>
      <c r="J622" s="300"/>
      <c r="K622" s="300"/>
      <c r="L622" s="300"/>
      <c r="M622" s="300"/>
      <c r="N622" s="300"/>
      <c r="O622" s="300"/>
      <c r="P622" s="300"/>
      <c r="Q622" s="300"/>
      <c r="R622" s="300"/>
      <c r="S622" s="301"/>
    </row>
    <row r="623" spans="1:19">
      <c r="A623" s="319"/>
      <c r="B623" s="300"/>
      <c r="C623" s="332"/>
      <c r="D623" s="300"/>
      <c r="E623" s="300"/>
      <c r="F623" s="300"/>
      <c r="G623" s="300"/>
      <c r="H623" s="300"/>
      <c r="I623" s="300"/>
      <c r="J623" s="300"/>
      <c r="K623" s="300"/>
      <c r="L623" s="300"/>
      <c r="M623" s="300"/>
      <c r="N623" s="300"/>
      <c r="O623" s="300"/>
      <c r="P623" s="300"/>
      <c r="Q623" s="300"/>
      <c r="R623" s="300"/>
      <c r="S623" s="301"/>
    </row>
    <row r="624" spans="1:19">
      <c r="A624" s="319"/>
      <c r="B624" s="300"/>
      <c r="C624" s="332"/>
      <c r="D624" s="300"/>
      <c r="E624" s="300"/>
      <c r="F624" s="300"/>
      <c r="G624" s="300"/>
      <c r="H624" s="300"/>
      <c r="I624" s="300"/>
      <c r="J624" s="300"/>
      <c r="K624" s="300"/>
      <c r="L624" s="300"/>
      <c r="M624" s="300"/>
      <c r="N624" s="300"/>
      <c r="O624" s="300"/>
      <c r="P624" s="300"/>
      <c r="Q624" s="300"/>
      <c r="R624" s="300"/>
      <c r="S624" s="301"/>
    </row>
    <row r="625" spans="1:19">
      <c r="A625" s="319"/>
      <c r="B625" s="300"/>
      <c r="C625" s="332"/>
      <c r="D625" s="300"/>
      <c r="E625" s="300"/>
      <c r="F625" s="300"/>
      <c r="G625" s="300"/>
      <c r="H625" s="300"/>
      <c r="I625" s="300"/>
      <c r="J625" s="300"/>
      <c r="K625" s="300"/>
      <c r="L625" s="300"/>
      <c r="M625" s="300"/>
      <c r="N625" s="300"/>
      <c r="O625" s="300"/>
      <c r="P625" s="300"/>
      <c r="Q625" s="300"/>
      <c r="R625" s="300"/>
      <c r="S625" s="301"/>
    </row>
    <row r="626" spans="1:19">
      <c r="A626" s="319"/>
      <c r="B626" s="300"/>
      <c r="C626" s="332"/>
      <c r="D626" s="300"/>
      <c r="E626" s="300"/>
      <c r="F626" s="300"/>
      <c r="G626" s="300"/>
      <c r="H626" s="300"/>
      <c r="I626" s="300"/>
      <c r="J626" s="300"/>
      <c r="K626" s="300"/>
      <c r="L626" s="300"/>
      <c r="M626" s="300"/>
      <c r="N626" s="300"/>
      <c r="O626" s="300"/>
      <c r="P626" s="300"/>
      <c r="Q626" s="300"/>
      <c r="R626" s="300"/>
      <c r="S626" s="301"/>
    </row>
    <row r="627" spans="1:19">
      <c r="A627" s="319"/>
      <c r="B627" s="300"/>
      <c r="C627" s="332"/>
      <c r="D627" s="300"/>
      <c r="E627" s="300"/>
      <c r="F627" s="300"/>
      <c r="G627" s="300"/>
      <c r="H627" s="300"/>
      <c r="I627" s="300"/>
      <c r="J627" s="300"/>
      <c r="K627" s="300"/>
      <c r="L627" s="300"/>
      <c r="M627" s="300"/>
      <c r="N627" s="300"/>
      <c r="O627" s="300"/>
      <c r="P627" s="300"/>
      <c r="Q627" s="300"/>
      <c r="R627" s="300"/>
      <c r="S627" s="301"/>
    </row>
    <row r="628" spans="1:19">
      <c r="A628" s="319"/>
      <c r="B628" s="300"/>
      <c r="C628" s="332"/>
      <c r="D628" s="300"/>
      <c r="E628" s="300"/>
      <c r="F628" s="300"/>
      <c r="G628" s="300"/>
      <c r="H628" s="300"/>
      <c r="I628" s="300"/>
      <c r="J628" s="300"/>
      <c r="K628" s="300"/>
      <c r="L628" s="300"/>
      <c r="M628" s="300"/>
      <c r="N628" s="300"/>
      <c r="O628" s="300"/>
      <c r="P628" s="300"/>
      <c r="Q628" s="300"/>
      <c r="R628" s="300"/>
      <c r="S628" s="301"/>
    </row>
    <row r="629" spans="1:19">
      <c r="A629" s="319"/>
      <c r="B629" s="300"/>
      <c r="C629" s="332"/>
      <c r="D629" s="300"/>
      <c r="E629" s="300"/>
      <c r="F629" s="300"/>
      <c r="G629" s="300"/>
      <c r="H629" s="300"/>
      <c r="I629" s="300"/>
      <c r="J629" s="300"/>
      <c r="K629" s="300"/>
      <c r="L629" s="300"/>
      <c r="M629" s="300"/>
      <c r="N629" s="300"/>
      <c r="O629" s="300"/>
      <c r="P629" s="300"/>
      <c r="Q629" s="300"/>
      <c r="R629" s="300"/>
      <c r="S629" s="301"/>
    </row>
    <row r="630" spans="1:19">
      <c r="A630" s="319"/>
      <c r="B630" s="300"/>
      <c r="C630" s="332"/>
      <c r="D630" s="300"/>
      <c r="E630" s="300"/>
      <c r="F630" s="300"/>
      <c r="G630" s="300"/>
      <c r="H630" s="300"/>
      <c r="I630" s="300"/>
      <c r="J630" s="300"/>
      <c r="K630" s="300"/>
      <c r="L630" s="300"/>
      <c r="M630" s="300"/>
      <c r="N630" s="300"/>
      <c r="O630" s="300"/>
      <c r="P630" s="300"/>
      <c r="Q630" s="300"/>
      <c r="R630" s="300"/>
      <c r="S630" s="301"/>
    </row>
    <row r="631" spans="1:19">
      <c r="A631" s="319"/>
      <c r="B631" s="300"/>
      <c r="C631" s="332"/>
      <c r="D631" s="300"/>
      <c r="E631" s="300"/>
      <c r="F631" s="300"/>
      <c r="G631" s="300"/>
      <c r="H631" s="300"/>
      <c r="I631" s="300"/>
      <c r="J631" s="300"/>
      <c r="K631" s="300"/>
      <c r="L631" s="300"/>
      <c r="M631" s="300"/>
      <c r="N631" s="300"/>
      <c r="O631" s="300"/>
      <c r="P631" s="300"/>
      <c r="Q631" s="300"/>
      <c r="R631" s="300"/>
      <c r="S631" s="301"/>
    </row>
    <row r="632" spans="1:19">
      <c r="A632" s="319"/>
      <c r="B632" s="300"/>
      <c r="C632" s="332"/>
      <c r="D632" s="300"/>
      <c r="E632" s="300"/>
      <c r="F632" s="300"/>
      <c r="G632" s="300"/>
      <c r="H632" s="300"/>
      <c r="I632" s="300"/>
      <c r="J632" s="300"/>
      <c r="K632" s="300"/>
      <c r="L632" s="300"/>
      <c r="M632" s="300"/>
      <c r="N632" s="300"/>
      <c r="O632" s="300"/>
      <c r="P632" s="300"/>
      <c r="Q632" s="300"/>
      <c r="R632" s="300"/>
      <c r="S632" s="301"/>
    </row>
    <row r="633" spans="1:19">
      <c r="A633" s="319"/>
      <c r="B633" s="300"/>
      <c r="C633" s="332"/>
      <c r="D633" s="300"/>
      <c r="E633" s="300"/>
      <c r="F633" s="300"/>
      <c r="G633" s="300"/>
      <c r="H633" s="300"/>
      <c r="I633" s="300"/>
      <c r="J633" s="300"/>
      <c r="K633" s="300"/>
      <c r="L633" s="300"/>
      <c r="M633" s="300"/>
      <c r="N633" s="300"/>
      <c r="O633" s="300"/>
      <c r="P633" s="300"/>
      <c r="Q633" s="300"/>
      <c r="R633" s="300"/>
      <c r="S633" s="301"/>
    </row>
    <row r="634" spans="1:19">
      <c r="A634" s="319"/>
      <c r="B634" s="300"/>
      <c r="C634" s="332"/>
      <c r="D634" s="300"/>
      <c r="E634" s="300"/>
      <c r="F634" s="300"/>
      <c r="G634" s="300"/>
      <c r="H634" s="300"/>
      <c r="I634" s="300"/>
      <c r="J634" s="300"/>
      <c r="K634" s="300"/>
      <c r="L634" s="300"/>
      <c r="M634" s="300"/>
      <c r="N634" s="300"/>
      <c r="O634" s="300"/>
      <c r="P634" s="300"/>
      <c r="Q634" s="300"/>
      <c r="R634" s="300"/>
      <c r="S634" s="301"/>
    </row>
    <row r="635" spans="1:19">
      <c r="A635" s="319"/>
      <c r="B635" s="300"/>
      <c r="C635" s="332"/>
      <c r="D635" s="300"/>
      <c r="E635" s="300"/>
      <c r="F635" s="300"/>
      <c r="G635" s="300"/>
      <c r="H635" s="300"/>
      <c r="I635" s="300"/>
      <c r="J635" s="300"/>
      <c r="K635" s="300"/>
      <c r="L635" s="300"/>
      <c r="M635" s="300"/>
      <c r="N635" s="300"/>
      <c r="O635" s="300"/>
      <c r="P635" s="300"/>
      <c r="Q635" s="300"/>
      <c r="R635" s="300"/>
      <c r="S635" s="301"/>
    </row>
    <row r="636" spans="1:19">
      <c r="A636" s="319"/>
      <c r="B636" s="300"/>
      <c r="C636" s="332"/>
      <c r="D636" s="300"/>
      <c r="E636" s="300"/>
      <c r="F636" s="300"/>
      <c r="G636" s="300"/>
      <c r="H636" s="300"/>
      <c r="I636" s="300"/>
      <c r="J636" s="300"/>
      <c r="K636" s="300"/>
      <c r="L636" s="300"/>
      <c r="M636" s="300"/>
      <c r="N636" s="300"/>
      <c r="O636" s="300"/>
      <c r="P636" s="300"/>
      <c r="Q636" s="300"/>
      <c r="R636" s="300"/>
      <c r="S636" s="301"/>
    </row>
    <row r="637" spans="1:19">
      <c r="A637" s="319"/>
      <c r="B637" s="300"/>
      <c r="C637" s="332"/>
      <c r="D637" s="300"/>
      <c r="E637" s="300"/>
      <c r="F637" s="300"/>
      <c r="G637" s="300"/>
      <c r="H637" s="300"/>
      <c r="I637" s="300"/>
      <c r="J637" s="300"/>
      <c r="K637" s="300"/>
      <c r="L637" s="300"/>
      <c r="M637" s="300"/>
      <c r="N637" s="300"/>
      <c r="O637" s="300"/>
      <c r="P637" s="300"/>
      <c r="Q637" s="300"/>
      <c r="R637" s="300"/>
      <c r="S637" s="301"/>
    </row>
    <row r="638" spans="1:19">
      <c r="A638" s="319"/>
      <c r="B638" s="300"/>
      <c r="C638" s="332"/>
      <c r="D638" s="300"/>
      <c r="E638" s="300"/>
      <c r="F638" s="300"/>
      <c r="G638" s="300"/>
      <c r="H638" s="300"/>
      <c r="I638" s="300"/>
      <c r="J638" s="300"/>
      <c r="K638" s="300"/>
      <c r="L638" s="300"/>
      <c r="M638" s="300"/>
      <c r="N638" s="300"/>
      <c r="O638" s="300"/>
      <c r="P638" s="300"/>
      <c r="Q638" s="300"/>
      <c r="R638" s="300"/>
      <c r="S638" s="301"/>
    </row>
    <row r="639" spans="1:19">
      <c r="A639" s="319"/>
      <c r="B639" s="300"/>
      <c r="C639" s="332"/>
      <c r="D639" s="300"/>
      <c r="E639" s="300"/>
      <c r="F639" s="300"/>
      <c r="G639" s="300"/>
      <c r="H639" s="300"/>
      <c r="I639" s="300"/>
      <c r="J639" s="300"/>
      <c r="K639" s="300"/>
      <c r="L639" s="300"/>
      <c r="M639" s="300"/>
      <c r="N639" s="300"/>
      <c r="O639" s="300"/>
      <c r="P639" s="300"/>
      <c r="Q639" s="300"/>
      <c r="R639" s="300"/>
      <c r="S639" s="301"/>
    </row>
    <row r="640" spans="1:19">
      <c r="A640" s="319"/>
      <c r="B640" s="300"/>
      <c r="C640" s="332"/>
      <c r="D640" s="300"/>
      <c r="E640" s="300"/>
      <c r="F640" s="300"/>
      <c r="G640" s="300"/>
      <c r="H640" s="300"/>
      <c r="I640" s="300"/>
      <c r="J640" s="300"/>
      <c r="K640" s="300"/>
      <c r="L640" s="300"/>
      <c r="M640" s="300"/>
      <c r="N640" s="300"/>
      <c r="O640" s="300"/>
      <c r="P640" s="300"/>
      <c r="Q640" s="300"/>
      <c r="R640" s="300"/>
      <c r="S640" s="301"/>
    </row>
    <row r="641" spans="1:19">
      <c r="A641" s="319"/>
      <c r="B641" s="300"/>
      <c r="C641" s="332"/>
      <c r="D641" s="300"/>
      <c r="E641" s="300"/>
      <c r="F641" s="300"/>
      <c r="G641" s="300"/>
      <c r="H641" s="300"/>
      <c r="I641" s="300"/>
      <c r="J641" s="300"/>
      <c r="K641" s="300"/>
      <c r="L641" s="300"/>
      <c r="M641" s="300"/>
      <c r="N641" s="300"/>
      <c r="O641" s="300"/>
      <c r="P641" s="300"/>
      <c r="Q641" s="300"/>
      <c r="R641" s="300"/>
      <c r="S641" s="301"/>
    </row>
    <row r="642" spans="1:19">
      <c r="A642" s="319"/>
      <c r="B642" s="300"/>
      <c r="C642" s="332"/>
      <c r="D642" s="300"/>
      <c r="E642" s="300"/>
      <c r="F642" s="300"/>
      <c r="G642" s="300"/>
      <c r="H642" s="300"/>
      <c r="I642" s="300"/>
      <c r="J642" s="300"/>
      <c r="K642" s="300"/>
      <c r="L642" s="300"/>
      <c r="M642" s="300"/>
      <c r="N642" s="300"/>
      <c r="O642" s="300"/>
      <c r="P642" s="300"/>
      <c r="Q642" s="300"/>
      <c r="R642" s="300"/>
      <c r="S642" s="301"/>
    </row>
    <row r="643" spans="1:19">
      <c r="A643" s="319"/>
      <c r="B643" s="300"/>
      <c r="C643" s="332"/>
      <c r="D643" s="300"/>
      <c r="E643" s="300"/>
      <c r="F643" s="300"/>
      <c r="G643" s="300"/>
      <c r="H643" s="300"/>
      <c r="I643" s="300"/>
      <c r="J643" s="300"/>
      <c r="K643" s="300"/>
      <c r="L643" s="300"/>
      <c r="M643" s="300"/>
      <c r="N643" s="300"/>
      <c r="O643" s="300"/>
      <c r="P643" s="300"/>
      <c r="Q643" s="300"/>
      <c r="R643" s="300"/>
      <c r="S643" s="301"/>
    </row>
    <row r="644" spans="1:19">
      <c r="A644" s="319"/>
      <c r="B644" s="300"/>
      <c r="C644" s="332"/>
      <c r="D644" s="300"/>
      <c r="E644" s="300"/>
      <c r="F644" s="300"/>
      <c r="G644" s="300"/>
      <c r="H644" s="300"/>
      <c r="I644" s="300"/>
      <c r="J644" s="300"/>
      <c r="K644" s="300"/>
      <c r="L644" s="300"/>
      <c r="M644" s="300"/>
      <c r="N644" s="300"/>
      <c r="O644" s="300"/>
      <c r="P644" s="300"/>
      <c r="Q644" s="300"/>
      <c r="R644" s="300"/>
      <c r="S644" s="301"/>
    </row>
    <row r="645" spans="1:19">
      <c r="A645" s="319"/>
      <c r="B645" s="300"/>
      <c r="C645" s="332"/>
      <c r="D645" s="300"/>
      <c r="E645" s="300"/>
      <c r="F645" s="300"/>
      <c r="G645" s="300"/>
      <c r="H645" s="300"/>
      <c r="I645" s="300"/>
      <c r="J645" s="300"/>
      <c r="K645" s="300"/>
      <c r="L645" s="300"/>
      <c r="M645" s="300"/>
      <c r="N645" s="300"/>
      <c r="O645" s="300"/>
      <c r="P645" s="300"/>
      <c r="Q645" s="300"/>
      <c r="R645" s="300"/>
      <c r="S645" s="301"/>
    </row>
    <row r="646" spans="1:19">
      <c r="A646" s="319"/>
      <c r="B646" s="300"/>
      <c r="C646" s="332"/>
      <c r="D646" s="300"/>
      <c r="E646" s="300"/>
      <c r="F646" s="300"/>
      <c r="G646" s="300"/>
      <c r="H646" s="300"/>
      <c r="I646" s="300"/>
      <c r="J646" s="300"/>
      <c r="K646" s="300"/>
      <c r="L646" s="300"/>
      <c r="M646" s="300"/>
      <c r="N646" s="300"/>
      <c r="O646" s="300"/>
      <c r="P646" s="300"/>
      <c r="Q646" s="300"/>
      <c r="R646" s="300"/>
      <c r="S646" s="301"/>
    </row>
    <row r="647" spans="1:19">
      <c r="A647" s="319"/>
      <c r="B647" s="300"/>
      <c r="C647" s="332"/>
      <c r="D647" s="300"/>
      <c r="E647" s="300"/>
      <c r="F647" s="300"/>
      <c r="G647" s="300"/>
      <c r="H647" s="300"/>
      <c r="I647" s="300"/>
      <c r="J647" s="300"/>
      <c r="K647" s="300"/>
      <c r="L647" s="300"/>
      <c r="M647" s="300"/>
      <c r="N647" s="300"/>
      <c r="O647" s="300"/>
      <c r="P647" s="300"/>
      <c r="Q647" s="300"/>
      <c r="R647" s="300"/>
      <c r="S647" s="301"/>
    </row>
    <row r="648" spans="1:19">
      <c r="A648" s="319"/>
      <c r="B648" s="300"/>
      <c r="C648" s="332"/>
      <c r="D648" s="300"/>
      <c r="E648" s="300"/>
      <c r="F648" s="300"/>
      <c r="G648" s="300"/>
      <c r="H648" s="300"/>
      <c r="I648" s="300"/>
      <c r="J648" s="300"/>
      <c r="K648" s="300"/>
      <c r="L648" s="300"/>
      <c r="M648" s="300"/>
      <c r="N648" s="300"/>
      <c r="O648" s="300"/>
      <c r="P648" s="300"/>
      <c r="Q648" s="300"/>
      <c r="R648" s="300"/>
      <c r="S648" s="301"/>
    </row>
    <row r="649" spans="1:19">
      <c r="A649" s="319"/>
      <c r="B649" s="300"/>
      <c r="C649" s="332"/>
      <c r="D649" s="300"/>
      <c r="E649" s="300"/>
      <c r="F649" s="300"/>
      <c r="G649" s="300"/>
      <c r="H649" s="300"/>
      <c r="I649" s="300"/>
      <c r="J649" s="300"/>
      <c r="K649" s="300"/>
      <c r="L649" s="300"/>
      <c r="M649" s="300"/>
      <c r="N649" s="300"/>
      <c r="O649" s="300"/>
      <c r="P649" s="300"/>
      <c r="Q649" s="300"/>
      <c r="R649" s="300"/>
      <c r="S649" s="301"/>
    </row>
    <row r="650" spans="1:19">
      <c r="A650" s="319"/>
      <c r="B650" s="300"/>
      <c r="C650" s="332"/>
      <c r="D650" s="300"/>
      <c r="E650" s="300"/>
      <c r="F650" s="300"/>
      <c r="G650" s="300"/>
      <c r="H650" s="300"/>
      <c r="I650" s="300"/>
      <c r="J650" s="300"/>
      <c r="K650" s="300"/>
      <c r="L650" s="300"/>
      <c r="M650" s="300"/>
      <c r="N650" s="300"/>
      <c r="O650" s="300"/>
      <c r="P650" s="300"/>
      <c r="Q650" s="300"/>
      <c r="R650" s="300"/>
      <c r="S650" s="301"/>
    </row>
    <row r="651" spans="1:19">
      <c r="A651" s="319"/>
      <c r="B651" s="300"/>
      <c r="C651" s="332"/>
      <c r="D651" s="300"/>
      <c r="E651" s="300"/>
      <c r="F651" s="300"/>
      <c r="G651" s="300"/>
      <c r="H651" s="300"/>
      <c r="I651" s="300"/>
      <c r="J651" s="300"/>
      <c r="K651" s="300"/>
      <c r="L651" s="300"/>
      <c r="M651" s="300"/>
      <c r="N651" s="300"/>
      <c r="O651" s="300"/>
      <c r="P651" s="300"/>
      <c r="Q651" s="300"/>
      <c r="R651" s="300"/>
      <c r="S651" s="301"/>
    </row>
    <row r="652" spans="1:19">
      <c r="A652" s="319"/>
      <c r="B652" s="300"/>
      <c r="C652" s="332"/>
      <c r="D652" s="300"/>
      <c r="E652" s="300"/>
      <c r="F652" s="300"/>
      <c r="G652" s="300"/>
      <c r="H652" s="300"/>
      <c r="I652" s="300"/>
      <c r="J652" s="300"/>
      <c r="K652" s="300"/>
      <c r="L652" s="300"/>
      <c r="M652" s="300"/>
      <c r="N652" s="300"/>
      <c r="O652" s="300"/>
      <c r="P652" s="300"/>
      <c r="Q652" s="300"/>
      <c r="R652" s="300"/>
      <c r="S652" s="301"/>
    </row>
    <row r="653" spans="1:19">
      <c r="A653" s="319"/>
      <c r="B653" s="300"/>
      <c r="C653" s="332"/>
      <c r="D653" s="300"/>
      <c r="E653" s="300"/>
      <c r="F653" s="300"/>
      <c r="G653" s="300"/>
      <c r="H653" s="300"/>
      <c r="I653" s="300"/>
      <c r="J653" s="300"/>
      <c r="K653" s="300"/>
      <c r="L653" s="300"/>
      <c r="M653" s="300"/>
      <c r="N653" s="300"/>
      <c r="O653" s="300"/>
      <c r="P653" s="300"/>
      <c r="Q653" s="300"/>
      <c r="R653" s="300"/>
      <c r="S653" s="301"/>
    </row>
    <row r="654" spans="1:19">
      <c r="A654" s="319"/>
      <c r="B654" s="300"/>
      <c r="C654" s="332"/>
      <c r="D654" s="300"/>
      <c r="E654" s="300"/>
      <c r="F654" s="300"/>
      <c r="G654" s="300"/>
      <c r="H654" s="300"/>
      <c r="I654" s="300"/>
      <c r="J654" s="300"/>
      <c r="K654" s="300"/>
      <c r="L654" s="300"/>
      <c r="M654" s="300"/>
      <c r="N654" s="300"/>
      <c r="O654" s="300"/>
      <c r="P654" s="300"/>
      <c r="Q654" s="300"/>
      <c r="R654" s="300"/>
      <c r="S654" s="301"/>
    </row>
    <row r="655" spans="1:19">
      <c r="A655" s="319"/>
      <c r="B655" s="300"/>
      <c r="C655" s="332"/>
      <c r="D655" s="300"/>
      <c r="E655" s="300"/>
      <c r="F655" s="300"/>
      <c r="G655" s="300"/>
      <c r="H655" s="300"/>
      <c r="I655" s="300"/>
      <c r="J655" s="300"/>
      <c r="K655" s="300"/>
      <c r="L655" s="300"/>
      <c r="M655" s="300"/>
      <c r="N655" s="300"/>
      <c r="O655" s="300"/>
      <c r="P655" s="300"/>
      <c r="Q655" s="300"/>
      <c r="R655" s="300"/>
      <c r="S655" s="301"/>
    </row>
    <row r="656" spans="1:19">
      <c r="A656" s="319"/>
      <c r="B656" s="300"/>
      <c r="C656" s="332"/>
      <c r="D656" s="300"/>
      <c r="E656" s="300"/>
      <c r="F656" s="300"/>
      <c r="G656" s="300"/>
      <c r="H656" s="300"/>
      <c r="I656" s="300"/>
      <c r="J656" s="300"/>
      <c r="K656" s="300"/>
      <c r="L656" s="300"/>
      <c r="M656" s="300"/>
      <c r="N656" s="300"/>
      <c r="O656" s="300"/>
      <c r="P656" s="300"/>
      <c r="Q656" s="300"/>
      <c r="R656" s="300"/>
      <c r="S656" s="301"/>
    </row>
    <row r="657" spans="1:19">
      <c r="A657" s="319"/>
      <c r="B657" s="300"/>
      <c r="C657" s="332"/>
      <c r="D657" s="300"/>
      <c r="E657" s="300"/>
      <c r="F657" s="300"/>
      <c r="G657" s="300"/>
      <c r="H657" s="300"/>
      <c r="I657" s="300"/>
      <c r="J657" s="300"/>
      <c r="K657" s="300"/>
      <c r="L657" s="300"/>
      <c r="M657" s="300"/>
      <c r="N657" s="300"/>
      <c r="O657" s="300"/>
      <c r="P657" s="300"/>
      <c r="Q657" s="300"/>
      <c r="R657" s="300"/>
      <c r="S657" s="301"/>
    </row>
    <row r="658" spans="1:19">
      <c r="A658" s="319"/>
      <c r="B658" s="300"/>
      <c r="C658" s="332"/>
      <c r="D658" s="300"/>
      <c r="E658" s="300"/>
      <c r="F658" s="300"/>
      <c r="G658" s="300"/>
      <c r="H658" s="300"/>
      <c r="I658" s="300"/>
      <c r="J658" s="300"/>
      <c r="K658" s="300"/>
      <c r="L658" s="300"/>
      <c r="M658" s="300"/>
      <c r="N658" s="300"/>
      <c r="O658" s="300"/>
      <c r="P658" s="300"/>
      <c r="Q658" s="300"/>
      <c r="R658" s="300"/>
      <c r="S658" s="301"/>
    </row>
    <row r="659" spans="1:19">
      <c r="A659" s="319"/>
      <c r="B659" s="300"/>
      <c r="C659" s="332"/>
      <c r="D659" s="300"/>
      <c r="E659" s="300"/>
      <c r="F659" s="300"/>
      <c r="G659" s="300"/>
      <c r="H659" s="300"/>
      <c r="I659" s="300"/>
      <c r="J659" s="300"/>
      <c r="K659" s="300"/>
      <c r="L659" s="300"/>
      <c r="M659" s="300"/>
      <c r="N659" s="300"/>
      <c r="O659" s="300"/>
      <c r="P659" s="300"/>
      <c r="Q659" s="300"/>
      <c r="R659" s="300"/>
      <c r="S659" s="301"/>
    </row>
    <row r="660" spans="1:19">
      <c r="A660" s="319"/>
      <c r="B660" s="300"/>
      <c r="C660" s="332"/>
      <c r="D660" s="300"/>
      <c r="E660" s="300"/>
      <c r="F660" s="300"/>
      <c r="G660" s="300"/>
      <c r="H660" s="300"/>
      <c r="I660" s="300"/>
      <c r="J660" s="300"/>
      <c r="K660" s="300"/>
      <c r="L660" s="300"/>
      <c r="M660" s="300"/>
      <c r="N660" s="300"/>
      <c r="O660" s="300"/>
      <c r="P660" s="300"/>
      <c r="Q660" s="300"/>
      <c r="R660" s="300"/>
      <c r="S660" s="301"/>
    </row>
    <row r="661" spans="1:19">
      <c r="A661" s="319"/>
      <c r="B661" s="300"/>
      <c r="C661" s="332"/>
      <c r="D661" s="300"/>
      <c r="E661" s="300"/>
      <c r="F661" s="300"/>
      <c r="G661" s="300"/>
      <c r="H661" s="300"/>
      <c r="I661" s="300"/>
      <c r="J661" s="300"/>
      <c r="K661" s="300"/>
      <c r="L661" s="300"/>
      <c r="M661" s="300"/>
      <c r="N661" s="300"/>
      <c r="O661" s="300"/>
      <c r="P661" s="300"/>
      <c r="Q661" s="300"/>
      <c r="R661" s="300"/>
      <c r="S661" s="301"/>
    </row>
    <row r="662" spans="1:19">
      <c r="A662" s="319"/>
      <c r="B662" s="300"/>
      <c r="C662" s="332"/>
      <c r="D662" s="300"/>
      <c r="E662" s="300"/>
      <c r="F662" s="300"/>
      <c r="G662" s="300"/>
      <c r="H662" s="300"/>
      <c r="I662" s="300"/>
      <c r="J662" s="300"/>
      <c r="K662" s="300"/>
      <c r="L662" s="300"/>
      <c r="M662" s="300"/>
      <c r="N662" s="300"/>
      <c r="O662" s="300"/>
      <c r="P662" s="300"/>
      <c r="Q662" s="300"/>
      <c r="R662" s="300"/>
      <c r="S662" s="301"/>
    </row>
    <row r="663" spans="1:19">
      <c r="A663" s="319"/>
      <c r="B663" s="300"/>
      <c r="C663" s="332"/>
      <c r="D663" s="300"/>
      <c r="E663" s="300"/>
      <c r="F663" s="300"/>
      <c r="G663" s="300"/>
      <c r="H663" s="300"/>
      <c r="I663" s="300"/>
      <c r="J663" s="300"/>
      <c r="K663" s="300"/>
      <c r="L663" s="300"/>
      <c r="M663" s="300"/>
      <c r="N663" s="300"/>
      <c r="O663" s="300"/>
      <c r="P663" s="300"/>
      <c r="Q663" s="300"/>
      <c r="R663" s="300"/>
      <c r="S663" s="301"/>
    </row>
    <row r="664" spans="1:19">
      <c r="A664" s="319"/>
      <c r="B664" s="300"/>
      <c r="C664" s="332"/>
      <c r="D664" s="300"/>
      <c r="E664" s="300"/>
      <c r="F664" s="300"/>
      <c r="G664" s="300"/>
      <c r="H664" s="300"/>
      <c r="I664" s="300"/>
      <c r="J664" s="300"/>
      <c r="K664" s="300"/>
      <c r="L664" s="300"/>
      <c r="M664" s="300"/>
      <c r="N664" s="300"/>
      <c r="O664" s="300"/>
      <c r="P664" s="300"/>
      <c r="Q664" s="300"/>
      <c r="R664" s="300"/>
      <c r="S664" s="301"/>
    </row>
    <row r="665" spans="1:19">
      <c r="A665" s="319"/>
      <c r="B665" s="300"/>
      <c r="C665" s="332"/>
      <c r="D665" s="300"/>
      <c r="E665" s="300"/>
      <c r="F665" s="300"/>
      <c r="G665" s="300"/>
      <c r="H665" s="300"/>
      <c r="I665" s="300"/>
      <c r="J665" s="300"/>
      <c r="K665" s="300"/>
      <c r="L665" s="300"/>
      <c r="M665" s="300"/>
      <c r="N665" s="300"/>
      <c r="O665" s="300"/>
      <c r="P665" s="300"/>
      <c r="Q665" s="300"/>
      <c r="R665" s="300"/>
      <c r="S665" s="301"/>
    </row>
    <row r="666" spans="1:19">
      <c r="A666" s="319"/>
      <c r="B666" s="300"/>
      <c r="C666" s="332"/>
      <c r="D666" s="300"/>
      <c r="E666" s="300"/>
      <c r="F666" s="300"/>
      <c r="G666" s="300"/>
      <c r="H666" s="300"/>
      <c r="I666" s="300"/>
      <c r="J666" s="300"/>
      <c r="K666" s="300"/>
      <c r="L666" s="300"/>
      <c r="M666" s="300"/>
      <c r="N666" s="300"/>
      <c r="O666" s="300"/>
      <c r="P666" s="300"/>
      <c r="Q666" s="300"/>
      <c r="R666" s="300"/>
      <c r="S666" s="301"/>
    </row>
    <row r="667" spans="1:19">
      <c r="A667" s="319"/>
      <c r="B667" s="300"/>
      <c r="C667" s="332"/>
      <c r="D667" s="300"/>
      <c r="E667" s="300"/>
      <c r="F667" s="300"/>
      <c r="G667" s="300"/>
      <c r="H667" s="300"/>
      <c r="I667" s="300"/>
      <c r="J667" s="300"/>
      <c r="K667" s="300"/>
      <c r="L667" s="300"/>
      <c r="M667" s="300"/>
      <c r="N667" s="300"/>
      <c r="O667" s="300"/>
      <c r="P667" s="300"/>
      <c r="Q667" s="300"/>
      <c r="R667" s="300"/>
      <c r="S667" s="301"/>
    </row>
    <row r="668" spans="1:19">
      <c r="A668" s="319"/>
      <c r="B668" s="300"/>
      <c r="C668" s="332"/>
      <c r="D668" s="300"/>
      <c r="E668" s="300"/>
      <c r="F668" s="300"/>
      <c r="G668" s="300"/>
      <c r="H668" s="300"/>
      <c r="I668" s="300"/>
      <c r="J668" s="300"/>
      <c r="K668" s="300"/>
      <c r="L668" s="300"/>
      <c r="M668" s="300"/>
      <c r="N668" s="300"/>
      <c r="O668" s="300"/>
      <c r="P668" s="300"/>
      <c r="Q668" s="300"/>
      <c r="R668" s="300"/>
      <c r="S668" s="301"/>
    </row>
    <row r="669" spans="1:19">
      <c r="A669" s="319"/>
      <c r="B669" s="300"/>
      <c r="C669" s="332"/>
      <c r="D669" s="300"/>
      <c r="E669" s="300"/>
      <c r="F669" s="300"/>
      <c r="G669" s="300"/>
      <c r="H669" s="300"/>
      <c r="I669" s="300"/>
      <c r="J669" s="300"/>
      <c r="K669" s="300"/>
      <c r="L669" s="300"/>
      <c r="M669" s="300"/>
      <c r="N669" s="300"/>
      <c r="O669" s="300"/>
      <c r="P669" s="300"/>
      <c r="Q669" s="300"/>
      <c r="R669" s="300"/>
      <c r="S669" s="301"/>
    </row>
    <row r="670" spans="1:19">
      <c r="A670" s="319"/>
      <c r="B670" s="300"/>
      <c r="C670" s="332"/>
      <c r="D670" s="300"/>
      <c r="E670" s="300"/>
      <c r="F670" s="300"/>
      <c r="G670" s="300"/>
      <c r="H670" s="300"/>
      <c r="I670" s="300"/>
      <c r="J670" s="300"/>
      <c r="K670" s="300"/>
      <c r="L670" s="300"/>
      <c r="M670" s="300"/>
      <c r="N670" s="300"/>
      <c r="O670" s="300"/>
      <c r="P670" s="300"/>
      <c r="Q670" s="300"/>
      <c r="R670" s="300"/>
      <c r="S670" s="301"/>
    </row>
    <row r="671" spans="1:19">
      <c r="A671" s="319"/>
      <c r="B671" s="300"/>
      <c r="C671" s="332"/>
      <c r="D671" s="300"/>
      <c r="E671" s="300"/>
      <c r="F671" s="300"/>
      <c r="G671" s="300"/>
      <c r="H671" s="300"/>
      <c r="I671" s="300"/>
      <c r="J671" s="300"/>
      <c r="K671" s="300"/>
      <c r="L671" s="300"/>
      <c r="M671" s="300"/>
      <c r="N671" s="300"/>
      <c r="O671" s="300"/>
      <c r="P671" s="300"/>
      <c r="Q671" s="300"/>
      <c r="R671" s="300"/>
      <c r="S671" s="301"/>
    </row>
    <row r="672" spans="1:19">
      <c r="A672" s="319"/>
      <c r="B672" s="300"/>
      <c r="C672" s="332"/>
      <c r="D672" s="300"/>
      <c r="E672" s="300"/>
      <c r="F672" s="300"/>
      <c r="G672" s="300"/>
      <c r="H672" s="300"/>
      <c r="I672" s="300"/>
      <c r="J672" s="300"/>
      <c r="K672" s="300"/>
      <c r="L672" s="300"/>
      <c r="M672" s="300"/>
      <c r="N672" s="300"/>
      <c r="O672" s="300"/>
      <c r="P672" s="300"/>
      <c r="Q672" s="300"/>
      <c r="R672" s="300"/>
      <c r="S672" s="301"/>
    </row>
    <row r="673" spans="1:19">
      <c r="A673" s="319"/>
      <c r="B673" s="300"/>
      <c r="C673" s="332"/>
      <c r="D673" s="300"/>
      <c r="E673" s="300"/>
      <c r="F673" s="300"/>
      <c r="G673" s="300"/>
      <c r="H673" s="300"/>
      <c r="I673" s="300"/>
      <c r="J673" s="300"/>
      <c r="K673" s="300"/>
      <c r="L673" s="300"/>
      <c r="M673" s="300"/>
      <c r="N673" s="300"/>
      <c r="O673" s="300"/>
      <c r="P673" s="300"/>
      <c r="Q673" s="300"/>
      <c r="R673" s="300"/>
      <c r="S673" s="301"/>
    </row>
    <row r="674" spans="1:19">
      <c r="A674" s="319"/>
      <c r="B674" s="300"/>
      <c r="C674" s="332"/>
      <c r="D674" s="300"/>
      <c r="E674" s="300"/>
      <c r="F674" s="300"/>
      <c r="G674" s="300"/>
      <c r="H674" s="300"/>
      <c r="I674" s="300"/>
      <c r="J674" s="300"/>
      <c r="K674" s="300"/>
      <c r="L674" s="300"/>
      <c r="M674" s="300"/>
      <c r="N674" s="300"/>
      <c r="O674" s="300"/>
      <c r="P674" s="300"/>
      <c r="Q674" s="300"/>
      <c r="R674" s="300"/>
      <c r="S674" s="301"/>
    </row>
    <row r="675" spans="1:19">
      <c r="A675" s="319"/>
      <c r="B675" s="300"/>
      <c r="C675" s="332"/>
      <c r="D675" s="300"/>
      <c r="E675" s="300"/>
      <c r="F675" s="300"/>
      <c r="G675" s="300"/>
      <c r="H675" s="300"/>
      <c r="I675" s="300"/>
      <c r="J675" s="300"/>
      <c r="K675" s="300"/>
      <c r="L675" s="300"/>
      <c r="M675" s="300"/>
      <c r="N675" s="300"/>
      <c r="O675" s="300"/>
      <c r="P675" s="300"/>
      <c r="Q675" s="300"/>
      <c r="R675" s="300"/>
      <c r="S675" s="301"/>
    </row>
    <row r="676" spans="1:19">
      <c r="A676" s="319"/>
      <c r="B676" s="300"/>
      <c r="C676" s="332"/>
      <c r="D676" s="300"/>
      <c r="E676" s="300"/>
      <c r="F676" s="300"/>
      <c r="G676" s="300"/>
      <c r="H676" s="300"/>
      <c r="I676" s="300"/>
      <c r="J676" s="300"/>
      <c r="K676" s="300"/>
      <c r="L676" s="300"/>
      <c r="M676" s="300"/>
      <c r="N676" s="300"/>
      <c r="O676" s="300"/>
      <c r="P676" s="300"/>
      <c r="Q676" s="300"/>
      <c r="R676" s="300"/>
      <c r="S676" s="301"/>
    </row>
    <row r="677" spans="1:19">
      <c r="A677" s="319"/>
      <c r="B677" s="300"/>
      <c r="C677" s="332"/>
      <c r="D677" s="300"/>
      <c r="E677" s="300"/>
      <c r="F677" s="300"/>
      <c r="G677" s="300"/>
      <c r="H677" s="300"/>
      <c r="I677" s="300"/>
      <c r="J677" s="300"/>
      <c r="K677" s="300"/>
      <c r="L677" s="300"/>
      <c r="M677" s="300"/>
      <c r="N677" s="300"/>
      <c r="O677" s="300"/>
      <c r="P677" s="300"/>
      <c r="Q677" s="300"/>
      <c r="R677" s="300"/>
      <c r="S677" s="301"/>
    </row>
    <row r="678" spans="1:19">
      <c r="A678" s="319"/>
      <c r="B678" s="300"/>
      <c r="C678" s="332"/>
      <c r="D678" s="300"/>
      <c r="E678" s="300"/>
      <c r="F678" s="300"/>
      <c r="G678" s="300"/>
      <c r="H678" s="300"/>
      <c r="I678" s="300"/>
      <c r="J678" s="300"/>
      <c r="K678" s="300"/>
      <c r="L678" s="300"/>
      <c r="M678" s="300"/>
      <c r="N678" s="300"/>
      <c r="O678" s="300"/>
      <c r="P678" s="300"/>
      <c r="Q678" s="300"/>
      <c r="R678" s="300"/>
      <c r="S678" s="301"/>
    </row>
    <row r="679" spans="1:19">
      <c r="A679" s="319"/>
      <c r="B679" s="300"/>
      <c r="C679" s="332"/>
      <c r="D679" s="300"/>
      <c r="E679" s="300"/>
      <c r="F679" s="300"/>
      <c r="G679" s="300"/>
      <c r="H679" s="300"/>
      <c r="I679" s="300"/>
      <c r="J679" s="300"/>
      <c r="K679" s="300"/>
      <c r="L679" s="300"/>
      <c r="M679" s="300"/>
      <c r="N679" s="300"/>
      <c r="O679" s="300"/>
      <c r="P679" s="300"/>
      <c r="Q679" s="300"/>
      <c r="R679" s="300"/>
      <c r="S679" s="301"/>
    </row>
    <row r="680" spans="1:19">
      <c r="A680" s="319"/>
      <c r="B680" s="300"/>
      <c r="C680" s="332"/>
      <c r="D680" s="300"/>
      <c r="E680" s="300"/>
      <c r="F680" s="300"/>
      <c r="G680" s="300"/>
      <c r="H680" s="300"/>
      <c r="I680" s="300"/>
      <c r="J680" s="300"/>
      <c r="K680" s="300"/>
      <c r="L680" s="300"/>
      <c r="M680" s="300"/>
      <c r="N680" s="300"/>
      <c r="O680" s="300"/>
      <c r="P680" s="300"/>
      <c r="Q680" s="300"/>
      <c r="R680" s="300"/>
      <c r="S680" s="301"/>
    </row>
    <row r="681" spans="1:19">
      <c r="A681" s="319"/>
      <c r="B681" s="300"/>
      <c r="C681" s="332"/>
      <c r="D681" s="300"/>
      <c r="E681" s="300"/>
      <c r="F681" s="300"/>
      <c r="G681" s="300"/>
      <c r="H681" s="300"/>
      <c r="I681" s="300"/>
      <c r="J681" s="300"/>
      <c r="K681" s="300"/>
      <c r="L681" s="300"/>
      <c r="M681" s="300"/>
      <c r="N681" s="300"/>
      <c r="O681" s="300"/>
      <c r="P681" s="300"/>
      <c r="Q681" s="300"/>
      <c r="R681" s="300"/>
      <c r="S681" s="301"/>
    </row>
    <row r="682" spans="1:19">
      <c r="A682" s="319"/>
      <c r="B682" s="300"/>
      <c r="C682" s="332"/>
      <c r="D682" s="300"/>
      <c r="E682" s="300"/>
      <c r="F682" s="300"/>
      <c r="G682" s="300"/>
      <c r="H682" s="300"/>
      <c r="I682" s="300"/>
      <c r="J682" s="300"/>
      <c r="K682" s="300"/>
      <c r="L682" s="300"/>
      <c r="M682" s="300"/>
      <c r="N682" s="300"/>
      <c r="O682" s="300"/>
      <c r="P682" s="300"/>
      <c r="Q682" s="300"/>
      <c r="R682" s="300"/>
      <c r="S682" s="301"/>
    </row>
    <row r="683" spans="1:19">
      <c r="A683" s="319"/>
      <c r="B683" s="300"/>
      <c r="C683" s="332"/>
      <c r="D683" s="300"/>
      <c r="E683" s="300"/>
      <c r="F683" s="300"/>
      <c r="G683" s="300"/>
      <c r="H683" s="300"/>
      <c r="I683" s="300"/>
      <c r="J683" s="300"/>
      <c r="K683" s="300"/>
      <c r="L683" s="300"/>
      <c r="M683" s="300"/>
      <c r="N683" s="300"/>
      <c r="O683" s="300"/>
      <c r="P683" s="300"/>
      <c r="Q683" s="300"/>
      <c r="R683" s="300"/>
      <c r="S683" s="301"/>
    </row>
    <row r="684" spans="1:19">
      <c r="A684" s="319"/>
      <c r="B684" s="300"/>
      <c r="C684" s="332"/>
      <c r="D684" s="300"/>
      <c r="E684" s="300"/>
      <c r="F684" s="300"/>
      <c r="G684" s="300"/>
      <c r="H684" s="300"/>
      <c r="I684" s="300"/>
      <c r="J684" s="300"/>
      <c r="K684" s="300"/>
      <c r="L684" s="300"/>
      <c r="M684" s="300"/>
      <c r="N684" s="300"/>
      <c r="O684" s="300"/>
      <c r="P684" s="300"/>
      <c r="Q684" s="300"/>
      <c r="R684" s="300"/>
      <c r="S684" s="301"/>
    </row>
    <row r="685" spans="1:19">
      <c r="A685" s="319"/>
      <c r="B685" s="300"/>
      <c r="C685" s="332"/>
      <c r="D685" s="300"/>
      <c r="E685" s="300"/>
      <c r="F685" s="300"/>
      <c r="G685" s="300"/>
      <c r="H685" s="300"/>
      <c r="I685" s="300"/>
      <c r="J685" s="300"/>
      <c r="K685" s="300"/>
      <c r="L685" s="300"/>
      <c r="M685" s="300"/>
      <c r="N685" s="300"/>
      <c r="O685" s="300"/>
      <c r="P685" s="300"/>
      <c r="Q685" s="300"/>
      <c r="R685" s="300"/>
      <c r="S685" s="301"/>
    </row>
    <row r="686" spans="1:19">
      <c r="A686" s="319"/>
      <c r="B686" s="300"/>
      <c r="C686" s="332"/>
      <c r="D686" s="300"/>
      <c r="E686" s="300"/>
      <c r="F686" s="300"/>
      <c r="G686" s="300"/>
      <c r="H686" s="300"/>
      <c r="I686" s="300"/>
      <c r="J686" s="300"/>
      <c r="K686" s="300"/>
      <c r="L686" s="300"/>
      <c r="M686" s="300"/>
      <c r="N686" s="300"/>
      <c r="O686" s="300"/>
      <c r="P686" s="300"/>
      <c r="Q686" s="300"/>
      <c r="R686" s="300"/>
      <c r="S686" s="301"/>
    </row>
    <row r="687" spans="1:19">
      <c r="A687" s="319"/>
      <c r="B687" s="300"/>
      <c r="C687" s="332"/>
      <c r="D687" s="300"/>
      <c r="E687" s="300"/>
      <c r="F687" s="300"/>
      <c r="G687" s="300"/>
      <c r="H687" s="300"/>
      <c r="I687" s="300"/>
      <c r="J687" s="300"/>
      <c r="K687" s="300"/>
      <c r="L687" s="300"/>
      <c r="M687" s="300"/>
      <c r="N687" s="300"/>
      <c r="O687" s="300"/>
      <c r="P687" s="300"/>
      <c r="Q687" s="300"/>
      <c r="R687" s="300"/>
      <c r="S687" s="301"/>
    </row>
    <row r="688" spans="1:19">
      <c r="A688" s="319"/>
      <c r="B688" s="300"/>
      <c r="C688" s="332"/>
      <c r="D688" s="300"/>
      <c r="E688" s="300"/>
      <c r="F688" s="300"/>
      <c r="G688" s="300"/>
      <c r="H688" s="300"/>
      <c r="I688" s="300"/>
      <c r="J688" s="300"/>
      <c r="K688" s="300"/>
      <c r="L688" s="300"/>
      <c r="M688" s="300"/>
      <c r="N688" s="300"/>
      <c r="O688" s="300"/>
      <c r="P688" s="300"/>
      <c r="Q688" s="300"/>
      <c r="R688" s="300"/>
      <c r="S688" s="301"/>
    </row>
    <row r="689" spans="1:19">
      <c r="A689" s="319"/>
      <c r="B689" s="300"/>
      <c r="C689" s="332"/>
      <c r="D689" s="300"/>
      <c r="E689" s="300"/>
      <c r="F689" s="300"/>
      <c r="G689" s="300"/>
      <c r="H689" s="300"/>
      <c r="I689" s="300"/>
      <c r="J689" s="300"/>
      <c r="K689" s="300"/>
      <c r="L689" s="300"/>
      <c r="M689" s="300"/>
      <c r="N689" s="300"/>
      <c r="O689" s="300"/>
      <c r="P689" s="300"/>
      <c r="Q689" s="300"/>
      <c r="R689" s="300"/>
      <c r="S689" s="301"/>
    </row>
    <row r="690" spans="1:19">
      <c r="A690" s="319"/>
      <c r="B690" s="300"/>
      <c r="C690" s="332"/>
      <c r="D690" s="300"/>
      <c r="E690" s="300"/>
      <c r="F690" s="300"/>
      <c r="G690" s="300"/>
      <c r="H690" s="300"/>
      <c r="I690" s="300"/>
      <c r="J690" s="300"/>
      <c r="K690" s="300"/>
      <c r="L690" s="300"/>
      <c r="M690" s="300"/>
      <c r="N690" s="300"/>
      <c r="O690" s="300"/>
      <c r="P690" s="300"/>
      <c r="Q690" s="300"/>
      <c r="R690" s="300"/>
      <c r="S690" s="301"/>
    </row>
    <row r="691" spans="1:19">
      <c r="A691" s="319"/>
      <c r="B691" s="300"/>
      <c r="C691" s="332"/>
      <c r="D691" s="300"/>
      <c r="E691" s="300"/>
      <c r="F691" s="300"/>
      <c r="G691" s="300"/>
      <c r="H691" s="300"/>
      <c r="I691" s="300"/>
      <c r="J691" s="300"/>
      <c r="K691" s="300"/>
      <c r="L691" s="300"/>
      <c r="M691" s="300"/>
      <c r="N691" s="300"/>
      <c r="O691" s="300"/>
      <c r="P691" s="300"/>
      <c r="Q691" s="300"/>
      <c r="R691" s="300"/>
      <c r="S691" s="301"/>
    </row>
    <row r="692" spans="1:19">
      <c r="A692" s="319"/>
      <c r="B692" s="300"/>
      <c r="C692" s="332"/>
      <c r="D692" s="300"/>
      <c r="E692" s="300"/>
      <c r="F692" s="300"/>
      <c r="G692" s="300"/>
      <c r="H692" s="300"/>
      <c r="I692" s="300"/>
      <c r="J692" s="300"/>
      <c r="K692" s="300"/>
      <c r="L692" s="300"/>
      <c r="M692" s="300"/>
      <c r="N692" s="300"/>
      <c r="O692" s="300"/>
      <c r="P692" s="300"/>
      <c r="Q692" s="300"/>
      <c r="R692" s="300"/>
      <c r="S692" s="301"/>
    </row>
    <row r="693" spans="1:19">
      <c r="A693" s="319"/>
      <c r="B693" s="300"/>
      <c r="C693" s="332"/>
      <c r="D693" s="300"/>
      <c r="E693" s="300"/>
      <c r="F693" s="300"/>
      <c r="G693" s="300"/>
      <c r="H693" s="300"/>
      <c r="I693" s="300"/>
      <c r="J693" s="300"/>
      <c r="K693" s="300"/>
      <c r="L693" s="300"/>
      <c r="M693" s="300"/>
      <c r="N693" s="300"/>
      <c r="O693" s="300"/>
      <c r="P693" s="300"/>
      <c r="Q693" s="300"/>
      <c r="R693" s="300"/>
      <c r="S693" s="301"/>
    </row>
    <row r="694" spans="1:19">
      <c r="A694" s="319"/>
      <c r="B694" s="300"/>
      <c r="C694" s="332"/>
      <c r="D694" s="300"/>
      <c r="E694" s="300"/>
      <c r="F694" s="300"/>
      <c r="G694" s="300"/>
      <c r="H694" s="300"/>
      <c r="I694" s="300"/>
      <c r="J694" s="300"/>
      <c r="K694" s="300"/>
      <c r="L694" s="300"/>
      <c r="M694" s="300"/>
      <c r="N694" s="300"/>
      <c r="O694" s="300"/>
      <c r="P694" s="300"/>
      <c r="Q694" s="300"/>
      <c r="R694" s="300"/>
      <c r="S694" s="301"/>
    </row>
    <row r="695" spans="1:19">
      <c r="A695" s="319"/>
      <c r="B695" s="300"/>
      <c r="C695" s="332"/>
      <c r="D695" s="300"/>
      <c r="E695" s="300"/>
      <c r="F695" s="300"/>
      <c r="G695" s="300"/>
      <c r="H695" s="300"/>
      <c r="I695" s="300"/>
      <c r="J695" s="300"/>
      <c r="K695" s="300"/>
      <c r="L695" s="300"/>
      <c r="M695" s="300"/>
      <c r="N695" s="300"/>
      <c r="O695" s="300"/>
      <c r="P695" s="300"/>
      <c r="Q695" s="300"/>
      <c r="R695" s="300"/>
      <c r="S695" s="301"/>
    </row>
    <row r="696" spans="1:19">
      <c r="A696" s="319"/>
      <c r="B696" s="300"/>
      <c r="C696" s="332"/>
      <c r="D696" s="300"/>
      <c r="E696" s="300"/>
      <c r="F696" s="300"/>
      <c r="G696" s="300"/>
      <c r="H696" s="300"/>
      <c r="I696" s="300"/>
      <c r="J696" s="300"/>
      <c r="K696" s="300"/>
      <c r="L696" s="300"/>
      <c r="M696" s="300"/>
      <c r="N696" s="300"/>
      <c r="O696" s="300"/>
      <c r="P696" s="300"/>
      <c r="Q696" s="300"/>
      <c r="R696" s="300"/>
      <c r="S696" s="301"/>
    </row>
    <row r="697" spans="1:19">
      <c r="A697" s="319"/>
      <c r="B697" s="300"/>
      <c r="C697" s="332"/>
      <c r="D697" s="300"/>
      <c r="E697" s="300"/>
      <c r="F697" s="300"/>
      <c r="G697" s="300"/>
      <c r="H697" s="300"/>
      <c r="I697" s="300"/>
      <c r="J697" s="300"/>
      <c r="K697" s="300"/>
      <c r="L697" s="300"/>
      <c r="M697" s="300"/>
      <c r="N697" s="300"/>
      <c r="O697" s="300"/>
      <c r="P697" s="300"/>
      <c r="Q697" s="300"/>
      <c r="R697" s="300"/>
      <c r="S697" s="301"/>
    </row>
    <row r="698" spans="1:19">
      <c r="A698" s="319"/>
      <c r="B698" s="300"/>
      <c r="C698" s="332"/>
      <c r="D698" s="300"/>
      <c r="E698" s="300"/>
      <c r="F698" s="300"/>
      <c r="G698" s="300"/>
      <c r="H698" s="300"/>
      <c r="I698" s="300"/>
      <c r="J698" s="300"/>
      <c r="K698" s="300"/>
      <c r="L698" s="300"/>
      <c r="M698" s="300"/>
      <c r="N698" s="300"/>
      <c r="O698" s="300"/>
      <c r="P698" s="300"/>
      <c r="Q698" s="300"/>
      <c r="R698" s="300"/>
      <c r="S698" s="301"/>
    </row>
    <row r="699" spans="1:19">
      <c r="A699" s="319"/>
      <c r="B699" s="300"/>
      <c r="C699" s="332"/>
      <c r="D699" s="300"/>
      <c r="E699" s="300"/>
      <c r="F699" s="300"/>
      <c r="G699" s="300"/>
      <c r="H699" s="300"/>
      <c r="I699" s="300"/>
      <c r="J699" s="300"/>
      <c r="K699" s="300"/>
      <c r="L699" s="300"/>
      <c r="M699" s="300"/>
      <c r="N699" s="300"/>
      <c r="O699" s="300"/>
      <c r="P699" s="300"/>
      <c r="Q699" s="300"/>
      <c r="R699" s="300"/>
      <c r="S699" s="301"/>
    </row>
    <row r="700" spans="1:19">
      <c r="A700" s="319"/>
      <c r="B700" s="300"/>
      <c r="C700" s="332"/>
      <c r="D700" s="300"/>
      <c r="E700" s="300"/>
      <c r="F700" s="300"/>
      <c r="G700" s="300"/>
      <c r="H700" s="300"/>
      <c r="I700" s="300"/>
      <c r="J700" s="300"/>
      <c r="K700" s="300"/>
      <c r="L700" s="300"/>
      <c r="M700" s="300"/>
      <c r="N700" s="300"/>
      <c r="O700" s="300"/>
      <c r="P700" s="300"/>
      <c r="Q700" s="300"/>
      <c r="R700" s="300"/>
      <c r="S700" s="301"/>
    </row>
    <row r="701" spans="1:19">
      <c r="A701" s="319"/>
      <c r="B701" s="300"/>
      <c r="C701" s="332"/>
      <c r="D701" s="300"/>
      <c r="E701" s="300"/>
      <c r="F701" s="300"/>
      <c r="G701" s="300"/>
      <c r="H701" s="300"/>
      <c r="I701" s="300"/>
      <c r="J701" s="300"/>
      <c r="K701" s="300"/>
      <c r="L701" s="300"/>
      <c r="M701" s="300"/>
      <c r="N701" s="300"/>
      <c r="O701" s="300"/>
      <c r="P701" s="300"/>
      <c r="Q701" s="300"/>
      <c r="R701" s="300"/>
      <c r="S701" s="301"/>
    </row>
    <row r="702" spans="1:19">
      <c r="A702" s="319"/>
      <c r="B702" s="300"/>
      <c r="C702" s="332"/>
      <c r="D702" s="300"/>
      <c r="E702" s="300"/>
      <c r="F702" s="300"/>
      <c r="G702" s="300"/>
      <c r="H702" s="300"/>
      <c r="I702" s="300"/>
      <c r="J702" s="300"/>
      <c r="K702" s="300"/>
      <c r="L702" s="300"/>
      <c r="M702" s="300"/>
      <c r="N702" s="300"/>
      <c r="O702" s="300"/>
      <c r="P702" s="300"/>
      <c r="Q702" s="300"/>
      <c r="R702" s="300"/>
      <c r="S702" s="301"/>
    </row>
    <row r="703" spans="1:19">
      <c r="A703" s="319"/>
      <c r="B703" s="300"/>
      <c r="C703" s="332"/>
      <c r="D703" s="300"/>
      <c r="E703" s="300"/>
      <c r="F703" s="300"/>
      <c r="G703" s="300"/>
      <c r="H703" s="300"/>
      <c r="I703" s="300"/>
      <c r="J703" s="300"/>
      <c r="K703" s="300"/>
      <c r="L703" s="300"/>
      <c r="M703" s="300"/>
      <c r="N703" s="300"/>
      <c r="O703" s="300"/>
      <c r="P703" s="300"/>
      <c r="Q703" s="300"/>
      <c r="R703" s="300"/>
      <c r="S703" s="301"/>
    </row>
    <row r="704" spans="1:19">
      <c r="A704" s="319"/>
      <c r="B704" s="300"/>
      <c r="C704" s="332"/>
      <c r="D704" s="300"/>
      <c r="E704" s="300"/>
      <c r="F704" s="300"/>
      <c r="G704" s="300"/>
      <c r="H704" s="300"/>
      <c r="I704" s="300"/>
      <c r="J704" s="300"/>
      <c r="K704" s="300"/>
      <c r="L704" s="300"/>
      <c r="M704" s="300"/>
      <c r="N704" s="300"/>
      <c r="O704" s="300"/>
      <c r="P704" s="300"/>
      <c r="Q704" s="300"/>
      <c r="R704" s="300"/>
      <c r="S704" s="301"/>
    </row>
    <row r="705" spans="1:19">
      <c r="A705" s="319"/>
      <c r="B705" s="300"/>
      <c r="C705" s="332"/>
      <c r="D705" s="300"/>
      <c r="E705" s="300"/>
      <c r="F705" s="300"/>
      <c r="G705" s="300"/>
      <c r="H705" s="300"/>
      <c r="I705" s="300"/>
      <c r="J705" s="300"/>
      <c r="K705" s="300"/>
      <c r="L705" s="300"/>
      <c r="M705" s="300"/>
      <c r="N705" s="300"/>
      <c r="O705" s="300"/>
      <c r="P705" s="300"/>
      <c r="Q705" s="300"/>
      <c r="R705" s="300"/>
      <c r="S705" s="301"/>
    </row>
    <row r="706" spans="1:19">
      <c r="A706" s="319"/>
      <c r="B706" s="300"/>
      <c r="C706" s="332"/>
      <c r="D706" s="300"/>
      <c r="E706" s="300"/>
      <c r="F706" s="300"/>
      <c r="G706" s="300"/>
      <c r="H706" s="300"/>
      <c r="I706" s="300"/>
      <c r="J706" s="300"/>
      <c r="K706" s="300"/>
      <c r="L706" s="300"/>
      <c r="M706" s="300"/>
      <c r="N706" s="300"/>
      <c r="O706" s="300"/>
      <c r="P706" s="300"/>
      <c r="Q706" s="300"/>
      <c r="R706" s="300"/>
      <c r="S706" s="301"/>
    </row>
    <row r="707" spans="1:19">
      <c r="A707" s="319"/>
      <c r="B707" s="300"/>
      <c r="C707" s="332"/>
      <c r="D707" s="300"/>
      <c r="E707" s="300"/>
      <c r="F707" s="300"/>
      <c r="G707" s="300"/>
      <c r="H707" s="300"/>
      <c r="I707" s="300"/>
      <c r="J707" s="300"/>
      <c r="K707" s="300"/>
      <c r="L707" s="300"/>
      <c r="M707" s="300"/>
      <c r="N707" s="300"/>
      <c r="O707" s="300"/>
      <c r="P707" s="300"/>
      <c r="Q707" s="300"/>
      <c r="R707" s="300"/>
      <c r="S707" s="301"/>
    </row>
    <row r="708" spans="1:19">
      <c r="A708" s="319"/>
      <c r="B708" s="300"/>
      <c r="C708" s="332"/>
      <c r="D708" s="300"/>
      <c r="E708" s="300"/>
      <c r="F708" s="300"/>
      <c r="G708" s="300"/>
      <c r="H708" s="300"/>
      <c r="I708" s="300"/>
      <c r="J708" s="300"/>
      <c r="K708" s="300"/>
      <c r="L708" s="300"/>
      <c r="M708" s="300"/>
      <c r="N708" s="300"/>
      <c r="O708" s="300"/>
      <c r="P708" s="300"/>
      <c r="Q708" s="300"/>
      <c r="R708" s="300"/>
      <c r="S708" s="301"/>
    </row>
    <row r="709" spans="1:19">
      <c r="A709" s="319"/>
      <c r="B709" s="300"/>
      <c r="C709" s="332"/>
      <c r="D709" s="300"/>
      <c r="E709" s="300"/>
      <c r="F709" s="300"/>
      <c r="G709" s="300"/>
      <c r="H709" s="300"/>
      <c r="I709" s="300"/>
      <c r="J709" s="300"/>
      <c r="K709" s="300"/>
      <c r="L709" s="300"/>
      <c r="M709" s="300"/>
      <c r="N709" s="300"/>
      <c r="O709" s="300"/>
      <c r="P709" s="300"/>
      <c r="Q709" s="300"/>
      <c r="R709" s="300"/>
      <c r="S709" s="301"/>
    </row>
    <row r="710" spans="1:19">
      <c r="A710" s="319"/>
      <c r="B710" s="300"/>
      <c r="C710" s="332"/>
      <c r="D710" s="300"/>
      <c r="E710" s="300"/>
      <c r="F710" s="300"/>
      <c r="G710" s="300"/>
      <c r="H710" s="300"/>
      <c r="I710" s="300"/>
      <c r="J710" s="300"/>
      <c r="K710" s="300"/>
      <c r="L710" s="300"/>
      <c r="M710" s="300"/>
      <c r="N710" s="300"/>
      <c r="O710" s="300"/>
      <c r="P710" s="300"/>
      <c r="Q710" s="300"/>
      <c r="R710" s="300"/>
      <c r="S710" s="301"/>
    </row>
    <row r="711" spans="1:19">
      <c r="A711" s="319"/>
      <c r="B711" s="300"/>
      <c r="C711" s="332"/>
      <c r="D711" s="300"/>
      <c r="E711" s="300"/>
      <c r="F711" s="300"/>
      <c r="G711" s="300"/>
      <c r="H711" s="300"/>
      <c r="I711" s="300"/>
      <c r="J711" s="300"/>
      <c r="K711" s="300"/>
      <c r="L711" s="300"/>
      <c r="M711" s="300"/>
      <c r="N711" s="300"/>
      <c r="O711" s="300"/>
      <c r="P711" s="300"/>
      <c r="Q711" s="300"/>
      <c r="R711" s="300"/>
      <c r="S711" s="301"/>
    </row>
    <row r="712" spans="1:19">
      <c r="A712" s="319"/>
      <c r="B712" s="300"/>
      <c r="C712" s="332"/>
      <c r="D712" s="300"/>
      <c r="E712" s="300"/>
      <c r="F712" s="300"/>
      <c r="G712" s="300"/>
      <c r="H712" s="300"/>
      <c r="I712" s="300"/>
      <c r="J712" s="300"/>
      <c r="K712" s="300"/>
      <c r="L712" s="300"/>
      <c r="M712" s="300"/>
      <c r="N712" s="300"/>
      <c r="O712" s="300"/>
      <c r="P712" s="300"/>
      <c r="Q712" s="300"/>
      <c r="R712" s="300"/>
      <c r="S712" s="301"/>
    </row>
    <row r="713" spans="1:19">
      <c r="A713" s="319"/>
      <c r="B713" s="300"/>
      <c r="C713" s="332"/>
      <c r="D713" s="300"/>
      <c r="E713" s="300"/>
      <c r="F713" s="300"/>
      <c r="G713" s="300"/>
      <c r="H713" s="300"/>
      <c r="I713" s="300"/>
      <c r="J713" s="300"/>
      <c r="K713" s="300"/>
      <c r="L713" s="300"/>
      <c r="M713" s="300"/>
      <c r="N713" s="300"/>
      <c r="O713" s="300"/>
      <c r="P713" s="300"/>
      <c r="Q713" s="300"/>
      <c r="R713" s="300"/>
      <c r="S713" s="301"/>
    </row>
    <row r="714" spans="1:19">
      <c r="A714" s="319"/>
      <c r="B714" s="300"/>
      <c r="C714" s="332"/>
      <c r="D714" s="300"/>
      <c r="E714" s="300"/>
      <c r="F714" s="300"/>
      <c r="G714" s="300"/>
      <c r="H714" s="300"/>
      <c r="I714" s="300"/>
      <c r="J714" s="300"/>
      <c r="K714" s="300"/>
      <c r="L714" s="300"/>
      <c r="M714" s="300"/>
      <c r="N714" s="300"/>
      <c r="O714" s="300"/>
      <c r="P714" s="300"/>
      <c r="Q714" s="300"/>
      <c r="R714" s="300"/>
      <c r="S714" s="301"/>
    </row>
    <row r="715" spans="1:19">
      <c r="A715" s="319"/>
      <c r="B715" s="300"/>
      <c r="C715" s="332"/>
      <c r="D715" s="300"/>
      <c r="E715" s="300"/>
      <c r="F715" s="300"/>
      <c r="G715" s="300"/>
      <c r="H715" s="300"/>
      <c r="I715" s="300"/>
      <c r="J715" s="300"/>
      <c r="K715" s="300"/>
      <c r="L715" s="300"/>
      <c r="M715" s="300"/>
      <c r="N715" s="300"/>
      <c r="O715" s="300"/>
      <c r="P715" s="300"/>
      <c r="Q715" s="300"/>
      <c r="R715" s="300"/>
      <c r="S715" s="301"/>
    </row>
    <row r="716" spans="1:19">
      <c r="A716" s="319"/>
      <c r="B716" s="300"/>
      <c r="C716" s="332"/>
      <c r="D716" s="300"/>
      <c r="E716" s="300"/>
      <c r="F716" s="300"/>
      <c r="G716" s="300"/>
      <c r="H716" s="300"/>
      <c r="I716" s="300"/>
      <c r="J716" s="300"/>
      <c r="K716" s="300"/>
      <c r="L716" s="300"/>
      <c r="M716" s="300"/>
      <c r="N716" s="300"/>
      <c r="O716" s="300"/>
      <c r="P716" s="300"/>
      <c r="Q716" s="300"/>
      <c r="R716" s="300"/>
      <c r="S716" s="301"/>
    </row>
    <row r="717" spans="1:19">
      <c r="A717" s="319"/>
      <c r="B717" s="300"/>
      <c r="C717" s="332"/>
      <c r="D717" s="300"/>
      <c r="E717" s="300"/>
      <c r="F717" s="300"/>
      <c r="G717" s="300"/>
      <c r="H717" s="300"/>
      <c r="I717" s="300"/>
      <c r="J717" s="300"/>
      <c r="K717" s="300"/>
      <c r="L717" s="300"/>
      <c r="M717" s="300"/>
      <c r="N717" s="300"/>
      <c r="O717" s="300"/>
      <c r="P717" s="300"/>
      <c r="Q717" s="300"/>
      <c r="R717" s="300"/>
      <c r="S717" s="301"/>
    </row>
    <row r="718" spans="1:19">
      <c r="A718" s="319"/>
      <c r="B718" s="300"/>
      <c r="C718" s="332"/>
      <c r="D718" s="300"/>
      <c r="E718" s="300"/>
      <c r="F718" s="300"/>
      <c r="G718" s="300"/>
      <c r="H718" s="300"/>
      <c r="I718" s="300"/>
      <c r="J718" s="300"/>
      <c r="K718" s="300"/>
      <c r="L718" s="300"/>
      <c r="M718" s="300"/>
      <c r="N718" s="300"/>
      <c r="O718" s="300"/>
      <c r="P718" s="300"/>
      <c r="Q718" s="300"/>
      <c r="R718" s="300"/>
      <c r="S718" s="301"/>
    </row>
    <row r="719" spans="1:19">
      <c r="A719" s="319"/>
      <c r="B719" s="300"/>
      <c r="C719" s="332"/>
      <c r="D719" s="300"/>
      <c r="E719" s="300"/>
      <c r="F719" s="300"/>
      <c r="G719" s="300"/>
      <c r="H719" s="300"/>
      <c r="I719" s="300"/>
      <c r="J719" s="300"/>
      <c r="K719" s="300"/>
      <c r="L719" s="300"/>
      <c r="M719" s="300"/>
      <c r="N719" s="300"/>
      <c r="O719" s="300"/>
      <c r="P719" s="300"/>
      <c r="Q719" s="300"/>
      <c r="R719" s="300"/>
      <c r="S719" s="301"/>
    </row>
    <row r="720" spans="1:19">
      <c r="A720" s="319"/>
      <c r="B720" s="300"/>
      <c r="C720" s="332"/>
      <c r="D720" s="300"/>
      <c r="E720" s="300"/>
      <c r="F720" s="300"/>
      <c r="G720" s="300"/>
      <c r="H720" s="300"/>
      <c r="I720" s="300"/>
      <c r="J720" s="300"/>
      <c r="K720" s="300"/>
      <c r="L720" s="300"/>
      <c r="M720" s="300"/>
      <c r="N720" s="300"/>
      <c r="O720" s="300"/>
      <c r="P720" s="300"/>
      <c r="Q720" s="300"/>
      <c r="R720" s="300"/>
      <c r="S720" s="301"/>
    </row>
    <row r="721" spans="1:19">
      <c r="A721" s="319"/>
      <c r="B721" s="300"/>
      <c r="C721" s="332"/>
      <c r="D721" s="300"/>
      <c r="E721" s="300"/>
      <c r="F721" s="300"/>
      <c r="G721" s="300"/>
      <c r="H721" s="300"/>
      <c r="I721" s="300"/>
      <c r="J721" s="300"/>
      <c r="K721" s="300"/>
      <c r="L721" s="300"/>
      <c r="M721" s="300"/>
      <c r="N721" s="300"/>
      <c r="O721" s="300"/>
      <c r="P721" s="300"/>
      <c r="Q721" s="300"/>
      <c r="R721" s="300"/>
      <c r="S721" s="301"/>
    </row>
    <row r="722" spans="1:19">
      <c r="A722" s="319"/>
      <c r="B722" s="300"/>
      <c r="C722" s="332"/>
      <c r="D722" s="300"/>
      <c r="E722" s="300"/>
      <c r="F722" s="300"/>
      <c r="G722" s="300"/>
      <c r="H722" s="300"/>
      <c r="I722" s="300"/>
      <c r="J722" s="300"/>
      <c r="K722" s="300"/>
      <c r="L722" s="300"/>
      <c r="M722" s="300"/>
      <c r="N722" s="300"/>
      <c r="O722" s="300"/>
      <c r="P722" s="300"/>
      <c r="Q722" s="300"/>
      <c r="R722" s="300"/>
      <c r="S722" s="301"/>
    </row>
    <row r="723" spans="1:19">
      <c r="A723" s="319"/>
      <c r="B723" s="300"/>
      <c r="C723" s="332"/>
      <c r="D723" s="300"/>
      <c r="E723" s="300"/>
      <c r="F723" s="300"/>
      <c r="G723" s="300"/>
      <c r="H723" s="300"/>
      <c r="I723" s="300"/>
      <c r="J723" s="300"/>
      <c r="K723" s="300"/>
      <c r="L723" s="300"/>
      <c r="M723" s="300"/>
      <c r="N723" s="300"/>
      <c r="O723" s="300"/>
      <c r="P723" s="300"/>
      <c r="Q723" s="300"/>
      <c r="R723" s="300"/>
      <c r="S723" s="301"/>
    </row>
    <row r="724" spans="1:19">
      <c r="A724" s="319"/>
      <c r="B724" s="300"/>
      <c r="C724" s="332"/>
      <c r="D724" s="300"/>
      <c r="E724" s="300"/>
      <c r="F724" s="300"/>
      <c r="G724" s="300"/>
      <c r="H724" s="300"/>
      <c r="I724" s="300"/>
      <c r="J724" s="300"/>
      <c r="K724" s="300"/>
      <c r="L724" s="300"/>
      <c r="M724" s="300"/>
      <c r="N724" s="300"/>
      <c r="O724" s="300"/>
      <c r="P724" s="300"/>
      <c r="Q724" s="300"/>
      <c r="R724" s="300"/>
      <c r="S724" s="301"/>
    </row>
    <row r="725" spans="1:19">
      <c r="A725" s="319"/>
      <c r="B725" s="300"/>
      <c r="C725" s="332"/>
      <c r="D725" s="300"/>
      <c r="E725" s="300"/>
      <c r="F725" s="300"/>
      <c r="G725" s="300"/>
      <c r="H725" s="300"/>
      <c r="I725" s="300"/>
      <c r="J725" s="300"/>
      <c r="K725" s="300"/>
      <c r="L725" s="300"/>
      <c r="M725" s="300"/>
      <c r="N725" s="300"/>
      <c r="O725" s="300"/>
      <c r="P725" s="300"/>
      <c r="Q725" s="300"/>
      <c r="R725" s="300"/>
      <c r="S725" s="301"/>
    </row>
    <row r="726" spans="1:19">
      <c r="A726" s="319"/>
      <c r="B726" s="300"/>
      <c r="C726" s="332"/>
      <c r="D726" s="300"/>
      <c r="E726" s="300"/>
      <c r="F726" s="300"/>
      <c r="G726" s="300"/>
      <c r="H726" s="300"/>
      <c r="I726" s="300"/>
      <c r="J726" s="300"/>
      <c r="K726" s="300"/>
      <c r="L726" s="300"/>
      <c r="M726" s="300"/>
      <c r="N726" s="300"/>
      <c r="O726" s="300"/>
      <c r="P726" s="300"/>
      <c r="Q726" s="300"/>
      <c r="R726" s="300"/>
      <c r="S726" s="301"/>
    </row>
    <row r="727" spans="1:19">
      <c r="A727" s="319"/>
      <c r="B727" s="300"/>
      <c r="C727" s="332"/>
      <c r="D727" s="300"/>
      <c r="E727" s="300"/>
      <c r="F727" s="300"/>
      <c r="G727" s="300"/>
      <c r="H727" s="300"/>
      <c r="I727" s="300"/>
      <c r="J727" s="300"/>
      <c r="K727" s="300"/>
      <c r="L727" s="300"/>
      <c r="M727" s="300"/>
      <c r="N727" s="300"/>
      <c r="O727" s="300"/>
      <c r="P727" s="300"/>
      <c r="Q727" s="300"/>
      <c r="R727" s="300"/>
      <c r="S727" s="301"/>
    </row>
    <row r="728" spans="1:19">
      <c r="A728" s="319"/>
      <c r="B728" s="300"/>
      <c r="C728" s="332"/>
      <c r="D728" s="300"/>
      <c r="E728" s="300"/>
      <c r="F728" s="300"/>
      <c r="G728" s="300"/>
      <c r="H728" s="300"/>
      <c r="I728" s="300"/>
      <c r="J728" s="300"/>
      <c r="K728" s="300"/>
      <c r="L728" s="300"/>
      <c r="M728" s="300"/>
      <c r="N728" s="300"/>
      <c r="O728" s="300"/>
      <c r="P728" s="300"/>
      <c r="Q728" s="300"/>
      <c r="R728" s="300"/>
      <c r="S728" s="301"/>
    </row>
    <row r="729" spans="1:19">
      <c r="A729" s="319"/>
      <c r="B729" s="300"/>
      <c r="C729" s="332"/>
      <c r="D729" s="300"/>
      <c r="E729" s="300"/>
      <c r="F729" s="300"/>
      <c r="G729" s="300"/>
      <c r="H729" s="300"/>
      <c r="I729" s="300"/>
      <c r="J729" s="300"/>
      <c r="K729" s="300"/>
      <c r="L729" s="300"/>
      <c r="M729" s="300"/>
      <c r="N729" s="300"/>
      <c r="O729" s="300"/>
      <c r="P729" s="300"/>
      <c r="Q729" s="300"/>
      <c r="R729" s="300"/>
      <c r="S729" s="301"/>
    </row>
    <row r="730" spans="1:19">
      <c r="A730" s="319"/>
      <c r="B730" s="300"/>
      <c r="C730" s="332"/>
      <c r="D730" s="300"/>
      <c r="E730" s="300"/>
      <c r="F730" s="300"/>
      <c r="G730" s="300"/>
      <c r="H730" s="300"/>
      <c r="I730" s="300"/>
      <c r="J730" s="300"/>
      <c r="K730" s="300"/>
      <c r="L730" s="300"/>
      <c r="M730" s="300"/>
      <c r="N730" s="300"/>
      <c r="O730" s="300"/>
      <c r="P730" s="300"/>
      <c r="Q730" s="300"/>
      <c r="R730" s="300"/>
      <c r="S730" s="301"/>
    </row>
    <row r="731" spans="1:19">
      <c r="A731" s="319"/>
      <c r="B731" s="300"/>
      <c r="C731" s="332"/>
      <c r="D731" s="300"/>
      <c r="E731" s="300"/>
      <c r="F731" s="300"/>
      <c r="G731" s="300"/>
      <c r="H731" s="300"/>
      <c r="I731" s="300"/>
      <c r="J731" s="300"/>
      <c r="K731" s="300"/>
      <c r="L731" s="300"/>
      <c r="M731" s="300"/>
      <c r="N731" s="300"/>
      <c r="O731" s="300"/>
      <c r="P731" s="300"/>
      <c r="Q731" s="300"/>
      <c r="R731" s="300"/>
      <c r="S731" s="301"/>
    </row>
    <row r="732" spans="1:19">
      <c r="A732" s="319"/>
      <c r="B732" s="300"/>
      <c r="C732" s="332"/>
      <c r="D732" s="300"/>
      <c r="E732" s="300"/>
      <c r="F732" s="300"/>
      <c r="G732" s="300"/>
      <c r="H732" s="300"/>
      <c r="I732" s="300"/>
      <c r="J732" s="300"/>
      <c r="K732" s="300"/>
      <c r="L732" s="300"/>
      <c r="M732" s="300"/>
      <c r="N732" s="300"/>
      <c r="O732" s="300"/>
      <c r="P732" s="300"/>
      <c r="Q732" s="300"/>
      <c r="R732" s="300"/>
      <c r="S732" s="301"/>
    </row>
    <row r="733" spans="1:19">
      <c r="A733" s="319"/>
      <c r="B733" s="300"/>
      <c r="C733" s="332"/>
      <c r="D733" s="300"/>
      <c r="E733" s="300"/>
      <c r="F733" s="300"/>
      <c r="G733" s="300"/>
      <c r="H733" s="300"/>
      <c r="I733" s="300"/>
      <c r="J733" s="300"/>
      <c r="K733" s="300"/>
      <c r="L733" s="300"/>
      <c r="M733" s="300"/>
      <c r="N733" s="300"/>
      <c r="O733" s="300"/>
      <c r="P733" s="300"/>
      <c r="Q733" s="300"/>
      <c r="R733" s="300"/>
      <c r="S733" s="301"/>
    </row>
    <row r="734" spans="1:19">
      <c r="A734" s="319"/>
      <c r="B734" s="300"/>
      <c r="C734" s="332"/>
      <c r="D734" s="300"/>
      <c r="E734" s="300"/>
      <c r="F734" s="300"/>
      <c r="G734" s="300"/>
      <c r="H734" s="300"/>
      <c r="I734" s="300"/>
      <c r="J734" s="300"/>
      <c r="K734" s="300"/>
      <c r="L734" s="300"/>
      <c r="M734" s="300"/>
      <c r="N734" s="300"/>
      <c r="O734" s="300"/>
      <c r="P734" s="300"/>
      <c r="Q734" s="300"/>
      <c r="R734" s="300"/>
      <c r="S734" s="301"/>
    </row>
    <row r="735" spans="1:19">
      <c r="A735" s="319"/>
      <c r="B735" s="300"/>
      <c r="C735" s="332"/>
      <c r="D735" s="300"/>
      <c r="E735" s="300"/>
      <c r="F735" s="300"/>
      <c r="G735" s="300"/>
      <c r="H735" s="300"/>
      <c r="I735" s="300"/>
      <c r="J735" s="300"/>
      <c r="K735" s="300"/>
      <c r="L735" s="300"/>
      <c r="M735" s="300"/>
      <c r="N735" s="300"/>
      <c r="O735" s="300"/>
      <c r="P735" s="300"/>
      <c r="Q735" s="300"/>
      <c r="R735" s="300"/>
      <c r="S735" s="301"/>
    </row>
    <row r="736" spans="1:19">
      <c r="A736" s="319"/>
      <c r="B736" s="300"/>
      <c r="C736" s="332"/>
      <c r="D736" s="300"/>
      <c r="E736" s="300"/>
      <c r="F736" s="300"/>
      <c r="G736" s="300"/>
      <c r="H736" s="300"/>
      <c r="I736" s="300"/>
      <c r="J736" s="300"/>
      <c r="K736" s="300"/>
      <c r="L736" s="300"/>
      <c r="M736" s="300"/>
      <c r="N736" s="300"/>
      <c r="O736" s="300"/>
      <c r="P736" s="300"/>
      <c r="Q736" s="300"/>
      <c r="R736" s="300"/>
      <c r="S736" s="301"/>
    </row>
    <row r="737" spans="1:19">
      <c r="A737" s="319"/>
      <c r="B737" s="300"/>
      <c r="C737" s="332"/>
      <c r="D737" s="300"/>
      <c r="E737" s="300"/>
      <c r="F737" s="300"/>
      <c r="G737" s="300"/>
      <c r="H737" s="300"/>
      <c r="I737" s="300"/>
      <c r="J737" s="300"/>
      <c r="K737" s="300"/>
      <c r="L737" s="300"/>
      <c r="M737" s="300"/>
      <c r="N737" s="300"/>
      <c r="O737" s="300"/>
      <c r="P737" s="300"/>
      <c r="Q737" s="300"/>
      <c r="R737" s="300"/>
      <c r="S737" s="301"/>
    </row>
    <row r="738" spans="1:19">
      <c r="A738" s="319"/>
      <c r="B738" s="300"/>
      <c r="C738" s="332"/>
      <c r="D738" s="300"/>
      <c r="E738" s="300"/>
      <c r="F738" s="300"/>
      <c r="G738" s="300"/>
      <c r="H738" s="300"/>
      <c r="I738" s="300"/>
      <c r="J738" s="300"/>
      <c r="K738" s="300"/>
      <c r="L738" s="300"/>
      <c r="M738" s="300"/>
      <c r="N738" s="300"/>
      <c r="O738" s="300"/>
      <c r="P738" s="300"/>
      <c r="Q738" s="300"/>
      <c r="R738" s="300"/>
      <c r="S738" s="301"/>
    </row>
    <row r="739" spans="1:19">
      <c r="A739" s="319"/>
      <c r="B739" s="300"/>
      <c r="C739" s="332"/>
      <c r="D739" s="300"/>
      <c r="E739" s="300"/>
      <c r="F739" s="300"/>
      <c r="G739" s="300"/>
      <c r="H739" s="300"/>
      <c r="I739" s="300"/>
      <c r="J739" s="300"/>
      <c r="K739" s="300"/>
      <c r="L739" s="300"/>
      <c r="M739" s="300"/>
      <c r="N739" s="300"/>
      <c r="O739" s="300"/>
      <c r="P739" s="300"/>
      <c r="Q739" s="300"/>
      <c r="R739" s="300"/>
      <c r="S739" s="301"/>
    </row>
    <row r="740" spans="1:19">
      <c r="A740" s="319"/>
      <c r="B740" s="300"/>
      <c r="C740" s="332"/>
      <c r="D740" s="300"/>
      <c r="E740" s="300"/>
      <c r="F740" s="300"/>
      <c r="G740" s="300"/>
      <c r="H740" s="300"/>
      <c r="I740" s="300"/>
      <c r="J740" s="300"/>
      <c r="K740" s="300"/>
      <c r="L740" s="300"/>
      <c r="M740" s="300"/>
      <c r="N740" s="300"/>
      <c r="O740" s="300"/>
      <c r="P740" s="300"/>
      <c r="Q740" s="300"/>
      <c r="R740" s="300"/>
      <c r="S740" s="301"/>
    </row>
    <row r="741" spans="1:19">
      <c r="A741" s="319"/>
      <c r="B741" s="300"/>
      <c r="C741" s="332"/>
      <c r="D741" s="300"/>
      <c r="E741" s="300"/>
      <c r="F741" s="300"/>
      <c r="G741" s="300"/>
      <c r="H741" s="300"/>
      <c r="I741" s="300"/>
      <c r="J741" s="300"/>
      <c r="K741" s="300"/>
      <c r="L741" s="300"/>
      <c r="M741" s="300"/>
      <c r="N741" s="300"/>
      <c r="O741" s="300"/>
      <c r="P741" s="300"/>
      <c r="Q741" s="300"/>
      <c r="R741" s="300"/>
      <c r="S741" s="301"/>
    </row>
    <row r="742" spans="1:19">
      <c r="A742" s="319"/>
      <c r="B742" s="300"/>
      <c r="C742" s="332"/>
      <c r="D742" s="300"/>
      <c r="E742" s="300"/>
      <c r="F742" s="300"/>
      <c r="G742" s="300"/>
      <c r="H742" s="300"/>
      <c r="I742" s="300"/>
      <c r="J742" s="300"/>
      <c r="K742" s="300"/>
      <c r="L742" s="300"/>
      <c r="M742" s="300"/>
      <c r="N742" s="300"/>
      <c r="O742" s="300"/>
      <c r="P742" s="300"/>
      <c r="Q742" s="300"/>
      <c r="R742" s="300"/>
      <c r="S742" s="301"/>
    </row>
    <row r="743" spans="1:19">
      <c r="A743" s="319"/>
      <c r="B743" s="300"/>
      <c r="C743" s="332"/>
      <c r="D743" s="300"/>
      <c r="E743" s="300"/>
      <c r="F743" s="300"/>
      <c r="G743" s="300"/>
      <c r="H743" s="300"/>
      <c r="I743" s="300"/>
      <c r="J743" s="300"/>
      <c r="K743" s="300"/>
      <c r="L743" s="300"/>
      <c r="M743" s="300"/>
      <c r="N743" s="300"/>
      <c r="O743" s="300"/>
      <c r="P743" s="300"/>
      <c r="Q743" s="300"/>
      <c r="R743" s="300"/>
      <c r="S743" s="301"/>
    </row>
    <row r="744" spans="1:19">
      <c r="A744" s="319"/>
      <c r="B744" s="300"/>
      <c r="C744" s="332"/>
      <c r="D744" s="300"/>
      <c r="E744" s="300"/>
      <c r="F744" s="300"/>
      <c r="G744" s="300"/>
      <c r="H744" s="300"/>
      <c r="I744" s="300"/>
      <c r="J744" s="300"/>
      <c r="K744" s="300"/>
      <c r="L744" s="300"/>
      <c r="M744" s="300"/>
      <c r="N744" s="300"/>
      <c r="O744" s="300"/>
      <c r="P744" s="300"/>
      <c r="Q744" s="300"/>
      <c r="R744" s="300"/>
      <c r="S744" s="301"/>
    </row>
    <row r="745" spans="1:19">
      <c r="A745" s="319"/>
      <c r="B745" s="300"/>
      <c r="C745" s="332"/>
      <c r="D745" s="300"/>
      <c r="E745" s="300"/>
      <c r="F745" s="300"/>
      <c r="G745" s="300"/>
      <c r="H745" s="300"/>
      <c r="I745" s="300"/>
      <c r="J745" s="300"/>
      <c r="K745" s="300"/>
      <c r="L745" s="300"/>
      <c r="M745" s="300"/>
      <c r="N745" s="300"/>
      <c r="O745" s="300"/>
      <c r="P745" s="300"/>
      <c r="Q745" s="300"/>
      <c r="R745" s="300"/>
      <c r="S745" s="301"/>
    </row>
    <row r="746" spans="1:19">
      <c r="A746" s="319"/>
      <c r="B746" s="300"/>
      <c r="C746" s="332"/>
      <c r="D746" s="300"/>
      <c r="E746" s="300"/>
      <c r="F746" s="300"/>
      <c r="G746" s="300"/>
      <c r="H746" s="300"/>
      <c r="I746" s="300"/>
      <c r="J746" s="300"/>
      <c r="K746" s="300"/>
      <c r="L746" s="300"/>
      <c r="M746" s="300"/>
      <c r="N746" s="300"/>
      <c r="O746" s="300"/>
      <c r="P746" s="300"/>
      <c r="Q746" s="300"/>
      <c r="R746" s="300"/>
      <c r="S746" s="301"/>
    </row>
    <row r="747" spans="1:19">
      <c r="A747" s="319"/>
      <c r="B747" s="300"/>
      <c r="C747" s="332"/>
      <c r="D747" s="300"/>
      <c r="E747" s="300"/>
      <c r="F747" s="300"/>
      <c r="G747" s="300"/>
      <c r="H747" s="300"/>
      <c r="I747" s="300"/>
      <c r="J747" s="300"/>
      <c r="K747" s="300"/>
      <c r="L747" s="300"/>
      <c r="M747" s="300"/>
      <c r="N747" s="300"/>
      <c r="O747" s="300"/>
      <c r="P747" s="300"/>
      <c r="Q747" s="300"/>
      <c r="R747" s="300"/>
      <c r="S747" s="301"/>
    </row>
    <row r="748" spans="1:19">
      <c r="A748" s="319"/>
      <c r="B748" s="300"/>
      <c r="C748" s="332"/>
      <c r="D748" s="300"/>
      <c r="E748" s="300"/>
      <c r="F748" s="300"/>
      <c r="G748" s="300"/>
      <c r="H748" s="300"/>
      <c r="I748" s="300"/>
      <c r="J748" s="300"/>
      <c r="K748" s="300"/>
      <c r="L748" s="300"/>
      <c r="M748" s="300"/>
      <c r="N748" s="300"/>
      <c r="O748" s="300"/>
      <c r="P748" s="300"/>
      <c r="Q748" s="300"/>
      <c r="R748" s="300"/>
      <c r="S748" s="301"/>
    </row>
    <row r="749" spans="1:19">
      <c r="A749" s="319"/>
      <c r="B749" s="300"/>
      <c r="C749" s="332"/>
      <c r="D749" s="300"/>
      <c r="E749" s="300"/>
      <c r="F749" s="300"/>
      <c r="G749" s="300"/>
      <c r="H749" s="300"/>
      <c r="I749" s="300"/>
      <c r="J749" s="300"/>
      <c r="K749" s="300"/>
      <c r="L749" s="300"/>
      <c r="M749" s="300"/>
      <c r="N749" s="300"/>
      <c r="O749" s="300"/>
      <c r="P749" s="300"/>
      <c r="Q749" s="300"/>
      <c r="R749" s="300"/>
      <c r="S749" s="301"/>
    </row>
    <row r="750" spans="1:19">
      <c r="A750" s="319"/>
      <c r="B750" s="300"/>
      <c r="C750" s="332"/>
      <c r="D750" s="300"/>
      <c r="E750" s="300"/>
      <c r="F750" s="300"/>
      <c r="G750" s="300"/>
      <c r="H750" s="300"/>
      <c r="I750" s="300"/>
      <c r="J750" s="300"/>
      <c r="K750" s="300"/>
      <c r="L750" s="300"/>
      <c r="M750" s="300"/>
      <c r="N750" s="300"/>
      <c r="O750" s="300"/>
      <c r="P750" s="300"/>
      <c r="Q750" s="300"/>
      <c r="R750" s="300"/>
      <c r="S750" s="301"/>
    </row>
    <row r="751" spans="1:19">
      <c r="A751" s="319"/>
      <c r="B751" s="300"/>
      <c r="C751" s="332"/>
      <c r="D751" s="300"/>
      <c r="E751" s="300"/>
      <c r="F751" s="300"/>
      <c r="G751" s="300"/>
      <c r="H751" s="300"/>
      <c r="I751" s="300"/>
      <c r="J751" s="300"/>
      <c r="K751" s="300"/>
      <c r="L751" s="300"/>
      <c r="M751" s="300"/>
      <c r="N751" s="300"/>
      <c r="O751" s="300"/>
      <c r="P751" s="300"/>
      <c r="Q751" s="300"/>
      <c r="R751" s="300"/>
      <c r="S751" s="301"/>
    </row>
    <row r="752" spans="1:19">
      <c r="A752" s="319"/>
      <c r="B752" s="300"/>
      <c r="C752" s="332"/>
      <c r="D752" s="300"/>
      <c r="E752" s="300"/>
      <c r="F752" s="300"/>
      <c r="G752" s="300"/>
      <c r="H752" s="300"/>
      <c r="I752" s="300"/>
      <c r="J752" s="300"/>
      <c r="K752" s="300"/>
      <c r="L752" s="300"/>
      <c r="M752" s="300"/>
      <c r="N752" s="300"/>
      <c r="O752" s="300"/>
      <c r="P752" s="300"/>
      <c r="Q752" s="300"/>
      <c r="R752" s="300"/>
      <c r="S752" s="301"/>
    </row>
    <row r="753" spans="1:19">
      <c r="A753" s="319"/>
      <c r="B753" s="300"/>
      <c r="C753" s="332"/>
      <c r="D753" s="300"/>
      <c r="E753" s="300"/>
      <c r="F753" s="300"/>
      <c r="G753" s="300"/>
      <c r="H753" s="300"/>
      <c r="I753" s="300"/>
      <c r="J753" s="300"/>
      <c r="K753" s="300"/>
      <c r="L753" s="300"/>
      <c r="M753" s="300"/>
      <c r="N753" s="300"/>
      <c r="O753" s="300"/>
      <c r="P753" s="300"/>
      <c r="Q753" s="300"/>
      <c r="R753" s="300"/>
      <c r="S753" s="301"/>
    </row>
    <row r="754" spans="1:19">
      <c r="A754" s="319"/>
      <c r="B754" s="300"/>
      <c r="C754" s="332"/>
      <c r="D754" s="300"/>
      <c r="E754" s="300"/>
      <c r="F754" s="300"/>
      <c r="G754" s="300"/>
      <c r="H754" s="300"/>
      <c r="I754" s="300"/>
      <c r="J754" s="300"/>
      <c r="K754" s="300"/>
      <c r="L754" s="300"/>
      <c r="M754" s="300"/>
      <c r="N754" s="300"/>
      <c r="O754" s="300"/>
      <c r="P754" s="300"/>
      <c r="Q754" s="300"/>
      <c r="R754" s="300"/>
      <c r="S754" s="301"/>
    </row>
    <row r="755" spans="1:19">
      <c r="A755" s="319"/>
      <c r="B755" s="300"/>
      <c r="C755" s="332"/>
      <c r="D755" s="300"/>
      <c r="E755" s="300"/>
      <c r="F755" s="300"/>
      <c r="G755" s="300"/>
      <c r="H755" s="300"/>
      <c r="I755" s="300"/>
      <c r="J755" s="300"/>
      <c r="K755" s="300"/>
      <c r="L755" s="300"/>
      <c r="M755" s="300"/>
      <c r="N755" s="300"/>
      <c r="O755" s="300"/>
      <c r="P755" s="300"/>
      <c r="Q755" s="300"/>
      <c r="R755" s="300"/>
      <c r="S755" s="301"/>
    </row>
    <row r="756" spans="1:19">
      <c r="A756" s="319"/>
      <c r="B756" s="300"/>
      <c r="C756" s="332"/>
      <c r="D756" s="300"/>
      <c r="E756" s="300"/>
      <c r="F756" s="300"/>
      <c r="G756" s="300"/>
      <c r="H756" s="300"/>
      <c r="I756" s="300"/>
      <c r="J756" s="300"/>
      <c r="K756" s="300"/>
      <c r="L756" s="300"/>
      <c r="M756" s="300"/>
      <c r="N756" s="300"/>
      <c r="O756" s="300"/>
      <c r="P756" s="300"/>
      <c r="Q756" s="300"/>
      <c r="R756" s="300"/>
      <c r="S756" s="301"/>
    </row>
    <row r="757" spans="1:19">
      <c r="A757" s="319"/>
      <c r="B757" s="300"/>
      <c r="C757" s="332"/>
      <c r="D757" s="300"/>
      <c r="E757" s="300"/>
      <c r="F757" s="300"/>
      <c r="G757" s="300"/>
      <c r="H757" s="300"/>
      <c r="I757" s="300"/>
      <c r="J757" s="300"/>
      <c r="K757" s="300"/>
      <c r="L757" s="300"/>
      <c r="M757" s="300"/>
      <c r="N757" s="300"/>
      <c r="O757" s="300"/>
      <c r="P757" s="300"/>
      <c r="Q757" s="300"/>
      <c r="R757" s="300"/>
      <c r="S757" s="301"/>
    </row>
    <row r="758" spans="1:19">
      <c r="A758" s="319"/>
      <c r="B758" s="300"/>
      <c r="C758" s="332"/>
      <c r="D758" s="300"/>
      <c r="E758" s="300"/>
      <c r="F758" s="300"/>
      <c r="G758" s="300"/>
      <c r="H758" s="300"/>
      <c r="I758" s="300"/>
      <c r="J758" s="300"/>
      <c r="K758" s="300"/>
      <c r="L758" s="300"/>
      <c r="M758" s="300"/>
      <c r="N758" s="300"/>
      <c r="O758" s="300"/>
      <c r="P758" s="300"/>
      <c r="Q758" s="300"/>
      <c r="R758" s="300"/>
      <c r="S758" s="301"/>
    </row>
    <row r="759" spans="1:19">
      <c r="A759" s="319"/>
      <c r="B759" s="300"/>
      <c r="C759" s="332"/>
      <c r="D759" s="300"/>
      <c r="E759" s="300"/>
      <c r="F759" s="300"/>
      <c r="G759" s="300"/>
      <c r="H759" s="300"/>
      <c r="I759" s="300"/>
      <c r="J759" s="300"/>
      <c r="K759" s="300"/>
      <c r="L759" s="300"/>
      <c r="M759" s="300"/>
      <c r="N759" s="300"/>
      <c r="O759" s="300"/>
      <c r="P759" s="300"/>
      <c r="Q759" s="300"/>
      <c r="R759" s="300"/>
      <c r="S759" s="301"/>
    </row>
    <row r="760" spans="1:19">
      <c r="A760" s="319"/>
      <c r="B760" s="300"/>
      <c r="C760" s="332"/>
      <c r="D760" s="300"/>
      <c r="E760" s="300"/>
      <c r="F760" s="300"/>
      <c r="G760" s="300"/>
      <c r="H760" s="300"/>
      <c r="I760" s="300"/>
      <c r="J760" s="300"/>
      <c r="K760" s="300"/>
      <c r="L760" s="300"/>
      <c r="M760" s="300"/>
      <c r="N760" s="300"/>
      <c r="O760" s="300"/>
      <c r="P760" s="300"/>
      <c r="Q760" s="300"/>
      <c r="R760" s="300"/>
      <c r="S760" s="301"/>
    </row>
    <row r="761" spans="1:19">
      <c r="A761" s="319"/>
      <c r="B761" s="300"/>
      <c r="C761" s="332"/>
      <c r="D761" s="300"/>
      <c r="E761" s="300"/>
      <c r="F761" s="300"/>
      <c r="G761" s="300"/>
      <c r="H761" s="300"/>
      <c r="I761" s="300"/>
      <c r="J761" s="300"/>
      <c r="K761" s="300"/>
      <c r="L761" s="300"/>
      <c r="M761" s="300"/>
      <c r="N761" s="300"/>
      <c r="O761" s="300"/>
      <c r="P761" s="300"/>
      <c r="Q761" s="300"/>
      <c r="R761" s="300"/>
      <c r="S761" s="301"/>
    </row>
    <row r="762" spans="1:19">
      <c r="A762" s="319"/>
      <c r="B762" s="300"/>
      <c r="C762" s="332"/>
      <c r="D762" s="300"/>
      <c r="E762" s="300"/>
      <c r="F762" s="300"/>
      <c r="G762" s="300"/>
      <c r="H762" s="300"/>
      <c r="I762" s="300"/>
      <c r="J762" s="300"/>
      <c r="K762" s="300"/>
      <c r="L762" s="300"/>
      <c r="M762" s="300"/>
      <c r="N762" s="300"/>
      <c r="O762" s="300"/>
      <c r="P762" s="300"/>
      <c r="Q762" s="300"/>
      <c r="R762" s="300"/>
      <c r="S762" s="301"/>
    </row>
    <row r="763" spans="1:19">
      <c r="A763" s="319"/>
      <c r="B763" s="300"/>
      <c r="C763" s="332"/>
      <c r="D763" s="300"/>
      <c r="E763" s="300"/>
      <c r="F763" s="300"/>
      <c r="G763" s="300"/>
      <c r="H763" s="300"/>
      <c r="I763" s="300"/>
      <c r="J763" s="300"/>
      <c r="K763" s="300"/>
      <c r="L763" s="300"/>
      <c r="M763" s="300"/>
      <c r="N763" s="300"/>
      <c r="O763" s="300"/>
      <c r="P763" s="300"/>
      <c r="Q763" s="300"/>
      <c r="R763" s="300"/>
      <c r="S763" s="301"/>
    </row>
    <row r="764" spans="1:19">
      <c r="A764" s="319"/>
      <c r="B764" s="300"/>
      <c r="C764" s="332"/>
      <c r="D764" s="300"/>
      <c r="E764" s="300"/>
      <c r="F764" s="300"/>
      <c r="G764" s="300"/>
      <c r="H764" s="300"/>
      <c r="I764" s="300"/>
      <c r="J764" s="300"/>
      <c r="K764" s="300"/>
      <c r="L764" s="300"/>
      <c r="M764" s="300"/>
      <c r="N764" s="300"/>
      <c r="O764" s="300"/>
      <c r="P764" s="300"/>
      <c r="Q764" s="300"/>
      <c r="R764" s="300"/>
      <c r="S764" s="301"/>
    </row>
    <row r="765" spans="1:19">
      <c r="A765" s="319"/>
      <c r="B765" s="300"/>
      <c r="C765" s="332"/>
      <c r="D765" s="300"/>
      <c r="E765" s="300"/>
      <c r="F765" s="300"/>
      <c r="G765" s="300"/>
      <c r="H765" s="300"/>
      <c r="I765" s="300"/>
      <c r="J765" s="300"/>
      <c r="K765" s="300"/>
      <c r="L765" s="300"/>
      <c r="M765" s="300"/>
      <c r="N765" s="300"/>
      <c r="O765" s="300"/>
      <c r="P765" s="300"/>
      <c r="Q765" s="300"/>
      <c r="R765" s="300"/>
      <c r="S765" s="301"/>
    </row>
    <row r="766" spans="1:19">
      <c r="A766" s="319"/>
      <c r="B766" s="300"/>
      <c r="C766" s="332"/>
      <c r="D766" s="300"/>
      <c r="E766" s="300"/>
      <c r="F766" s="300"/>
      <c r="G766" s="300"/>
      <c r="H766" s="300"/>
      <c r="I766" s="300"/>
      <c r="J766" s="300"/>
      <c r="K766" s="300"/>
      <c r="L766" s="300"/>
      <c r="M766" s="300"/>
      <c r="N766" s="300"/>
      <c r="O766" s="300"/>
      <c r="P766" s="300"/>
      <c r="Q766" s="300"/>
      <c r="R766" s="300"/>
      <c r="S766" s="301"/>
    </row>
    <row r="767" spans="1:19">
      <c r="A767" s="319"/>
      <c r="B767" s="300"/>
      <c r="C767" s="332"/>
      <c r="D767" s="300"/>
      <c r="E767" s="300"/>
      <c r="F767" s="300"/>
      <c r="G767" s="300"/>
      <c r="H767" s="300"/>
      <c r="I767" s="300"/>
      <c r="J767" s="300"/>
      <c r="K767" s="300"/>
      <c r="L767" s="300"/>
      <c r="M767" s="300"/>
      <c r="N767" s="300"/>
      <c r="O767" s="300"/>
      <c r="P767" s="300"/>
      <c r="Q767" s="300"/>
      <c r="R767" s="300"/>
      <c r="S767" s="301"/>
    </row>
    <row r="768" spans="1:19">
      <c r="A768" s="319"/>
      <c r="B768" s="300"/>
      <c r="C768" s="332"/>
      <c r="D768" s="300"/>
      <c r="E768" s="300"/>
      <c r="F768" s="300"/>
      <c r="G768" s="300"/>
      <c r="H768" s="300"/>
      <c r="I768" s="300"/>
      <c r="J768" s="300"/>
      <c r="K768" s="300"/>
      <c r="L768" s="300"/>
      <c r="M768" s="300"/>
      <c r="N768" s="300"/>
      <c r="O768" s="300"/>
      <c r="P768" s="300"/>
      <c r="Q768" s="300"/>
      <c r="R768" s="300"/>
      <c r="S768" s="301"/>
    </row>
    <row r="769" spans="1:19">
      <c r="A769" s="319"/>
      <c r="B769" s="300"/>
      <c r="C769" s="332"/>
      <c r="D769" s="300"/>
      <c r="E769" s="300"/>
      <c r="F769" s="300"/>
      <c r="G769" s="300"/>
      <c r="H769" s="300"/>
      <c r="I769" s="300"/>
      <c r="J769" s="300"/>
      <c r="K769" s="300"/>
      <c r="L769" s="300"/>
      <c r="M769" s="300"/>
      <c r="N769" s="300"/>
      <c r="O769" s="300"/>
      <c r="P769" s="300"/>
      <c r="Q769" s="300"/>
      <c r="R769" s="300"/>
      <c r="S769" s="301"/>
    </row>
    <row r="770" spans="1:19">
      <c r="A770" s="319"/>
      <c r="B770" s="300"/>
      <c r="C770" s="332"/>
      <c r="D770" s="300"/>
      <c r="E770" s="300"/>
      <c r="F770" s="300"/>
      <c r="G770" s="300"/>
      <c r="H770" s="300"/>
      <c r="I770" s="300"/>
      <c r="J770" s="300"/>
      <c r="K770" s="300"/>
      <c r="L770" s="300"/>
      <c r="M770" s="300"/>
      <c r="N770" s="300"/>
      <c r="O770" s="300"/>
      <c r="P770" s="300"/>
      <c r="Q770" s="300"/>
      <c r="R770" s="300"/>
      <c r="S770" s="301"/>
    </row>
    <row r="771" spans="1:19">
      <c r="A771" s="319"/>
      <c r="B771" s="300"/>
      <c r="C771" s="332"/>
      <c r="D771" s="300"/>
      <c r="E771" s="300"/>
      <c r="F771" s="300"/>
      <c r="G771" s="300"/>
      <c r="H771" s="300"/>
      <c r="I771" s="300"/>
      <c r="J771" s="300"/>
      <c r="K771" s="300"/>
      <c r="L771" s="300"/>
      <c r="M771" s="300"/>
      <c r="N771" s="300"/>
      <c r="O771" s="300"/>
      <c r="P771" s="300"/>
      <c r="Q771" s="300"/>
      <c r="R771" s="300"/>
      <c r="S771" s="301"/>
    </row>
    <row r="772" spans="1:19">
      <c r="A772" s="319"/>
      <c r="B772" s="300"/>
      <c r="C772" s="332"/>
      <c r="D772" s="300"/>
      <c r="E772" s="300"/>
      <c r="F772" s="300"/>
      <c r="G772" s="300"/>
      <c r="H772" s="300"/>
      <c r="I772" s="300"/>
      <c r="J772" s="300"/>
      <c r="K772" s="300"/>
      <c r="L772" s="300"/>
      <c r="M772" s="300"/>
      <c r="N772" s="300"/>
      <c r="O772" s="300"/>
      <c r="P772" s="300"/>
      <c r="Q772" s="300"/>
      <c r="R772" s="300"/>
      <c r="S772" s="301"/>
    </row>
    <row r="773" spans="1:19">
      <c r="A773" s="319"/>
      <c r="B773" s="300"/>
      <c r="C773" s="332"/>
      <c r="D773" s="300"/>
      <c r="E773" s="300"/>
      <c r="F773" s="300"/>
      <c r="G773" s="300"/>
      <c r="H773" s="300"/>
      <c r="I773" s="300"/>
      <c r="J773" s="300"/>
      <c r="K773" s="300"/>
      <c r="L773" s="300"/>
      <c r="M773" s="300"/>
      <c r="N773" s="300"/>
      <c r="O773" s="300"/>
      <c r="P773" s="300"/>
      <c r="Q773" s="300"/>
      <c r="R773" s="300"/>
      <c r="S773" s="301"/>
    </row>
    <row r="774" spans="1:19">
      <c r="A774" s="319"/>
      <c r="B774" s="300"/>
      <c r="C774" s="332"/>
      <c r="D774" s="300"/>
      <c r="E774" s="300"/>
      <c r="F774" s="300"/>
      <c r="G774" s="300"/>
      <c r="H774" s="300"/>
      <c r="I774" s="300"/>
      <c r="J774" s="300"/>
      <c r="K774" s="300"/>
      <c r="L774" s="300"/>
      <c r="M774" s="300"/>
      <c r="N774" s="300"/>
      <c r="O774" s="300"/>
      <c r="P774" s="300"/>
      <c r="Q774" s="300"/>
      <c r="R774" s="300"/>
      <c r="S774" s="301"/>
    </row>
    <row r="775" spans="1:19">
      <c r="A775" s="319"/>
      <c r="B775" s="300"/>
      <c r="C775" s="332"/>
      <c r="D775" s="300"/>
      <c r="E775" s="300"/>
      <c r="F775" s="300"/>
      <c r="G775" s="300"/>
      <c r="H775" s="300"/>
      <c r="I775" s="300"/>
      <c r="J775" s="300"/>
      <c r="K775" s="300"/>
      <c r="L775" s="300"/>
      <c r="M775" s="300"/>
      <c r="N775" s="300"/>
      <c r="O775" s="300"/>
      <c r="P775" s="300"/>
      <c r="Q775" s="300"/>
      <c r="R775" s="300"/>
      <c r="S775" s="301"/>
    </row>
    <row r="776" spans="1:19">
      <c r="A776" s="319"/>
      <c r="B776" s="300"/>
      <c r="C776" s="332"/>
      <c r="D776" s="300"/>
      <c r="E776" s="300"/>
      <c r="F776" s="300"/>
      <c r="G776" s="300"/>
      <c r="H776" s="300"/>
      <c r="I776" s="300"/>
      <c r="J776" s="300"/>
      <c r="K776" s="300"/>
      <c r="L776" s="300"/>
      <c r="M776" s="300"/>
      <c r="N776" s="300"/>
      <c r="O776" s="300"/>
      <c r="P776" s="300"/>
      <c r="Q776" s="300"/>
      <c r="R776" s="300"/>
      <c r="S776" s="301"/>
    </row>
    <row r="777" spans="1:19">
      <c r="A777" s="319"/>
      <c r="B777" s="300"/>
      <c r="C777" s="332"/>
      <c r="D777" s="300"/>
      <c r="E777" s="300"/>
      <c r="F777" s="300"/>
      <c r="G777" s="300"/>
      <c r="H777" s="300"/>
      <c r="I777" s="300"/>
      <c r="J777" s="300"/>
      <c r="K777" s="300"/>
      <c r="L777" s="300"/>
      <c r="M777" s="300"/>
      <c r="N777" s="300"/>
      <c r="O777" s="300"/>
      <c r="P777" s="300"/>
      <c r="Q777" s="300"/>
      <c r="R777" s="300"/>
      <c r="S777" s="301"/>
    </row>
    <row r="778" spans="1:19">
      <c r="A778" s="319"/>
      <c r="B778" s="300"/>
      <c r="C778" s="332"/>
      <c r="D778" s="300"/>
      <c r="E778" s="300"/>
      <c r="F778" s="300"/>
      <c r="G778" s="300"/>
      <c r="H778" s="300"/>
      <c r="I778" s="300"/>
      <c r="J778" s="300"/>
      <c r="K778" s="300"/>
      <c r="L778" s="300"/>
      <c r="M778" s="300"/>
      <c r="N778" s="300"/>
      <c r="O778" s="300"/>
      <c r="P778" s="300"/>
      <c r="Q778" s="300"/>
      <c r="R778" s="300"/>
      <c r="S778" s="301"/>
    </row>
    <row r="779" spans="1:19">
      <c r="A779" s="319"/>
      <c r="B779" s="300"/>
      <c r="C779" s="332"/>
      <c r="D779" s="300"/>
      <c r="E779" s="300"/>
      <c r="F779" s="300"/>
      <c r="G779" s="300"/>
      <c r="H779" s="300"/>
      <c r="I779" s="300"/>
      <c r="J779" s="300"/>
      <c r="K779" s="300"/>
      <c r="L779" s="300"/>
      <c r="M779" s="300"/>
      <c r="N779" s="300"/>
      <c r="O779" s="300"/>
      <c r="P779" s="300"/>
      <c r="Q779" s="300"/>
      <c r="R779" s="300"/>
      <c r="S779" s="301"/>
    </row>
    <row r="780" spans="1:19">
      <c r="A780" s="319"/>
      <c r="B780" s="300"/>
      <c r="C780" s="332"/>
      <c r="D780" s="300"/>
      <c r="E780" s="300"/>
      <c r="F780" s="300"/>
      <c r="G780" s="300"/>
      <c r="H780" s="300"/>
      <c r="I780" s="300"/>
      <c r="J780" s="300"/>
      <c r="K780" s="300"/>
      <c r="L780" s="300"/>
      <c r="M780" s="300"/>
      <c r="N780" s="300"/>
      <c r="O780" s="300"/>
      <c r="P780" s="300"/>
      <c r="Q780" s="300"/>
      <c r="R780" s="300"/>
      <c r="S780" s="301"/>
    </row>
    <row r="781" spans="1:19">
      <c r="A781" s="319"/>
      <c r="B781" s="300"/>
      <c r="C781" s="332"/>
      <c r="D781" s="300"/>
      <c r="E781" s="300"/>
      <c r="F781" s="300"/>
      <c r="G781" s="300"/>
      <c r="H781" s="300"/>
      <c r="I781" s="300"/>
      <c r="J781" s="300"/>
      <c r="K781" s="300"/>
      <c r="L781" s="300"/>
      <c r="M781" s="300"/>
      <c r="N781" s="300"/>
      <c r="O781" s="300"/>
      <c r="P781" s="300"/>
      <c r="Q781" s="300"/>
      <c r="R781" s="300"/>
      <c r="S781" s="301"/>
    </row>
    <row r="782" spans="1:19">
      <c r="A782" s="319"/>
      <c r="B782" s="300"/>
      <c r="C782" s="332"/>
      <c r="D782" s="300"/>
      <c r="E782" s="300"/>
      <c r="F782" s="300"/>
      <c r="G782" s="300"/>
      <c r="H782" s="300"/>
      <c r="I782" s="300"/>
      <c r="J782" s="300"/>
      <c r="K782" s="300"/>
      <c r="L782" s="300"/>
      <c r="M782" s="300"/>
      <c r="N782" s="300"/>
      <c r="O782" s="300"/>
      <c r="P782" s="300"/>
      <c r="Q782" s="300"/>
      <c r="R782" s="300"/>
      <c r="S782" s="301"/>
    </row>
    <row r="783" spans="1:19">
      <c r="A783" s="319"/>
      <c r="B783" s="300"/>
      <c r="C783" s="332"/>
      <c r="D783" s="300"/>
      <c r="E783" s="300"/>
      <c r="F783" s="300"/>
      <c r="G783" s="300"/>
      <c r="H783" s="300"/>
      <c r="I783" s="300"/>
      <c r="J783" s="300"/>
      <c r="K783" s="300"/>
      <c r="L783" s="300"/>
      <c r="M783" s="300"/>
      <c r="N783" s="300"/>
      <c r="O783" s="300"/>
      <c r="P783" s="300"/>
      <c r="Q783" s="300"/>
      <c r="R783" s="300"/>
      <c r="S783" s="301"/>
    </row>
    <row r="784" spans="1:19">
      <c r="A784" s="319"/>
      <c r="B784" s="300"/>
      <c r="C784" s="332"/>
      <c r="D784" s="300"/>
      <c r="E784" s="300"/>
      <c r="F784" s="300"/>
      <c r="G784" s="300"/>
      <c r="H784" s="300"/>
      <c r="I784" s="300"/>
      <c r="J784" s="300"/>
      <c r="K784" s="300"/>
      <c r="L784" s="300"/>
      <c r="M784" s="300"/>
      <c r="N784" s="300"/>
      <c r="O784" s="300"/>
      <c r="P784" s="300"/>
      <c r="Q784" s="300"/>
      <c r="R784" s="300"/>
      <c r="S784" s="301"/>
    </row>
    <row r="785" spans="1:19">
      <c r="A785" s="319"/>
      <c r="B785" s="300"/>
      <c r="C785" s="332"/>
      <c r="D785" s="300"/>
      <c r="E785" s="300"/>
      <c r="F785" s="300"/>
      <c r="G785" s="300"/>
      <c r="H785" s="300"/>
      <c r="I785" s="300"/>
      <c r="J785" s="300"/>
      <c r="K785" s="300"/>
      <c r="L785" s="300"/>
      <c r="M785" s="300"/>
      <c r="N785" s="300"/>
      <c r="O785" s="300"/>
      <c r="P785" s="300"/>
      <c r="Q785" s="300"/>
      <c r="R785" s="300"/>
      <c r="S785" s="301"/>
    </row>
    <row r="786" spans="1:19">
      <c r="A786" s="319"/>
      <c r="B786" s="300"/>
      <c r="C786" s="332"/>
      <c r="D786" s="300"/>
      <c r="E786" s="300"/>
      <c r="F786" s="300"/>
      <c r="G786" s="300"/>
      <c r="H786" s="300"/>
      <c r="I786" s="300"/>
      <c r="J786" s="300"/>
      <c r="K786" s="300"/>
      <c r="L786" s="300"/>
      <c r="M786" s="300"/>
      <c r="N786" s="300"/>
      <c r="O786" s="300"/>
      <c r="P786" s="300"/>
      <c r="Q786" s="300"/>
      <c r="R786" s="300"/>
      <c r="S786" s="301"/>
    </row>
    <row r="787" spans="1:19">
      <c r="A787" s="319"/>
      <c r="B787" s="300"/>
      <c r="C787" s="332"/>
      <c r="D787" s="300"/>
      <c r="E787" s="300"/>
      <c r="F787" s="300"/>
      <c r="G787" s="300"/>
      <c r="H787" s="300"/>
      <c r="I787" s="300"/>
      <c r="J787" s="300"/>
      <c r="K787" s="300"/>
      <c r="L787" s="300"/>
      <c r="M787" s="300"/>
      <c r="N787" s="300"/>
      <c r="O787" s="300"/>
      <c r="P787" s="300"/>
      <c r="Q787" s="300"/>
      <c r="R787" s="300"/>
      <c r="S787" s="301"/>
    </row>
    <row r="788" spans="1:19">
      <c r="A788" s="319"/>
      <c r="B788" s="300"/>
      <c r="C788" s="332"/>
      <c r="D788" s="300"/>
      <c r="E788" s="300"/>
      <c r="F788" s="300"/>
      <c r="G788" s="300"/>
      <c r="H788" s="300"/>
      <c r="I788" s="300"/>
      <c r="J788" s="300"/>
      <c r="K788" s="300"/>
      <c r="L788" s="300"/>
      <c r="M788" s="300"/>
      <c r="N788" s="300"/>
      <c r="O788" s="300"/>
      <c r="P788" s="300"/>
      <c r="Q788" s="300"/>
      <c r="R788" s="300"/>
      <c r="S788" s="301"/>
    </row>
    <row r="789" spans="1:19">
      <c r="A789" s="319"/>
      <c r="B789" s="300"/>
      <c r="C789" s="332"/>
      <c r="D789" s="300"/>
      <c r="E789" s="300"/>
      <c r="F789" s="300"/>
      <c r="G789" s="300"/>
      <c r="H789" s="300"/>
      <c r="I789" s="300"/>
      <c r="J789" s="300"/>
      <c r="K789" s="300"/>
      <c r="L789" s="300"/>
      <c r="M789" s="300"/>
      <c r="N789" s="300"/>
      <c r="O789" s="300"/>
      <c r="P789" s="300"/>
      <c r="Q789" s="300"/>
      <c r="R789" s="300"/>
      <c r="S789" s="301"/>
    </row>
    <row r="790" spans="1:19">
      <c r="A790" s="319"/>
      <c r="B790" s="300"/>
      <c r="C790" s="332"/>
      <c r="D790" s="300"/>
      <c r="E790" s="300"/>
      <c r="F790" s="300"/>
      <c r="G790" s="300"/>
      <c r="H790" s="300"/>
      <c r="I790" s="300"/>
      <c r="J790" s="300"/>
      <c r="K790" s="300"/>
      <c r="L790" s="300"/>
      <c r="M790" s="300"/>
      <c r="N790" s="300"/>
      <c r="O790" s="300"/>
      <c r="P790" s="300"/>
      <c r="Q790" s="300"/>
      <c r="R790" s="300"/>
      <c r="S790" s="301"/>
    </row>
    <row r="791" spans="1:19">
      <c r="A791" s="319"/>
      <c r="B791" s="300"/>
      <c r="C791" s="332"/>
      <c r="D791" s="300"/>
      <c r="E791" s="300"/>
      <c r="F791" s="300"/>
      <c r="G791" s="300"/>
      <c r="H791" s="300"/>
      <c r="I791" s="300"/>
      <c r="J791" s="300"/>
      <c r="K791" s="300"/>
      <c r="L791" s="300"/>
      <c r="M791" s="300"/>
      <c r="N791" s="300"/>
      <c r="O791" s="300"/>
      <c r="P791" s="300"/>
      <c r="Q791" s="300"/>
      <c r="R791" s="300"/>
      <c r="S791" s="301"/>
    </row>
    <row r="792" spans="1:19">
      <c r="A792" s="319"/>
      <c r="B792" s="300"/>
      <c r="C792" s="332"/>
      <c r="D792" s="300"/>
      <c r="E792" s="300"/>
      <c r="F792" s="300"/>
      <c r="G792" s="300"/>
      <c r="H792" s="300"/>
      <c r="I792" s="300"/>
      <c r="J792" s="300"/>
      <c r="K792" s="300"/>
      <c r="L792" s="300"/>
      <c r="M792" s="300"/>
      <c r="N792" s="300"/>
      <c r="O792" s="300"/>
      <c r="P792" s="300"/>
      <c r="Q792" s="300"/>
      <c r="R792" s="300"/>
      <c r="S792" s="301"/>
    </row>
    <row r="793" spans="1:19">
      <c r="A793" s="319"/>
      <c r="B793" s="300"/>
      <c r="C793" s="332"/>
      <c r="D793" s="300"/>
      <c r="E793" s="300"/>
      <c r="F793" s="300"/>
      <c r="G793" s="300"/>
      <c r="H793" s="300"/>
      <c r="I793" s="300"/>
      <c r="J793" s="300"/>
      <c r="K793" s="300"/>
      <c r="L793" s="300"/>
      <c r="M793" s="300"/>
      <c r="N793" s="300"/>
      <c r="O793" s="300"/>
      <c r="P793" s="300"/>
      <c r="Q793" s="300"/>
      <c r="R793" s="300"/>
      <c r="S793" s="301"/>
    </row>
    <row r="794" spans="1:19">
      <c r="A794" s="319"/>
      <c r="B794" s="300"/>
      <c r="C794" s="332"/>
      <c r="D794" s="300"/>
      <c r="E794" s="300"/>
      <c r="F794" s="300"/>
      <c r="G794" s="300"/>
      <c r="H794" s="300"/>
      <c r="I794" s="300"/>
      <c r="J794" s="300"/>
      <c r="K794" s="300"/>
      <c r="L794" s="300"/>
      <c r="M794" s="300"/>
      <c r="N794" s="300"/>
      <c r="O794" s="300"/>
      <c r="P794" s="300"/>
      <c r="Q794" s="300"/>
      <c r="R794" s="300"/>
      <c r="S794" s="301"/>
    </row>
    <row r="795" spans="1:19">
      <c r="A795" s="319"/>
      <c r="B795" s="300"/>
      <c r="C795" s="332"/>
      <c r="D795" s="300"/>
      <c r="E795" s="300"/>
      <c r="F795" s="300"/>
      <c r="G795" s="300"/>
      <c r="H795" s="300"/>
      <c r="I795" s="300"/>
      <c r="J795" s="300"/>
      <c r="K795" s="300"/>
      <c r="L795" s="300"/>
      <c r="M795" s="300"/>
      <c r="N795" s="300"/>
      <c r="O795" s="300"/>
      <c r="P795" s="300"/>
      <c r="Q795" s="300"/>
      <c r="R795" s="300"/>
      <c r="S795" s="301"/>
    </row>
    <row r="796" spans="1:19">
      <c r="A796" s="319"/>
      <c r="B796" s="300"/>
      <c r="C796" s="332"/>
      <c r="D796" s="300"/>
      <c r="E796" s="300"/>
      <c r="F796" s="300"/>
      <c r="G796" s="300"/>
      <c r="H796" s="300"/>
      <c r="I796" s="300"/>
      <c r="J796" s="300"/>
      <c r="K796" s="300"/>
      <c r="L796" s="300"/>
      <c r="M796" s="300"/>
      <c r="N796" s="300"/>
      <c r="O796" s="300"/>
      <c r="P796" s="300"/>
      <c r="Q796" s="300"/>
      <c r="R796" s="300"/>
      <c r="S796" s="301"/>
    </row>
    <row r="797" spans="1:19">
      <c r="A797" s="319"/>
      <c r="B797" s="300"/>
      <c r="C797" s="332"/>
      <c r="D797" s="300"/>
      <c r="E797" s="300"/>
      <c r="F797" s="300"/>
      <c r="G797" s="300"/>
      <c r="H797" s="300"/>
      <c r="I797" s="300"/>
      <c r="J797" s="300"/>
      <c r="K797" s="300"/>
      <c r="L797" s="300"/>
      <c r="M797" s="300"/>
      <c r="N797" s="300"/>
      <c r="O797" s="300"/>
      <c r="P797" s="300"/>
      <c r="Q797" s="300"/>
      <c r="R797" s="300"/>
      <c r="S797" s="301"/>
    </row>
    <row r="798" spans="1:19">
      <c r="A798" s="319"/>
      <c r="B798" s="300"/>
      <c r="C798" s="332"/>
      <c r="D798" s="300"/>
      <c r="E798" s="300"/>
      <c r="F798" s="300"/>
      <c r="G798" s="300"/>
      <c r="H798" s="300"/>
      <c r="I798" s="300"/>
      <c r="J798" s="300"/>
      <c r="K798" s="300"/>
      <c r="L798" s="300"/>
      <c r="M798" s="300"/>
      <c r="N798" s="300"/>
      <c r="O798" s="300"/>
      <c r="P798" s="300"/>
      <c r="Q798" s="300"/>
      <c r="R798" s="300"/>
      <c r="S798" s="301"/>
    </row>
    <row r="799" spans="1:19">
      <c r="A799" s="319"/>
      <c r="B799" s="300"/>
      <c r="C799" s="332"/>
      <c r="D799" s="300"/>
      <c r="E799" s="300"/>
      <c r="F799" s="300"/>
      <c r="G799" s="300"/>
      <c r="H799" s="300"/>
      <c r="I799" s="300"/>
      <c r="J799" s="300"/>
      <c r="K799" s="300"/>
      <c r="L799" s="300"/>
      <c r="M799" s="300"/>
      <c r="N799" s="300"/>
      <c r="O799" s="300"/>
      <c r="P799" s="300"/>
      <c r="Q799" s="300"/>
      <c r="R799" s="300"/>
      <c r="S799" s="301"/>
    </row>
    <row r="800" spans="1:19">
      <c r="A800" s="319"/>
      <c r="B800" s="300"/>
      <c r="C800" s="332"/>
      <c r="D800" s="300"/>
      <c r="E800" s="300"/>
      <c r="F800" s="300"/>
      <c r="G800" s="300"/>
      <c r="H800" s="300"/>
      <c r="I800" s="300"/>
      <c r="J800" s="300"/>
      <c r="K800" s="300"/>
      <c r="L800" s="300"/>
      <c r="M800" s="300"/>
      <c r="N800" s="300"/>
      <c r="O800" s="300"/>
      <c r="P800" s="300"/>
      <c r="Q800" s="300"/>
      <c r="R800" s="300"/>
      <c r="S800" s="301"/>
    </row>
    <row r="801" spans="1:19">
      <c r="A801" s="319"/>
      <c r="B801" s="300"/>
      <c r="C801" s="332"/>
      <c r="D801" s="300"/>
      <c r="E801" s="300"/>
      <c r="F801" s="300"/>
      <c r="G801" s="300"/>
      <c r="H801" s="300"/>
      <c r="I801" s="300"/>
      <c r="J801" s="300"/>
      <c r="K801" s="300"/>
      <c r="L801" s="300"/>
      <c r="M801" s="300"/>
      <c r="N801" s="300"/>
      <c r="O801" s="300"/>
      <c r="P801" s="300"/>
      <c r="Q801" s="300"/>
      <c r="R801" s="300"/>
      <c r="S801" s="301"/>
    </row>
    <row r="802" spans="1:19">
      <c r="A802" s="319"/>
      <c r="B802" s="300"/>
      <c r="C802" s="332"/>
      <c r="D802" s="300"/>
      <c r="E802" s="300"/>
      <c r="F802" s="300"/>
      <c r="G802" s="300"/>
      <c r="H802" s="300"/>
      <c r="I802" s="300"/>
      <c r="J802" s="300"/>
      <c r="K802" s="300"/>
      <c r="L802" s="300"/>
      <c r="M802" s="300"/>
      <c r="N802" s="300"/>
      <c r="O802" s="300"/>
      <c r="P802" s="300"/>
      <c r="Q802" s="300"/>
      <c r="R802" s="300"/>
      <c r="S802" s="301"/>
    </row>
    <row r="803" spans="1:19">
      <c r="A803" s="319"/>
      <c r="B803" s="300"/>
      <c r="C803" s="332"/>
      <c r="D803" s="300"/>
      <c r="E803" s="300"/>
      <c r="F803" s="300"/>
      <c r="G803" s="300"/>
      <c r="H803" s="300"/>
      <c r="I803" s="300"/>
      <c r="J803" s="300"/>
      <c r="K803" s="300"/>
      <c r="L803" s="300"/>
      <c r="M803" s="300"/>
      <c r="N803" s="300"/>
      <c r="O803" s="300"/>
      <c r="P803" s="300"/>
      <c r="Q803" s="300"/>
      <c r="R803" s="300"/>
      <c r="S803" s="301"/>
    </row>
    <row r="804" spans="1:19">
      <c r="A804" s="319"/>
      <c r="B804" s="300"/>
      <c r="C804" s="332"/>
      <c r="D804" s="300"/>
      <c r="E804" s="300"/>
      <c r="F804" s="300"/>
      <c r="G804" s="300"/>
      <c r="H804" s="300"/>
      <c r="I804" s="300"/>
      <c r="J804" s="300"/>
      <c r="K804" s="300"/>
      <c r="L804" s="300"/>
      <c r="M804" s="300"/>
      <c r="N804" s="300"/>
      <c r="O804" s="300"/>
      <c r="P804" s="300"/>
      <c r="Q804" s="300"/>
      <c r="R804" s="300"/>
      <c r="S804" s="301"/>
    </row>
    <row r="805" spans="1:19">
      <c r="A805" s="319"/>
      <c r="B805" s="300"/>
      <c r="C805" s="332"/>
      <c r="D805" s="300"/>
      <c r="E805" s="300"/>
      <c r="F805" s="300"/>
      <c r="G805" s="300"/>
      <c r="H805" s="300"/>
      <c r="I805" s="300"/>
      <c r="J805" s="300"/>
      <c r="K805" s="300"/>
      <c r="L805" s="300"/>
      <c r="M805" s="300"/>
      <c r="N805" s="300"/>
      <c r="O805" s="300"/>
      <c r="P805" s="300"/>
      <c r="Q805" s="300"/>
      <c r="R805" s="300"/>
      <c r="S805" s="301"/>
    </row>
    <row r="806" spans="1:19">
      <c r="A806" s="319"/>
      <c r="B806" s="300"/>
      <c r="C806" s="332"/>
      <c r="D806" s="300"/>
      <c r="E806" s="300"/>
      <c r="F806" s="300"/>
      <c r="G806" s="300"/>
      <c r="H806" s="300"/>
      <c r="I806" s="300"/>
      <c r="J806" s="300"/>
      <c r="K806" s="300"/>
      <c r="L806" s="300"/>
      <c r="M806" s="300"/>
      <c r="N806" s="300"/>
      <c r="O806" s="300"/>
      <c r="P806" s="300"/>
      <c r="Q806" s="300"/>
      <c r="R806" s="300"/>
      <c r="S806" s="301"/>
    </row>
    <row r="807" spans="1:19">
      <c r="A807" s="319"/>
      <c r="B807" s="300"/>
      <c r="C807" s="332"/>
      <c r="D807" s="300"/>
      <c r="E807" s="300"/>
      <c r="F807" s="300"/>
      <c r="G807" s="300"/>
      <c r="H807" s="300"/>
      <c r="I807" s="300"/>
      <c r="J807" s="300"/>
      <c r="K807" s="300"/>
      <c r="L807" s="300"/>
      <c r="M807" s="300"/>
      <c r="N807" s="300"/>
      <c r="O807" s="300"/>
      <c r="P807" s="300"/>
      <c r="Q807" s="300"/>
      <c r="R807" s="300"/>
      <c r="S807" s="301"/>
    </row>
    <row r="808" spans="1:19">
      <c r="A808" s="319"/>
      <c r="B808" s="300"/>
      <c r="C808" s="332"/>
      <c r="D808" s="300"/>
      <c r="E808" s="300"/>
      <c r="F808" s="300"/>
      <c r="G808" s="300"/>
      <c r="H808" s="300"/>
      <c r="I808" s="300"/>
      <c r="J808" s="300"/>
      <c r="K808" s="300"/>
      <c r="L808" s="300"/>
      <c r="M808" s="300"/>
      <c r="N808" s="300"/>
      <c r="O808" s="300"/>
      <c r="P808" s="300"/>
      <c r="Q808" s="300"/>
      <c r="R808" s="300"/>
      <c r="S808" s="301"/>
    </row>
    <row r="809" spans="1:19">
      <c r="A809" s="319"/>
      <c r="B809" s="300"/>
      <c r="C809" s="332"/>
      <c r="D809" s="300"/>
      <c r="E809" s="300"/>
      <c r="F809" s="300"/>
      <c r="G809" s="300"/>
      <c r="H809" s="300"/>
      <c r="I809" s="300"/>
      <c r="J809" s="300"/>
      <c r="K809" s="300"/>
      <c r="L809" s="300"/>
      <c r="M809" s="300"/>
      <c r="N809" s="300"/>
      <c r="O809" s="300"/>
      <c r="P809" s="300"/>
      <c r="Q809" s="300"/>
      <c r="R809" s="300"/>
      <c r="S809" s="301"/>
    </row>
    <row r="810" spans="1:19">
      <c r="A810" s="319"/>
      <c r="B810" s="300"/>
      <c r="C810" s="332"/>
      <c r="D810" s="300"/>
      <c r="E810" s="300"/>
      <c r="F810" s="300"/>
      <c r="G810" s="300"/>
      <c r="H810" s="300"/>
      <c r="I810" s="300"/>
      <c r="J810" s="300"/>
      <c r="K810" s="300"/>
      <c r="L810" s="300"/>
      <c r="M810" s="300"/>
      <c r="N810" s="300"/>
      <c r="O810" s="300"/>
      <c r="P810" s="300"/>
      <c r="Q810" s="300"/>
      <c r="R810" s="300"/>
      <c r="S810" s="301"/>
    </row>
    <row r="811" spans="1:19">
      <c r="A811" s="319"/>
      <c r="B811" s="300"/>
      <c r="C811" s="332"/>
      <c r="D811" s="300"/>
      <c r="E811" s="300"/>
      <c r="F811" s="300"/>
      <c r="G811" s="300"/>
      <c r="H811" s="300"/>
      <c r="I811" s="300"/>
      <c r="J811" s="300"/>
      <c r="K811" s="300"/>
      <c r="L811" s="300"/>
      <c r="M811" s="300"/>
      <c r="N811" s="300"/>
      <c r="O811" s="300"/>
      <c r="P811" s="300"/>
      <c r="Q811" s="300"/>
      <c r="R811" s="300"/>
      <c r="S811" s="301"/>
    </row>
    <row r="812" spans="1:19">
      <c r="A812" s="319"/>
      <c r="B812" s="300"/>
      <c r="C812" s="332"/>
      <c r="D812" s="300"/>
      <c r="E812" s="300"/>
      <c r="F812" s="300"/>
      <c r="G812" s="300"/>
      <c r="H812" s="300"/>
      <c r="I812" s="300"/>
      <c r="J812" s="300"/>
      <c r="K812" s="300"/>
      <c r="L812" s="300"/>
      <c r="M812" s="300"/>
      <c r="N812" s="300"/>
      <c r="O812" s="300"/>
      <c r="P812" s="300"/>
      <c r="Q812" s="300"/>
      <c r="R812" s="300"/>
      <c r="S812" s="301"/>
    </row>
    <row r="813" spans="1:19">
      <c r="A813" s="319"/>
      <c r="B813" s="300"/>
      <c r="C813" s="332"/>
      <c r="D813" s="300"/>
      <c r="E813" s="300"/>
      <c r="F813" s="300"/>
      <c r="G813" s="300"/>
      <c r="H813" s="300"/>
      <c r="I813" s="300"/>
      <c r="J813" s="300"/>
      <c r="K813" s="300"/>
      <c r="L813" s="300"/>
      <c r="M813" s="300"/>
      <c r="N813" s="300"/>
      <c r="O813" s="300"/>
      <c r="P813" s="300"/>
      <c r="Q813" s="300"/>
      <c r="R813" s="300"/>
      <c r="S813" s="301"/>
    </row>
    <row r="814" spans="1:19">
      <c r="A814" s="319"/>
      <c r="B814" s="300"/>
      <c r="C814" s="332"/>
      <c r="D814" s="300"/>
      <c r="E814" s="300"/>
      <c r="F814" s="300"/>
      <c r="G814" s="300"/>
      <c r="H814" s="300"/>
      <c r="I814" s="300"/>
      <c r="J814" s="300"/>
      <c r="K814" s="300"/>
      <c r="L814" s="300"/>
      <c r="M814" s="300"/>
      <c r="N814" s="300"/>
      <c r="O814" s="300"/>
      <c r="P814" s="300"/>
      <c r="Q814" s="300"/>
      <c r="R814" s="300"/>
      <c r="S814" s="301"/>
    </row>
    <row r="815" spans="1:19">
      <c r="A815" s="319"/>
      <c r="B815" s="300"/>
      <c r="C815" s="332"/>
      <c r="D815" s="300"/>
      <c r="E815" s="300"/>
      <c r="F815" s="300"/>
      <c r="G815" s="300"/>
      <c r="H815" s="300"/>
      <c r="I815" s="300"/>
      <c r="J815" s="300"/>
      <c r="K815" s="300"/>
      <c r="L815" s="300"/>
      <c r="M815" s="300"/>
      <c r="N815" s="300"/>
      <c r="O815" s="300"/>
      <c r="P815" s="300"/>
      <c r="Q815" s="300"/>
      <c r="R815" s="300"/>
      <c r="S815" s="301"/>
    </row>
    <row r="816" spans="1:19">
      <c r="A816" s="319"/>
      <c r="B816" s="300"/>
      <c r="C816" s="332"/>
      <c r="D816" s="300"/>
      <c r="E816" s="300"/>
      <c r="F816" s="300"/>
      <c r="G816" s="300"/>
      <c r="H816" s="300"/>
      <c r="I816" s="300"/>
      <c r="J816" s="300"/>
      <c r="K816" s="300"/>
      <c r="L816" s="300"/>
      <c r="M816" s="300"/>
      <c r="N816" s="300"/>
      <c r="O816" s="300"/>
      <c r="P816" s="300"/>
      <c r="Q816" s="300"/>
      <c r="R816" s="300"/>
      <c r="S816" s="301"/>
    </row>
    <row r="817" spans="1:19">
      <c r="A817" s="319"/>
      <c r="B817" s="300"/>
      <c r="C817" s="332"/>
      <c r="D817" s="300"/>
      <c r="E817" s="300"/>
      <c r="F817" s="300"/>
      <c r="G817" s="300"/>
      <c r="H817" s="300"/>
      <c r="I817" s="300"/>
      <c r="J817" s="300"/>
      <c r="K817" s="300"/>
      <c r="L817" s="300"/>
      <c r="M817" s="300"/>
      <c r="N817" s="300"/>
      <c r="O817" s="300"/>
      <c r="P817" s="300"/>
      <c r="Q817" s="300"/>
      <c r="R817" s="300"/>
      <c r="S817" s="301"/>
    </row>
    <row r="818" spans="1:19">
      <c r="A818" s="319"/>
      <c r="B818" s="300"/>
      <c r="C818" s="332"/>
      <c r="D818" s="300"/>
      <c r="E818" s="300"/>
      <c r="F818" s="300"/>
      <c r="G818" s="300"/>
      <c r="H818" s="300"/>
      <c r="I818" s="300"/>
      <c r="J818" s="300"/>
      <c r="K818" s="300"/>
      <c r="L818" s="300"/>
      <c r="M818" s="300"/>
      <c r="N818" s="300"/>
      <c r="O818" s="300"/>
      <c r="P818" s="300"/>
      <c r="Q818" s="300"/>
      <c r="R818" s="300"/>
      <c r="S818" s="301"/>
    </row>
    <row r="819" spans="1:19">
      <c r="A819" s="319"/>
      <c r="B819" s="300"/>
      <c r="C819" s="332"/>
      <c r="D819" s="300"/>
      <c r="E819" s="300"/>
      <c r="F819" s="300"/>
      <c r="G819" s="300"/>
      <c r="H819" s="300"/>
      <c r="I819" s="300"/>
      <c r="J819" s="300"/>
      <c r="K819" s="300"/>
      <c r="L819" s="300"/>
      <c r="M819" s="300"/>
      <c r="N819" s="300"/>
      <c r="O819" s="300"/>
      <c r="P819" s="300"/>
      <c r="Q819" s="300"/>
      <c r="R819" s="300"/>
      <c r="S819" s="301"/>
    </row>
    <row r="820" spans="1:19">
      <c r="A820" s="319"/>
      <c r="B820" s="300"/>
      <c r="C820" s="332"/>
      <c r="D820" s="300"/>
      <c r="E820" s="300"/>
      <c r="F820" s="300"/>
      <c r="G820" s="300"/>
      <c r="H820" s="300"/>
      <c r="I820" s="300"/>
      <c r="J820" s="300"/>
      <c r="K820" s="300"/>
      <c r="L820" s="300"/>
      <c r="M820" s="300"/>
      <c r="N820" s="300"/>
      <c r="O820" s="300"/>
      <c r="P820" s="300"/>
      <c r="Q820" s="300"/>
      <c r="R820" s="300"/>
      <c r="S820" s="301"/>
    </row>
    <row r="821" spans="1:19">
      <c r="A821" s="319"/>
      <c r="B821" s="300"/>
      <c r="C821" s="332"/>
      <c r="D821" s="300"/>
      <c r="E821" s="300"/>
      <c r="F821" s="300"/>
      <c r="G821" s="300"/>
      <c r="H821" s="300"/>
      <c r="I821" s="300"/>
      <c r="J821" s="300"/>
      <c r="K821" s="300"/>
      <c r="L821" s="300"/>
      <c r="M821" s="300"/>
      <c r="N821" s="300"/>
      <c r="O821" s="300"/>
      <c r="P821" s="300"/>
      <c r="Q821" s="300"/>
      <c r="R821" s="300"/>
      <c r="S821" s="301"/>
    </row>
    <row r="822" spans="1:19">
      <c r="A822" s="319"/>
      <c r="B822" s="300"/>
      <c r="C822" s="332"/>
      <c r="D822" s="300"/>
      <c r="E822" s="300"/>
      <c r="F822" s="300"/>
      <c r="G822" s="300"/>
      <c r="H822" s="300"/>
      <c r="I822" s="300"/>
      <c r="J822" s="300"/>
      <c r="K822" s="300"/>
      <c r="L822" s="300"/>
      <c r="M822" s="300"/>
      <c r="N822" s="300"/>
      <c r="O822" s="300"/>
      <c r="P822" s="300"/>
      <c r="Q822" s="300"/>
      <c r="R822" s="300"/>
      <c r="S822" s="301"/>
    </row>
    <row r="823" spans="1:19">
      <c r="A823" s="319"/>
      <c r="B823" s="300"/>
      <c r="C823" s="332"/>
      <c r="D823" s="300"/>
      <c r="E823" s="300"/>
      <c r="F823" s="300"/>
      <c r="G823" s="300"/>
      <c r="H823" s="300"/>
      <c r="I823" s="300"/>
      <c r="J823" s="300"/>
      <c r="K823" s="300"/>
      <c r="L823" s="300"/>
      <c r="M823" s="300"/>
      <c r="N823" s="300"/>
      <c r="O823" s="300"/>
      <c r="P823" s="300"/>
      <c r="Q823" s="300"/>
      <c r="R823" s="300"/>
      <c r="S823" s="301"/>
    </row>
    <row r="824" spans="1:19">
      <c r="A824" s="319"/>
      <c r="B824" s="300"/>
      <c r="C824" s="332"/>
      <c r="D824" s="300"/>
      <c r="E824" s="300"/>
      <c r="F824" s="300"/>
      <c r="G824" s="300"/>
      <c r="H824" s="300"/>
      <c r="I824" s="300"/>
      <c r="J824" s="300"/>
      <c r="K824" s="300"/>
      <c r="L824" s="300"/>
      <c r="M824" s="300"/>
      <c r="N824" s="300"/>
      <c r="O824" s="300"/>
      <c r="P824" s="300"/>
      <c r="Q824" s="300"/>
      <c r="R824" s="300"/>
      <c r="S824" s="301"/>
    </row>
    <row r="825" spans="1:19">
      <c r="A825" s="319"/>
      <c r="B825" s="300"/>
      <c r="C825" s="332"/>
      <c r="D825" s="300"/>
      <c r="E825" s="300"/>
      <c r="F825" s="300"/>
      <c r="G825" s="300"/>
      <c r="H825" s="300"/>
      <c r="I825" s="300"/>
      <c r="J825" s="300"/>
      <c r="K825" s="300"/>
      <c r="L825" s="300"/>
      <c r="M825" s="300"/>
      <c r="N825" s="300"/>
      <c r="O825" s="300"/>
      <c r="P825" s="300"/>
      <c r="Q825" s="300"/>
      <c r="R825" s="300"/>
      <c r="S825" s="301"/>
    </row>
    <row r="826" spans="1:19">
      <c r="A826" s="319"/>
      <c r="B826" s="300"/>
      <c r="C826" s="332"/>
      <c r="D826" s="300"/>
      <c r="E826" s="300"/>
      <c r="F826" s="300"/>
      <c r="G826" s="300"/>
      <c r="H826" s="300"/>
      <c r="I826" s="300"/>
      <c r="J826" s="300"/>
      <c r="K826" s="300"/>
      <c r="L826" s="300"/>
      <c r="M826" s="300"/>
      <c r="N826" s="300"/>
      <c r="O826" s="300"/>
      <c r="P826" s="300"/>
      <c r="Q826" s="300"/>
      <c r="R826" s="300"/>
      <c r="S826" s="301"/>
    </row>
    <row r="827" spans="1:19">
      <c r="A827" s="319"/>
      <c r="B827" s="300"/>
      <c r="C827" s="332"/>
      <c r="D827" s="300"/>
      <c r="E827" s="300"/>
      <c r="F827" s="300"/>
      <c r="G827" s="300"/>
      <c r="H827" s="300"/>
      <c r="I827" s="300"/>
      <c r="J827" s="300"/>
      <c r="K827" s="300"/>
      <c r="L827" s="300"/>
      <c r="M827" s="300"/>
      <c r="N827" s="300"/>
      <c r="O827" s="300"/>
      <c r="P827" s="300"/>
      <c r="Q827" s="300"/>
      <c r="R827" s="300"/>
      <c r="S827" s="301"/>
    </row>
    <row r="828" spans="1:19">
      <c r="A828" s="319"/>
      <c r="B828" s="300"/>
      <c r="C828" s="332"/>
      <c r="D828" s="300"/>
      <c r="E828" s="300"/>
      <c r="F828" s="300"/>
      <c r="G828" s="300"/>
      <c r="H828" s="300"/>
      <c r="I828" s="300"/>
      <c r="J828" s="300"/>
      <c r="K828" s="300"/>
      <c r="L828" s="300"/>
      <c r="M828" s="300"/>
      <c r="N828" s="300"/>
      <c r="O828" s="300"/>
      <c r="P828" s="300"/>
      <c r="Q828" s="300"/>
      <c r="R828" s="300"/>
      <c r="S828" s="301"/>
    </row>
    <row r="829" spans="1:19">
      <c r="A829" s="319"/>
      <c r="B829" s="300"/>
      <c r="C829" s="332"/>
      <c r="D829" s="300"/>
      <c r="E829" s="300"/>
      <c r="F829" s="300"/>
      <c r="G829" s="300"/>
      <c r="H829" s="300"/>
      <c r="I829" s="300"/>
      <c r="J829" s="300"/>
      <c r="K829" s="300"/>
      <c r="L829" s="300"/>
      <c r="M829" s="300"/>
      <c r="N829" s="300"/>
      <c r="O829" s="300"/>
      <c r="P829" s="300"/>
      <c r="Q829" s="300"/>
      <c r="R829" s="300"/>
      <c r="S829" s="301"/>
    </row>
    <row r="830" spans="1:19">
      <c r="A830" s="319"/>
      <c r="B830" s="300"/>
      <c r="C830" s="332"/>
      <c r="D830" s="300"/>
      <c r="E830" s="300"/>
      <c r="F830" s="300"/>
      <c r="G830" s="300"/>
      <c r="H830" s="300"/>
      <c r="I830" s="300"/>
      <c r="J830" s="300"/>
      <c r="K830" s="300"/>
      <c r="L830" s="300"/>
      <c r="M830" s="300"/>
      <c r="N830" s="300"/>
      <c r="O830" s="300"/>
      <c r="P830" s="300"/>
      <c r="Q830" s="300"/>
      <c r="R830" s="300"/>
      <c r="S830" s="301"/>
    </row>
    <row r="831" spans="1:19">
      <c r="A831" s="319"/>
      <c r="B831" s="300"/>
      <c r="C831" s="332"/>
      <c r="D831" s="300"/>
      <c r="E831" s="300"/>
      <c r="F831" s="300"/>
      <c r="G831" s="300"/>
      <c r="H831" s="300"/>
      <c r="I831" s="300"/>
      <c r="J831" s="300"/>
      <c r="K831" s="300"/>
      <c r="L831" s="300"/>
      <c r="M831" s="300"/>
      <c r="N831" s="300"/>
      <c r="O831" s="300"/>
      <c r="P831" s="300"/>
      <c r="Q831" s="300"/>
      <c r="R831" s="300"/>
      <c r="S831" s="301"/>
    </row>
    <row r="832" spans="1:19">
      <c r="A832" s="319"/>
      <c r="B832" s="300"/>
      <c r="C832" s="332"/>
      <c r="D832" s="300"/>
      <c r="E832" s="300"/>
      <c r="F832" s="300"/>
      <c r="G832" s="300"/>
      <c r="H832" s="300"/>
      <c r="I832" s="300"/>
      <c r="J832" s="300"/>
      <c r="K832" s="300"/>
      <c r="L832" s="300"/>
      <c r="M832" s="300"/>
      <c r="N832" s="300"/>
      <c r="O832" s="300"/>
      <c r="P832" s="300"/>
      <c r="Q832" s="300"/>
      <c r="R832" s="300"/>
      <c r="S832" s="301"/>
    </row>
    <row r="833" spans="1:19">
      <c r="A833" s="319"/>
      <c r="B833" s="300"/>
      <c r="C833" s="332"/>
      <c r="D833" s="300"/>
      <c r="E833" s="300"/>
      <c r="F833" s="300"/>
      <c r="G833" s="300"/>
      <c r="H833" s="300"/>
      <c r="I833" s="300"/>
      <c r="J833" s="300"/>
      <c r="K833" s="300"/>
      <c r="L833" s="300"/>
      <c r="M833" s="300"/>
      <c r="N833" s="300"/>
      <c r="O833" s="300"/>
      <c r="P833" s="300"/>
      <c r="Q833" s="300"/>
      <c r="R833" s="300"/>
      <c r="S833" s="301"/>
    </row>
    <row r="834" spans="1:19">
      <c r="A834" s="319"/>
      <c r="B834" s="300"/>
      <c r="C834" s="332"/>
      <c r="D834" s="300"/>
      <c r="E834" s="300"/>
      <c r="F834" s="300"/>
      <c r="G834" s="300"/>
      <c r="H834" s="300"/>
      <c r="I834" s="300"/>
      <c r="J834" s="300"/>
      <c r="K834" s="300"/>
      <c r="L834" s="300"/>
      <c r="M834" s="300"/>
      <c r="N834" s="300"/>
      <c r="O834" s="300"/>
      <c r="P834" s="300"/>
      <c r="Q834" s="300"/>
      <c r="R834" s="300"/>
      <c r="S834" s="301"/>
    </row>
    <row r="835" spans="1:19">
      <c r="A835" s="319"/>
      <c r="B835" s="300"/>
      <c r="C835" s="332"/>
      <c r="D835" s="300"/>
      <c r="E835" s="300"/>
      <c r="F835" s="300"/>
      <c r="G835" s="300"/>
      <c r="H835" s="300"/>
      <c r="I835" s="300"/>
      <c r="J835" s="300"/>
      <c r="K835" s="300"/>
      <c r="L835" s="300"/>
      <c r="M835" s="300"/>
      <c r="N835" s="300"/>
      <c r="O835" s="300"/>
      <c r="P835" s="300"/>
      <c r="Q835" s="300"/>
      <c r="R835" s="300"/>
      <c r="S835" s="301"/>
    </row>
    <row r="836" spans="1:19">
      <c r="A836" s="319"/>
      <c r="B836" s="300"/>
      <c r="C836" s="332"/>
      <c r="D836" s="300"/>
      <c r="E836" s="300"/>
      <c r="F836" s="300"/>
      <c r="G836" s="300"/>
      <c r="H836" s="300"/>
      <c r="I836" s="300"/>
      <c r="J836" s="300"/>
      <c r="K836" s="300"/>
      <c r="L836" s="300"/>
      <c r="M836" s="300"/>
      <c r="N836" s="300"/>
      <c r="O836" s="300"/>
      <c r="P836" s="300"/>
      <c r="Q836" s="300"/>
      <c r="R836" s="300"/>
      <c r="S836" s="301"/>
    </row>
    <row r="837" spans="1:19">
      <c r="A837" s="319"/>
      <c r="B837" s="300"/>
      <c r="C837" s="332"/>
      <c r="D837" s="300"/>
      <c r="E837" s="300"/>
      <c r="F837" s="300"/>
      <c r="G837" s="300"/>
      <c r="H837" s="300"/>
      <c r="I837" s="300"/>
      <c r="J837" s="300"/>
      <c r="K837" s="300"/>
      <c r="L837" s="300"/>
      <c r="M837" s="300"/>
      <c r="N837" s="300"/>
      <c r="O837" s="300"/>
      <c r="P837" s="300"/>
      <c r="Q837" s="300"/>
      <c r="R837" s="300"/>
      <c r="S837" s="301"/>
    </row>
    <row r="838" spans="1:19">
      <c r="A838" s="319"/>
      <c r="B838" s="300"/>
      <c r="C838" s="332"/>
      <c r="D838" s="300"/>
      <c r="E838" s="300"/>
      <c r="F838" s="300"/>
      <c r="G838" s="300"/>
      <c r="H838" s="300"/>
      <c r="I838" s="300"/>
      <c r="J838" s="300"/>
      <c r="K838" s="300"/>
      <c r="L838" s="300"/>
      <c r="M838" s="300"/>
      <c r="N838" s="300"/>
      <c r="O838" s="300"/>
      <c r="P838" s="300"/>
      <c r="Q838" s="300"/>
      <c r="R838" s="300"/>
      <c r="S838" s="301"/>
    </row>
    <row r="839" spans="1:19">
      <c r="A839" s="319"/>
      <c r="B839" s="300"/>
      <c r="C839" s="332"/>
      <c r="D839" s="300"/>
      <c r="E839" s="300"/>
      <c r="F839" s="300"/>
      <c r="G839" s="300"/>
      <c r="H839" s="300"/>
      <c r="I839" s="300"/>
      <c r="J839" s="300"/>
      <c r="K839" s="300"/>
      <c r="L839" s="300"/>
      <c r="M839" s="300"/>
      <c r="N839" s="300"/>
      <c r="O839" s="300"/>
      <c r="P839" s="300"/>
      <c r="Q839" s="300"/>
      <c r="R839" s="300"/>
      <c r="S839" s="301"/>
    </row>
    <row r="840" spans="1:19">
      <c r="A840" s="319"/>
      <c r="B840" s="300"/>
      <c r="C840" s="332"/>
      <c r="D840" s="300"/>
      <c r="E840" s="300"/>
      <c r="F840" s="300"/>
      <c r="G840" s="300"/>
      <c r="H840" s="300"/>
      <c r="I840" s="300"/>
      <c r="J840" s="300"/>
      <c r="K840" s="300"/>
      <c r="L840" s="300"/>
      <c r="M840" s="300"/>
      <c r="N840" s="300"/>
      <c r="O840" s="300"/>
      <c r="P840" s="300"/>
      <c r="Q840" s="300"/>
      <c r="R840" s="300"/>
      <c r="S840" s="301"/>
    </row>
    <row r="841" spans="1:19">
      <c r="A841" s="319"/>
      <c r="B841" s="300"/>
      <c r="C841" s="332"/>
      <c r="D841" s="300"/>
      <c r="E841" s="300"/>
      <c r="F841" s="300"/>
      <c r="G841" s="300"/>
      <c r="H841" s="300"/>
      <c r="I841" s="300"/>
      <c r="J841" s="300"/>
      <c r="K841" s="300"/>
      <c r="L841" s="300"/>
      <c r="M841" s="300"/>
      <c r="N841" s="300"/>
      <c r="O841" s="300"/>
      <c r="P841" s="300"/>
      <c r="Q841" s="300"/>
      <c r="R841" s="300"/>
      <c r="S841" s="301"/>
    </row>
    <row r="842" spans="1:19">
      <c r="A842" s="319"/>
      <c r="B842" s="300"/>
      <c r="C842" s="332"/>
      <c r="D842" s="300"/>
      <c r="E842" s="300"/>
      <c r="F842" s="300"/>
      <c r="G842" s="300"/>
      <c r="H842" s="300"/>
      <c r="I842" s="300"/>
      <c r="J842" s="300"/>
      <c r="K842" s="300"/>
      <c r="L842" s="300"/>
      <c r="M842" s="300"/>
      <c r="N842" s="300"/>
      <c r="O842" s="300"/>
      <c r="P842" s="300"/>
      <c r="Q842" s="300"/>
      <c r="R842" s="300"/>
      <c r="S842" s="301"/>
    </row>
    <row r="843" spans="1:19">
      <c r="A843" s="319"/>
      <c r="B843" s="300"/>
      <c r="C843" s="332"/>
      <c r="D843" s="300"/>
      <c r="E843" s="300"/>
      <c r="F843" s="300"/>
      <c r="G843" s="300"/>
      <c r="H843" s="300"/>
      <c r="I843" s="300"/>
      <c r="J843" s="300"/>
      <c r="K843" s="300"/>
      <c r="L843" s="300"/>
      <c r="M843" s="300"/>
      <c r="N843" s="300"/>
      <c r="O843" s="300"/>
      <c r="P843" s="300"/>
      <c r="Q843" s="300"/>
      <c r="R843" s="300"/>
      <c r="S843" s="301"/>
    </row>
    <row r="844" spans="1:19">
      <c r="A844" s="319"/>
      <c r="B844" s="300"/>
      <c r="C844" s="332"/>
      <c r="D844" s="300"/>
      <c r="E844" s="300"/>
      <c r="F844" s="300"/>
      <c r="G844" s="300"/>
      <c r="H844" s="300"/>
      <c r="I844" s="300"/>
      <c r="J844" s="300"/>
      <c r="K844" s="300"/>
      <c r="L844" s="300"/>
      <c r="M844" s="300"/>
      <c r="N844" s="300"/>
      <c r="O844" s="300"/>
      <c r="P844" s="300"/>
      <c r="Q844" s="300"/>
      <c r="R844" s="300"/>
      <c r="S844" s="301"/>
    </row>
    <row r="845" spans="1:19">
      <c r="A845" s="319"/>
      <c r="B845" s="300"/>
      <c r="C845" s="332"/>
      <c r="D845" s="300"/>
      <c r="E845" s="300"/>
      <c r="F845" s="300"/>
      <c r="G845" s="300"/>
      <c r="H845" s="300"/>
      <c r="I845" s="300"/>
      <c r="J845" s="300"/>
      <c r="K845" s="300"/>
      <c r="L845" s="300"/>
      <c r="M845" s="300"/>
      <c r="N845" s="300"/>
      <c r="O845" s="300"/>
      <c r="P845" s="300"/>
      <c r="Q845" s="300"/>
      <c r="R845" s="300"/>
      <c r="S845" s="301"/>
    </row>
    <row r="846" spans="1:19">
      <c r="A846" s="319"/>
      <c r="B846" s="300"/>
      <c r="C846" s="332"/>
      <c r="D846" s="300"/>
      <c r="E846" s="300"/>
      <c r="F846" s="300"/>
      <c r="G846" s="300"/>
      <c r="H846" s="300"/>
      <c r="I846" s="300"/>
      <c r="J846" s="300"/>
      <c r="K846" s="300"/>
      <c r="L846" s="300"/>
      <c r="M846" s="300"/>
      <c r="N846" s="300"/>
      <c r="O846" s="300"/>
      <c r="P846" s="300"/>
      <c r="Q846" s="300"/>
      <c r="R846" s="300"/>
      <c r="S846" s="301"/>
    </row>
    <row r="847" spans="1:19">
      <c r="A847" s="319"/>
      <c r="B847" s="300"/>
      <c r="C847" s="332"/>
      <c r="D847" s="300"/>
      <c r="E847" s="300"/>
      <c r="F847" s="300"/>
      <c r="G847" s="300"/>
      <c r="H847" s="300"/>
      <c r="I847" s="300"/>
      <c r="J847" s="300"/>
      <c r="K847" s="300"/>
      <c r="L847" s="300"/>
      <c r="M847" s="300"/>
      <c r="N847" s="300"/>
      <c r="O847" s="300"/>
      <c r="P847" s="300"/>
      <c r="Q847" s="300"/>
      <c r="R847" s="300"/>
      <c r="S847" s="301"/>
    </row>
    <row r="848" spans="1:19">
      <c r="A848" s="319"/>
      <c r="B848" s="300"/>
      <c r="C848" s="332"/>
      <c r="D848" s="300"/>
      <c r="E848" s="300"/>
      <c r="F848" s="300"/>
      <c r="G848" s="300"/>
      <c r="H848" s="300"/>
      <c r="I848" s="300"/>
      <c r="J848" s="300"/>
      <c r="K848" s="300"/>
      <c r="L848" s="300"/>
      <c r="M848" s="300"/>
      <c r="N848" s="300"/>
      <c r="O848" s="300"/>
      <c r="P848" s="300"/>
      <c r="Q848" s="300"/>
      <c r="R848" s="300"/>
      <c r="S848" s="301"/>
    </row>
    <row r="849" spans="1:19">
      <c r="A849" s="319"/>
      <c r="B849" s="300"/>
      <c r="C849" s="332"/>
      <c r="D849" s="300"/>
      <c r="E849" s="300"/>
      <c r="F849" s="300"/>
      <c r="G849" s="300"/>
      <c r="H849" s="300"/>
      <c r="I849" s="300"/>
      <c r="J849" s="300"/>
      <c r="K849" s="300"/>
      <c r="L849" s="300"/>
      <c r="M849" s="300"/>
      <c r="N849" s="300"/>
      <c r="O849" s="300"/>
      <c r="P849" s="300"/>
      <c r="Q849" s="300"/>
      <c r="R849" s="300"/>
      <c r="S849" s="301"/>
    </row>
    <row r="850" spans="1:19">
      <c r="A850" s="319"/>
      <c r="B850" s="300"/>
      <c r="C850" s="332"/>
      <c r="D850" s="300"/>
      <c r="E850" s="300"/>
      <c r="F850" s="300"/>
      <c r="G850" s="300"/>
      <c r="H850" s="300"/>
      <c r="I850" s="300"/>
      <c r="J850" s="300"/>
      <c r="K850" s="300"/>
      <c r="L850" s="300"/>
      <c r="M850" s="300"/>
      <c r="N850" s="300"/>
      <c r="O850" s="300"/>
      <c r="P850" s="300"/>
      <c r="Q850" s="300"/>
      <c r="R850" s="300"/>
      <c r="S850" s="301"/>
    </row>
    <row r="851" spans="1:19">
      <c r="A851" s="319"/>
      <c r="B851" s="300"/>
      <c r="C851" s="332"/>
      <c r="D851" s="300"/>
      <c r="E851" s="300"/>
      <c r="F851" s="300"/>
      <c r="G851" s="300"/>
      <c r="H851" s="300"/>
      <c r="I851" s="300"/>
      <c r="J851" s="300"/>
      <c r="K851" s="300"/>
      <c r="L851" s="300"/>
      <c r="M851" s="300"/>
      <c r="N851" s="300"/>
      <c r="O851" s="300"/>
      <c r="P851" s="300"/>
      <c r="Q851" s="300"/>
      <c r="R851" s="300"/>
      <c r="S851" s="301"/>
    </row>
    <row r="852" spans="1:19">
      <c r="A852" s="319"/>
      <c r="B852" s="300"/>
      <c r="C852" s="332"/>
      <c r="D852" s="300"/>
      <c r="E852" s="300"/>
      <c r="F852" s="300"/>
      <c r="G852" s="300"/>
      <c r="H852" s="300"/>
      <c r="I852" s="300"/>
      <c r="J852" s="300"/>
      <c r="K852" s="300"/>
      <c r="L852" s="300"/>
      <c r="M852" s="300"/>
      <c r="N852" s="300"/>
      <c r="O852" s="300"/>
      <c r="P852" s="300"/>
      <c r="Q852" s="300"/>
      <c r="R852" s="300"/>
      <c r="S852" s="301"/>
    </row>
    <row r="853" spans="1:19">
      <c r="A853" s="319"/>
      <c r="B853" s="300"/>
      <c r="C853" s="332"/>
      <c r="D853" s="300"/>
      <c r="E853" s="300"/>
      <c r="F853" s="300"/>
      <c r="G853" s="300"/>
      <c r="H853" s="300"/>
      <c r="I853" s="300"/>
      <c r="J853" s="300"/>
      <c r="K853" s="300"/>
      <c r="L853" s="300"/>
      <c r="M853" s="300"/>
      <c r="N853" s="300"/>
      <c r="O853" s="300"/>
      <c r="P853" s="300"/>
      <c r="Q853" s="300"/>
      <c r="R853" s="300"/>
      <c r="S853" s="301"/>
    </row>
    <row r="854" spans="1:19">
      <c r="A854" s="319"/>
      <c r="B854" s="300"/>
      <c r="C854" s="332"/>
      <c r="D854" s="300"/>
      <c r="E854" s="300"/>
      <c r="F854" s="300"/>
      <c r="G854" s="300"/>
      <c r="H854" s="300"/>
      <c r="I854" s="300"/>
      <c r="J854" s="300"/>
      <c r="K854" s="300"/>
      <c r="L854" s="300"/>
      <c r="M854" s="300"/>
      <c r="N854" s="300"/>
      <c r="O854" s="300"/>
      <c r="P854" s="300"/>
      <c r="Q854" s="300"/>
      <c r="R854" s="300"/>
      <c r="S854" s="301"/>
    </row>
    <row r="855" spans="1:19">
      <c r="A855" s="319"/>
      <c r="B855" s="300"/>
      <c r="C855" s="332"/>
      <c r="D855" s="300"/>
      <c r="E855" s="300"/>
      <c r="F855" s="300"/>
      <c r="G855" s="300"/>
      <c r="H855" s="300"/>
      <c r="I855" s="300"/>
      <c r="J855" s="300"/>
      <c r="K855" s="300"/>
      <c r="L855" s="300"/>
      <c r="M855" s="300"/>
      <c r="N855" s="300"/>
      <c r="O855" s="300"/>
      <c r="P855" s="300"/>
      <c r="Q855" s="300"/>
      <c r="R855" s="300"/>
      <c r="S855" s="301"/>
    </row>
    <row r="856" spans="1:19">
      <c r="A856" s="319"/>
      <c r="B856" s="300"/>
      <c r="C856" s="332"/>
      <c r="D856" s="300"/>
      <c r="E856" s="300"/>
      <c r="F856" s="300"/>
      <c r="G856" s="300"/>
      <c r="H856" s="300"/>
      <c r="I856" s="300"/>
      <c r="J856" s="300"/>
      <c r="K856" s="300"/>
      <c r="L856" s="300"/>
      <c r="M856" s="300"/>
      <c r="N856" s="300"/>
      <c r="O856" s="300"/>
      <c r="P856" s="300"/>
      <c r="Q856" s="300"/>
      <c r="R856" s="300"/>
      <c r="S856" s="301"/>
    </row>
    <row r="857" spans="1:19">
      <c r="A857" s="319"/>
      <c r="B857" s="300"/>
      <c r="C857" s="332"/>
      <c r="D857" s="300"/>
      <c r="E857" s="300"/>
      <c r="F857" s="300"/>
      <c r="G857" s="300"/>
      <c r="H857" s="300"/>
      <c r="I857" s="300"/>
      <c r="J857" s="300"/>
      <c r="K857" s="300"/>
      <c r="L857" s="300"/>
      <c r="M857" s="300"/>
      <c r="N857" s="300"/>
      <c r="O857" s="300"/>
      <c r="P857" s="300"/>
      <c r="Q857" s="300"/>
      <c r="R857" s="300"/>
      <c r="S857" s="301"/>
    </row>
    <row r="858" spans="1:19">
      <c r="A858" s="319"/>
      <c r="B858" s="300"/>
      <c r="C858" s="332"/>
      <c r="D858" s="300"/>
      <c r="E858" s="300"/>
      <c r="F858" s="300"/>
      <c r="G858" s="300"/>
      <c r="H858" s="300"/>
      <c r="I858" s="300"/>
      <c r="J858" s="300"/>
      <c r="K858" s="300"/>
      <c r="L858" s="300"/>
      <c r="M858" s="300"/>
      <c r="N858" s="300"/>
      <c r="O858" s="300"/>
      <c r="P858" s="300"/>
      <c r="Q858" s="300"/>
      <c r="R858" s="300"/>
      <c r="S858" s="301"/>
    </row>
    <row r="859" spans="1:19">
      <c r="A859" s="319"/>
      <c r="B859" s="300"/>
      <c r="C859" s="332"/>
      <c r="D859" s="300"/>
      <c r="E859" s="300"/>
      <c r="F859" s="300"/>
      <c r="G859" s="300"/>
      <c r="H859" s="300"/>
      <c r="I859" s="300"/>
      <c r="J859" s="300"/>
      <c r="K859" s="300"/>
      <c r="L859" s="300"/>
      <c r="M859" s="300"/>
      <c r="N859" s="300"/>
      <c r="O859" s="300"/>
      <c r="P859" s="300"/>
      <c r="Q859" s="300"/>
      <c r="R859" s="300"/>
      <c r="S859" s="301"/>
    </row>
    <row r="860" spans="1:19">
      <c r="A860" s="319"/>
      <c r="B860" s="300"/>
      <c r="C860" s="332"/>
      <c r="D860" s="300"/>
      <c r="E860" s="300"/>
      <c r="F860" s="300"/>
      <c r="G860" s="300"/>
      <c r="H860" s="300"/>
      <c r="I860" s="300"/>
      <c r="J860" s="300"/>
      <c r="K860" s="300"/>
      <c r="L860" s="300"/>
      <c r="M860" s="300"/>
      <c r="N860" s="300"/>
      <c r="O860" s="300"/>
      <c r="P860" s="300"/>
      <c r="Q860" s="300"/>
      <c r="R860" s="300"/>
      <c r="S860" s="301"/>
    </row>
    <row r="861" spans="1:19">
      <c r="A861" s="319"/>
      <c r="B861" s="300"/>
      <c r="C861" s="332"/>
      <c r="D861" s="300"/>
      <c r="E861" s="300"/>
      <c r="F861" s="300"/>
      <c r="G861" s="300"/>
      <c r="H861" s="300"/>
      <c r="I861" s="300"/>
      <c r="J861" s="300"/>
      <c r="K861" s="300"/>
      <c r="L861" s="300"/>
      <c r="M861" s="300"/>
      <c r="N861" s="300"/>
      <c r="O861" s="300"/>
      <c r="P861" s="300"/>
      <c r="Q861" s="300"/>
      <c r="R861" s="300"/>
      <c r="S861" s="301"/>
    </row>
    <row r="862" spans="1:19">
      <c r="A862" s="319"/>
      <c r="B862" s="300"/>
      <c r="C862" s="332"/>
      <c r="D862" s="300"/>
      <c r="E862" s="300"/>
      <c r="F862" s="300"/>
      <c r="G862" s="300"/>
      <c r="H862" s="300"/>
      <c r="I862" s="300"/>
      <c r="J862" s="300"/>
      <c r="K862" s="300"/>
      <c r="L862" s="300"/>
      <c r="M862" s="300"/>
      <c r="N862" s="300"/>
      <c r="O862" s="300"/>
      <c r="P862" s="300"/>
      <c r="Q862" s="300"/>
      <c r="R862" s="300"/>
      <c r="S862" s="301"/>
    </row>
    <row r="863" spans="1:19">
      <c r="A863" s="319"/>
      <c r="B863" s="300"/>
      <c r="C863" s="332"/>
      <c r="D863" s="300"/>
      <c r="E863" s="300"/>
      <c r="F863" s="300"/>
      <c r="G863" s="300"/>
      <c r="H863" s="300"/>
      <c r="I863" s="300"/>
      <c r="J863" s="300"/>
      <c r="K863" s="300"/>
      <c r="L863" s="300"/>
      <c r="M863" s="300"/>
      <c r="N863" s="300"/>
      <c r="O863" s="300"/>
      <c r="P863" s="300"/>
      <c r="Q863" s="300"/>
      <c r="R863" s="300"/>
      <c r="S863" s="301"/>
    </row>
    <row r="864" spans="1:19">
      <c r="A864" s="319"/>
      <c r="B864" s="300"/>
      <c r="C864" s="332"/>
      <c r="D864" s="300"/>
      <c r="E864" s="300"/>
      <c r="F864" s="300"/>
      <c r="G864" s="300"/>
      <c r="H864" s="300"/>
      <c r="I864" s="300"/>
      <c r="J864" s="300"/>
      <c r="K864" s="300"/>
      <c r="L864" s="300"/>
      <c r="M864" s="300"/>
      <c r="N864" s="300"/>
      <c r="O864" s="300"/>
      <c r="P864" s="300"/>
      <c r="Q864" s="300"/>
      <c r="R864" s="300"/>
      <c r="S864" s="301"/>
    </row>
    <row r="865" spans="1:19">
      <c r="A865" s="319"/>
      <c r="B865" s="300"/>
      <c r="C865" s="332"/>
      <c r="D865" s="300"/>
      <c r="E865" s="300"/>
      <c r="F865" s="300"/>
      <c r="G865" s="300"/>
      <c r="H865" s="300"/>
      <c r="I865" s="300"/>
      <c r="J865" s="300"/>
      <c r="K865" s="300"/>
      <c r="L865" s="300"/>
      <c r="M865" s="300"/>
      <c r="N865" s="300"/>
      <c r="O865" s="300"/>
      <c r="P865" s="300"/>
      <c r="Q865" s="300"/>
      <c r="R865" s="300"/>
      <c r="S865" s="301"/>
    </row>
    <row r="866" spans="1:19">
      <c r="A866" s="319"/>
      <c r="B866" s="300"/>
      <c r="C866" s="332"/>
      <c r="D866" s="300"/>
      <c r="E866" s="300"/>
      <c r="F866" s="300"/>
      <c r="G866" s="300"/>
      <c r="H866" s="300"/>
      <c r="I866" s="300"/>
      <c r="J866" s="300"/>
      <c r="K866" s="300"/>
      <c r="L866" s="300"/>
      <c r="M866" s="300"/>
      <c r="N866" s="300"/>
      <c r="O866" s="300"/>
      <c r="P866" s="300"/>
      <c r="Q866" s="300"/>
      <c r="R866" s="300"/>
      <c r="S866" s="301"/>
    </row>
    <row r="867" spans="1:19">
      <c r="A867" s="319"/>
      <c r="B867" s="300"/>
      <c r="C867" s="332"/>
      <c r="D867" s="300"/>
      <c r="E867" s="300"/>
      <c r="F867" s="300"/>
      <c r="G867" s="300"/>
      <c r="H867" s="300"/>
      <c r="I867" s="300"/>
      <c r="J867" s="300"/>
      <c r="K867" s="300"/>
      <c r="L867" s="300"/>
      <c r="M867" s="300"/>
      <c r="N867" s="300"/>
      <c r="O867" s="300"/>
      <c r="P867" s="300"/>
      <c r="Q867" s="300"/>
      <c r="R867" s="300"/>
      <c r="S867" s="301"/>
    </row>
    <row r="868" spans="1:19">
      <c r="A868" s="319"/>
      <c r="B868" s="300"/>
      <c r="C868" s="332"/>
      <c r="D868" s="300"/>
      <c r="E868" s="300"/>
      <c r="F868" s="300"/>
      <c r="G868" s="300"/>
      <c r="H868" s="300"/>
      <c r="I868" s="300"/>
      <c r="J868" s="300"/>
      <c r="K868" s="300"/>
      <c r="L868" s="300"/>
      <c r="M868" s="300"/>
      <c r="N868" s="300"/>
      <c r="O868" s="300"/>
      <c r="P868" s="300"/>
      <c r="Q868" s="300"/>
      <c r="R868" s="300"/>
      <c r="S868" s="301"/>
    </row>
    <row r="869" spans="1:19">
      <c r="A869" s="319"/>
      <c r="B869" s="300"/>
      <c r="C869" s="332"/>
      <c r="D869" s="300"/>
      <c r="E869" s="300"/>
      <c r="F869" s="300"/>
      <c r="G869" s="300"/>
      <c r="H869" s="300"/>
      <c r="I869" s="300"/>
      <c r="J869" s="300"/>
      <c r="K869" s="300"/>
      <c r="L869" s="300"/>
      <c r="M869" s="300"/>
      <c r="N869" s="300"/>
      <c r="O869" s="300"/>
      <c r="P869" s="300"/>
      <c r="Q869" s="300"/>
      <c r="R869" s="300"/>
      <c r="S869" s="301"/>
    </row>
    <row r="870" spans="1:19">
      <c r="A870" s="319"/>
      <c r="B870" s="300"/>
      <c r="C870" s="332"/>
      <c r="D870" s="300"/>
      <c r="E870" s="300"/>
      <c r="F870" s="300"/>
      <c r="G870" s="300"/>
      <c r="H870" s="300"/>
      <c r="I870" s="300"/>
      <c r="J870" s="300"/>
      <c r="K870" s="300"/>
      <c r="L870" s="300"/>
      <c r="M870" s="300"/>
      <c r="N870" s="300"/>
      <c r="O870" s="300"/>
      <c r="P870" s="300"/>
      <c r="Q870" s="300"/>
      <c r="R870" s="300"/>
      <c r="S870" s="301"/>
    </row>
    <row r="871" spans="1:19">
      <c r="A871" s="319"/>
      <c r="B871" s="300"/>
      <c r="C871" s="332"/>
      <c r="D871" s="300"/>
      <c r="E871" s="300"/>
      <c r="F871" s="300"/>
      <c r="G871" s="300"/>
      <c r="H871" s="300"/>
      <c r="I871" s="300"/>
      <c r="J871" s="300"/>
      <c r="K871" s="300"/>
      <c r="L871" s="300"/>
      <c r="M871" s="300"/>
      <c r="N871" s="300"/>
      <c r="O871" s="300"/>
      <c r="P871" s="300"/>
      <c r="Q871" s="300"/>
      <c r="R871" s="300"/>
      <c r="S871" s="301"/>
    </row>
    <row r="872" spans="1:19">
      <c r="A872" s="319"/>
      <c r="B872" s="300"/>
      <c r="C872" s="332"/>
      <c r="D872" s="300"/>
      <c r="E872" s="300"/>
      <c r="F872" s="300"/>
      <c r="G872" s="300"/>
      <c r="H872" s="300"/>
      <c r="I872" s="300"/>
      <c r="J872" s="300"/>
      <c r="K872" s="300"/>
      <c r="L872" s="300"/>
      <c r="M872" s="300"/>
      <c r="N872" s="300"/>
      <c r="O872" s="300"/>
      <c r="P872" s="300"/>
      <c r="Q872" s="300"/>
      <c r="R872" s="300"/>
      <c r="S872" s="301"/>
    </row>
    <row r="873" spans="1:19">
      <c r="A873" s="319"/>
      <c r="B873" s="300"/>
      <c r="C873" s="332"/>
      <c r="D873" s="300"/>
      <c r="E873" s="300"/>
      <c r="F873" s="300"/>
      <c r="G873" s="300"/>
      <c r="H873" s="300"/>
      <c r="I873" s="300"/>
      <c r="J873" s="300"/>
      <c r="K873" s="300"/>
      <c r="L873" s="300"/>
      <c r="M873" s="300"/>
      <c r="N873" s="300"/>
      <c r="O873" s="300"/>
      <c r="P873" s="300"/>
      <c r="Q873" s="300"/>
      <c r="R873" s="300"/>
      <c r="S873" s="301"/>
    </row>
    <row r="874" spans="1:19">
      <c r="A874" s="319"/>
      <c r="B874" s="300"/>
      <c r="C874" s="332"/>
      <c r="D874" s="300"/>
      <c r="E874" s="300"/>
      <c r="F874" s="300"/>
      <c r="G874" s="300"/>
      <c r="H874" s="300"/>
      <c r="I874" s="300"/>
      <c r="J874" s="300"/>
      <c r="K874" s="300"/>
      <c r="L874" s="300"/>
      <c r="M874" s="300"/>
      <c r="N874" s="300"/>
      <c r="O874" s="300"/>
      <c r="P874" s="300"/>
      <c r="Q874" s="300"/>
      <c r="R874" s="300"/>
      <c r="S874" s="301"/>
    </row>
    <row r="875" spans="1:19">
      <c r="A875" s="319"/>
      <c r="B875" s="300"/>
      <c r="C875" s="332"/>
      <c r="D875" s="300"/>
      <c r="E875" s="300"/>
      <c r="F875" s="300"/>
      <c r="G875" s="300"/>
      <c r="H875" s="300"/>
      <c r="I875" s="300"/>
      <c r="J875" s="300"/>
      <c r="K875" s="300"/>
      <c r="L875" s="300"/>
      <c r="M875" s="300"/>
      <c r="N875" s="300"/>
      <c r="O875" s="300"/>
      <c r="P875" s="300"/>
      <c r="Q875" s="300"/>
      <c r="R875" s="300"/>
      <c r="S875" s="301"/>
    </row>
    <row r="876" spans="1:19">
      <c r="A876" s="319"/>
      <c r="B876" s="300"/>
      <c r="C876" s="332"/>
      <c r="D876" s="300"/>
      <c r="E876" s="300"/>
      <c r="F876" s="300"/>
      <c r="G876" s="300"/>
      <c r="H876" s="300"/>
      <c r="I876" s="300"/>
      <c r="J876" s="300"/>
      <c r="K876" s="300"/>
      <c r="L876" s="300"/>
      <c r="M876" s="300"/>
      <c r="N876" s="300"/>
      <c r="O876" s="300"/>
      <c r="P876" s="300"/>
      <c r="Q876" s="300"/>
      <c r="R876" s="300"/>
      <c r="S876" s="301"/>
    </row>
    <row r="877" spans="1:19">
      <c r="A877" s="319"/>
      <c r="B877" s="300"/>
      <c r="C877" s="332"/>
      <c r="D877" s="300"/>
      <c r="E877" s="300"/>
      <c r="F877" s="300"/>
      <c r="G877" s="300"/>
      <c r="H877" s="300"/>
      <c r="I877" s="300"/>
      <c r="J877" s="300"/>
      <c r="K877" s="300"/>
      <c r="L877" s="300"/>
      <c r="M877" s="300"/>
      <c r="N877" s="300"/>
      <c r="O877" s="300"/>
      <c r="P877" s="300"/>
      <c r="Q877" s="300"/>
      <c r="R877" s="300"/>
      <c r="S877" s="301"/>
    </row>
    <row r="878" spans="1:19">
      <c r="A878" s="319"/>
      <c r="B878" s="300"/>
      <c r="C878" s="332"/>
      <c r="D878" s="300"/>
      <c r="E878" s="300"/>
      <c r="F878" s="300"/>
      <c r="G878" s="300"/>
      <c r="H878" s="300"/>
      <c r="I878" s="300"/>
      <c r="J878" s="300"/>
      <c r="K878" s="300"/>
      <c r="L878" s="300"/>
      <c r="M878" s="300"/>
      <c r="N878" s="300"/>
      <c r="O878" s="300"/>
      <c r="P878" s="300"/>
      <c r="Q878" s="300"/>
      <c r="R878" s="300"/>
      <c r="S878" s="301"/>
    </row>
    <row r="879" spans="1:19">
      <c r="A879" s="319"/>
      <c r="B879" s="300"/>
      <c r="C879" s="332"/>
      <c r="D879" s="300"/>
      <c r="E879" s="300"/>
      <c r="F879" s="300"/>
      <c r="G879" s="300"/>
      <c r="H879" s="300"/>
      <c r="I879" s="300"/>
      <c r="J879" s="300"/>
      <c r="K879" s="300"/>
      <c r="L879" s="300"/>
      <c r="M879" s="300"/>
      <c r="N879" s="300"/>
      <c r="O879" s="300"/>
      <c r="P879" s="300"/>
      <c r="Q879" s="300"/>
      <c r="R879" s="300"/>
      <c r="S879" s="301"/>
    </row>
    <row r="880" spans="1:19">
      <c r="A880" s="319"/>
      <c r="B880" s="300"/>
      <c r="C880" s="332"/>
      <c r="D880" s="300"/>
      <c r="E880" s="300"/>
      <c r="F880" s="300"/>
      <c r="G880" s="300"/>
      <c r="H880" s="300"/>
      <c r="I880" s="300"/>
      <c r="J880" s="300"/>
      <c r="K880" s="300"/>
      <c r="L880" s="300"/>
      <c r="M880" s="300"/>
      <c r="N880" s="300"/>
      <c r="O880" s="300"/>
      <c r="P880" s="300"/>
      <c r="Q880" s="300"/>
      <c r="R880" s="300"/>
      <c r="S880" s="301"/>
    </row>
    <row r="881" spans="1:19">
      <c r="A881" s="319"/>
      <c r="B881" s="300"/>
      <c r="C881" s="332"/>
      <c r="D881" s="300"/>
      <c r="E881" s="300"/>
      <c r="F881" s="300"/>
      <c r="G881" s="300"/>
      <c r="H881" s="300"/>
      <c r="I881" s="300"/>
      <c r="J881" s="300"/>
      <c r="K881" s="300"/>
      <c r="L881" s="300"/>
      <c r="M881" s="300"/>
      <c r="N881" s="300"/>
      <c r="O881" s="300"/>
      <c r="P881" s="300"/>
      <c r="Q881" s="300"/>
      <c r="R881" s="300"/>
      <c r="S881" s="301"/>
    </row>
    <row r="882" spans="1:19">
      <c r="A882" s="319"/>
      <c r="B882" s="300"/>
      <c r="C882" s="332"/>
      <c r="D882" s="300"/>
      <c r="E882" s="300"/>
      <c r="F882" s="300"/>
      <c r="G882" s="300"/>
      <c r="H882" s="300"/>
      <c r="I882" s="300"/>
      <c r="J882" s="300"/>
      <c r="K882" s="300"/>
      <c r="L882" s="300"/>
      <c r="M882" s="300"/>
      <c r="N882" s="300"/>
      <c r="O882" s="300"/>
      <c r="P882" s="300"/>
      <c r="Q882" s="300"/>
      <c r="R882" s="300"/>
      <c r="S882" s="301"/>
    </row>
    <row r="883" spans="1:19">
      <c r="A883" s="319"/>
      <c r="B883" s="300"/>
      <c r="C883" s="332"/>
      <c r="D883" s="300"/>
      <c r="E883" s="300"/>
      <c r="F883" s="300"/>
      <c r="G883" s="300"/>
      <c r="H883" s="300"/>
      <c r="I883" s="300"/>
      <c r="J883" s="300"/>
      <c r="K883" s="300"/>
      <c r="L883" s="300"/>
      <c r="M883" s="300"/>
      <c r="N883" s="300"/>
      <c r="O883" s="300"/>
      <c r="P883" s="300"/>
      <c r="Q883" s="300"/>
      <c r="R883" s="300"/>
      <c r="S883" s="301"/>
    </row>
    <row r="884" spans="1:19">
      <c r="A884" s="319"/>
      <c r="B884" s="300"/>
      <c r="C884" s="332"/>
      <c r="D884" s="300"/>
      <c r="E884" s="300"/>
      <c r="F884" s="300"/>
      <c r="G884" s="300"/>
      <c r="H884" s="300"/>
      <c r="I884" s="300"/>
      <c r="J884" s="300"/>
      <c r="K884" s="300"/>
      <c r="L884" s="300"/>
      <c r="M884" s="300"/>
      <c r="N884" s="300"/>
      <c r="O884" s="300"/>
      <c r="P884" s="300"/>
      <c r="Q884" s="300"/>
      <c r="R884" s="300"/>
      <c r="S884" s="301"/>
    </row>
    <row r="885" spans="1:19">
      <c r="A885" s="319"/>
      <c r="B885" s="300"/>
      <c r="C885" s="332"/>
      <c r="D885" s="300"/>
      <c r="E885" s="300"/>
      <c r="F885" s="300"/>
      <c r="G885" s="300"/>
      <c r="H885" s="300"/>
      <c r="I885" s="300"/>
      <c r="J885" s="300"/>
      <c r="K885" s="300"/>
      <c r="L885" s="300"/>
      <c r="M885" s="300"/>
      <c r="N885" s="300"/>
      <c r="O885" s="300"/>
      <c r="P885" s="300"/>
      <c r="Q885" s="300"/>
      <c r="R885" s="300"/>
      <c r="S885" s="301"/>
    </row>
    <row r="886" spans="1:19">
      <c r="A886" s="319"/>
      <c r="B886" s="300"/>
      <c r="C886" s="332"/>
      <c r="D886" s="300"/>
      <c r="E886" s="300"/>
      <c r="F886" s="300"/>
      <c r="G886" s="300"/>
      <c r="H886" s="300"/>
      <c r="I886" s="300"/>
      <c r="J886" s="300"/>
      <c r="K886" s="300"/>
      <c r="L886" s="300"/>
      <c r="M886" s="300"/>
      <c r="N886" s="300"/>
      <c r="O886" s="300"/>
      <c r="P886" s="300"/>
      <c r="Q886" s="300"/>
      <c r="R886" s="300"/>
      <c r="S886" s="301"/>
    </row>
    <row r="887" spans="1:19">
      <c r="A887" s="319"/>
      <c r="B887" s="300"/>
      <c r="C887" s="332"/>
      <c r="D887" s="300"/>
      <c r="E887" s="300"/>
      <c r="F887" s="300"/>
      <c r="G887" s="300"/>
      <c r="H887" s="300"/>
      <c r="I887" s="300"/>
      <c r="J887" s="300"/>
      <c r="K887" s="300"/>
      <c r="L887" s="300"/>
      <c r="M887" s="300"/>
      <c r="N887" s="300"/>
      <c r="O887" s="300"/>
      <c r="P887" s="300"/>
      <c r="Q887" s="300"/>
      <c r="R887" s="300"/>
      <c r="S887" s="301"/>
    </row>
    <row r="888" spans="1:19">
      <c r="A888" s="319"/>
      <c r="B888" s="300"/>
      <c r="C888" s="332"/>
      <c r="D888" s="300"/>
      <c r="E888" s="300"/>
      <c r="F888" s="300"/>
      <c r="G888" s="300"/>
      <c r="H888" s="300"/>
      <c r="I888" s="300"/>
      <c r="J888" s="300"/>
      <c r="K888" s="300"/>
      <c r="L888" s="300"/>
      <c r="M888" s="300"/>
      <c r="N888" s="300"/>
      <c r="O888" s="300"/>
      <c r="P888" s="300"/>
      <c r="Q888" s="300"/>
      <c r="R888" s="300"/>
      <c r="S888" s="301"/>
    </row>
    <row r="889" spans="1:19">
      <c r="A889" s="319"/>
      <c r="B889" s="300"/>
      <c r="C889" s="332"/>
      <c r="D889" s="300"/>
      <c r="E889" s="300"/>
      <c r="F889" s="300"/>
      <c r="G889" s="300"/>
      <c r="H889" s="300"/>
      <c r="I889" s="300"/>
      <c r="J889" s="300"/>
      <c r="K889" s="300"/>
      <c r="L889" s="300"/>
      <c r="M889" s="300"/>
      <c r="N889" s="300"/>
      <c r="O889" s="300"/>
      <c r="P889" s="300"/>
      <c r="Q889" s="300"/>
      <c r="R889" s="300"/>
      <c r="S889" s="301"/>
    </row>
    <row r="890" spans="1:19">
      <c r="A890" s="319"/>
      <c r="B890" s="300"/>
      <c r="C890" s="332"/>
      <c r="D890" s="300"/>
      <c r="E890" s="300"/>
      <c r="F890" s="300"/>
      <c r="G890" s="300"/>
      <c r="H890" s="300"/>
      <c r="I890" s="300"/>
      <c r="J890" s="300"/>
      <c r="K890" s="300"/>
      <c r="L890" s="300"/>
      <c r="M890" s="300"/>
      <c r="N890" s="300"/>
      <c r="O890" s="300"/>
      <c r="P890" s="300"/>
      <c r="Q890" s="300"/>
      <c r="R890" s="300"/>
      <c r="S890" s="301"/>
    </row>
    <row r="891" spans="1:19">
      <c r="A891" s="319"/>
      <c r="B891" s="300"/>
      <c r="C891" s="332"/>
      <c r="D891" s="300"/>
      <c r="E891" s="300"/>
      <c r="F891" s="300"/>
      <c r="G891" s="300"/>
      <c r="H891" s="300"/>
      <c r="I891" s="300"/>
      <c r="J891" s="300"/>
      <c r="K891" s="300"/>
      <c r="L891" s="300"/>
      <c r="M891" s="300"/>
      <c r="N891" s="300"/>
      <c r="O891" s="300"/>
      <c r="P891" s="300"/>
      <c r="Q891" s="300"/>
      <c r="R891" s="300"/>
      <c r="S891" s="301"/>
    </row>
    <row r="892" spans="1:19">
      <c r="A892" s="319"/>
      <c r="B892" s="300"/>
      <c r="C892" s="332"/>
      <c r="D892" s="300"/>
      <c r="E892" s="300"/>
      <c r="F892" s="300"/>
      <c r="G892" s="300"/>
      <c r="H892" s="300"/>
      <c r="I892" s="300"/>
      <c r="J892" s="300"/>
      <c r="K892" s="300"/>
      <c r="L892" s="300"/>
      <c r="M892" s="300"/>
      <c r="N892" s="300"/>
      <c r="O892" s="300"/>
      <c r="P892" s="300"/>
      <c r="Q892" s="300"/>
      <c r="R892" s="300"/>
      <c r="S892" s="301"/>
    </row>
    <row r="893" spans="1:19">
      <c r="A893" s="319"/>
      <c r="B893" s="300"/>
      <c r="C893" s="332"/>
      <c r="D893" s="300"/>
      <c r="E893" s="300"/>
      <c r="F893" s="300"/>
      <c r="G893" s="300"/>
      <c r="H893" s="300"/>
      <c r="I893" s="300"/>
      <c r="J893" s="300"/>
      <c r="K893" s="300"/>
      <c r="L893" s="300"/>
      <c r="M893" s="300"/>
      <c r="N893" s="300"/>
      <c r="O893" s="300"/>
      <c r="P893" s="300"/>
      <c r="Q893" s="300"/>
      <c r="R893" s="300"/>
      <c r="S893" s="301"/>
    </row>
    <row r="894" spans="1:19">
      <c r="A894" s="319"/>
      <c r="B894" s="300"/>
      <c r="C894" s="332"/>
      <c r="D894" s="300"/>
      <c r="E894" s="300"/>
      <c r="F894" s="300"/>
      <c r="G894" s="300"/>
      <c r="H894" s="300"/>
      <c r="I894" s="300"/>
      <c r="J894" s="300"/>
      <c r="K894" s="300"/>
      <c r="L894" s="300"/>
      <c r="M894" s="300"/>
      <c r="N894" s="300"/>
      <c r="O894" s="300"/>
      <c r="P894" s="300"/>
      <c r="Q894" s="300"/>
      <c r="R894" s="300"/>
      <c r="S894" s="301"/>
    </row>
    <row r="895" spans="1:19">
      <c r="A895" s="319"/>
      <c r="B895" s="300"/>
      <c r="C895" s="332"/>
      <c r="D895" s="300"/>
      <c r="E895" s="300"/>
      <c r="F895" s="300"/>
      <c r="G895" s="300"/>
      <c r="H895" s="300"/>
      <c r="I895" s="300"/>
      <c r="J895" s="300"/>
      <c r="K895" s="300"/>
      <c r="L895" s="300"/>
      <c r="M895" s="300"/>
      <c r="N895" s="300"/>
      <c r="O895" s="300"/>
      <c r="P895" s="300"/>
      <c r="Q895" s="300"/>
      <c r="R895" s="300"/>
      <c r="S895" s="301"/>
    </row>
    <row r="896" spans="1:19">
      <c r="A896" s="319"/>
      <c r="B896" s="300"/>
      <c r="C896" s="332"/>
      <c r="D896" s="300"/>
      <c r="E896" s="300"/>
      <c r="F896" s="300"/>
      <c r="G896" s="300"/>
      <c r="H896" s="300"/>
      <c r="I896" s="300"/>
      <c r="J896" s="300"/>
      <c r="K896" s="300"/>
      <c r="L896" s="300"/>
      <c r="M896" s="300"/>
      <c r="N896" s="300"/>
      <c r="O896" s="300"/>
      <c r="P896" s="300"/>
      <c r="Q896" s="300"/>
      <c r="R896" s="300"/>
      <c r="S896" s="301"/>
    </row>
    <row r="897" spans="1:19">
      <c r="A897" s="319"/>
      <c r="B897" s="300"/>
      <c r="C897" s="332"/>
      <c r="D897" s="300"/>
      <c r="E897" s="300"/>
      <c r="F897" s="300"/>
      <c r="G897" s="300"/>
      <c r="H897" s="300"/>
      <c r="I897" s="300"/>
      <c r="J897" s="300"/>
      <c r="K897" s="300"/>
      <c r="L897" s="300"/>
      <c r="M897" s="300"/>
      <c r="N897" s="300"/>
      <c r="O897" s="300"/>
      <c r="P897" s="300"/>
      <c r="Q897" s="300"/>
      <c r="R897" s="300"/>
      <c r="S897" s="301"/>
    </row>
    <row r="898" spans="1:19">
      <c r="A898" s="319"/>
      <c r="B898" s="300"/>
      <c r="C898" s="332"/>
      <c r="D898" s="300"/>
      <c r="E898" s="300"/>
      <c r="F898" s="300"/>
      <c r="G898" s="300"/>
      <c r="H898" s="300"/>
      <c r="I898" s="300"/>
      <c r="J898" s="300"/>
      <c r="K898" s="300"/>
      <c r="L898" s="300"/>
      <c r="M898" s="300"/>
      <c r="N898" s="300"/>
      <c r="O898" s="300"/>
      <c r="P898" s="300"/>
      <c r="Q898" s="300"/>
      <c r="R898" s="300"/>
      <c r="S898" s="301"/>
    </row>
    <row r="899" spans="1:19">
      <c r="A899" s="319"/>
      <c r="B899" s="300"/>
      <c r="C899" s="332"/>
      <c r="D899" s="300"/>
      <c r="E899" s="300"/>
      <c r="F899" s="300"/>
      <c r="G899" s="300"/>
      <c r="H899" s="300"/>
      <c r="I899" s="300"/>
      <c r="J899" s="300"/>
      <c r="K899" s="300"/>
      <c r="L899" s="300"/>
      <c r="M899" s="300"/>
      <c r="N899" s="300"/>
      <c r="O899" s="300"/>
      <c r="P899" s="300"/>
      <c r="Q899" s="300"/>
      <c r="R899" s="300"/>
      <c r="S899" s="301"/>
    </row>
    <row r="900" spans="1:19">
      <c r="A900" s="319"/>
      <c r="B900" s="300"/>
      <c r="C900" s="332"/>
      <c r="D900" s="300"/>
      <c r="E900" s="300"/>
      <c r="F900" s="300"/>
      <c r="G900" s="300"/>
      <c r="H900" s="300"/>
      <c r="I900" s="300"/>
      <c r="J900" s="300"/>
      <c r="K900" s="300"/>
      <c r="L900" s="300"/>
      <c r="M900" s="300"/>
      <c r="N900" s="300"/>
      <c r="O900" s="300"/>
      <c r="P900" s="300"/>
      <c r="Q900" s="300"/>
      <c r="R900" s="300"/>
      <c r="S900" s="301"/>
    </row>
    <row r="901" spans="1:19">
      <c r="A901" s="319"/>
      <c r="B901" s="300"/>
      <c r="C901" s="332"/>
      <c r="D901" s="300"/>
      <c r="E901" s="300"/>
      <c r="F901" s="300"/>
      <c r="G901" s="300"/>
      <c r="H901" s="300"/>
      <c r="I901" s="300"/>
      <c r="J901" s="300"/>
      <c r="K901" s="300"/>
      <c r="L901" s="300"/>
      <c r="M901" s="300"/>
      <c r="N901" s="300"/>
      <c r="O901" s="300"/>
      <c r="P901" s="300"/>
      <c r="Q901" s="300"/>
      <c r="R901" s="300"/>
      <c r="S901" s="301"/>
    </row>
    <row r="902" spans="1:19">
      <c r="A902" s="319"/>
      <c r="B902" s="300"/>
      <c r="C902" s="332"/>
      <c r="D902" s="300"/>
      <c r="E902" s="300"/>
      <c r="F902" s="300"/>
      <c r="G902" s="300"/>
      <c r="H902" s="300"/>
      <c r="I902" s="300"/>
      <c r="J902" s="300"/>
      <c r="K902" s="300"/>
      <c r="L902" s="300"/>
      <c r="M902" s="300"/>
      <c r="N902" s="300"/>
      <c r="O902" s="300"/>
      <c r="P902" s="300"/>
      <c r="Q902" s="300"/>
      <c r="R902" s="300"/>
      <c r="S902" s="301"/>
    </row>
    <row r="903" spans="1:19">
      <c r="A903" s="319"/>
      <c r="B903" s="300"/>
      <c r="C903" s="332"/>
      <c r="D903" s="300"/>
      <c r="E903" s="300"/>
      <c r="F903" s="300"/>
      <c r="G903" s="300"/>
      <c r="H903" s="300"/>
      <c r="I903" s="300"/>
      <c r="J903" s="300"/>
      <c r="K903" s="300"/>
      <c r="L903" s="300"/>
      <c r="M903" s="300"/>
      <c r="N903" s="300"/>
      <c r="O903" s="300"/>
      <c r="P903" s="300"/>
      <c r="Q903" s="300"/>
      <c r="R903" s="300"/>
      <c r="S903" s="301"/>
    </row>
    <row r="904" spans="1:19">
      <c r="A904" s="319"/>
      <c r="B904" s="300"/>
      <c r="C904" s="332"/>
      <c r="D904" s="300"/>
      <c r="E904" s="300"/>
      <c r="F904" s="300"/>
      <c r="G904" s="300"/>
      <c r="H904" s="300"/>
      <c r="I904" s="300"/>
      <c r="J904" s="300"/>
      <c r="K904" s="300"/>
      <c r="L904" s="300"/>
      <c r="M904" s="300"/>
      <c r="N904" s="300"/>
      <c r="O904" s="300"/>
      <c r="P904" s="300"/>
      <c r="Q904" s="300"/>
      <c r="R904" s="300"/>
      <c r="S904" s="301"/>
    </row>
    <row r="905" spans="1:19">
      <c r="A905" s="319"/>
      <c r="B905" s="300"/>
      <c r="C905" s="332"/>
      <c r="D905" s="300"/>
      <c r="E905" s="300"/>
      <c r="F905" s="300"/>
      <c r="G905" s="300"/>
      <c r="H905" s="300"/>
      <c r="I905" s="300"/>
      <c r="J905" s="300"/>
      <c r="K905" s="300"/>
      <c r="L905" s="300"/>
      <c r="M905" s="300"/>
      <c r="N905" s="300"/>
      <c r="O905" s="300"/>
      <c r="P905" s="300"/>
      <c r="Q905" s="300"/>
      <c r="R905" s="300"/>
      <c r="S905" s="301"/>
    </row>
    <row r="906" spans="1:19">
      <c r="A906" s="319"/>
      <c r="B906" s="300"/>
      <c r="C906" s="332"/>
      <c r="D906" s="300"/>
      <c r="E906" s="300"/>
      <c r="F906" s="300"/>
      <c r="G906" s="300"/>
      <c r="H906" s="300"/>
      <c r="I906" s="300"/>
      <c r="J906" s="300"/>
      <c r="K906" s="300"/>
      <c r="L906" s="300"/>
      <c r="M906" s="300"/>
      <c r="N906" s="300"/>
      <c r="O906" s="300"/>
      <c r="P906" s="300"/>
      <c r="Q906" s="300"/>
      <c r="R906" s="300"/>
      <c r="S906" s="301"/>
    </row>
    <row r="907" spans="1:19">
      <c r="A907" s="319"/>
      <c r="B907" s="300"/>
      <c r="C907" s="332"/>
      <c r="D907" s="300"/>
      <c r="E907" s="300"/>
      <c r="F907" s="300"/>
      <c r="G907" s="300"/>
      <c r="H907" s="300"/>
      <c r="I907" s="300"/>
      <c r="J907" s="300"/>
      <c r="K907" s="300"/>
      <c r="L907" s="300"/>
      <c r="M907" s="300"/>
      <c r="N907" s="300"/>
      <c r="O907" s="300"/>
      <c r="P907" s="300"/>
      <c r="Q907" s="300"/>
      <c r="R907" s="300"/>
      <c r="S907" s="301"/>
    </row>
    <row r="908" spans="1:19">
      <c r="A908" s="319"/>
      <c r="B908" s="300"/>
      <c r="C908" s="332"/>
      <c r="D908" s="300"/>
      <c r="E908" s="300"/>
      <c r="F908" s="300"/>
      <c r="G908" s="300"/>
      <c r="H908" s="300"/>
      <c r="I908" s="300"/>
      <c r="J908" s="300"/>
      <c r="K908" s="300"/>
      <c r="L908" s="300"/>
      <c r="M908" s="300"/>
      <c r="N908" s="300"/>
      <c r="O908" s="300"/>
      <c r="P908" s="300"/>
      <c r="Q908" s="300"/>
      <c r="R908" s="300"/>
      <c r="S908" s="301"/>
    </row>
    <row r="909" spans="1:19">
      <c r="A909" s="319"/>
      <c r="B909" s="300"/>
      <c r="C909" s="332"/>
      <c r="D909" s="300"/>
      <c r="E909" s="300"/>
      <c r="F909" s="300"/>
      <c r="G909" s="300"/>
      <c r="H909" s="300"/>
      <c r="I909" s="300"/>
      <c r="J909" s="300"/>
      <c r="K909" s="300"/>
      <c r="L909" s="300"/>
      <c r="M909" s="300"/>
      <c r="N909" s="300"/>
      <c r="O909" s="300"/>
      <c r="P909" s="300"/>
      <c r="Q909" s="300"/>
      <c r="R909" s="300"/>
      <c r="S909" s="301"/>
    </row>
    <row r="910" spans="1:19">
      <c r="A910" s="319"/>
      <c r="B910" s="300"/>
      <c r="C910" s="332"/>
      <c r="D910" s="300"/>
      <c r="E910" s="300"/>
      <c r="F910" s="300"/>
      <c r="G910" s="300"/>
      <c r="H910" s="300"/>
      <c r="I910" s="300"/>
      <c r="J910" s="300"/>
      <c r="K910" s="300"/>
      <c r="L910" s="300"/>
      <c r="M910" s="300"/>
      <c r="N910" s="300"/>
      <c r="O910" s="300"/>
      <c r="P910" s="300"/>
      <c r="Q910" s="300"/>
      <c r="R910" s="300"/>
      <c r="S910" s="301"/>
    </row>
    <row r="911" spans="1:19">
      <c r="A911" s="319"/>
      <c r="B911" s="300"/>
      <c r="C911" s="332"/>
      <c r="D911" s="300"/>
      <c r="E911" s="300"/>
      <c r="F911" s="300"/>
      <c r="G911" s="300"/>
      <c r="H911" s="300"/>
      <c r="I911" s="300"/>
      <c r="J911" s="300"/>
      <c r="K911" s="300"/>
      <c r="L911" s="300"/>
      <c r="M911" s="300"/>
      <c r="N911" s="300"/>
      <c r="O911" s="300"/>
      <c r="P911" s="300"/>
      <c r="Q911" s="300"/>
      <c r="R911" s="300"/>
      <c r="S911" s="301"/>
    </row>
    <row r="912" spans="1:19">
      <c r="A912" s="319"/>
      <c r="B912" s="300"/>
      <c r="C912" s="332"/>
      <c r="D912" s="300"/>
      <c r="E912" s="300"/>
      <c r="F912" s="300"/>
      <c r="G912" s="300"/>
      <c r="H912" s="300"/>
      <c r="I912" s="300"/>
      <c r="J912" s="300"/>
      <c r="K912" s="300"/>
      <c r="L912" s="300"/>
      <c r="M912" s="300"/>
      <c r="N912" s="300"/>
      <c r="O912" s="300"/>
      <c r="P912" s="300"/>
      <c r="Q912" s="300"/>
      <c r="R912" s="300"/>
      <c r="S912" s="301"/>
    </row>
    <row r="913" spans="1:19">
      <c r="A913" s="319"/>
      <c r="B913" s="300"/>
      <c r="C913" s="332"/>
      <c r="D913" s="300"/>
      <c r="E913" s="300"/>
      <c r="F913" s="300"/>
      <c r="G913" s="300"/>
      <c r="H913" s="300"/>
      <c r="I913" s="300"/>
      <c r="J913" s="300"/>
      <c r="K913" s="300"/>
      <c r="L913" s="300"/>
      <c r="M913" s="300"/>
      <c r="N913" s="300"/>
      <c r="O913" s="300"/>
      <c r="P913" s="300"/>
      <c r="Q913" s="300"/>
      <c r="R913" s="300"/>
      <c r="S913" s="301"/>
    </row>
    <row r="914" spans="1:19">
      <c r="A914" s="319"/>
      <c r="B914" s="300"/>
      <c r="C914" s="332"/>
      <c r="D914" s="300"/>
      <c r="E914" s="300"/>
      <c r="F914" s="300"/>
      <c r="G914" s="300"/>
      <c r="H914" s="300"/>
      <c r="I914" s="300"/>
      <c r="J914" s="300"/>
      <c r="K914" s="300"/>
      <c r="L914" s="300"/>
      <c r="M914" s="300"/>
      <c r="N914" s="300"/>
      <c r="O914" s="300"/>
      <c r="P914" s="300"/>
      <c r="Q914" s="300"/>
      <c r="R914" s="300"/>
      <c r="S914" s="301"/>
    </row>
    <row r="915" spans="1:19">
      <c r="A915" s="319"/>
      <c r="B915" s="300"/>
      <c r="C915" s="332"/>
      <c r="D915" s="300"/>
      <c r="E915" s="300"/>
      <c r="F915" s="300"/>
      <c r="G915" s="300"/>
      <c r="H915" s="300"/>
      <c r="I915" s="300"/>
      <c r="J915" s="300"/>
      <c r="K915" s="300"/>
      <c r="L915" s="300"/>
      <c r="M915" s="300"/>
      <c r="N915" s="300"/>
      <c r="O915" s="300"/>
      <c r="P915" s="300"/>
      <c r="Q915" s="300"/>
      <c r="R915" s="300"/>
      <c r="S915" s="301"/>
    </row>
    <row r="916" spans="1:19">
      <c r="A916" s="319"/>
      <c r="B916" s="300"/>
      <c r="C916" s="332"/>
      <c r="D916" s="300"/>
      <c r="E916" s="300"/>
      <c r="F916" s="300"/>
      <c r="G916" s="300"/>
      <c r="H916" s="300"/>
      <c r="I916" s="300"/>
      <c r="J916" s="300"/>
      <c r="K916" s="300"/>
      <c r="L916" s="300"/>
      <c r="M916" s="300"/>
      <c r="N916" s="300"/>
      <c r="O916" s="300"/>
      <c r="P916" s="300"/>
      <c r="Q916" s="300"/>
      <c r="R916" s="300"/>
      <c r="S916" s="301"/>
    </row>
    <row r="917" spans="1:19">
      <c r="A917" s="319"/>
      <c r="B917" s="300"/>
      <c r="C917" s="332"/>
      <c r="D917" s="300"/>
      <c r="E917" s="300"/>
      <c r="F917" s="300"/>
      <c r="G917" s="300"/>
      <c r="H917" s="300"/>
      <c r="I917" s="300"/>
      <c r="J917" s="300"/>
      <c r="K917" s="300"/>
      <c r="L917" s="300"/>
      <c r="M917" s="300"/>
      <c r="N917" s="300"/>
      <c r="O917" s="300"/>
      <c r="P917" s="300"/>
      <c r="Q917" s="300"/>
      <c r="R917" s="300"/>
      <c r="S917" s="301"/>
    </row>
    <row r="918" spans="1:19">
      <c r="A918" s="319"/>
      <c r="B918" s="300"/>
      <c r="C918" s="332"/>
      <c r="D918" s="300"/>
      <c r="E918" s="300"/>
      <c r="F918" s="300"/>
      <c r="G918" s="300"/>
      <c r="H918" s="300"/>
      <c r="I918" s="300"/>
      <c r="J918" s="300"/>
      <c r="K918" s="300"/>
      <c r="L918" s="300"/>
      <c r="M918" s="300"/>
      <c r="N918" s="300"/>
      <c r="O918" s="300"/>
      <c r="P918" s="300"/>
      <c r="Q918" s="300"/>
      <c r="R918" s="300"/>
      <c r="S918" s="301"/>
    </row>
    <row r="919" spans="1:19">
      <c r="A919" s="319"/>
      <c r="B919" s="300"/>
      <c r="C919" s="332"/>
      <c r="D919" s="300"/>
      <c r="E919" s="300"/>
      <c r="F919" s="300"/>
      <c r="G919" s="300"/>
      <c r="H919" s="300"/>
      <c r="I919" s="300"/>
      <c r="J919" s="300"/>
      <c r="K919" s="300"/>
      <c r="L919" s="300"/>
      <c r="M919" s="300"/>
      <c r="N919" s="300"/>
      <c r="O919" s="300"/>
      <c r="P919" s="300"/>
      <c r="Q919" s="300"/>
      <c r="R919" s="300"/>
      <c r="S919" s="301"/>
    </row>
    <row r="920" spans="1:19">
      <c r="A920" s="319"/>
      <c r="B920" s="300"/>
      <c r="C920" s="332"/>
      <c r="D920" s="300"/>
      <c r="E920" s="300"/>
      <c r="F920" s="300"/>
      <c r="G920" s="300"/>
      <c r="H920" s="300"/>
      <c r="I920" s="300"/>
      <c r="J920" s="300"/>
      <c r="K920" s="300"/>
      <c r="L920" s="300"/>
      <c r="M920" s="300"/>
      <c r="N920" s="300"/>
      <c r="O920" s="300"/>
      <c r="P920" s="300"/>
      <c r="Q920" s="300"/>
      <c r="R920" s="300"/>
      <c r="S920" s="301"/>
    </row>
    <row r="921" spans="1:19">
      <c r="A921" s="319"/>
      <c r="B921" s="300"/>
      <c r="C921" s="332"/>
      <c r="D921" s="300"/>
      <c r="E921" s="300"/>
      <c r="F921" s="300"/>
      <c r="G921" s="300"/>
      <c r="H921" s="300"/>
      <c r="I921" s="300"/>
      <c r="J921" s="300"/>
      <c r="K921" s="300"/>
      <c r="L921" s="300"/>
      <c r="M921" s="300"/>
      <c r="N921" s="300"/>
      <c r="O921" s="300"/>
      <c r="P921" s="300"/>
      <c r="Q921" s="300"/>
      <c r="R921" s="300"/>
      <c r="S921" s="301"/>
    </row>
    <row r="922" spans="1:19">
      <c r="A922" s="319"/>
      <c r="B922" s="300"/>
      <c r="C922" s="332"/>
      <c r="D922" s="300"/>
      <c r="E922" s="300"/>
      <c r="F922" s="300"/>
      <c r="G922" s="300"/>
      <c r="H922" s="300"/>
      <c r="I922" s="300"/>
      <c r="J922" s="300"/>
      <c r="K922" s="300"/>
      <c r="L922" s="300"/>
      <c r="M922" s="300"/>
      <c r="N922" s="300"/>
      <c r="O922" s="300"/>
      <c r="P922" s="300"/>
      <c r="Q922" s="300"/>
      <c r="R922" s="300"/>
      <c r="S922" s="301"/>
    </row>
    <row r="923" spans="1:19">
      <c r="A923" s="319"/>
      <c r="B923" s="300"/>
      <c r="C923" s="332"/>
      <c r="D923" s="300"/>
      <c r="E923" s="300"/>
      <c r="F923" s="300"/>
      <c r="G923" s="300"/>
      <c r="H923" s="300"/>
      <c r="I923" s="300"/>
      <c r="J923" s="300"/>
      <c r="K923" s="300"/>
      <c r="L923" s="300"/>
      <c r="M923" s="300"/>
      <c r="N923" s="300"/>
      <c r="O923" s="300"/>
      <c r="P923" s="300"/>
      <c r="Q923" s="300"/>
      <c r="R923" s="300"/>
      <c r="S923" s="301"/>
    </row>
    <row r="924" spans="1:19">
      <c r="A924" s="319"/>
      <c r="B924" s="300"/>
      <c r="C924" s="332"/>
      <c r="D924" s="300"/>
      <c r="E924" s="300"/>
      <c r="F924" s="300"/>
      <c r="G924" s="300"/>
      <c r="H924" s="300"/>
      <c r="I924" s="300"/>
      <c r="J924" s="300"/>
      <c r="K924" s="300"/>
      <c r="L924" s="300"/>
      <c r="M924" s="300"/>
      <c r="N924" s="300"/>
      <c r="O924" s="300"/>
      <c r="P924" s="300"/>
      <c r="Q924" s="300"/>
      <c r="R924" s="300"/>
      <c r="S924" s="301"/>
    </row>
    <row r="925" spans="1:19">
      <c r="A925" s="319"/>
      <c r="B925" s="300"/>
      <c r="C925" s="332"/>
      <c r="D925" s="300"/>
      <c r="E925" s="300"/>
      <c r="F925" s="300"/>
      <c r="G925" s="300"/>
      <c r="H925" s="300"/>
      <c r="I925" s="300"/>
      <c r="J925" s="300"/>
      <c r="K925" s="300"/>
      <c r="L925" s="300"/>
      <c r="M925" s="300"/>
      <c r="N925" s="300"/>
      <c r="O925" s="300"/>
      <c r="P925" s="300"/>
      <c r="Q925" s="300"/>
      <c r="R925" s="300"/>
      <c r="S925" s="301"/>
    </row>
    <row r="926" spans="1:19">
      <c r="A926" s="319"/>
      <c r="B926" s="300"/>
      <c r="C926" s="332"/>
      <c r="D926" s="300"/>
      <c r="E926" s="300"/>
      <c r="F926" s="300"/>
      <c r="G926" s="300"/>
      <c r="H926" s="300"/>
      <c r="I926" s="300"/>
      <c r="J926" s="300"/>
      <c r="K926" s="300"/>
      <c r="L926" s="300"/>
      <c r="M926" s="300"/>
      <c r="N926" s="300"/>
      <c r="O926" s="300"/>
      <c r="P926" s="300"/>
      <c r="Q926" s="300"/>
      <c r="R926" s="300"/>
      <c r="S926" s="301"/>
    </row>
    <row r="927" spans="1:19">
      <c r="A927" s="319"/>
      <c r="B927" s="300"/>
      <c r="C927" s="332"/>
      <c r="D927" s="300"/>
      <c r="E927" s="300"/>
      <c r="F927" s="300"/>
      <c r="G927" s="300"/>
      <c r="H927" s="300"/>
      <c r="I927" s="300"/>
      <c r="J927" s="300"/>
      <c r="K927" s="300"/>
      <c r="L927" s="300"/>
      <c r="M927" s="300"/>
      <c r="N927" s="300"/>
      <c r="O927" s="300"/>
      <c r="P927" s="300"/>
      <c r="Q927" s="300"/>
      <c r="R927" s="300"/>
      <c r="S927" s="301"/>
    </row>
    <row r="928" spans="1:19">
      <c r="A928" s="319"/>
      <c r="B928" s="300"/>
      <c r="C928" s="332"/>
      <c r="D928" s="300"/>
      <c r="E928" s="300"/>
      <c r="F928" s="300"/>
      <c r="G928" s="300"/>
      <c r="H928" s="300"/>
      <c r="I928" s="300"/>
      <c r="J928" s="300"/>
      <c r="K928" s="300"/>
      <c r="L928" s="300"/>
      <c r="M928" s="300"/>
      <c r="N928" s="300"/>
      <c r="O928" s="300"/>
      <c r="P928" s="300"/>
      <c r="Q928" s="300"/>
      <c r="R928" s="300"/>
      <c r="S928" s="301"/>
    </row>
    <row r="929" spans="1:19">
      <c r="A929" s="319"/>
      <c r="B929" s="300"/>
      <c r="C929" s="332"/>
      <c r="D929" s="300"/>
      <c r="E929" s="300"/>
      <c r="F929" s="300"/>
      <c r="G929" s="300"/>
      <c r="H929" s="300"/>
      <c r="I929" s="300"/>
      <c r="J929" s="300"/>
      <c r="K929" s="300"/>
      <c r="L929" s="300"/>
      <c r="M929" s="300"/>
      <c r="N929" s="300"/>
      <c r="O929" s="300"/>
      <c r="P929" s="300"/>
      <c r="Q929" s="300"/>
      <c r="R929" s="300"/>
      <c r="S929" s="301"/>
    </row>
    <row r="930" spans="1:19">
      <c r="A930" s="319"/>
      <c r="B930" s="300"/>
      <c r="C930" s="332"/>
      <c r="D930" s="300"/>
      <c r="E930" s="300"/>
      <c r="F930" s="300"/>
      <c r="G930" s="300"/>
      <c r="H930" s="300"/>
      <c r="I930" s="300"/>
      <c r="J930" s="300"/>
      <c r="K930" s="300"/>
      <c r="L930" s="300"/>
      <c r="M930" s="300"/>
      <c r="N930" s="300"/>
      <c r="O930" s="300"/>
      <c r="P930" s="300"/>
      <c r="Q930" s="300"/>
      <c r="R930" s="300"/>
      <c r="S930" s="301"/>
    </row>
    <row r="931" spans="1:19">
      <c r="A931" s="319"/>
      <c r="B931" s="300"/>
      <c r="C931" s="332"/>
      <c r="D931" s="300"/>
      <c r="E931" s="300"/>
      <c r="F931" s="300"/>
      <c r="G931" s="300"/>
      <c r="H931" s="300"/>
      <c r="I931" s="300"/>
      <c r="J931" s="300"/>
      <c r="K931" s="300"/>
      <c r="L931" s="300"/>
      <c r="M931" s="300"/>
      <c r="N931" s="300"/>
      <c r="O931" s="300"/>
      <c r="P931" s="300"/>
      <c r="Q931" s="300"/>
      <c r="R931" s="300"/>
      <c r="S931" s="301"/>
    </row>
    <row r="932" spans="1:19">
      <c r="A932" s="319"/>
      <c r="B932" s="300"/>
      <c r="C932" s="332"/>
      <c r="D932" s="300"/>
      <c r="E932" s="300"/>
      <c r="F932" s="300"/>
      <c r="G932" s="300"/>
      <c r="H932" s="300"/>
      <c r="I932" s="300"/>
      <c r="J932" s="300"/>
      <c r="K932" s="300"/>
      <c r="L932" s="300"/>
      <c r="M932" s="300"/>
      <c r="N932" s="300"/>
      <c r="O932" s="300"/>
      <c r="P932" s="300"/>
      <c r="Q932" s="300"/>
      <c r="R932" s="300"/>
      <c r="S932" s="301"/>
    </row>
    <row r="933" spans="1:19">
      <c r="A933" s="319"/>
      <c r="B933" s="300"/>
      <c r="C933" s="332"/>
      <c r="D933" s="300"/>
      <c r="E933" s="300"/>
      <c r="F933" s="300"/>
      <c r="G933" s="300"/>
      <c r="H933" s="300"/>
      <c r="I933" s="300"/>
      <c r="J933" s="300"/>
      <c r="K933" s="300"/>
      <c r="L933" s="300"/>
      <c r="M933" s="300"/>
      <c r="N933" s="300"/>
      <c r="O933" s="300"/>
      <c r="P933" s="300"/>
      <c r="Q933" s="300"/>
      <c r="R933" s="300"/>
      <c r="S933" s="301"/>
    </row>
    <row r="934" spans="1:19">
      <c r="A934" s="319"/>
      <c r="B934" s="300"/>
      <c r="C934" s="332"/>
      <c r="D934" s="300"/>
      <c r="E934" s="300"/>
      <c r="F934" s="300"/>
      <c r="G934" s="300"/>
      <c r="H934" s="300"/>
      <c r="I934" s="300"/>
      <c r="J934" s="300"/>
      <c r="K934" s="300"/>
      <c r="L934" s="300"/>
      <c r="M934" s="300"/>
      <c r="N934" s="300"/>
      <c r="O934" s="300"/>
      <c r="P934" s="300"/>
      <c r="Q934" s="300"/>
      <c r="R934" s="300"/>
      <c r="S934" s="301"/>
    </row>
    <row r="935" spans="1:19">
      <c r="A935" s="319"/>
      <c r="B935" s="300"/>
      <c r="C935" s="332"/>
      <c r="D935" s="300"/>
      <c r="E935" s="300"/>
      <c r="F935" s="300"/>
      <c r="G935" s="300"/>
      <c r="H935" s="300"/>
      <c r="I935" s="300"/>
      <c r="J935" s="300"/>
      <c r="K935" s="300"/>
      <c r="L935" s="300"/>
      <c r="M935" s="300"/>
      <c r="N935" s="300"/>
      <c r="O935" s="300"/>
      <c r="P935" s="300"/>
      <c r="Q935" s="300"/>
      <c r="R935" s="300"/>
      <c r="S935" s="301"/>
    </row>
    <row r="936" spans="1:19">
      <c r="A936" s="319"/>
      <c r="B936" s="300"/>
      <c r="C936" s="332"/>
      <c r="D936" s="300"/>
      <c r="E936" s="300"/>
      <c r="F936" s="300"/>
      <c r="G936" s="300"/>
      <c r="H936" s="300"/>
      <c r="I936" s="300"/>
      <c r="J936" s="300"/>
      <c r="K936" s="300"/>
      <c r="L936" s="300"/>
      <c r="M936" s="300"/>
      <c r="N936" s="300"/>
      <c r="O936" s="300"/>
      <c r="P936" s="300"/>
      <c r="Q936" s="300"/>
      <c r="R936" s="300"/>
      <c r="S936" s="301"/>
    </row>
    <row r="937" spans="1:19">
      <c r="A937" s="319"/>
      <c r="B937" s="300"/>
      <c r="C937" s="332"/>
      <c r="D937" s="300"/>
      <c r="E937" s="300"/>
      <c r="F937" s="300"/>
      <c r="G937" s="300"/>
      <c r="H937" s="300"/>
      <c r="I937" s="300"/>
      <c r="J937" s="300"/>
      <c r="K937" s="300"/>
      <c r="L937" s="300"/>
      <c r="M937" s="300"/>
      <c r="N937" s="300"/>
      <c r="O937" s="300"/>
      <c r="P937" s="300"/>
      <c r="Q937" s="300"/>
      <c r="R937" s="300"/>
      <c r="S937" s="301"/>
    </row>
    <row r="938" spans="1:19">
      <c r="A938" s="319"/>
      <c r="B938" s="300"/>
      <c r="C938" s="332"/>
      <c r="D938" s="300"/>
      <c r="E938" s="300"/>
      <c r="F938" s="300"/>
      <c r="G938" s="300"/>
      <c r="H938" s="300"/>
      <c r="I938" s="300"/>
      <c r="J938" s="300"/>
      <c r="K938" s="300"/>
      <c r="L938" s="300"/>
      <c r="M938" s="300"/>
      <c r="N938" s="300"/>
      <c r="O938" s="300"/>
      <c r="P938" s="300"/>
      <c r="Q938" s="300"/>
      <c r="R938" s="300"/>
      <c r="S938" s="301"/>
    </row>
    <row r="939" spans="1:19">
      <c r="A939" s="319"/>
      <c r="B939" s="300"/>
      <c r="C939" s="332"/>
      <c r="D939" s="300"/>
      <c r="E939" s="300"/>
      <c r="F939" s="300"/>
      <c r="G939" s="300"/>
      <c r="H939" s="300"/>
      <c r="I939" s="300"/>
      <c r="J939" s="300"/>
      <c r="K939" s="300"/>
      <c r="L939" s="300"/>
      <c r="M939" s="300"/>
      <c r="N939" s="300"/>
      <c r="O939" s="300"/>
      <c r="P939" s="300"/>
      <c r="Q939" s="300"/>
      <c r="R939" s="300"/>
      <c r="S939" s="301"/>
    </row>
    <row r="940" spans="1:19">
      <c r="A940" s="319"/>
      <c r="B940" s="300"/>
      <c r="C940" s="332"/>
      <c r="D940" s="300"/>
      <c r="E940" s="300"/>
      <c r="F940" s="300"/>
      <c r="G940" s="300"/>
      <c r="H940" s="300"/>
      <c r="I940" s="300"/>
      <c r="J940" s="300"/>
      <c r="K940" s="300"/>
      <c r="L940" s="300"/>
      <c r="M940" s="300"/>
      <c r="N940" s="300"/>
      <c r="O940" s="300"/>
      <c r="P940" s="300"/>
      <c r="Q940" s="300"/>
      <c r="R940" s="300"/>
      <c r="S940" s="301"/>
    </row>
    <row r="941" spans="1:19">
      <c r="A941" s="319"/>
      <c r="B941" s="300"/>
      <c r="C941" s="332"/>
      <c r="D941" s="300"/>
      <c r="E941" s="300"/>
      <c r="F941" s="300"/>
      <c r="G941" s="300"/>
      <c r="H941" s="300"/>
      <c r="I941" s="300"/>
      <c r="J941" s="300"/>
      <c r="K941" s="300"/>
      <c r="L941" s="300"/>
      <c r="M941" s="300"/>
      <c r="N941" s="300"/>
      <c r="O941" s="300"/>
      <c r="P941" s="300"/>
      <c r="Q941" s="300"/>
      <c r="R941" s="300"/>
      <c r="S941" s="301"/>
    </row>
    <row r="942" spans="1:19">
      <c r="A942" s="319"/>
      <c r="B942" s="300"/>
      <c r="C942" s="332"/>
      <c r="D942" s="300"/>
      <c r="E942" s="300"/>
      <c r="F942" s="300"/>
      <c r="G942" s="300"/>
      <c r="H942" s="300"/>
      <c r="I942" s="300"/>
      <c r="J942" s="300"/>
      <c r="K942" s="300"/>
      <c r="L942" s="300"/>
      <c r="M942" s="300"/>
      <c r="N942" s="300"/>
      <c r="O942" s="300"/>
      <c r="P942" s="300"/>
      <c r="Q942" s="300"/>
      <c r="R942" s="300"/>
      <c r="S942" s="301"/>
    </row>
    <row r="943" spans="1:19">
      <c r="A943" s="319"/>
      <c r="B943" s="300"/>
      <c r="C943" s="332"/>
      <c r="D943" s="300"/>
      <c r="E943" s="300"/>
      <c r="F943" s="300"/>
      <c r="G943" s="300"/>
      <c r="H943" s="300"/>
      <c r="I943" s="300"/>
      <c r="J943" s="300"/>
      <c r="K943" s="300"/>
      <c r="L943" s="300"/>
      <c r="M943" s="300"/>
      <c r="N943" s="300"/>
      <c r="O943" s="300"/>
      <c r="P943" s="300"/>
      <c r="Q943" s="300"/>
      <c r="R943" s="300"/>
      <c r="S943" s="301"/>
    </row>
    <row r="944" spans="1:19">
      <c r="A944" s="319"/>
      <c r="B944" s="300"/>
      <c r="C944" s="332"/>
      <c r="D944" s="300"/>
      <c r="E944" s="300"/>
      <c r="F944" s="300"/>
      <c r="G944" s="300"/>
      <c r="H944" s="300"/>
      <c r="I944" s="300"/>
      <c r="J944" s="300"/>
      <c r="K944" s="300"/>
      <c r="L944" s="300"/>
      <c r="M944" s="300"/>
      <c r="N944" s="300"/>
      <c r="O944" s="300"/>
      <c r="P944" s="300"/>
      <c r="Q944" s="300"/>
      <c r="R944" s="300"/>
      <c r="S944" s="301"/>
    </row>
    <row r="945" spans="1:19">
      <c r="A945" s="319"/>
      <c r="B945" s="300"/>
      <c r="C945" s="332"/>
      <c r="D945" s="300"/>
      <c r="E945" s="300"/>
      <c r="F945" s="300"/>
      <c r="G945" s="300"/>
      <c r="H945" s="300"/>
      <c r="I945" s="300"/>
      <c r="J945" s="300"/>
      <c r="K945" s="300"/>
      <c r="L945" s="300"/>
      <c r="M945" s="300"/>
      <c r="N945" s="300"/>
      <c r="O945" s="300"/>
      <c r="P945" s="300"/>
      <c r="Q945" s="300"/>
      <c r="R945" s="300"/>
      <c r="S945" s="301"/>
    </row>
    <row r="946" spans="1:19">
      <c r="A946" s="319"/>
      <c r="B946" s="300"/>
      <c r="C946" s="332"/>
      <c r="D946" s="300"/>
      <c r="E946" s="300"/>
      <c r="F946" s="300"/>
      <c r="G946" s="300"/>
      <c r="H946" s="300"/>
      <c r="I946" s="300"/>
      <c r="J946" s="300"/>
      <c r="K946" s="300"/>
      <c r="L946" s="300"/>
      <c r="M946" s="300"/>
      <c r="N946" s="300"/>
      <c r="O946" s="300"/>
      <c r="P946" s="300"/>
      <c r="Q946" s="300"/>
      <c r="R946" s="300"/>
      <c r="S946" s="301"/>
    </row>
    <row r="947" spans="1:19">
      <c r="A947" s="319"/>
      <c r="B947" s="300"/>
      <c r="C947" s="332"/>
      <c r="D947" s="300"/>
      <c r="E947" s="300"/>
      <c r="F947" s="300"/>
      <c r="G947" s="300"/>
      <c r="H947" s="300"/>
      <c r="I947" s="300"/>
      <c r="J947" s="300"/>
      <c r="K947" s="300"/>
      <c r="L947" s="300"/>
      <c r="M947" s="300"/>
      <c r="N947" s="300"/>
      <c r="O947" s="300"/>
      <c r="P947" s="300"/>
      <c r="Q947" s="300"/>
      <c r="R947" s="300"/>
      <c r="S947" s="301"/>
    </row>
    <row r="948" spans="1:19">
      <c r="A948" s="319"/>
      <c r="B948" s="300"/>
      <c r="C948" s="332"/>
      <c r="D948" s="300"/>
      <c r="E948" s="300"/>
      <c r="F948" s="300"/>
      <c r="G948" s="300"/>
      <c r="H948" s="300"/>
      <c r="I948" s="300"/>
      <c r="J948" s="300"/>
      <c r="K948" s="300"/>
      <c r="L948" s="300"/>
      <c r="M948" s="300"/>
      <c r="N948" s="300"/>
      <c r="O948" s="300"/>
      <c r="P948" s="300"/>
      <c r="Q948" s="300"/>
      <c r="R948" s="300"/>
      <c r="S948" s="301"/>
    </row>
    <row r="949" spans="1:19">
      <c r="A949" s="319"/>
      <c r="B949" s="300"/>
      <c r="C949" s="332"/>
      <c r="D949" s="300"/>
      <c r="E949" s="300"/>
      <c r="F949" s="300"/>
      <c r="G949" s="300"/>
      <c r="H949" s="300"/>
      <c r="I949" s="300"/>
      <c r="J949" s="300"/>
      <c r="K949" s="300"/>
      <c r="L949" s="300"/>
      <c r="M949" s="300"/>
      <c r="N949" s="300"/>
      <c r="O949" s="300"/>
      <c r="P949" s="300"/>
      <c r="Q949" s="300"/>
      <c r="R949" s="300"/>
      <c r="S949" s="301"/>
    </row>
    <row r="950" spans="1:19">
      <c r="A950" s="319"/>
      <c r="B950" s="300"/>
      <c r="C950" s="332"/>
      <c r="D950" s="300"/>
      <c r="E950" s="300"/>
      <c r="F950" s="300"/>
      <c r="G950" s="300"/>
      <c r="H950" s="300"/>
      <c r="I950" s="300"/>
      <c r="J950" s="300"/>
      <c r="K950" s="300"/>
      <c r="L950" s="300"/>
      <c r="M950" s="300"/>
      <c r="N950" s="300"/>
      <c r="O950" s="300"/>
      <c r="P950" s="300"/>
      <c r="Q950" s="300"/>
      <c r="R950" s="300"/>
      <c r="S950" s="301"/>
    </row>
    <row r="951" spans="1:19">
      <c r="A951" s="319"/>
      <c r="B951" s="300"/>
      <c r="C951" s="332"/>
      <c r="D951" s="300"/>
      <c r="E951" s="300"/>
      <c r="F951" s="300"/>
      <c r="G951" s="300"/>
      <c r="H951" s="300"/>
      <c r="I951" s="300"/>
      <c r="J951" s="300"/>
      <c r="K951" s="300"/>
      <c r="L951" s="300"/>
      <c r="M951" s="300"/>
      <c r="N951" s="300"/>
      <c r="O951" s="300"/>
      <c r="P951" s="300"/>
      <c r="Q951" s="300"/>
      <c r="R951" s="300"/>
      <c r="S951" s="301"/>
    </row>
    <row r="952" spans="1:19">
      <c r="A952" s="319"/>
      <c r="B952" s="300"/>
      <c r="C952" s="332"/>
      <c r="D952" s="300"/>
      <c r="E952" s="300"/>
      <c r="F952" s="300"/>
      <c r="G952" s="300"/>
      <c r="H952" s="300"/>
      <c r="I952" s="300"/>
      <c r="J952" s="300"/>
      <c r="K952" s="300"/>
      <c r="L952" s="300"/>
      <c r="M952" s="300"/>
      <c r="N952" s="300"/>
      <c r="O952" s="300"/>
      <c r="P952" s="300"/>
      <c r="Q952" s="300"/>
      <c r="R952" s="300"/>
      <c r="S952" s="301"/>
    </row>
    <row r="953" spans="1:19">
      <c r="A953" s="319"/>
      <c r="B953" s="300"/>
      <c r="C953" s="332"/>
      <c r="D953" s="300"/>
      <c r="E953" s="300"/>
      <c r="F953" s="300"/>
      <c r="G953" s="300"/>
      <c r="H953" s="300"/>
      <c r="I953" s="300"/>
      <c r="J953" s="300"/>
      <c r="K953" s="300"/>
      <c r="L953" s="300"/>
      <c r="M953" s="300"/>
      <c r="N953" s="300"/>
      <c r="O953" s="300"/>
      <c r="P953" s="300"/>
      <c r="Q953" s="300"/>
      <c r="R953" s="300"/>
      <c r="S953" s="301"/>
    </row>
    <row r="954" spans="1:19">
      <c r="A954" s="319"/>
      <c r="B954" s="300"/>
      <c r="C954" s="332"/>
      <c r="D954" s="300"/>
      <c r="E954" s="300"/>
      <c r="F954" s="300"/>
      <c r="G954" s="300"/>
      <c r="H954" s="300"/>
      <c r="I954" s="300"/>
      <c r="J954" s="300"/>
      <c r="K954" s="300"/>
      <c r="L954" s="300"/>
      <c r="M954" s="300"/>
      <c r="N954" s="300"/>
      <c r="O954" s="300"/>
      <c r="P954" s="300"/>
      <c r="Q954" s="300"/>
      <c r="R954" s="300"/>
      <c r="S954" s="301"/>
    </row>
    <row r="955" spans="1:19">
      <c r="A955" s="319"/>
      <c r="B955" s="300"/>
      <c r="C955" s="332"/>
      <c r="D955" s="300"/>
      <c r="E955" s="300"/>
      <c r="F955" s="300"/>
      <c r="G955" s="300"/>
      <c r="H955" s="300"/>
      <c r="I955" s="300"/>
      <c r="J955" s="300"/>
      <c r="K955" s="300"/>
      <c r="L955" s="300"/>
      <c r="M955" s="300"/>
      <c r="N955" s="300"/>
      <c r="O955" s="300"/>
      <c r="P955" s="300"/>
      <c r="Q955" s="300"/>
      <c r="R955" s="300"/>
      <c r="S955" s="301"/>
    </row>
    <row r="956" spans="1:19">
      <c r="A956" s="319"/>
      <c r="B956" s="300"/>
      <c r="C956" s="332"/>
      <c r="D956" s="300"/>
      <c r="E956" s="300"/>
      <c r="F956" s="300"/>
      <c r="G956" s="300"/>
      <c r="H956" s="300"/>
      <c r="I956" s="300"/>
      <c r="J956" s="300"/>
      <c r="K956" s="300"/>
      <c r="L956" s="300"/>
      <c r="M956" s="300"/>
      <c r="N956" s="300"/>
      <c r="O956" s="300"/>
      <c r="P956" s="300"/>
      <c r="Q956" s="300"/>
      <c r="R956" s="300"/>
      <c r="S956" s="301"/>
    </row>
    <row r="957" spans="1:19">
      <c r="A957" s="319"/>
      <c r="B957" s="300"/>
      <c r="C957" s="332"/>
      <c r="D957" s="300"/>
      <c r="E957" s="300"/>
      <c r="F957" s="300"/>
      <c r="G957" s="300"/>
      <c r="H957" s="300"/>
      <c r="I957" s="300"/>
      <c r="J957" s="300"/>
      <c r="K957" s="300"/>
      <c r="L957" s="300"/>
      <c r="M957" s="300"/>
      <c r="N957" s="300"/>
      <c r="O957" s="300"/>
      <c r="P957" s="300"/>
      <c r="Q957" s="300"/>
      <c r="R957" s="300"/>
      <c r="S957" s="301"/>
    </row>
    <row r="958" spans="1:19">
      <c r="A958" s="319"/>
      <c r="B958" s="300"/>
      <c r="C958" s="332"/>
      <c r="D958" s="300"/>
      <c r="E958" s="300"/>
      <c r="F958" s="300"/>
      <c r="G958" s="300"/>
      <c r="H958" s="300"/>
      <c r="I958" s="300"/>
      <c r="J958" s="300"/>
      <c r="K958" s="300"/>
      <c r="L958" s="300"/>
      <c r="M958" s="300"/>
      <c r="N958" s="300"/>
      <c r="O958" s="300"/>
      <c r="P958" s="300"/>
      <c r="Q958" s="300"/>
      <c r="R958" s="300"/>
      <c r="S958" s="301"/>
    </row>
    <row r="959" spans="1:19">
      <c r="A959" s="319"/>
      <c r="B959" s="300"/>
      <c r="C959" s="332"/>
      <c r="D959" s="300"/>
      <c r="E959" s="300"/>
      <c r="F959" s="300"/>
      <c r="G959" s="300"/>
      <c r="H959" s="300"/>
      <c r="I959" s="300"/>
      <c r="J959" s="300"/>
      <c r="K959" s="300"/>
      <c r="L959" s="300"/>
      <c r="M959" s="300"/>
      <c r="N959" s="300"/>
      <c r="O959" s="300"/>
      <c r="P959" s="300"/>
      <c r="Q959" s="300"/>
      <c r="R959" s="300"/>
      <c r="S959" s="301"/>
    </row>
    <row r="960" spans="1:19">
      <c r="A960" s="319"/>
      <c r="B960" s="300"/>
      <c r="C960" s="332"/>
      <c r="D960" s="300"/>
      <c r="E960" s="300"/>
      <c r="F960" s="300"/>
      <c r="G960" s="300"/>
      <c r="H960" s="300"/>
      <c r="I960" s="300"/>
      <c r="J960" s="300"/>
      <c r="K960" s="300"/>
      <c r="L960" s="300"/>
      <c r="M960" s="300"/>
      <c r="N960" s="300"/>
      <c r="O960" s="300"/>
      <c r="P960" s="300"/>
      <c r="Q960" s="300"/>
      <c r="R960" s="300"/>
      <c r="S960" s="301"/>
    </row>
    <row r="961" spans="1:19">
      <c r="A961" s="319"/>
      <c r="B961" s="300"/>
      <c r="C961" s="332"/>
      <c r="D961" s="300"/>
      <c r="E961" s="300"/>
      <c r="F961" s="300"/>
      <c r="G961" s="300"/>
      <c r="H961" s="300"/>
      <c r="I961" s="300"/>
      <c r="J961" s="300"/>
      <c r="K961" s="300"/>
      <c r="L961" s="300"/>
      <c r="M961" s="300"/>
      <c r="N961" s="300"/>
      <c r="O961" s="300"/>
      <c r="P961" s="300"/>
      <c r="Q961" s="300"/>
      <c r="R961" s="300"/>
      <c r="S961" s="301"/>
    </row>
    <row r="962" spans="1:19">
      <c r="A962" s="319"/>
      <c r="B962" s="300"/>
      <c r="C962" s="332"/>
      <c r="D962" s="300"/>
      <c r="E962" s="300"/>
      <c r="F962" s="300"/>
      <c r="G962" s="300"/>
      <c r="H962" s="300"/>
      <c r="I962" s="300"/>
      <c r="J962" s="300"/>
      <c r="K962" s="300"/>
      <c r="L962" s="300"/>
      <c r="M962" s="300"/>
      <c r="N962" s="300"/>
      <c r="O962" s="300"/>
      <c r="P962" s="300"/>
      <c r="Q962" s="300"/>
      <c r="R962" s="300"/>
      <c r="S962" s="301"/>
    </row>
    <row r="963" spans="1:19">
      <c r="A963" s="319"/>
      <c r="B963" s="300"/>
      <c r="C963" s="332"/>
      <c r="D963" s="300"/>
      <c r="E963" s="300"/>
      <c r="F963" s="300"/>
      <c r="G963" s="300"/>
      <c r="H963" s="300"/>
      <c r="I963" s="300"/>
      <c r="J963" s="300"/>
      <c r="K963" s="300"/>
      <c r="L963" s="300"/>
      <c r="M963" s="300"/>
      <c r="N963" s="300"/>
      <c r="O963" s="300"/>
      <c r="P963" s="300"/>
      <c r="Q963" s="300"/>
      <c r="R963" s="300"/>
      <c r="S963" s="301"/>
    </row>
    <row r="964" spans="1:19">
      <c r="A964" s="319"/>
      <c r="B964" s="300"/>
      <c r="C964" s="332"/>
      <c r="D964" s="300"/>
      <c r="E964" s="300"/>
      <c r="F964" s="300"/>
      <c r="G964" s="300"/>
      <c r="H964" s="300"/>
      <c r="I964" s="300"/>
      <c r="J964" s="300"/>
      <c r="K964" s="300"/>
      <c r="L964" s="300"/>
      <c r="M964" s="300"/>
      <c r="N964" s="300"/>
      <c r="O964" s="300"/>
      <c r="P964" s="300"/>
      <c r="Q964" s="300"/>
      <c r="R964" s="300"/>
      <c r="S964" s="301"/>
    </row>
    <row r="965" spans="1:19">
      <c r="A965" s="319"/>
      <c r="B965" s="300"/>
      <c r="C965" s="332"/>
      <c r="D965" s="300"/>
      <c r="E965" s="300"/>
      <c r="F965" s="300"/>
      <c r="G965" s="300"/>
      <c r="H965" s="300"/>
      <c r="I965" s="300"/>
      <c r="J965" s="300"/>
      <c r="K965" s="300"/>
      <c r="L965" s="300"/>
      <c r="M965" s="300"/>
      <c r="N965" s="300"/>
      <c r="O965" s="300"/>
      <c r="P965" s="300"/>
      <c r="Q965" s="300"/>
      <c r="R965" s="300"/>
      <c r="S965" s="301"/>
    </row>
    <row r="966" spans="1:19">
      <c r="A966" s="319"/>
      <c r="B966" s="300"/>
      <c r="C966" s="332"/>
      <c r="D966" s="300"/>
      <c r="E966" s="300"/>
      <c r="F966" s="300"/>
      <c r="G966" s="300"/>
      <c r="H966" s="300"/>
      <c r="I966" s="300"/>
      <c r="J966" s="300"/>
      <c r="K966" s="300"/>
      <c r="L966" s="300"/>
      <c r="M966" s="300"/>
      <c r="N966" s="300"/>
      <c r="O966" s="300"/>
      <c r="P966" s="300"/>
      <c r="Q966" s="300"/>
      <c r="R966" s="300"/>
      <c r="S966" s="301"/>
    </row>
    <row r="967" spans="1:19">
      <c r="A967" s="319"/>
      <c r="B967" s="300"/>
      <c r="C967" s="332"/>
      <c r="D967" s="300"/>
      <c r="E967" s="300"/>
      <c r="F967" s="300"/>
      <c r="G967" s="300"/>
      <c r="H967" s="300"/>
      <c r="I967" s="300"/>
      <c r="J967" s="300"/>
      <c r="K967" s="300"/>
      <c r="L967" s="300"/>
      <c r="M967" s="300"/>
      <c r="N967" s="300"/>
      <c r="O967" s="300"/>
      <c r="P967" s="300"/>
      <c r="Q967" s="300"/>
      <c r="R967" s="300"/>
      <c r="S967" s="301"/>
    </row>
    <row r="968" spans="1:19">
      <c r="A968" s="319"/>
      <c r="B968" s="300"/>
      <c r="C968" s="332"/>
      <c r="D968" s="300"/>
      <c r="E968" s="300"/>
      <c r="F968" s="300"/>
      <c r="G968" s="300"/>
      <c r="H968" s="300"/>
      <c r="I968" s="300"/>
      <c r="J968" s="300"/>
      <c r="K968" s="300"/>
      <c r="L968" s="300"/>
      <c r="M968" s="300"/>
      <c r="N968" s="300"/>
      <c r="O968" s="300"/>
      <c r="P968" s="300"/>
      <c r="Q968" s="300"/>
      <c r="R968" s="300"/>
      <c r="S968" s="301"/>
    </row>
    <row r="969" spans="1:19">
      <c r="A969" s="319"/>
      <c r="B969" s="300"/>
      <c r="C969" s="332"/>
      <c r="D969" s="300"/>
      <c r="E969" s="300"/>
      <c r="F969" s="300"/>
      <c r="G969" s="300"/>
      <c r="H969" s="300"/>
      <c r="I969" s="300"/>
      <c r="J969" s="300"/>
      <c r="K969" s="300"/>
      <c r="L969" s="300"/>
      <c r="M969" s="300"/>
      <c r="N969" s="300"/>
      <c r="O969" s="300"/>
      <c r="P969" s="300"/>
      <c r="Q969" s="300"/>
      <c r="R969" s="300"/>
      <c r="S969" s="301"/>
    </row>
    <row r="970" spans="1:19">
      <c r="A970" s="319"/>
      <c r="B970" s="300"/>
      <c r="C970" s="332"/>
      <c r="D970" s="300"/>
      <c r="E970" s="300"/>
      <c r="F970" s="300"/>
      <c r="G970" s="300"/>
      <c r="H970" s="300"/>
      <c r="I970" s="300"/>
      <c r="J970" s="300"/>
      <c r="K970" s="300"/>
      <c r="L970" s="300"/>
      <c r="M970" s="300"/>
      <c r="N970" s="300"/>
      <c r="O970" s="300"/>
      <c r="P970" s="300"/>
      <c r="Q970" s="300"/>
      <c r="R970" s="300"/>
      <c r="S970" s="301"/>
    </row>
    <row r="971" spans="1:19">
      <c r="A971" s="319"/>
      <c r="B971" s="300"/>
      <c r="C971" s="332"/>
      <c r="D971" s="300"/>
      <c r="E971" s="300"/>
      <c r="F971" s="300"/>
      <c r="G971" s="300"/>
      <c r="H971" s="300"/>
      <c r="I971" s="300"/>
      <c r="J971" s="300"/>
      <c r="K971" s="300"/>
      <c r="L971" s="300"/>
      <c r="M971" s="300"/>
      <c r="N971" s="300"/>
      <c r="O971" s="300"/>
      <c r="P971" s="300"/>
      <c r="Q971" s="300"/>
      <c r="R971" s="300"/>
      <c r="S971" s="301"/>
    </row>
    <row r="972" spans="1:19">
      <c r="A972" s="319"/>
      <c r="B972" s="300"/>
      <c r="C972" s="332"/>
      <c r="D972" s="300"/>
      <c r="E972" s="300"/>
      <c r="F972" s="300"/>
      <c r="G972" s="300"/>
      <c r="H972" s="300"/>
      <c r="I972" s="300"/>
      <c r="J972" s="300"/>
      <c r="K972" s="300"/>
      <c r="L972" s="300"/>
      <c r="M972" s="300"/>
      <c r="N972" s="300"/>
      <c r="O972" s="300"/>
      <c r="P972" s="300"/>
      <c r="Q972" s="300"/>
      <c r="R972" s="300"/>
      <c r="S972" s="301"/>
    </row>
    <row r="973" spans="1:19">
      <c r="A973" s="319"/>
      <c r="B973" s="300"/>
      <c r="C973" s="332"/>
      <c r="D973" s="300"/>
      <c r="E973" s="300"/>
      <c r="F973" s="300"/>
      <c r="G973" s="300"/>
      <c r="H973" s="300"/>
      <c r="I973" s="300"/>
      <c r="J973" s="300"/>
      <c r="K973" s="300"/>
      <c r="L973" s="300"/>
      <c r="M973" s="300"/>
      <c r="N973" s="300"/>
      <c r="O973" s="300"/>
      <c r="P973" s="300"/>
      <c r="Q973" s="300"/>
      <c r="R973" s="300"/>
      <c r="S973" s="301"/>
    </row>
    <row r="974" spans="1:19">
      <c r="A974" s="319"/>
      <c r="B974" s="300"/>
      <c r="C974" s="332"/>
      <c r="D974" s="300"/>
      <c r="E974" s="300"/>
      <c r="F974" s="300"/>
      <c r="G974" s="300"/>
      <c r="H974" s="300"/>
      <c r="I974" s="300"/>
      <c r="J974" s="300"/>
      <c r="K974" s="300"/>
      <c r="L974" s="300"/>
      <c r="M974" s="300"/>
      <c r="N974" s="300"/>
      <c r="O974" s="300"/>
      <c r="P974" s="300"/>
      <c r="Q974" s="300"/>
      <c r="R974" s="300"/>
      <c r="S974" s="301"/>
    </row>
    <row r="975" spans="1:19">
      <c r="A975" s="319"/>
      <c r="B975" s="300"/>
      <c r="C975" s="332"/>
      <c r="D975" s="300"/>
      <c r="E975" s="300"/>
      <c r="F975" s="300"/>
      <c r="G975" s="300"/>
      <c r="H975" s="300"/>
      <c r="I975" s="300"/>
      <c r="J975" s="300"/>
      <c r="K975" s="300"/>
      <c r="L975" s="300"/>
      <c r="M975" s="300"/>
      <c r="N975" s="300"/>
      <c r="O975" s="300"/>
      <c r="P975" s="300"/>
      <c r="Q975" s="300"/>
      <c r="R975" s="300"/>
      <c r="S975" s="301"/>
    </row>
    <row r="976" spans="1:19">
      <c r="A976" s="319"/>
      <c r="B976" s="300"/>
      <c r="C976" s="332"/>
      <c r="D976" s="300"/>
      <c r="E976" s="300"/>
      <c r="F976" s="300"/>
      <c r="G976" s="300"/>
      <c r="H976" s="300"/>
      <c r="I976" s="300"/>
      <c r="J976" s="300"/>
      <c r="K976" s="300"/>
      <c r="L976" s="300"/>
      <c r="M976" s="300"/>
      <c r="N976" s="300"/>
      <c r="O976" s="300"/>
      <c r="P976" s="300"/>
      <c r="Q976" s="300"/>
      <c r="R976" s="300"/>
      <c r="S976" s="301"/>
    </row>
    <row r="977" spans="1:19">
      <c r="A977" s="319"/>
      <c r="B977" s="300"/>
      <c r="C977" s="332"/>
      <c r="D977" s="300"/>
      <c r="E977" s="300"/>
      <c r="F977" s="300"/>
      <c r="G977" s="300"/>
      <c r="H977" s="300"/>
      <c r="I977" s="300"/>
      <c r="J977" s="300"/>
      <c r="K977" s="300"/>
      <c r="L977" s="300"/>
      <c r="M977" s="300"/>
      <c r="N977" s="300"/>
      <c r="O977" s="300"/>
      <c r="P977" s="300"/>
      <c r="Q977" s="300"/>
      <c r="R977" s="300"/>
      <c r="S977" s="301"/>
    </row>
    <row r="978" spans="1:19">
      <c r="A978" s="319"/>
      <c r="B978" s="300"/>
      <c r="C978" s="332"/>
      <c r="D978" s="300"/>
      <c r="E978" s="300"/>
      <c r="F978" s="300"/>
      <c r="G978" s="300"/>
      <c r="H978" s="300"/>
      <c r="I978" s="300"/>
      <c r="J978" s="300"/>
      <c r="K978" s="300"/>
      <c r="L978" s="300"/>
      <c r="M978" s="300"/>
      <c r="N978" s="300"/>
      <c r="O978" s="300"/>
      <c r="P978" s="300"/>
      <c r="Q978" s="300"/>
      <c r="R978" s="300"/>
      <c r="S978" s="301"/>
    </row>
    <row r="979" spans="1:19">
      <c r="A979" s="319"/>
      <c r="B979" s="300"/>
      <c r="C979" s="332"/>
      <c r="D979" s="300"/>
      <c r="E979" s="300"/>
      <c r="F979" s="300"/>
      <c r="G979" s="300"/>
      <c r="H979" s="300"/>
      <c r="I979" s="300"/>
      <c r="J979" s="300"/>
      <c r="K979" s="300"/>
      <c r="L979" s="300"/>
      <c r="M979" s="300"/>
      <c r="N979" s="300"/>
      <c r="O979" s="300"/>
      <c r="P979" s="300"/>
      <c r="Q979" s="300"/>
      <c r="R979" s="300"/>
      <c r="S979" s="301"/>
    </row>
    <row r="980" spans="1:19">
      <c r="A980" s="319"/>
      <c r="B980" s="300"/>
      <c r="C980" s="332"/>
      <c r="D980" s="300"/>
      <c r="E980" s="300"/>
      <c r="F980" s="300"/>
      <c r="G980" s="300"/>
      <c r="H980" s="300"/>
      <c r="I980" s="300"/>
      <c r="J980" s="300"/>
      <c r="K980" s="300"/>
      <c r="L980" s="300"/>
      <c r="M980" s="300"/>
      <c r="N980" s="300"/>
      <c r="O980" s="300"/>
      <c r="P980" s="300"/>
      <c r="Q980" s="300"/>
      <c r="R980" s="300"/>
      <c r="S980" s="301"/>
    </row>
    <row r="981" spans="1:19">
      <c r="A981" s="319"/>
      <c r="B981" s="300"/>
      <c r="C981" s="332"/>
      <c r="D981" s="300"/>
      <c r="E981" s="300"/>
      <c r="F981" s="300"/>
      <c r="G981" s="300"/>
      <c r="H981" s="300"/>
      <c r="I981" s="300"/>
      <c r="J981" s="300"/>
      <c r="K981" s="300"/>
      <c r="L981" s="300"/>
      <c r="M981" s="300"/>
      <c r="N981" s="300"/>
      <c r="O981" s="300"/>
      <c r="P981" s="300"/>
      <c r="Q981" s="300"/>
      <c r="R981" s="300"/>
      <c r="S981" s="301"/>
    </row>
    <row r="982" spans="1:19">
      <c r="A982" s="319"/>
      <c r="B982" s="300"/>
      <c r="C982" s="332"/>
      <c r="D982" s="300"/>
      <c r="E982" s="300"/>
      <c r="F982" s="300"/>
      <c r="G982" s="300"/>
      <c r="H982" s="300"/>
      <c r="I982" s="300"/>
      <c r="J982" s="300"/>
      <c r="K982" s="300"/>
      <c r="L982" s="300"/>
      <c r="M982" s="300"/>
      <c r="N982" s="300"/>
      <c r="O982" s="300"/>
      <c r="P982" s="300"/>
      <c r="Q982" s="300"/>
      <c r="R982" s="300"/>
      <c r="S982" s="301"/>
    </row>
    <row r="983" spans="1:19">
      <c r="A983" s="319"/>
      <c r="B983" s="300"/>
      <c r="C983" s="332"/>
      <c r="D983" s="300"/>
      <c r="E983" s="300"/>
      <c r="F983" s="300"/>
      <c r="G983" s="300"/>
      <c r="H983" s="300"/>
      <c r="I983" s="300"/>
      <c r="J983" s="300"/>
      <c r="K983" s="300"/>
      <c r="L983" s="300"/>
      <c r="M983" s="300"/>
      <c r="N983" s="300"/>
      <c r="O983" s="300"/>
      <c r="P983" s="300"/>
      <c r="Q983" s="300"/>
      <c r="R983" s="300"/>
      <c r="S983" s="301"/>
    </row>
    <row r="984" spans="1:19">
      <c r="A984" s="319"/>
      <c r="B984" s="300"/>
      <c r="C984" s="332"/>
      <c r="D984" s="300"/>
      <c r="E984" s="300"/>
      <c r="F984" s="300"/>
      <c r="G984" s="300"/>
      <c r="H984" s="300"/>
      <c r="I984" s="300"/>
      <c r="J984" s="300"/>
      <c r="K984" s="300"/>
      <c r="L984" s="300"/>
      <c r="M984" s="300"/>
      <c r="N984" s="300"/>
      <c r="O984" s="300"/>
      <c r="P984" s="300"/>
      <c r="Q984" s="300"/>
      <c r="R984" s="300"/>
      <c r="S984" s="301"/>
    </row>
    <row r="985" spans="1:19">
      <c r="A985" s="319"/>
      <c r="B985" s="300"/>
      <c r="C985" s="332"/>
      <c r="D985" s="300"/>
      <c r="E985" s="300"/>
      <c r="F985" s="300"/>
      <c r="G985" s="300"/>
      <c r="H985" s="300"/>
      <c r="I985" s="300"/>
      <c r="J985" s="300"/>
      <c r="K985" s="300"/>
      <c r="L985" s="300"/>
      <c r="M985" s="300"/>
      <c r="N985" s="300"/>
      <c r="O985" s="300"/>
      <c r="P985" s="300"/>
      <c r="Q985" s="300"/>
      <c r="R985" s="300"/>
      <c r="S985" s="301"/>
    </row>
    <row r="986" spans="1:19">
      <c r="A986" s="319"/>
      <c r="B986" s="300"/>
      <c r="C986" s="332"/>
      <c r="D986" s="300"/>
      <c r="E986" s="300"/>
      <c r="F986" s="300"/>
      <c r="G986" s="300"/>
      <c r="H986" s="300"/>
      <c r="I986" s="300"/>
      <c r="J986" s="300"/>
      <c r="K986" s="300"/>
      <c r="L986" s="300"/>
      <c r="M986" s="300"/>
      <c r="N986" s="300"/>
      <c r="O986" s="300"/>
      <c r="P986" s="300"/>
      <c r="Q986" s="300"/>
      <c r="R986" s="300"/>
      <c r="S986" s="301"/>
    </row>
    <row r="987" spans="1:19">
      <c r="A987" s="319"/>
      <c r="B987" s="300"/>
      <c r="C987" s="332"/>
      <c r="D987" s="300"/>
      <c r="E987" s="300"/>
      <c r="F987" s="300"/>
      <c r="G987" s="300"/>
      <c r="H987" s="300"/>
      <c r="I987" s="300"/>
      <c r="J987" s="300"/>
      <c r="K987" s="300"/>
      <c r="L987" s="300"/>
      <c r="M987" s="300"/>
      <c r="N987" s="300"/>
      <c r="O987" s="300"/>
      <c r="P987" s="300"/>
      <c r="Q987" s="300"/>
      <c r="R987" s="300"/>
      <c r="S987" s="301"/>
    </row>
    <row r="988" spans="1:19">
      <c r="A988" s="319"/>
      <c r="B988" s="300"/>
      <c r="C988" s="332"/>
      <c r="D988" s="300"/>
      <c r="E988" s="300"/>
      <c r="F988" s="300"/>
      <c r="G988" s="300"/>
      <c r="H988" s="300"/>
      <c r="I988" s="300"/>
      <c r="J988" s="300"/>
      <c r="K988" s="300"/>
      <c r="L988" s="300"/>
      <c r="M988" s="300"/>
      <c r="N988" s="300"/>
      <c r="O988" s="300"/>
      <c r="P988" s="300"/>
      <c r="Q988" s="300"/>
      <c r="R988" s="300"/>
      <c r="S988" s="301"/>
    </row>
    <row r="989" spans="1:19">
      <c r="A989" s="319"/>
      <c r="B989" s="300"/>
      <c r="C989" s="332"/>
      <c r="D989" s="300"/>
      <c r="E989" s="300"/>
      <c r="F989" s="300"/>
      <c r="G989" s="300"/>
      <c r="H989" s="300"/>
      <c r="I989" s="300"/>
      <c r="J989" s="300"/>
      <c r="K989" s="300"/>
      <c r="L989" s="300"/>
      <c r="M989" s="300"/>
      <c r="N989" s="300"/>
      <c r="O989" s="300"/>
      <c r="P989" s="300"/>
      <c r="Q989" s="300"/>
      <c r="R989" s="300"/>
      <c r="S989" s="301"/>
    </row>
    <row r="990" spans="1:19">
      <c r="A990" s="319"/>
      <c r="B990" s="300"/>
      <c r="C990" s="332"/>
      <c r="D990" s="300"/>
      <c r="E990" s="300"/>
      <c r="F990" s="300"/>
      <c r="G990" s="300"/>
      <c r="H990" s="300"/>
      <c r="I990" s="300"/>
      <c r="J990" s="300"/>
      <c r="K990" s="300"/>
      <c r="L990" s="300"/>
      <c r="M990" s="300"/>
      <c r="N990" s="300"/>
      <c r="O990" s="300"/>
      <c r="P990" s="300"/>
      <c r="Q990" s="300"/>
      <c r="R990" s="300"/>
      <c r="S990" s="301"/>
    </row>
    <row r="991" spans="1:19">
      <c r="A991" s="319"/>
      <c r="B991" s="300"/>
      <c r="C991" s="332"/>
      <c r="D991" s="300"/>
      <c r="E991" s="300"/>
      <c r="F991" s="300"/>
      <c r="G991" s="300"/>
      <c r="H991" s="300"/>
      <c r="I991" s="300"/>
      <c r="J991" s="300"/>
      <c r="K991" s="300"/>
      <c r="L991" s="300"/>
      <c r="M991" s="300"/>
      <c r="N991" s="300"/>
      <c r="O991" s="300"/>
      <c r="P991" s="300"/>
      <c r="Q991" s="300"/>
      <c r="R991" s="300"/>
      <c r="S991" s="301"/>
    </row>
    <row r="992" spans="1:19">
      <c r="A992" s="319"/>
      <c r="B992" s="300"/>
      <c r="C992" s="332"/>
      <c r="D992" s="300"/>
      <c r="E992" s="300"/>
      <c r="F992" s="300"/>
      <c r="G992" s="300"/>
      <c r="H992" s="300"/>
      <c r="I992" s="300"/>
      <c r="J992" s="300"/>
      <c r="K992" s="300"/>
      <c r="L992" s="300"/>
      <c r="M992" s="300"/>
      <c r="N992" s="300"/>
      <c r="O992" s="300"/>
      <c r="P992" s="300"/>
      <c r="Q992" s="300"/>
      <c r="R992" s="300"/>
      <c r="S992" s="301"/>
    </row>
    <row r="993" spans="1:19">
      <c r="A993" s="319"/>
      <c r="B993" s="300"/>
      <c r="C993" s="332"/>
      <c r="D993" s="300"/>
      <c r="E993" s="300"/>
      <c r="F993" s="300"/>
      <c r="G993" s="300"/>
      <c r="H993" s="300"/>
      <c r="I993" s="300"/>
      <c r="J993" s="300"/>
      <c r="K993" s="300"/>
      <c r="L993" s="300"/>
      <c r="M993" s="300"/>
      <c r="N993" s="300"/>
      <c r="O993" s="300"/>
      <c r="P993" s="300"/>
      <c r="Q993" s="300"/>
      <c r="R993" s="300"/>
      <c r="S993" s="301"/>
    </row>
    <row r="994" spans="1:19">
      <c r="A994" s="319"/>
      <c r="B994" s="300"/>
      <c r="C994" s="332"/>
      <c r="D994" s="300"/>
      <c r="E994" s="300"/>
      <c r="F994" s="300"/>
      <c r="G994" s="300"/>
      <c r="H994" s="300"/>
      <c r="I994" s="300"/>
      <c r="J994" s="300"/>
      <c r="K994" s="300"/>
      <c r="L994" s="300"/>
      <c r="M994" s="300"/>
      <c r="N994" s="300"/>
      <c r="O994" s="300"/>
      <c r="P994" s="300"/>
      <c r="Q994" s="300"/>
      <c r="R994" s="300"/>
      <c r="S994" s="301"/>
    </row>
    <row r="995" spans="1:19">
      <c r="A995" s="319"/>
      <c r="B995" s="300"/>
      <c r="C995" s="332"/>
      <c r="D995" s="300"/>
      <c r="E995" s="300"/>
      <c r="F995" s="300"/>
      <c r="G995" s="300"/>
      <c r="H995" s="300"/>
      <c r="I995" s="300"/>
      <c r="J995" s="300"/>
      <c r="K995" s="300"/>
      <c r="L995" s="300"/>
      <c r="M995" s="300"/>
      <c r="N995" s="300"/>
      <c r="O995" s="300"/>
      <c r="P995" s="300"/>
      <c r="Q995" s="300"/>
      <c r="R995" s="300"/>
      <c r="S995" s="301"/>
    </row>
    <row r="996" spans="1:19">
      <c r="A996" s="319"/>
      <c r="B996" s="300"/>
      <c r="C996" s="332"/>
      <c r="D996" s="300"/>
      <c r="E996" s="300"/>
      <c r="F996" s="300"/>
      <c r="G996" s="300"/>
      <c r="H996" s="300"/>
      <c r="I996" s="300"/>
      <c r="J996" s="300"/>
      <c r="K996" s="300"/>
      <c r="L996" s="300"/>
      <c r="M996" s="300"/>
      <c r="N996" s="300"/>
      <c r="O996" s="300"/>
      <c r="P996" s="300"/>
      <c r="Q996" s="300"/>
      <c r="R996" s="300"/>
      <c r="S996" s="301"/>
    </row>
    <row r="997" spans="1:19">
      <c r="A997" s="319"/>
      <c r="B997" s="300"/>
      <c r="C997" s="332"/>
      <c r="D997" s="300"/>
      <c r="E997" s="300"/>
      <c r="F997" s="300"/>
      <c r="G997" s="300"/>
      <c r="H997" s="300"/>
      <c r="I997" s="300"/>
      <c r="J997" s="300"/>
      <c r="K997" s="300"/>
      <c r="L997" s="300"/>
      <c r="M997" s="300"/>
      <c r="N997" s="300"/>
      <c r="O997" s="300"/>
      <c r="P997" s="300"/>
      <c r="Q997" s="300"/>
      <c r="R997" s="300"/>
      <c r="S997" s="301"/>
    </row>
    <row r="998" spans="1:19">
      <c r="A998" s="319"/>
      <c r="B998" s="300"/>
      <c r="C998" s="332"/>
      <c r="D998" s="300"/>
      <c r="E998" s="300"/>
      <c r="F998" s="300"/>
      <c r="G998" s="300"/>
      <c r="H998" s="300"/>
      <c r="I998" s="300"/>
      <c r="J998" s="300"/>
      <c r="K998" s="300"/>
      <c r="L998" s="300"/>
      <c r="M998" s="300"/>
      <c r="N998" s="300"/>
      <c r="O998" s="300"/>
      <c r="P998" s="300"/>
      <c r="Q998" s="300"/>
      <c r="R998" s="300"/>
      <c r="S998" s="301"/>
    </row>
    <row r="999" spans="1:19">
      <c r="A999" s="319"/>
      <c r="B999" s="300"/>
      <c r="C999" s="332"/>
      <c r="D999" s="300"/>
      <c r="E999" s="300"/>
      <c r="F999" s="300"/>
      <c r="G999" s="300"/>
      <c r="H999" s="300"/>
      <c r="I999" s="300"/>
      <c r="J999" s="300"/>
      <c r="K999" s="300"/>
      <c r="L999" s="300"/>
      <c r="M999" s="300"/>
      <c r="N999" s="300"/>
      <c r="O999" s="300"/>
      <c r="P999" s="300"/>
      <c r="Q999" s="300"/>
      <c r="R999" s="300"/>
      <c r="S999" s="301"/>
    </row>
    <row r="1000" spans="1:19">
      <c r="A1000" s="321"/>
      <c r="B1000" s="322"/>
      <c r="C1000" s="333"/>
      <c r="D1000" s="322"/>
      <c r="E1000" s="322"/>
      <c r="F1000" s="322"/>
      <c r="G1000" s="322"/>
      <c r="H1000" s="322"/>
      <c r="I1000" s="322"/>
      <c r="J1000" s="322"/>
      <c r="K1000" s="322"/>
      <c r="L1000" s="322"/>
      <c r="M1000" s="322"/>
      <c r="N1000" s="322"/>
      <c r="O1000" s="322"/>
      <c r="P1000" s="322"/>
      <c r="Q1000" s="322"/>
      <c r="R1000" s="322"/>
      <c r="S1000" s="323"/>
    </row>
    <row r="1001" spans="1:19">
      <c r="A1001" s="321"/>
      <c r="B1001" s="322"/>
      <c r="C1001" s="333"/>
      <c r="D1001" s="322"/>
      <c r="E1001" s="322"/>
      <c r="F1001" s="322"/>
      <c r="G1001" s="322"/>
      <c r="H1001" s="322"/>
      <c r="I1001" s="322"/>
      <c r="J1001" s="322"/>
      <c r="K1001" s="322"/>
      <c r="L1001" s="322"/>
      <c r="M1001" s="322"/>
      <c r="N1001" s="322"/>
      <c r="O1001" s="322"/>
      <c r="P1001" s="322"/>
      <c r="Q1001" s="322"/>
      <c r="R1001" s="322"/>
      <c r="S1001" s="323"/>
    </row>
    <row r="1002" spans="1:19">
      <c r="A1002" s="324"/>
      <c r="B1002" s="325"/>
      <c r="C1002" s="334"/>
      <c r="D1002" s="325"/>
      <c r="E1002" s="325"/>
      <c r="F1002" s="325"/>
      <c r="G1002" s="325"/>
      <c r="H1002" s="325"/>
      <c r="I1002" s="325"/>
      <c r="J1002" s="325"/>
      <c r="K1002" s="325"/>
      <c r="L1002" s="325"/>
      <c r="M1002" s="325"/>
      <c r="N1002" s="325"/>
      <c r="O1002" s="325"/>
      <c r="P1002" s="325"/>
      <c r="Q1002" s="325"/>
      <c r="R1002" s="325"/>
      <c r="S1002" s="326"/>
    </row>
  </sheetData>
  <mergeCells count="15">
    <mergeCell ref="D49:K62"/>
    <mergeCell ref="A44:C45"/>
    <mergeCell ref="E1:K1"/>
    <mergeCell ref="E2:K2"/>
    <mergeCell ref="E3:K3"/>
    <mergeCell ref="E4:K4"/>
    <mergeCell ref="E5:K5"/>
    <mergeCell ref="B30:B32"/>
    <mergeCell ref="B33:B35"/>
    <mergeCell ref="T7:AH7"/>
    <mergeCell ref="T8:AH8"/>
    <mergeCell ref="T14:AH14"/>
    <mergeCell ref="U15:X18"/>
    <mergeCell ref="Y9:AH9"/>
    <mergeCell ref="T9:X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499984740745262"/>
    <pageSetUpPr fitToPage="1"/>
  </sheetPr>
  <dimension ref="A1:AM79"/>
  <sheetViews>
    <sheetView workbookViewId="0">
      <pane xSplit="5" ySplit="6" topLeftCell="H20" activePane="bottomRight" state="frozen"/>
      <selection pane="bottomRight" activeCell="P25" sqref="P25:P27"/>
      <selection pane="bottomLeft" activeCell="A7" sqref="A7"/>
      <selection pane="topRight" activeCell="C1" sqref="C1"/>
    </sheetView>
  </sheetViews>
  <sheetFormatPr defaultColWidth="14.42578125" defaultRowHeight="15" customHeight="1"/>
  <cols>
    <col min="1" max="1" width="7.7109375" customWidth="1"/>
    <col min="2" max="2" width="28" customWidth="1"/>
    <col min="3" max="3" width="13.85546875" style="1" customWidth="1"/>
    <col min="4" max="4" width="13.85546875" customWidth="1"/>
    <col min="5" max="5" width="16.140625" customWidth="1"/>
    <col min="6" max="19" width="13.85546875" customWidth="1"/>
    <col min="20" max="20" width="7.7109375" hidden="1" customWidth="1"/>
    <col min="21" max="23" width="8.7109375" customWidth="1"/>
    <col min="24" max="24" width="21.85546875" bestFit="1" customWidth="1"/>
    <col min="25" max="27" width="8.7109375" customWidth="1"/>
    <col min="28" max="28" width="11.7109375" customWidth="1"/>
  </cols>
  <sheetData>
    <row r="1" spans="1:39">
      <c r="A1" s="138"/>
      <c r="B1" s="93"/>
      <c r="C1" s="868" t="s">
        <v>40</v>
      </c>
      <c r="D1" s="1158"/>
      <c r="E1" s="1158"/>
      <c r="F1" s="1158"/>
      <c r="G1" s="1158"/>
      <c r="H1" s="1158"/>
      <c r="I1" s="1158"/>
      <c r="J1" s="1158"/>
      <c r="K1" s="1158"/>
      <c r="L1" s="1158"/>
      <c r="M1" s="1158"/>
      <c r="N1" s="1158"/>
      <c r="O1" s="1158"/>
      <c r="P1" s="1158"/>
      <c r="Q1" s="1158"/>
      <c r="R1" s="1158"/>
      <c r="S1" s="1158"/>
    </row>
    <row r="2" spans="1:39">
      <c r="A2" s="138"/>
      <c r="B2" s="93"/>
      <c r="C2" s="868" t="s">
        <v>41</v>
      </c>
      <c r="D2" s="1158"/>
      <c r="E2" s="1158"/>
      <c r="F2" s="1158"/>
      <c r="G2" s="1158"/>
      <c r="H2" s="1158"/>
      <c r="I2" s="1158"/>
      <c r="J2" s="1158"/>
      <c r="K2" s="1158"/>
      <c r="L2" s="1158"/>
      <c r="M2" s="1158"/>
      <c r="N2" s="1158"/>
      <c r="O2" s="1158"/>
      <c r="P2" s="1158"/>
      <c r="Q2" s="1158"/>
      <c r="R2" s="1158"/>
      <c r="S2" s="1158"/>
    </row>
    <row r="3" spans="1:39">
      <c r="A3" s="139"/>
      <c r="B3" s="86"/>
      <c r="C3" s="908" t="s">
        <v>42</v>
      </c>
      <c r="D3" s="1159"/>
      <c r="E3" s="1159"/>
      <c r="F3" s="1159"/>
      <c r="G3" s="1159"/>
      <c r="H3" s="1159"/>
      <c r="I3" s="1159"/>
      <c r="J3" s="1159"/>
      <c r="K3" s="1159"/>
      <c r="L3" s="1159"/>
      <c r="M3" s="1159"/>
      <c r="N3" s="1159"/>
      <c r="O3" s="1159"/>
      <c r="P3" s="1159"/>
      <c r="Q3" s="1159"/>
      <c r="R3" s="1159"/>
      <c r="S3" s="1185"/>
    </row>
    <row r="4" spans="1:39">
      <c r="A4" s="87"/>
      <c r="B4" s="759"/>
      <c r="C4" s="1035" t="s">
        <v>741</v>
      </c>
      <c r="D4" s="1176"/>
      <c r="E4" s="1176"/>
      <c r="F4" s="1176"/>
      <c r="G4" s="1176"/>
      <c r="H4" s="1176"/>
      <c r="I4" s="1176"/>
      <c r="J4" s="1176"/>
      <c r="K4" s="1176"/>
      <c r="L4" s="1176"/>
      <c r="M4" s="1176"/>
      <c r="N4" s="1176"/>
      <c r="O4" s="1176"/>
      <c r="P4" s="1176"/>
      <c r="Q4" s="1176"/>
      <c r="R4" s="1176"/>
      <c r="S4" s="1176"/>
    </row>
    <row r="5" spans="1:39">
      <c r="A5" s="88"/>
      <c r="B5" s="89"/>
      <c r="C5" s="894" t="s">
        <v>255</v>
      </c>
      <c r="D5" s="1176"/>
      <c r="E5" s="1176"/>
      <c r="F5" s="1176"/>
      <c r="G5" s="1176"/>
      <c r="H5" s="1176"/>
      <c r="I5" s="1176"/>
      <c r="J5" s="1176"/>
      <c r="K5" s="1176"/>
      <c r="L5" s="1176"/>
      <c r="M5" s="1176"/>
      <c r="N5" s="1176"/>
      <c r="O5" s="1176"/>
      <c r="P5" s="1176"/>
      <c r="Q5" s="1176"/>
      <c r="R5" s="1176"/>
      <c r="S5" s="1176"/>
    </row>
    <row r="6" spans="1:39">
      <c r="A6" s="76" t="s">
        <v>45</v>
      </c>
      <c r="B6" s="171" t="s">
        <v>46</v>
      </c>
      <c r="C6" s="171" t="s">
        <v>47</v>
      </c>
      <c r="D6" s="171" t="s">
        <v>48</v>
      </c>
      <c r="E6" s="171" t="s">
        <v>49</v>
      </c>
      <c r="F6" s="171" t="s">
        <v>50</v>
      </c>
      <c r="G6" s="171" t="s">
        <v>51</v>
      </c>
      <c r="H6" s="171" t="s">
        <v>52</v>
      </c>
      <c r="I6" s="171" t="s">
        <v>53</v>
      </c>
      <c r="J6" s="171" t="s">
        <v>54</v>
      </c>
      <c r="K6" s="171" t="s">
        <v>55</v>
      </c>
      <c r="L6" s="171" t="s">
        <v>56</v>
      </c>
      <c r="M6" s="171" t="s">
        <v>57</v>
      </c>
      <c r="N6" s="171" t="s">
        <v>58</v>
      </c>
      <c r="O6" s="171" t="s">
        <v>59</v>
      </c>
      <c r="P6" s="171" t="s">
        <v>60</v>
      </c>
      <c r="Q6" s="171" t="s">
        <v>61</v>
      </c>
      <c r="R6" s="3" t="s">
        <v>62</v>
      </c>
      <c r="S6" s="38" t="s">
        <v>63</v>
      </c>
      <c r="T6" s="253" t="s">
        <v>64</v>
      </c>
    </row>
    <row r="7" spans="1:39" ht="45.75">
      <c r="A7" s="39" t="s">
        <v>65</v>
      </c>
      <c r="B7" s="149" t="s">
        <v>66</v>
      </c>
      <c r="C7" s="15">
        <v>1</v>
      </c>
      <c r="D7" s="294" t="s">
        <v>648</v>
      </c>
      <c r="E7" s="294" t="s">
        <v>742</v>
      </c>
      <c r="F7" s="7" t="s">
        <v>119</v>
      </c>
      <c r="G7" s="7">
        <v>5.72</v>
      </c>
      <c r="H7" s="7" t="s">
        <v>119</v>
      </c>
      <c r="I7" s="7" t="s">
        <v>119</v>
      </c>
      <c r="J7" s="7">
        <v>5.15</v>
      </c>
      <c r="K7" s="7" t="s">
        <v>119</v>
      </c>
      <c r="L7" s="7" t="s">
        <v>119</v>
      </c>
      <c r="M7" s="7" t="s">
        <v>119</v>
      </c>
      <c r="N7" s="7">
        <v>6.29</v>
      </c>
      <c r="O7" s="7" t="s">
        <v>119</v>
      </c>
      <c r="P7" s="7">
        <v>6.5</v>
      </c>
      <c r="Q7" s="7" t="s">
        <v>119</v>
      </c>
      <c r="R7" s="48">
        <f t="shared" ref="R7:R24" si="0">IFERROR(AVERAGE(F7:Q7), 0)</f>
        <v>5.915</v>
      </c>
      <c r="S7" s="8">
        <v>5</v>
      </c>
      <c r="T7" s="242" t="s">
        <v>743</v>
      </c>
      <c r="X7" s="889" t="s">
        <v>70</v>
      </c>
      <c r="Y7" s="890"/>
      <c r="Z7" s="1177"/>
      <c r="AA7" s="1177"/>
      <c r="AB7" s="1177"/>
      <c r="AC7" s="1177"/>
      <c r="AD7" s="1177"/>
      <c r="AE7" s="1177"/>
      <c r="AF7" s="1177"/>
      <c r="AG7" s="1177"/>
      <c r="AH7" s="1177"/>
      <c r="AI7" s="1177"/>
      <c r="AJ7" s="1177"/>
      <c r="AK7" s="1177"/>
      <c r="AL7" s="1177"/>
      <c r="AM7" s="1178"/>
    </row>
    <row r="8" spans="1:39" ht="45.75">
      <c r="A8" s="9"/>
      <c r="B8" s="10" t="s">
        <v>66</v>
      </c>
      <c r="C8" s="11">
        <v>2</v>
      </c>
      <c r="D8" s="227" t="s">
        <v>744</v>
      </c>
      <c r="E8" s="227" t="s">
        <v>742</v>
      </c>
      <c r="F8" s="12" t="s">
        <v>119</v>
      </c>
      <c r="G8" s="12">
        <v>5.83</v>
      </c>
      <c r="H8" s="12" t="s">
        <v>119</v>
      </c>
      <c r="I8" s="12" t="s">
        <v>119</v>
      </c>
      <c r="J8" s="12">
        <v>5.62</v>
      </c>
      <c r="K8" s="12" t="s">
        <v>119</v>
      </c>
      <c r="L8" s="12" t="s">
        <v>119</v>
      </c>
      <c r="M8" s="12" t="s">
        <v>119</v>
      </c>
      <c r="N8" s="12">
        <v>6.13</v>
      </c>
      <c r="O8" s="12" t="s">
        <v>119</v>
      </c>
      <c r="P8" s="12">
        <v>6.48</v>
      </c>
      <c r="Q8" s="12" t="s">
        <v>119</v>
      </c>
      <c r="R8" s="35">
        <f t="shared" si="0"/>
        <v>6.0149999999999997</v>
      </c>
      <c r="S8" s="14">
        <v>5</v>
      </c>
      <c r="T8" s="242" t="s">
        <v>745</v>
      </c>
      <c r="X8" s="889" t="s">
        <v>74</v>
      </c>
      <c r="Y8" s="890"/>
      <c r="Z8" s="1177"/>
      <c r="AA8" s="1177"/>
      <c r="AB8" s="1177"/>
      <c r="AC8" s="1177"/>
      <c r="AD8" s="1177"/>
      <c r="AE8" s="1177"/>
      <c r="AF8" s="1177"/>
      <c r="AG8" s="1177"/>
      <c r="AH8" s="1177"/>
      <c r="AI8" s="1177"/>
      <c r="AJ8" s="1177"/>
      <c r="AK8" s="1177"/>
      <c r="AL8" s="1177"/>
      <c r="AM8" s="1178"/>
    </row>
    <row r="9" spans="1:39" ht="30">
      <c r="A9" s="9"/>
      <c r="B9" s="10" t="s">
        <v>66</v>
      </c>
      <c r="C9" s="11">
        <v>3</v>
      </c>
      <c r="D9" s="227" t="s">
        <v>746</v>
      </c>
      <c r="E9" s="227" t="s">
        <v>747</v>
      </c>
      <c r="F9" s="12" t="s">
        <v>119</v>
      </c>
      <c r="G9" s="12">
        <v>5.85</v>
      </c>
      <c r="H9" s="12" t="s">
        <v>119</v>
      </c>
      <c r="I9" s="12" t="s">
        <v>119</v>
      </c>
      <c r="J9" s="12">
        <v>5.7</v>
      </c>
      <c r="K9" s="12" t="s">
        <v>119</v>
      </c>
      <c r="L9" s="12" t="s">
        <v>119</v>
      </c>
      <c r="M9" s="12" t="s">
        <v>119</v>
      </c>
      <c r="N9" s="12">
        <v>6.16</v>
      </c>
      <c r="O9" s="12" t="s">
        <v>119</v>
      </c>
      <c r="P9" s="12">
        <v>6.54</v>
      </c>
      <c r="Q9" s="12" t="s">
        <v>119</v>
      </c>
      <c r="R9" s="35">
        <f t="shared" si="0"/>
        <v>6.0625</v>
      </c>
      <c r="S9" s="14">
        <v>5</v>
      </c>
      <c r="T9" s="242" t="s">
        <v>748</v>
      </c>
      <c r="X9" s="1179"/>
      <c r="Y9" s="1180"/>
      <c r="Z9" s="1177"/>
      <c r="AA9" s="1177"/>
      <c r="AB9" s="1177"/>
      <c r="AC9" s="1178"/>
      <c r="AD9" s="844" t="s">
        <v>78</v>
      </c>
      <c r="AE9" s="1177"/>
      <c r="AF9" s="1177"/>
      <c r="AG9" s="1177"/>
      <c r="AH9" s="1177"/>
      <c r="AI9" s="1177"/>
      <c r="AJ9" s="1177"/>
      <c r="AK9" s="1177"/>
      <c r="AL9" s="1177"/>
      <c r="AM9" s="1178"/>
    </row>
    <row r="10" spans="1:39" ht="45.75">
      <c r="A10" s="9"/>
      <c r="B10" s="149" t="s">
        <v>91</v>
      </c>
      <c r="C10" s="15">
        <v>1</v>
      </c>
      <c r="D10" s="294" t="s">
        <v>648</v>
      </c>
      <c r="E10" s="294" t="s">
        <v>742</v>
      </c>
      <c r="F10" s="7" t="s">
        <v>119</v>
      </c>
      <c r="G10" s="7">
        <v>2</v>
      </c>
      <c r="H10" s="7" t="s">
        <v>119</v>
      </c>
      <c r="I10" s="7" t="s">
        <v>119</v>
      </c>
      <c r="J10" s="7">
        <v>3</v>
      </c>
      <c r="K10" s="7" t="s">
        <v>119</v>
      </c>
      <c r="L10" s="7" t="s">
        <v>119</v>
      </c>
      <c r="M10" s="7" t="s">
        <v>119</v>
      </c>
      <c r="N10" s="7">
        <v>3</v>
      </c>
      <c r="O10" s="7" t="s">
        <v>119</v>
      </c>
      <c r="P10" s="7">
        <v>2</v>
      </c>
      <c r="Q10" s="7" t="s">
        <v>119</v>
      </c>
      <c r="R10" s="48">
        <f t="shared" si="0"/>
        <v>2.5</v>
      </c>
      <c r="S10" s="8">
        <v>7</v>
      </c>
      <c r="T10" s="242" t="s">
        <v>743</v>
      </c>
      <c r="X10" s="14" t="s">
        <v>82</v>
      </c>
      <c r="Y10" s="14"/>
      <c r="Z10" s="14" t="s">
        <v>83</v>
      </c>
      <c r="AA10" s="14" t="s">
        <v>84</v>
      </c>
      <c r="AB10" s="14" t="s">
        <v>722</v>
      </c>
      <c r="AC10" s="14" t="s">
        <v>86</v>
      </c>
      <c r="AD10" s="14" t="s">
        <v>4</v>
      </c>
      <c r="AE10" s="14" t="s">
        <v>5</v>
      </c>
      <c r="AF10" s="14" t="s">
        <v>6</v>
      </c>
      <c r="AG10" s="14" t="s">
        <v>7</v>
      </c>
      <c r="AH10" s="14" t="s">
        <v>8</v>
      </c>
      <c r="AI10" s="14" t="s">
        <v>9</v>
      </c>
      <c r="AJ10" s="14" t="s">
        <v>10</v>
      </c>
      <c r="AK10" s="14" t="s">
        <v>11</v>
      </c>
      <c r="AL10" s="14" t="s">
        <v>12</v>
      </c>
      <c r="AM10" s="14" t="s">
        <v>13</v>
      </c>
    </row>
    <row r="11" spans="1:39" ht="45.75">
      <c r="A11" s="9"/>
      <c r="B11" s="10" t="s">
        <v>91</v>
      </c>
      <c r="C11" s="11">
        <v>2</v>
      </c>
      <c r="D11" s="227" t="s">
        <v>744</v>
      </c>
      <c r="E11" s="227" t="s">
        <v>742</v>
      </c>
      <c r="F11" s="12" t="s">
        <v>119</v>
      </c>
      <c r="G11" s="12">
        <v>2</v>
      </c>
      <c r="H11" s="12" t="s">
        <v>119</v>
      </c>
      <c r="I11" s="12" t="s">
        <v>119</v>
      </c>
      <c r="J11" s="12">
        <v>3</v>
      </c>
      <c r="K11" s="12" t="s">
        <v>119</v>
      </c>
      <c r="L11" s="12" t="s">
        <v>119</v>
      </c>
      <c r="M11" s="12" t="s">
        <v>119</v>
      </c>
      <c r="N11" s="12">
        <v>3</v>
      </c>
      <c r="O11" s="12" t="s">
        <v>119</v>
      </c>
      <c r="P11" s="12">
        <v>2</v>
      </c>
      <c r="Q11" s="12" t="s">
        <v>119</v>
      </c>
      <c r="R11" s="35">
        <f t="shared" si="0"/>
        <v>2.5</v>
      </c>
      <c r="S11" s="14">
        <v>7</v>
      </c>
      <c r="T11" s="242" t="s">
        <v>745</v>
      </c>
      <c r="X11" s="1029" t="s">
        <v>749</v>
      </c>
      <c r="Y11" s="1030"/>
      <c r="Z11" s="886" t="s">
        <v>741</v>
      </c>
      <c r="AA11" s="883" t="s">
        <v>22</v>
      </c>
      <c r="AB11" s="32">
        <v>1</v>
      </c>
      <c r="AC11" s="65" t="s">
        <v>648</v>
      </c>
      <c r="AD11" s="33">
        <f>R7</f>
        <v>5.915</v>
      </c>
      <c r="AE11" s="33">
        <f>AVERAGE(F10:K10)</f>
        <v>2.5</v>
      </c>
      <c r="AF11" s="33">
        <f>AVERAGE(F13:K13)</f>
        <v>4.25</v>
      </c>
      <c r="AG11" s="33">
        <f>AVERAGE(F16:K16)</f>
        <v>7.2350000000000003</v>
      </c>
      <c r="AH11" s="33">
        <f>AVERAGE(F19:K19)</f>
        <v>28.200000000000003</v>
      </c>
      <c r="AI11" s="33">
        <f>AVERAGE(F22:K22)</f>
        <v>2.6509999999999998</v>
      </c>
      <c r="AJ11" s="33">
        <f>GEOMEAN(F25:K25)</f>
        <v>5674.5043836444429</v>
      </c>
      <c r="AK11" s="33">
        <f>AVERAGE(F28:K28)</f>
        <v>0.1915</v>
      </c>
      <c r="AL11" s="33">
        <f>AVERAGE(F31:K31)</f>
        <v>2.9499999999999998E-2</v>
      </c>
      <c r="AM11" s="33">
        <f>AVERAGE(F34:K34)</f>
        <v>4</v>
      </c>
    </row>
    <row r="12" spans="1:39" ht="30">
      <c r="A12" s="9"/>
      <c r="B12" s="10" t="s">
        <v>91</v>
      </c>
      <c r="C12" s="11">
        <v>3</v>
      </c>
      <c r="D12" s="227" t="s">
        <v>746</v>
      </c>
      <c r="E12" s="227" t="s">
        <v>747</v>
      </c>
      <c r="F12" s="12" t="s">
        <v>119</v>
      </c>
      <c r="G12" s="12">
        <v>2</v>
      </c>
      <c r="H12" s="12" t="s">
        <v>119</v>
      </c>
      <c r="I12" s="12" t="s">
        <v>119</v>
      </c>
      <c r="J12" s="12">
        <v>3</v>
      </c>
      <c r="K12" s="12" t="s">
        <v>119</v>
      </c>
      <c r="L12" s="12" t="s">
        <v>119</v>
      </c>
      <c r="M12" s="12" t="s">
        <v>119</v>
      </c>
      <c r="N12" s="12">
        <v>3</v>
      </c>
      <c r="O12" s="12" t="s">
        <v>119</v>
      </c>
      <c r="P12" s="12">
        <v>2</v>
      </c>
      <c r="Q12" s="12" t="s">
        <v>119</v>
      </c>
      <c r="R12" s="35">
        <f t="shared" si="0"/>
        <v>2.5</v>
      </c>
      <c r="S12" s="14">
        <v>7</v>
      </c>
      <c r="T12" s="242" t="s">
        <v>748</v>
      </c>
      <c r="X12" s="1031"/>
      <c r="Y12" s="1032"/>
      <c r="Z12" s="1196"/>
      <c r="AA12" s="1196"/>
      <c r="AB12" s="32">
        <v>2</v>
      </c>
      <c r="AC12" s="65" t="s">
        <v>651</v>
      </c>
      <c r="AD12" s="33">
        <f>R8</f>
        <v>6.0149999999999997</v>
      </c>
      <c r="AE12" s="33">
        <f>AVERAGE(F11:K11)</f>
        <v>2.5</v>
      </c>
      <c r="AF12" s="33">
        <f>AVERAGE(F14:K14)</f>
        <v>4.25</v>
      </c>
      <c r="AG12" s="33">
        <f>AVERAGE(F17:K17)</f>
        <v>7.2</v>
      </c>
      <c r="AH12" s="33">
        <f>AVERAGE(F20:K20)</f>
        <v>29.55</v>
      </c>
      <c r="AI12" s="33">
        <f>AVERAGE(F23:K23)</f>
        <v>2.5804999999999998</v>
      </c>
      <c r="AJ12" s="33">
        <f>GEOMEAN(F26:K26)</f>
        <v>2754.995462791182</v>
      </c>
      <c r="AK12" s="33">
        <f>AVERAGE(F29:K29)</f>
        <v>0.1225</v>
      </c>
      <c r="AL12" s="33">
        <f>AVERAGE(F32:K32)</f>
        <v>3.3500000000000002E-2</v>
      </c>
      <c r="AM12" s="33">
        <f>AVERAGE(F35:K35)</f>
        <v>5.5</v>
      </c>
    </row>
    <row r="13" spans="1:39" ht="45.75">
      <c r="A13" s="9"/>
      <c r="B13" s="149" t="s">
        <v>92</v>
      </c>
      <c r="C13" s="15">
        <v>1</v>
      </c>
      <c r="D13" s="294" t="s">
        <v>648</v>
      </c>
      <c r="E13" s="294" t="s">
        <v>742</v>
      </c>
      <c r="F13" s="7" t="s">
        <v>119</v>
      </c>
      <c r="G13" s="7">
        <v>2.5</v>
      </c>
      <c r="H13" s="7" t="s">
        <v>119</v>
      </c>
      <c r="I13" s="7" t="s">
        <v>119</v>
      </c>
      <c r="J13" s="7">
        <v>6</v>
      </c>
      <c r="K13" s="7" t="s">
        <v>119</v>
      </c>
      <c r="L13" s="7" t="s">
        <v>119</v>
      </c>
      <c r="M13" s="7" t="s">
        <v>119</v>
      </c>
      <c r="N13" s="7">
        <v>30</v>
      </c>
      <c r="O13" s="7" t="s">
        <v>119</v>
      </c>
      <c r="P13" s="7">
        <v>15</v>
      </c>
      <c r="Q13" s="7" t="s">
        <v>119</v>
      </c>
      <c r="R13" s="48">
        <f t="shared" si="0"/>
        <v>13.375</v>
      </c>
      <c r="S13" s="8">
        <v>80</v>
      </c>
      <c r="T13" s="242" t="s">
        <v>743</v>
      </c>
      <c r="X13" s="1033"/>
      <c r="Y13" s="1034"/>
      <c r="Z13" s="1197"/>
      <c r="AA13" s="1197"/>
      <c r="AB13" s="32">
        <v>3</v>
      </c>
      <c r="AC13" s="65" t="s">
        <v>653</v>
      </c>
      <c r="AD13" s="33">
        <f>R9</f>
        <v>6.0625</v>
      </c>
      <c r="AE13" s="33">
        <f>AVERAGE(F12:K12)</f>
        <v>2.5</v>
      </c>
      <c r="AF13" s="33">
        <f>AVERAGE(F15:K15)</f>
        <v>5.25</v>
      </c>
      <c r="AG13" s="33">
        <f>AVERAGE(F18:K18)</f>
        <v>7.2249999999999996</v>
      </c>
      <c r="AH13" s="33">
        <f>AVERAGE(F21:K21)</f>
        <v>29.6</v>
      </c>
      <c r="AI13" s="33">
        <f>AVERAGE(F24:K24)</f>
        <v>2.5615000000000001</v>
      </c>
      <c r="AJ13" s="33">
        <f>GEOMEAN(F27:K27)</f>
        <v>6549.8091575251256</v>
      </c>
      <c r="AK13" s="33">
        <f>AVERAGE(F30:K30)</f>
        <v>8.299999999999999E-2</v>
      </c>
      <c r="AL13" s="33">
        <f>AVERAGE(F33:K33)</f>
        <v>3.9E-2</v>
      </c>
      <c r="AM13" s="33">
        <f>AVERAGE(F36:K36)</f>
        <v>4.5</v>
      </c>
    </row>
    <row r="14" spans="1:39" ht="45.75">
      <c r="A14" s="9"/>
      <c r="B14" s="10" t="s">
        <v>92</v>
      </c>
      <c r="C14" s="11">
        <v>2</v>
      </c>
      <c r="D14" s="227" t="s">
        <v>744</v>
      </c>
      <c r="E14" s="227" t="s">
        <v>742</v>
      </c>
      <c r="F14" s="12" t="s">
        <v>119</v>
      </c>
      <c r="G14" s="12">
        <v>2.5</v>
      </c>
      <c r="H14" s="12" t="s">
        <v>119</v>
      </c>
      <c r="I14" s="12" t="s">
        <v>119</v>
      </c>
      <c r="J14" s="12">
        <v>6</v>
      </c>
      <c r="K14" s="12" t="s">
        <v>119</v>
      </c>
      <c r="L14" s="12" t="s">
        <v>119</v>
      </c>
      <c r="M14" s="12" t="s">
        <v>119</v>
      </c>
      <c r="N14" s="12">
        <v>35</v>
      </c>
      <c r="O14" s="12" t="s">
        <v>119</v>
      </c>
      <c r="P14" s="12">
        <v>22</v>
      </c>
      <c r="Q14" s="12" t="s">
        <v>119</v>
      </c>
      <c r="R14" s="35">
        <f t="shared" si="0"/>
        <v>16.375</v>
      </c>
      <c r="S14" s="14">
        <v>80</v>
      </c>
      <c r="T14" s="242" t="s">
        <v>745</v>
      </c>
      <c r="X14" s="1179"/>
      <c r="Y14" s="1180"/>
      <c r="Z14" s="1177"/>
      <c r="AA14" s="1177"/>
      <c r="AB14" s="1177"/>
      <c r="AC14" s="1177"/>
      <c r="AD14" s="1177"/>
      <c r="AE14" s="1177"/>
      <c r="AF14" s="1177"/>
      <c r="AG14" s="1177"/>
      <c r="AH14" s="1177"/>
      <c r="AI14" s="1177"/>
      <c r="AJ14" s="1177"/>
      <c r="AK14" s="1177"/>
      <c r="AL14" s="1177"/>
      <c r="AM14" s="1178"/>
    </row>
    <row r="15" spans="1:39" ht="30">
      <c r="A15" s="9"/>
      <c r="B15" s="10" t="s">
        <v>92</v>
      </c>
      <c r="C15" s="11">
        <v>3</v>
      </c>
      <c r="D15" s="227" t="s">
        <v>746</v>
      </c>
      <c r="E15" s="227" t="s">
        <v>747</v>
      </c>
      <c r="F15" s="12" t="s">
        <v>119</v>
      </c>
      <c r="G15" s="12">
        <v>2.5</v>
      </c>
      <c r="H15" s="12" t="s">
        <v>119</v>
      </c>
      <c r="I15" s="12" t="s">
        <v>119</v>
      </c>
      <c r="J15" s="12">
        <v>8</v>
      </c>
      <c r="K15" s="12" t="s">
        <v>119</v>
      </c>
      <c r="L15" s="12" t="s">
        <v>119</v>
      </c>
      <c r="M15" s="12" t="s">
        <v>119</v>
      </c>
      <c r="N15" s="12">
        <v>30</v>
      </c>
      <c r="O15" s="12" t="s">
        <v>119</v>
      </c>
      <c r="P15" s="12">
        <v>23</v>
      </c>
      <c r="Q15" s="12" t="s">
        <v>119</v>
      </c>
      <c r="R15" s="35">
        <f t="shared" si="0"/>
        <v>15.875</v>
      </c>
      <c r="S15" s="14">
        <v>80</v>
      </c>
      <c r="T15" s="242" t="s">
        <v>748</v>
      </c>
      <c r="X15" s="14" t="s">
        <v>93</v>
      </c>
      <c r="Y15" s="961"/>
      <c r="Z15" s="962"/>
      <c r="AA15" s="962"/>
      <c r="AB15" s="962"/>
      <c r="AC15" s="963"/>
      <c r="AD15" s="14">
        <f t="shared" ref="AD15:AM15" si="1">AVERAGE(AD11:AD13)</f>
        <v>5.9974999999999996</v>
      </c>
      <c r="AE15" s="14">
        <f t="shared" si="1"/>
        <v>2.5</v>
      </c>
      <c r="AF15" s="14">
        <f t="shared" si="1"/>
        <v>4.583333333333333</v>
      </c>
      <c r="AG15" s="14">
        <f t="shared" si="1"/>
        <v>7.22</v>
      </c>
      <c r="AH15" s="14">
        <f t="shared" si="1"/>
        <v>29.116666666666664</v>
      </c>
      <c r="AI15" s="14">
        <f t="shared" si="1"/>
        <v>2.5976666666666666</v>
      </c>
      <c r="AJ15" s="14">
        <f t="shared" si="1"/>
        <v>4993.1030013202499</v>
      </c>
      <c r="AK15" s="14">
        <f t="shared" si="1"/>
        <v>0.13233333333333333</v>
      </c>
      <c r="AL15" s="14">
        <f t="shared" si="1"/>
        <v>3.4000000000000002E-2</v>
      </c>
      <c r="AM15" s="14">
        <f t="shared" si="1"/>
        <v>4.666666666666667</v>
      </c>
    </row>
    <row r="16" spans="1:39" ht="45.75">
      <c r="A16" s="9"/>
      <c r="B16" s="149" t="s">
        <v>7</v>
      </c>
      <c r="C16" s="15">
        <v>1</v>
      </c>
      <c r="D16" s="294" t="s">
        <v>648</v>
      </c>
      <c r="E16" s="294" t="s">
        <v>742</v>
      </c>
      <c r="F16" s="7" t="s">
        <v>119</v>
      </c>
      <c r="G16" s="7">
        <v>7.28</v>
      </c>
      <c r="H16" s="7" t="s">
        <v>119</v>
      </c>
      <c r="I16" s="7" t="s">
        <v>119</v>
      </c>
      <c r="J16" s="7">
        <v>7.19</v>
      </c>
      <c r="K16" s="7" t="s">
        <v>119</v>
      </c>
      <c r="L16" s="7" t="s">
        <v>119</v>
      </c>
      <c r="M16" s="7" t="s">
        <v>119</v>
      </c>
      <c r="N16" s="7">
        <v>7.92</v>
      </c>
      <c r="O16" s="7" t="s">
        <v>119</v>
      </c>
      <c r="P16" s="7">
        <v>7.78</v>
      </c>
      <c r="Q16" s="7" t="s">
        <v>119</v>
      </c>
      <c r="R16" s="48">
        <f t="shared" si="0"/>
        <v>7.5425000000000004</v>
      </c>
      <c r="S16" s="17" t="s">
        <v>106</v>
      </c>
      <c r="T16" s="242" t="s">
        <v>743</v>
      </c>
      <c r="X16" s="14" t="s">
        <v>94</v>
      </c>
      <c r="Y16" s="964"/>
      <c r="Z16" s="965"/>
      <c r="AA16" s="965"/>
      <c r="AB16" s="965"/>
      <c r="AC16" s="966"/>
      <c r="AD16" s="14">
        <f t="shared" ref="AD16:AM16" si="2">MIN(AD11:AD13)</f>
        <v>5.915</v>
      </c>
      <c r="AE16" s="14">
        <f t="shared" si="2"/>
        <v>2.5</v>
      </c>
      <c r="AF16" s="14">
        <f t="shared" si="2"/>
        <v>4.25</v>
      </c>
      <c r="AG16" s="14">
        <f t="shared" si="2"/>
        <v>7.2</v>
      </c>
      <c r="AH16" s="14">
        <f t="shared" si="2"/>
        <v>28.200000000000003</v>
      </c>
      <c r="AI16" s="14">
        <f t="shared" si="2"/>
        <v>2.5615000000000001</v>
      </c>
      <c r="AJ16" s="14">
        <f t="shared" si="2"/>
        <v>2754.995462791182</v>
      </c>
      <c r="AK16" s="14">
        <f t="shared" si="2"/>
        <v>8.299999999999999E-2</v>
      </c>
      <c r="AL16" s="14">
        <f t="shared" si="2"/>
        <v>2.9499999999999998E-2</v>
      </c>
      <c r="AM16" s="14">
        <f t="shared" si="2"/>
        <v>4</v>
      </c>
    </row>
    <row r="17" spans="1:39" ht="45.75">
      <c r="A17" s="9"/>
      <c r="B17" s="10" t="s">
        <v>7</v>
      </c>
      <c r="C17" s="11">
        <v>2</v>
      </c>
      <c r="D17" s="227" t="s">
        <v>744</v>
      </c>
      <c r="E17" s="227" t="s">
        <v>742</v>
      </c>
      <c r="F17" s="12" t="s">
        <v>119</v>
      </c>
      <c r="G17" s="12">
        <v>7.19</v>
      </c>
      <c r="H17" s="12" t="s">
        <v>119</v>
      </c>
      <c r="I17" s="12" t="s">
        <v>119</v>
      </c>
      <c r="J17" s="12">
        <v>7.21</v>
      </c>
      <c r="K17" s="12" t="s">
        <v>119</v>
      </c>
      <c r="L17" s="12" t="s">
        <v>119</v>
      </c>
      <c r="M17" s="12" t="s">
        <v>119</v>
      </c>
      <c r="N17" s="12">
        <v>7.86</v>
      </c>
      <c r="O17" s="12" t="s">
        <v>119</v>
      </c>
      <c r="P17" s="12">
        <v>7.69</v>
      </c>
      <c r="Q17" s="12" t="s">
        <v>119</v>
      </c>
      <c r="R17" s="35">
        <f t="shared" si="0"/>
        <v>7.4875000000000007</v>
      </c>
      <c r="S17" s="18" t="s">
        <v>106</v>
      </c>
      <c r="T17" s="242" t="s">
        <v>745</v>
      </c>
      <c r="X17" s="14" t="s">
        <v>95</v>
      </c>
      <c r="Y17" s="964"/>
      <c r="Z17" s="965"/>
      <c r="AA17" s="965"/>
      <c r="AB17" s="965"/>
      <c r="AC17" s="966"/>
      <c r="AD17" s="14">
        <f t="shared" ref="AD17:AM17" si="3">MAX(AD11:AD13)</f>
        <v>6.0625</v>
      </c>
      <c r="AE17" s="14">
        <f t="shared" si="3"/>
        <v>2.5</v>
      </c>
      <c r="AF17" s="14">
        <f t="shared" si="3"/>
        <v>5.25</v>
      </c>
      <c r="AG17" s="14">
        <f t="shared" si="3"/>
        <v>7.2350000000000003</v>
      </c>
      <c r="AH17" s="14">
        <f t="shared" si="3"/>
        <v>29.6</v>
      </c>
      <c r="AI17" s="14">
        <f t="shared" si="3"/>
        <v>2.6509999999999998</v>
      </c>
      <c r="AJ17" s="14">
        <f t="shared" si="3"/>
        <v>6549.8091575251256</v>
      </c>
      <c r="AK17" s="14">
        <f t="shared" si="3"/>
        <v>0.1915</v>
      </c>
      <c r="AL17" s="14">
        <f t="shared" si="3"/>
        <v>3.9E-2</v>
      </c>
      <c r="AM17" s="14">
        <f t="shared" si="3"/>
        <v>5.5</v>
      </c>
    </row>
    <row r="18" spans="1:39" ht="30">
      <c r="A18" s="9"/>
      <c r="B18" s="10" t="s">
        <v>7</v>
      </c>
      <c r="C18" s="11">
        <v>3</v>
      </c>
      <c r="D18" s="227" t="s">
        <v>746</v>
      </c>
      <c r="E18" s="227" t="s">
        <v>747</v>
      </c>
      <c r="F18" s="12" t="s">
        <v>119</v>
      </c>
      <c r="G18" s="12">
        <v>7.2</v>
      </c>
      <c r="H18" s="12" t="s">
        <v>119</v>
      </c>
      <c r="I18" s="12" t="s">
        <v>119</v>
      </c>
      <c r="J18" s="12">
        <v>7.25</v>
      </c>
      <c r="K18" s="12" t="s">
        <v>119</v>
      </c>
      <c r="L18" s="12" t="s">
        <v>119</v>
      </c>
      <c r="M18" s="12" t="s">
        <v>119</v>
      </c>
      <c r="N18" s="12">
        <v>7.77</v>
      </c>
      <c r="O18" s="12" t="s">
        <v>119</v>
      </c>
      <c r="P18" s="12">
        <v>7.77</v>
      </c>
      <c r="Q18" s="12" t="s">
        <v>119</v>
      </c>
      <c r="R18" s="35">
        <f t="shared" si="0"/>
        <v>7.4974999999999996</v>
      </c>
      <c r="S18" s="18" t="s">
        <v>106</v>
      </c>
      <c r="T18" s="242" t="s">
        <v>748</v>
      </c>
      <c r="X18" s="14" t="s">
        <v>96</v>
      </c>
      <c r="Y18" s="967"/>
      <c r="Z18" s="968"/>
      <c r="AA18" s="968"/>
      <c r="AB18" s="968"/>
      <c r="AC18" s="969"/>
      <c r="AD18" s="29" t="s">
        <v>97</v>
      </c>
      <c r="AE18" s="29" t="s">
        <v>97</v>
      </c>
      <c r="AF18" s="29" t="s">
        <v>697</v>
      </c>
      <c r="AG18" s="29" t="s">
        <v>750</v>
      </c>
      <c r="AH18" s="29" t="s">
        <v>698</v>
      </c>
      <c r="AI18" s="29" t="s">
        <v>751</v>
      </c>
      <c r="AJ18" s="29" t="s">
        <v>700</v>
      </c>
      <c r="AK18" s="29" t="s">
        <v>98</v>
      </c>
      <c r="AL18" s="29" t="s">
        <v>104</v>
      </c>
      <c r="AM18" s="29" t="s">
        <v>701</v>
      </c>
    </row>
    <row r="19" spans="1:39" ht="45.75">
      <c r="A19" s="9"/>
      <c r="B19" s="149" t="s">
        <v>108</v>
      </c>
      <c r="C19" s="15">
        <v>1</v>
      </c>
      <c r="D19" s="294" t="s">
        <v>648</v>
      </c>
      <c r="E19" s="294" t="s">
        <v>742</v>
      </c>
      <c r="F19" s="7" t="s">
        <v>119</v>
      </c>
      <c r="G19" s="7">
        <v>27.1</v>
      </c>
      <c r="H19" s="7" t="s">
        <v>119</v>
      </c>
      <c r="I19" s="7" t="s">
        <v>119</v>
      </c>
      <c r="J19" s="7">
        <v>29.3</v>
      </c>
      <c r="K19" s="7" t="s">
        <v>119</v>
      </c>
      <c r="L19" s="7" t="s">
        <v>119</v>
      </c>
      <c r="M19" s="7" t="s">
        <v>119</v>
      </c>
      <c r="N19" s="7">
        <v>25.8</v>
      </c>
      <c r="O19" s="7" t="s">
        <v>119</v>
      </c>
      <c r="P19" s="7">
        <v>27.8</v>
      </c>
      <c r="Q19" s="7" t="s">
        <v>119</v>
      </c>
      <c r="R19" s="48">
        <f t="shared" si="0"/>
        <v>27.5</v>
      </c>
      <c r="S19" s="17" t="s">
        <v>109</v>
      </c>
      <c r="T19" s="242" t="s">
        <v>743</v>
      </c>
      <c r="X19" s="1"/>
      <c r="Y19" s="1"/>
      <c r="Z19" s="1"/>
      <c r="AA19" s="1"/>
      <c r="AB19" s="1"/>
      <c r="AC19" s="1"/>
      <c r="AD19" s="1"/>
      <c r="AE19" s="1"/>
      <c r="AF19" s="1"/>
      <c r="AG19" s="1"/>
      <c r="AH19" s="1"/>
      <c r="AI19" s="1"/>
      <c r="AJ19" s="1"/>
      <c r="AK19" s="1"/>
      <c r="AL19" s="1"/>
      <c r="AM19" s="1"/>
    </row>
    <row r="20" spans="1:39" ht="45.75">
      <c r="A20" s="9"/>
      <c r="B20" s="10" t="s">
        <v>108</v>
      </c>
      <c r="C20" s="11">
        <v>2</v>
      </c>
      <c r="D20" s="227" t="s">
        <v>744</v>
      </c>
      <c r="E20" s="227" t="s">
        <v>742</v>
      </c>
      <c r="F20" s="12" t="s">
        <v>119</v>
      </c>
      <c r="G20" s="12">
        <v>30</v>
      </c>
      <c r="H20" s="12" t="s">
        <v>119</v>
      </c>
      <c r="I20" s="12" t="s">
        <v>119</v>
      </c>
      <c r="J20" s="12">
        <v>29.1</v>
      </c>
      <c r="K20" s="12" t="s">
        <v>119</v>
      </c>
      <c r="L20" s="12" t="s">
        <v>119</v>
      </c>
      <c r="M20" s="12" t="s">
        <v>119</v>
      </c>
      <c r="N20" s="12">
        <v>25.8</v>
      </c>
      <c r="O20" s="12" t="s">
        <v>119</v>
      </c>
      <c r="P20" s="12">
        <v>27.8</v>
      </c>
      <c r="Q20" s="12" t="s">
        <v>119</v>
      </c>
      <c r="R20" s="35">
        <f t="shared" si="0"/>
        <v>28.175000000000001</v>
      </c>
      <c r="S20" s="18" t="s">
        <v>109</v>
      </c>
      <c r="T20" s="242" t="s">
        <v>745</v>
      </c>
      <c r="X20" s="1"/>
      <c r="Y20" s="1"/>
      <c r="Z20" s="1"/>
      <c r="AA20" s="1"/>
      <c r="AB20" s="1"/>
      <c r="AC20" s="1"/>
      <c r="AD20" s="1"/>
      <c r="AE20" s="1"/>
      <c r="AF20" s="1"/>
      <c r="AG20" s="1"/>
      <c r="AH20" s="1"/>
      <c r="AI20" s="1"/>
      <c r="AJ20" s="1"/>
      <c r="AK20" s="1"/>
      <c r="AL20" s="1"/>
      <c r="AM20" s="1"/>
    </row>
    <row r="21" spans="1:39" ht="23.25" customHeight="1">
      <c r="A21" s="9"/>
      <c r="B21" s="10" t="s">
        <v>108</v>
      </c>
      <c r="C21" s="11">
        <v>3</v>
      </c>
      <c r="D21" s="227" t="s">
        <v>746</v>
      </c>
      <c r="E21" s="227" t="s">
        <v>747</v>
      </c>
      <c r="F21" s="12" t="s">
        <v>119</v>
      </c>
      <c r="G21" s="12">
        <v>30.1</v>
      </c>
      <c r="H21" s="12" t="s">
        <v>119</v>
      </c>
      <c r="I21" s="12" t="s">
        <v>119</v>
      </c>
      <c r="J21" s="12">
        <v>29.1</v>
      </c>
      <c r="K21" s="12" t="s">
        <v>119</v>
      </c>
      <c r="L21" s="12" t="s">
        <v>119</v>
      </c>
      <c r="M21" s="12" t="s">
        <v>119</v>
      </c>
      <c r="N21" s="12">
        <v>25.8</v>
      </c>
      <c r="O21" s="12" t="s">
        <v>119</v>
      </c>
      <c r="P21" s="12">
        <v>27.8</v>
      </c>
      <c r="Q21" s="12" t="s">
        <v>119</v>
      </c>
      <c r="R21" s="35">
        <f t="shared" si="0"/>
        <v>28.2</v>
      </c>
      <c r="S21" s="18" t="s">
        <v>109</v>
      </c>
      <c r="T21" s="242" t="s">
        <v>748</v>
      </c>
      <c r="X21" s="971" t="s">
        <v>70</v>
      </c>
      <c r="Y21" s="972"/>
      <c r="Z21" s="1198"/>
      <c r="AA21" s="1198"/>
      <c r="AB21" s="1198"/>
      <c r="AC21" s="1198"/>
      <c r="AD21" s="1198"/>
      <c r="AE21" s="1198"/>
      <c r="AF21" s="1198"/>
      <c r="AG21" s="1198"/>
      <c r="AH21" s="1198"/>
      <c r="AI21" s="1198"/>
      <c r="AJ21" s="1198"/>
      <c r="AK21" s="1198"/>
      <c r="AL21" s="1198"/>
      <c r="AM21" s="1199"/>
    </row>
    <row r="22" spans="1:39" ht="15.75" customHeight="1">
      <c r="A22" s="9"/>
      <c r="B22" s="149" t="s">
        <v>110</v>
      </c>
      <c r="C22" s="15">
        <v>1</v>
      </c>
      <c r="D22" s="294" t="s">
        <v>648</v>
      </c>
      <c r="E22" s="294" t="s">
        <v>742</v>
      </c>
      <c r="F22" s="7" t="s">
        <v>119</v>
      </c>
      <c r="G22" s="7">
        <v>0.30199999999999999</v>
      </c>
      <c r="H22" s="7" t="s">
        <v>119</v>
      </c>
      <c r="I22" s="7" t="s">
        <v>119</v>
      </c>
      <c r="J22" s="7">
        <v>5</v>
      </c>
      <c r="K22" s="7" t="s">
        <v>119</v>
      </c>
      <c r="L22" s="7" t="s">
        <v>119</v>
      </c>
      <c r="M22" s="7" t="s">
        <v>119</v>
      </c>
      <c r="N22" s="7">
        <v>5</v>
      </c>
      <c r="O22" s="7" t="s">
        <v>119</v>
      </c>
      <c r="P22" s="7">
        <v>5</v>
      </c>
      <c r="Q22" s="7" t="s">
        <v>119</v>
      </c>
      <c r="R22" s="48">
        <f t="shared" si="0"/>
        <v>3.8254999999999999</v>
      </c>
      <c r="S22" s="8">
        <v>75</v>
      </c>
      <c r="T22" s="242" t="s">
        <v>743</v>
      </c>
      <c r="X22" s="971" t="s">
        <v>107</v>
      </c>
      <c r="Y22" s="972"/>
      <c r="Z22" s="1198"/>
      <c r="AA22" s="1198"/>
      <c r="AB22" s="1198"/>
      <c r="AC22" s="1198"/>
      <c r="AD22" s="1198"/>
      <c r="AE22" s="1198"/>
      <c r="AF22" s="1198"/>
      <c r="AG22" s="1198"/>
      <c r="AH22" s="1198"/>
      <c r="AI22" s="1198"/>
      <c r="AJ22" s="1198"/>
      <c r="AK22" s="1198"/>
      <c r="AL22" s="1198"/>
      <c r="AM22" s="1199"/>
    </row>
    <row r="23" spans="1:39" ht="15.75" customHeight="1">
      <c r="A23" s="9"/>
      <c r="B23" s="10" t="s">
        <v>110</v>
      </c>
      <c r="C23" s="11">
        <v>2</v>
      </c>
      <c r="D23" s="227" t="s">
        <v>744</v>
      </c>
      <c r="E23" s="227" t="s">
        <v>742</v>
      </c>
      <c r="F23" s="12" t="s">
        <v>119</v>
      </c>
      <c r="G23" s="12">
        <v>0.161</v>
      </c>
      <c r="H23" s="12" t="s">
        <v>119</v>
      </c>
      <c r="I23" s="12" t="s">
        <v>119</v>
      </c>
      <c r="J23" s="12">
        <v>5</v>
      </c>
      <c r="K23" s="12" t="s">
        <v>119</v>
      </c>
      <c r="L23" s="12" t="s">
        <v>119</v>
      </c>
      <c r="M23" s="12" t="s">
        <v>119</v>
      </c>
      <c r="N23" s="12">
        <v>5</v>
      </c>
      <c r="O23" s="12" t="s">
        <v>119</v>
      </c>
      <c r="P23" s="12">
        <v>5</v>
      </c>
      <c r="Q23" s="12" t="s">
        <v>119</v>
      </c>
      <c r="R23" s="35">
        <f t="shared" si="0"/>
        <v>3.7902499999999999</v>
      </c>
      <c r="S23" s="90">
        <v>75</v>
      </c>
      <c r="T23" s="242" t="s">
        <v>745</v>
      </c>
      <c r="X23" s="1179"/>
      <c r="Y23" s="1180"/>
      <c r="Z23" s="1177"/>
      <c r="AA23" s="1177"/>
      <c r="AB23" s="1177"/>
      <c r="AC23" s="1178"/>
      <c r="AD23" s="844" t="s">
        <v>78</v>
      </c>
      <c r="AE23" s="1177"/>
      <c r="AF23" s="1177"/>
      <c r="AG23" s="1177"/>
      <c r="AH23" s="1177"/>
      <c r="AI23" s="1177"/>
      <c r="AJ23" s="1177"/>
      <c r="AK23" s="1177"/>
      <c r="AL23" s="1177"/>
      <c r="AM23" s="1178"/>
    </row>
    <row r="24" spans="1:39" ht="15.75" customHeight="1">
      <c r="A24" s="9"/>
      <c r="B24" s="10" t="s">
        <v>110</v>
      </c>
      <c r="C24" s="11">
        <v>3</v>
      </c>
      <c r="D24" s="227" t="s">
        <v>746</v>
      </c>
      <c r="E24" s="227" t="s">
        <v>747</v>
      </c>
      <c r="F24" s="12" t="s">
        <v>119</v>
      </c>
      <c r="G24" s="12">
        <v>0.123</v>
      </c>
      <c r="H24" s="12" t="s">
        <v>119</v>
      </c>
      <c r="I24" s="12" t="s">
        <v>119</v>
      </c>
      <c r="J24" s="12">
        <v>5</v>
      </c>
      <c r="K24" s="12" t="s">
        <v>119</v>
      </c>
      <c r="L24" s="12" t="s">
        <v>119</v>
      </c>
      <c r="M24" s="12" t="s">
        <v>119</v>
      </c>
      <c r="N24" s="12">
        <v>5</v>
      </c>
      <c r="O24" s="12" t="s">
        <v>119</v>
      </c>
      <c r="P24" s="12">
        <v>5</v>
      </c>
      <c r="Q24" s="12" t="s">
        <v>119</v>
      </c>
      <c r="R24" s="35">
        <f t="shared" si="0"/>
        <v>3.7807500000000003</v>
      </c>
      <c r="S24" s="14">
        <v>75</v>
      </c>
      <c r="T24" s="242" t="s">
        <v>748</v>
      </c>
      <c r="X24" s="844" t="s">
        <v>82</v>
      </c>
      <c r="Y24" s="846"/>
      <c r="Z24" s="14" t="s">
        <v>83</v>
      </c>
      <c r="AA24" s="14" t="s">
        <v>84</v>
      </c>
      <c r="AB24" s="14" t="s">
        <v>722</v>
      </c>
      <c r="AC24" s="14" t="s">
        <v>86</v>
      </c>
      <c r="AD24" s="14" t="s">
        <v>4</v>
      </c>
      <c r="AE24" s="14" t="s">
        <v>5</v>
      </c>
      <c r="AF24" s="14" t="s">
        <v>6</v>
      </c>
      <c r="AG24" s="14" t="s">
        <v>7</v>
      </c>
      <c r="AH24" s="14" t="s">
        <v>8</v>
      </c>
      <c r="AI24" s="14" t="s">
        <v>9</v>
      </c>
      <c r="AJ24" s="14" t="s">
        <v>10</v>
      </c>
      <c r="AK24" s="14" t="s">
        <v>11</v>
      </c>
      <c r="AL24" s="14" t="s">
        <v>12</v>
      </c>
      <c r="AM24" s="14" t="s">
        <v>13</v>
      </c>
    </row>
    <row r="25" spans="1:39" ht="15.75" customHeight="1">
      <c r="A25" s="9"/>
      <c r="B25" s="149" t="s">
        <v>111</v>
      </c>
      <c r="C25" s="15">
        <v>1</v>
      </c>
      <c r="D25" s="294" t="s">
        <v>648</v>
      </c>
      <c r="E25" s="294" t="s">
        <v>742</v>
      </c>
      <c r="F25" s="7" t="s">
        <v>119</v>
      </c>
      <c r="G25" s="7">
        <v>7000</v>
      </c>
      <c r="H25" s="7" t="s">
        <v>119</v>
      </c>
      <c r="I25" s="7" t="s">
        <v>119</v>
      </c>
      <c r="J25" s="7">
        <v>4600</v>
      </c>
      <c r="K25" s="7" t="s">
        <v>119</v>
      </c>
      <c r="L25" s="7" t="s">
        <v>119</v>
      </c>
      <c r="M25" s="7" t="s">
        <v>119</v>
      </c>
      <c r="N25" s="7">
        <v>35000</v>
      </c>
      <c r="O25" s="7" t="s">
        <v>119</v>
      </c>
      <c r="P25" s="7">
        <v>1400</v>
      </c>
      <c r="Q25" s="7" t="s">
        <v>119</v>
      </c>
      <c r="R25" s="49">
        <f>IFERROR(GEOMEAN(F25:Q25), "")</f>
        <v>6302.5019385567111</v>
      </c>
      <c r="S25" s="8">
        <v>200</v>
      </c>
      <c r="T25" s="242" t="s">
        <v>743</v>
      </c>
      <c r="X25" s="1036" t="s">
        <v>749</v>
      </c>
      <c r="Y25" s="1037"/>
      <c r="Z25" s="886" t="s">
        <v>741</v>
      </c>
      <c r="AA25" s="883" t="s">
        <v>22</v>
      </c>
      <c r="AB25" s="32">
        <v>1</v>
      </c>
      <c r="AC25" s="65" t="s">
        <v>648</v>
      </c>
      <c r="AD25" s="443">
        <f>R7</f>
        <v>5.915</v>
      </c>
      <c r="AE25" s="443">
        <f>R10</f>
        <v>2.5</v>
      </c>
      <c r="AF25" s="443">
        <f>R13</f>
        <v>13.375</v>
      </c>
      <c r="AG25" s="443">
        <f>R16</f>
        <v>7.5425000000000004</v>
      </c>
      <c r="AH25" s="443">
        <f>R19</f>
        <v>27.5</v>
      </c>
      <c r="AI25" s="443">
        <f>R22</f>
        <v>3.8254999999999999</v>
      </c>
      <c r="AJ25" s="443">
        <f>R25</f>
        <v>6302.5019385567111</v>
      </c>
      <c r="AK25" s="443">
        <f>R28</f>
        <v>0.33699999999999997</v>
      </c>
      <c r="AL25" s="443">
        <f>R31</f>
        <v>6.6000000000000003E-2</v>
      </c>
      <c r="AM25" s="443">
        <f>R34</f>
        <v>43</v>
      </c>
    </row>
    <row r="26" spans="1:39" ht="15.75" customHeight="1">
      <c r="A26" s="9"/>
      <c r="B26" s="10" t="s">
        <v>111</v>
      </c>
      <c r="C26" s="11">
        <v>2</v>
      </c>
      <c r="D26" s="227" t="s">
        <v>744</v>
      </c>
      <c r="E26" s="227" t="s">
        <v>742</v>
      </c>
      <c r="F26" s="12" t="s">
        <v>119</v>
      </c>
      <c r="G26" s="12">
        <v>2300</v>
      </c>
      <c r="H26" s="12" t="s">
        <v>119</v>
      </c>
      <c r="I26" s="12" t="s">
        <v>119</v>
      </c>
      <c r="J26" s="12">
        <v>3300</v>
      </c>
      <c r="K26" s="12" t="s">
        <v>119</v>
      </c>
      <c r="L26" s="12" t="s">
        <v>119</v>
      </c>
      <c r="M26" s="12" t="s">
        <v>119</v>
      </c>
      <c r="N26" s="12">
        <v>35000</v>
      </c>
      <c r="O26" s="12" t="s">
        <v>119</v>
      </c>
      <c r="P26" s="12">
        <v>5400</v>
      </c>
      <c r="Q26" s="12" t="s">
        <v>119</v>
      </c>
      <c r="R26" s="36">
        <f>IFERROR(GEOMEAN(F26:Q26), "")</f>
        <v>6154.2607795332706</v>
      </c>
      <c r="S26" s="14">
        <v>200</v>
      </c>
      <c r="T26" s="242" t="s">
        <v>745</v>
      </c>
      <c r="X26" s="1038"/>
      <c r="Y26" s="1039"/>
      <c r="Z26" s="1196"/>
      <c r="AA26" s="1196"/>
      <c r="AB26" s="32">
        <v>2</v>
      </c>
      <c r="AC26" s="65" t="s">
        <v>651</v>
      </c>
      <c r="AD26" s="443">
        <f>R8</f>
        <v>6.0149999999999997</v>
      </c>
      <c r="AE26" s="443">
        <f>R11</f>
        <v>2.5</v>
      </c>
      <c r="AF26" s="443">
        <f>R14</f>
        <v>16.375</v>
      </c>
      <c r="AG26" s="443">
        <f>R17</f>
        <v>7.4875000000000007</v>
      </c>
      <c r="AH26" s="443">
        <f>R20</f>
        <v>28.175000000000001</v>
      </c>
      <c r="AI26" s="443">
        <f>R23</f>
        <v>3.7902499999999999</v>
      </c>
      <c r="AJ26" s="443">
        <f>R26</f>
        <v>6154.2607795332706</v>
      </c>
      <c r="AK26" s="443">
        <f>R29</f>
        <v>0.22900000000000001</v>
      </c>
      <c r="AL26" s="443">
        <f>R32</f>
        <v>0.3725</v>
      </c>
      <c r="AM26" s="443">
        <f>R35</f>
        <v>8.25</v>
      </c>
    </row>
    <row r="27" spans="1:39" ht="15.75" customHeight="1">
      <c r="A27" s="9"/>
      <c r="B27" s="10" t="s">
        <v>111</v>
      </c>
      <c r="C27" s="11">
        <v>3</v>
      </c>
      <c r="D27" s="227" t="s">
        <v>746</v>
      </c>
      <c r="E27" s="227" t="s">
        <v>747</v>
      </c>
      <c r="F27" s="12" t="s">
        <v>119</v>
      </c>
      <c r="G27" s="12">
        <v>13000</v>
      </c>
      <c r="H27" s="12" t="s">
        <v>119</v>
      </c>
      <c r="I27" s="12" t="s">
        <v>119</v>
      </c>
      <c r="J27" s="12">
        <v>3300</v>
      </c>
      <c r="K27" s="12" t="s">
        <v>119</v>
      </c>
      <c r="L27" s="12" t="s">
        <v>119</v>
      </c>
      <c r="M27" s="12" t="s">
        <v>119</v>
      </c>
      <c r="N27" s="12">
        <v>160000</v>
      </c>
      <c r="O27" s="12" t="s">
        <v>119</v>
      </c>
      <c r="P27" s="12">
        <v>160000</v>
      </c>
      <c r="Q27" s="12" t="s">
        <v>119</v>
      </c>
      <c r="R27" s="36">
        <f>IFERROR(GEOMEAN(F27:Q27), "")</f>
        <v>32372.356497543085</v>
      </c>
      <c r="S27" s="14">
        <v>200</v>
      </c>
      <c r="T27" s="242" t="s">
        <v>748</v>
      </c>
      <c r="X27" s="1040"/>
      <c r="Y27" s="1041"/>
      <c r="Z27" s="1197"/>
      <c r="AA27" s="1197"/>
      <c r="AB27" s="32">
        <v>3</v>
      </c>
      <c r="AC27" s="65" t="s">
        <v>653</v>
      </c>
      <c r="AD27" s="443">
        <f>R9</f>
        <v>6.0625</v>
      </c>
      <c r="AE27" s="443">
        <f>R12</f>
        <v>2.5</v>
      </c>
      <c r="AF27" s="443">
        <f>R15</f>
        <v>15.875</v>
      </c>
      <c r="AG27" s="443">
        <f>R18</f>
        <v>7.4974999999999996</v>
      </c>
      <c r="AH27" s="443">
        <f>R21</f>
        <v>28.2</v>
      </c>
      <c r="AI27" s="443">
        <f>R24</f>
        <v>3.7807500000000003</v>
      </c>
      <c r="AJ27" s="443">
        <f>R27</f>
        <v>32372.356497543085</v>
      </c>
      <c r="AK27" s="443">
        <f>R30</f>
        <v>0.216</v>
      </c>
      <c r="AL27" s="443">
        <f>R33</f>
        <v>0.33650000000000002</v>
      </c>
      <c r="AM27" s="443">
        <f>R36</f>
        <v>13.25</v>
      </c>
    </row>
    <row r="28" spans="1:39" ht="15.75" customHeight="1">
      <c r="A28" s="20"/>
      <c r="B28" s="151" t="s">
        <v>113</v>
      </c>
      <c r="C28" s="21">
        <v>1</v>
      </c>
      <c r="D28" s="294" t="s">
        <v>648</v>
      </c>
      <c r="E28" s="294" t="s">
        <v>742</v>
      </c>
      <c r="F28" s="7" t="s">
        <v>119</v>
      </c>
      <c r="G28" s="22">
        <v>0.30199999999999999</v>
      </c>
      <c r="H28" s="7" t="s">
        <v>119</v>
      </c>
      <c r="I28" s="7" t="s">
        <v>119</v>
      </c>
      <c r="J28" s="22">
        <v>8.1000000000000003E-2</v>
      </c>
      <c r="K28" s="7" t="s">
        <v>119</v>
      </c>
      <c r="L28" s="7" t="s">
        <v>119</v>
      </c>
      <c r="M28" s="7" t="s">
        <v>119</v>
      </c>
      <c r="N28" s="22">
        <v>0.60799999999999998</v>
      </c>
      <c r="O28" s="22" t="s">
        <v>119</v>
      </c>
      <c r="P28" s="22">
        <v>0.35699999999999998</v>
      </c>
      <c r="Q28" s="7" t="s">
        <v>119</v>
      </c>
      <c r="R28" s="23">
        <f t="shared" ref="R28:R36" si="4">IFERROR(AVERAGE(F28:Q28), 0)</f>
        <v>0.33699999999999997</v>
      </c>
      <c r="S28" s="23">
        <v>7</v>
      </c>
      <c r="T28" s="242" t="s">
        <v>743</v>
      </c>
      <c r="X28" s="1179"/>
      <c r="Y28" s="1180"/>
      <c r="Z28" s="1177"/>
      <c r="AA28" s="1177"/>
      <c r="AB28" s="1177"/>
      <c r="AC28" s="1177"/>
      <c r="AD28" s="1177"/>
      <c r="AE28" s="1177"/>
      <c r="AF28" s="1177"/>
      <c r="AG28" s="1177"/>
      <c r="AH28" s="1177"/>
      <c r="AI28" s="1177"/>
      <c r="AJ28" s="1177"/>
      <c r="AK28" s="1177"/>
      <c r="AL28" s="1177"/>
      <c r="AM28" s="1178"/>
    </row>
    <row r="29" spans="1:39" ht="15.75" customHeight="1">
      <c r="A29" s="20"/>
      <c r="B29" s="84" t="s">
        <v>114</v>
      </c>
      <c r="C29" s="25">
        <v>2</v>
      </c>
      <c r="D29" s="227" t="s">
        <v>744</v>
      </c>
      <c r="E29" s="227" t="s">
        <v>742</v>
      </c>
      <c r="F29" s="12" t="s">
        <v>119</v>
      </c>
      <c r="G29" s="26">
        <v>0.161</v>
      </c>
      <c r="H29" s="12" t="s">
        <v>119</v>
      </c>
      <c r="I29" s="12" t="s">
        <v>119</v>
      </c>
      <c r="J29" s="26">
        <v>8.4000000000000005E-2</v>
      </c>
      <c r="K29" s="12" t="s">
        <v>119</v>
      </c>
      <c r="L29" s="12" t="s">
        <v>119</v>
      </c>
      <c r="M29" s="12" t="s">
        <v>119</v>
      </c>
      <c r="N29" s="26">
        <v>0.40400000000000003</v>
      </c>
      <c r="O29" s="26" t="s">
        <v>119</v>
      </c>
      <c r="P29" s="26">
        <v>0.26700000000000002</v>
      </c>
      <c r="Q29" s="12" t="s">
        <v>119</v>
      </c>
      <c r="R29" s="28">
        <f t="shared" si="4"/>
        <v>0.22900000000000001</v>
      </c>
      <c r="S29" s="28">
        <v>7</v>
      </c>
      <c r="T29" s="242" t="s">
        <v>745</v>
      </c>
      <c r="X29" s="14" t="s">
        <v>93</v>
      </c>
      <c r="Y29" s="961"/>
      <c r="Z29" s="962"/>
      <c r="AA29" s="962"/>
      <c r="AB29" s="962"/>
      <c r="AC29" s="963"/>
      <c r="AD29" s="35">
        <f t="shared" ref="AD29:AM29" si="5">AVERAGE(AD25:AD27)</f>
        <v>5.9974999999999996</v>
      </c>
      <c r="AE29" s="35">
        <f t="shared" si="5"/>
        <v>2.5</v>
      </c>
      <c r="AF29" s="35">
        <f t="shared" si="5"/>
        <v>15.208333333333334</v>
      </c>
      <c r="AG29" s="35">
        <f t="shared" si="5"/>
        <v>7.5091666666666663</v>
      </c>
      <c r="AH29" s="35">
        <f t="shared" si="5"/>
        <v>27.958333333333332</v>
      </c>
      <c r="AI29" s="35">
        <f t="shared" si="5"/>
        <v>3.7988333333333331</v>
      </c>
      <c r="AJ29" s="35">
        <f t="shared" si="5"/>
        <v>14943.039738544356</v>
      </c>
      <c r="AK29" s="35">
        <f t="shared" si="5"/>
        <v>0.26066666666666666</v>
      </c>
      <c r="AL29" s="35">
        <f t="shared" si="5"/>
        <v>0.25833333333333336</v>
      </c>
      <c r="AM29" s="35">
        <f t="shared" si="5"/>
        <v>21.5</v>
      </c>
    </row>
    <row r="30" spans="1:39" ht="15.75" customHeight="1">
      <c r="A30" s="20"/>
      <c r="B30" s="84" t="s">
        <v>114</v>
      </c>
      <c r="C30" s="25">
        <v>3</v>
      </c>
      <c r="D30" s="227" t="s">
        <v>746</v>
      </c>
      <c r="E30" s="227" t="s">
        <v>747</v>
      </c>
      <c r="F30" s="12" t="s">
        <v>119</v>
      </c>
      <c r="G30" s="26">
        <v>0.123</v>
      </c>
      <c r="H30" s="12" t="s">
        <v>119</v>
      </c>
      <c r="I30" s="12" t="s">
        <v>119</v>
      </c>
      <c r="J30" s="26">
        <v>4.2999999999999997E-2</v>
      </c>
      <c r="K30" s="12" t="s">
        <v>119</v>
      </c>
      <c r="L30" s="12" t="s">
        <v>119</v>
      </c>
      <c r="M30" s="12" t="s">
        <v>119</v>
      </c>
      <c r="N30" s="26">
        <v>0.46500000000000002</v>
      </c>
      <c r="O30" s="26" t="s">
        <v>119</v>
      </c>
      <c r="P30" s="26">
        <v>0.23300000000000001</v>
      </c>
      <c r="Q30" s="12" t="s">
        <v>119</v>
      </c>
      <c r="R30" s="28">
        <f t="shared" si="4"/>
        <v>0.216</v>
      </c>
      <c r="S30" s="28">
        <v>7</v>
      </c>
      <c r="T30" s="242" t="s">
        <v>748</v>
      </c>
      <c r="X30" s="14" t="s">
        <v>94</v>
      </c>
      <c r="Y30" s="964"/>
      <c r="Z30" s="965"/>
      <c r="AA30" s="965"/>
      <c r="AB30" s="965"/>
      <c r="AC30" s="966"/>
      <c r="AD30" s="35">
        <f t="shared" ref="AD30:AM30" si="6">MIN(AD25:AD27)</f>
        <v>5.915</v>
      </c>
      <c r="AE30" s="35">
        <f t="shared" si="6"/>
        <v>2.5</v>
      </c>
      <c r="AF30" s="35">
        <f t="shared" si="6"/>
        <v>13.375</v>
      </c>
      <c r="AG30" s="35">
        <f t="shared" si="6"/>
        <v>7.4875000000000007</v>
      </c>
      <c r="AH30" s="35">
        <f t="shared" si="6"/>
        <v>27.5</v>
      </c>
      <c r="AI30" s="35">
        <f t="shared" si="6"/>
        <v>3.7807500000000003</v>
      </c>
      <c r="AJ30" s="35">
        <f t="shared" si="6"/>
        <v>6154.2607795332706</v>
      </c>
      <c r="AK30" s="35">
        <f t="shared" si="6"/>
        <v>0.216</v>
      </c>
      <c r="AL30" s="35">
        <f t="shared" si="6"/>
        <v>6.6000000000000003E-2</v>
      </c>
      <c r="AM30" s="35">
        <f t="shared" si="6"/>
        <v>8.25</v>
      </c>
    </row>
    <row r="31" spans="1:39" ht="15.75" customHeight="1">
      <c r="A31" s="20"/>
      <c r="B31" s="151" t="s">
        <v>115</v>
      </c>
      <c r="C31" s="21">
        <v>1</v>
      </c>
      <c r="D31" s="294" t="s">
        <v>648</v>
      </c>
      <c r="E31" s="294" t="s">
        <v>742</v>
      </c>
      <c r="F31" s="7" t="s">
        <v>119</v>
      </c>
      <c r="G31" s="22">
        <v>4.8000000000000001E-2</v>
      </c>
      <c r="H31" s="7" t="s">
        <v>119</v>
      </c>
      <c r="I31" s="7" t="s">
        <v>119</v>
      </c>
      <c r="J31" s="22">
        <v>1.0999999999999999E-2</v>
      </c>
      <c r="K31" s="7" t="s">
        <v>119</v>
      </c>
      <c r="L31" s="7" t="s">
        <v>119</v>
      </c>
      <c r="M31" s="7" t="s">
        <v>119</v>
      </c>
      <c r="N31" s="22">
        <v>7.8E-2</v>
      </c>
      <c r="O31" s="22" t="s">
        <v>119</v>
      </c>
      <c r="P31" s="22">
        <v>0.127</v>
      </c>
      <c r="Q31" s="7" t="s">
        <v>119</v>
      </c>
      <c r="R31" s="23">
        <f t="shared" si="4"/>
        <v>6.6000000000000003E-2</v>
      </c>
      <c r="S31" s="23">
        <v>2.5000000000000001E-2</v>
      </c>
      <c r="T31" s="242" t="s">
        <v>743</v>
      </c>
      <c r="X31" s="14" t="s">
        <v>95</v>
      </c>
      <c r="Y31" s="964"/>
      <c r="Z31" s="965"/>
      <c r="AA31" s="965"/>
      <c r="AB31" s="965"/>
      <c r="AC31" s="966"/>
      <c r="AD31" s="35">
        <f t="shared" ref="AD31:AM31" si="7">MAX(AD25:AD27)</f>
        <v>6.0625</v>
      </c>
      <c r="AE31" s="35">
        <f t="shared" si="7"/>
        <v>2.5</v>
      </c>
      <c r="AF31" s="35">
        <f t="shared" si="7"/>
        <v>16.375</v>
      </c>
      <c r="AG31" s="35">
        <f t="shared" si="7"/>
        <v>7.5425000000000004</v>
      </c>
      <c r="AH31" s="35">
        <f t="shared" si="7"/>
        <v>28.2</v>
      </c>
      <c r="AI31" s="35">
        <f t="shared" si="7"/>
        <v>3.8254999999999999</v>
      </c>
      <c r="AJ31" s="35">
        <f t="shared" si="7"/>
        <v>32372.356497543085</v>
      </c>
      <c r="AK31" s="35">
        <f t="shared" si="7"/>
        <v>0.33699999999999997</v>
      </c>
      <c r="AL31" s="35">
        <f t="shared" si="7"/>
        <v>0.3725</v>
      </c>
      <c r="AM31" s="35">
        <f t="shared" si="7"/>
        <v>43</v>
      </c>
    </row>
    <row r="32" spans="1:39" ht="15.75" customHeight="1">
      <c r="A32" s="20"/>
      <c r="B32" s="84" t="s">
        <v>116</v>
      </c>
      <c r="C32" s="25">
        <v>2</v>
      </c>
      <c r="D32" s="227" t="s">
        <v>744</v>
      </c>
      <c r="E32" s="227" t="s">
        <v>742</v>
      </c>
      <c r="F32" s="12" t="s">
        <v>119</v>
      </c>
      <c r="G32" s="26">
        <v>2.1999999999999999E-2</v>
      </c>
      <c r="H32" s="12" t="s">
        <v>119</v>
      </c>
      <c r="I32" s="12" t="s">
        <v>119</v>
      </c>
      <c r="J32" s="26">
        <v>4.4999999999999998E-2</v>
      </c>
      <c r="K32" s="12" t="s">
        <v>119</v>
      </c>
      <c r="L32" s="12" t="s">
        <v>119</v>
      </c>
      <c r="M32" s="12" t="s">
        <v>119</v>
      </c>
      <c r="N32" s="26">
        <v>0.13800000000000001</v>
      </c>
      <c r="O32" s="26" t="s">
        <v>119</v>
      </c>
      <c r="P32" s="26">
        <v>1.2849999999999999</v>
      </c>
      <c r="Q32" s="12" t="s">
        <v>119</v>
      </c>
      <c r="R32" s="28">
        <f t="shared" si="4"/>
        <v>0.3725</v>
      </c>
      <c r="S32" s="28">
        <v>2.5000000000000001E-2</v>
      </c>
      <c r="T32" s="242" t="s">
        <v>745</v>
      </c>
      <c r="X32" s="14" t="s">
        <v>96</v>
      </c>
      <c r="Y32" s="967"/>
      <c r="Z32" s="968"/>
      <c r="AA32" s="968"/>
      <c r="AB32" s="968"/>
      <c r="AC32" s="969"/>
      <c r="AD32" s="29" t="s">
        <v>97</v>
      </c>
      <c r="AE32" s="29" t="s">
        <v>97</v>
      </c>
      <c r="AF32" s="29" t="s">
        <v>697</v>
      </c>
      <c r="AG32" s="29" t="s">
        <v>750</v>
      </c>
      <c r="AH32" s="29" t="s">
        <v>698</v>
      </c>
      <c r="AI32" s="29" t="s">
        <v>751</v>
      </c>
      <c r="AJ32" s="29" t="s">
        <v>700</v>
      </c>
      <c r="AK32" s="29" t="s">
        <v>98</v>
      </c>
      <c r="AL32" s="29" t="s">
        <v>104</v>
      </c>
      <c r="AM32" s="29" t="s">
        <v>701</v>
      </c>
    </row>
    <row r="33" spans="1:20" ht="15.75" customHeight="1">
      <c r="A33" s="20"/>
      <c r="B33" s="84" t="s">
        <v>116</v>
      </c>
      <c r="C33" s="25">
        <v>3</v>
      </c>
      <c r="D33" s="227" t="s">
        <v>746</v>
      </c>
      <c r="E33" s="227" t="s">
        <v>747</v>
      </c>
      <c r="F33" s="12" t="s">
        <v>119</v>
      </c>
      <c r="G33" s="26">
        <v>4.2000000000000003E-2</v>
      </c>
      <c r="H33" s="12" t="s">
        <v>119</v>
      </c>
      <c r="I33" s="12" t="s">
        <v>119</v>
      </c>
      <c r="J33" s="26">
        <v>3.5999999999999997E-2</v>
      </c>
      <c r="K33" s="12" t="s">
        <v>119</v>
      </c>
      <c r="L33" s="12" t="s">
        <v>119</v>
      </c>
      <c r="M33" s="12" t="s">
        <v>119</v>
      </c>
      <c r="N33" s="26">
        <v>0.157</v>
      </c>
      <c r="O33" s="26" t="s">
        <v>119</v>
      </c>
      <c r="P33" s="26">
        <v>1.111</v>
      </c>
      <c r="Q33" s="12" t="s">
        <v>119</v>
      </c>
      <c r="R33" s="28">
        <f t="shared" si="4"/>
        <v>0.33650000000000002</v>
      </c>
      <c r="S33" s="28">
        <v>2.5000000000000001E-2</v>
      </c>
      <c r="T33" s="242" t="s">
        <v>748</v>
      </c>
    </row>
    <row r="34" spans="1:20" ht="15.75" customHeight="1">
      <c r="A34" s="9"/>
      <c r="B34" s="149" t="s">
        <v>117</v>
      </c>
      <c r="C34" s="15">
        <v>1</v>
      </c>
      <c r="D34" s="294" t="s">
        <v>648</v>
      </c>
      <c r="E34" s="294" t="s">
        <v>742</v>
      </c>
      <c r="F34" s="7" t="s">
        <v>119</v>
      </c>
      <c r="G34" s="7">
        <v>3</v>
      </c>
      <c r="H34" s="7" t="s">
        <v>119</v>
      </c>
      <c r="I34" s="7" t="s">
        <v>119</v>
      </c>
      <c r="J34" s="7">
        <v>5</v>
      </c>
      <c r="K34" s="7" t="s">
        <v>119</v>
      </c>
      <c r="L34" s="7" t="s">
        <v>119</v>
      </c>
      <c r="M34" s="7" t="s">
        <v>119</v>
      </c>
      <c r="N34" s="7">
        <v>117</v>
      </c>
      <c r="O34" s="7" t="s">
        <v>119</v>
      </c>
      <c r="P34" s="7">
        <v>47</v>
      </c>
      <c r="Q34" s="7" t="s">
        <v>119</v>
      </c>
      <c r="R34" s="48">
        <f t="shared" si="4"/>
        <v>43</v>
      </c>
      <c r="S34" s="8">
        <v>350</v>
      </c>
      <c r="T34" s="242" t="s">
        <v>743</v>
      </c>
    </row>
    <row r="35" spans="1:20" ht="15.75" customHeight="1">
      <c r="A35" s="9"/>
      <c r="B35" s="10" t="s">
        <v>117</v>
      </c>
      <c r="C35" s="11">
        <v>2</v>
      </c>
      <c r="D35" s="227" t="s">
        <v>744</v>
      </c>
      <c r="E35" s="227" t="s">
        <v>742</v>
      </c>
      <c r="F35" s="12" t="s">
        <v>119</v>
      </c>
      <c r="G35" s="12">
        <v>3</v>
      </c>
      <c r="H35" s="12" t="s">
        <v>119</v>
      </c>
      <c r="I35" s="12" t="s">
        <v>119</v>
      </c>
      <c r="J35" s="12">
        <v>8</v>
      </c>
      <c r="K35" s="12" t="s">
        <v>119</v>
      </c>
      <c r="L35" s="12" t="s">
        <v>119</v>
      </c>
      <c r="M35" s="12" t="s">
        <v>119</v>
      </c>
      <c r="N35" s="12">
        <v>7</v>
      </c>
      <c r="O35" s="12" t="s">
        <v>119</v>
      </c>
      <c r="P35" s="12">
        <v>15</v>
      </c>
      <c r="Q35" s="12" t="s">
        <v>119</v>
      </c>
      <c r="R35" s="35">
        <f t="shared" si="4"/>
        <v>8.25</v>
      </c>
      <c r="S35" s="14">
        <v>350</v>
      </c>
      <c r="T35" s="242" t="s">
        <v>745</v>
      </c>
    </row>
    <row r="36" spans="1:20" ht="15.75" customHeight="1">
      <c r="A36" s="9"/>
      <c r="B36" s="10" t="s">
        <v>117</v>
      </c>
      <c r="C36" s="11">
        <v>3</v>
      </c>
      <c r="D36" s="227" t="s">
        <v>746</v>
      </c>
      <c r="E36" s="227" t="s">
        <v>747</v>
      </c>
      <c r="F36" s="12" t="s">
        <v>119</v>
      </c>
      <c r="G36" s="12">
        <v>3</v>
      </c>
      <c r="H36" s="12" t="s">
        <v>119</v>
      </c>
      <c r="I36" s="12" t="s">
        <v>119</v>
      </c>
      <c r="J36" s="12">
        <v>6</v>
      </c>
      <c r="K36" s="12" t="s">
        <v>119</v>
      </c>
      <c r="L36" s="12" t="s">
        <v>119</v>
      </c>
      <c r="M36" s="12" t="s">
        <v>119</v>
      </c>
      <c r="N36" s="12">
        <v>4</v>
      </c>
      <c r="O36" s="12" t="s">
        <v>119</v>
      </c>
      <c r="P36" s="12">
        <v>40</v>
      </c>
      <c r="Q36" s="12" t="s">
        <v>119</v>
      </c>
      <c r="R36" s="35">
        <f t="shared" si="4"/>
        <v>13.25</v>
      </c>
      <c r="S36" s="14">
        <v>350</v>
      </c>
      <c r="T36" s="242" t="s">
        <v>748</v>
      </c>
    </row>
    <row r="37" spans="1:20" ht="45" customHeight="1">
      <c r="A37" s="9"/>
      <c r="B37" s="149" t="s">
        <v>314</v>
      </c>
      <c r="C37" s="15">
        <v>1</v>
      </c>
      <c r="D37" s="294" t="s">
        <v>648</v>
      </c>
      <c r="E37" s="294" t="s">
        <v>742</v>
      </c>
      <c r="F37" s="7" t="s">
        <v>119</v>
      </c>
      <c r="G37" s="228" t="s">
        <v>752</v>
      </c>
      <c r="H37" s="7" t="s">
        <v>119</v>
      </c>
      <c r="I37" s="7" t="s">
        <v>119</v>
      </c>
      <c r="J37" s="7" t="s">
        <v>753</v>
      </c>
      <c r="K37" s="7" t="s">
        <v>119</v>
      </c>
      <c r="L37" s="7" t="s">
        <v>119</v>
      </c>
      <c r="M37" s="7" t="s">
        <v>119</v>
      </c>
      <c r="N37" s="7" t="s">
        <v>754</v>
      </c>
      <c r="O37" s="7" t="s">
        <v>119</v>
      </c>
      <c r="P37" s="7" t="s">
        <v>755</v>
      </c>
      <c r="Q37" s="7" t="s">
        <v>119</v>
      </c>
      <c r="R37" s="1"/>
      <c r="S37" s="1"/>
      <c r="T37" s="242" t="s">
        <v>743</v>
      </c>
    </row>
    <row r="38" spans="1:20" ht="43.5" customHeight="1">
      <c r="A38" s="9"/>
      <c r="B38" s="10" t="s">
        <v>117</v>
      </c>
      <c r="C38" s="11">
        <v>2</v>
      </c>
      <c r="D38" s="227" t="s">
        <v>744</v>
      </c>
      <c r="E38" s="227" t="s">
        <v>742</v>
      </c>
      <c r="F38" s="12" t="s">
        <v>119</v>
      </c>
      <c r="G38" s="225" t="s">
        <v>756</v>
      </c>
      <c r="H38" s="12" t="s">
        <v>119</v>
      </c>
      <c r="I38" s="12" t="s">
        <v>119</v>
      </c>
      <c r="J38" s="12" t="s">
        <v>757</v>
      </c>
      <c r="K38" s="12" t="s">
        <v>119</v>
      </c>
      <c r="L38" s="12" t="s">
        <v>119</v>
      </c>
      <c r="M38" s="12" t="s">
        <v>119</v>
      </c>
      <c r="N38" s="12" t="s">
        <v>758</v>
      </c>
      <c r="O38" s="12" t="s">
        <v>119</v>
      </c>
      <c r="P38" s="12" t="s">
        <v>759</v>
      </c>
      <c r="Q38" s="12" t="s">
        <v>119</v>
      </c>
      <c r="R38" s="1"/>
      <c r="S38" s="1"/>
      <c r="T38" s="242" t="s">
        <v>745</v>
      </c>
    </row>
    <row r="39" spans="1:20" ht="48.75" customHeight="1">
      <c r="A39" s="9"/>
      <c r="B39" s="10" t="s">
        <v>117</v>
      </c>
      <c r="C39" s="11">
        <v>3</v>
      </c>
      <c r="D39" s="227" t="s">
        <v>746</v>
      </c>
      <c r="E39" s="227" t="s">
        <v>747</v>
      </c>
      <c r="F39" s="12" t="s">
        <v>119</v>
      </c>
      <c r="G39" s="225" t="s">
        <v>760</v>
      </c>
      <c r="H39" s="12" t="s">
        <v>119</v>
      </c>
      <c r="I39" s="12" t="s">
        <v>119</v>
      </c>
      <c r="J39" s="12" t="s">
        <v>761</v>
      </c>
      <c r="K39" s="12" t="s">
        <v>119</v>
      </c>
      <c r="L39" s="12" t="s">
        <v>119</v>
      </c>
      <c r="M39" s="12" t="s">
        <v>119</v>
      </c>
      <c r="N39" s="12" t="s">
        <v>762</v>
      </c>
      <c r="O39" s="12" t="s">
        <v>119</v>
      </c>
      <c r="P39" s="12" t="s">
        <v>763</v>
      </c>
      <c r="Q39" s="12" t="s">
        <v>119</v>
      </c>
      <c r="R39" s="1"/>
      <c r="S39" s="1"/>
      <c r="T39" s="242" t="s">
        <v>748</v>
      </c>
    </row>
    <row r="40" spans="1:20" ht="15.75" customHeight="1">
      <c r="A40" s="1"/>
      <c r="B40" s="1"/>
      <c r="D40" s="1"/>
      <c r="E40" s="1"/>
      <c r="F40" s="1"/>
      <c r="G40" s="1">
        <v>29</v>
      </c>
      <c r="H40" s="1"/>
      <c r="I40" s="1"/>
      <c r="J40" s="1">
        <v>28</v>
      </c>
      <c r="K40" s="1"/>
      <c r="L40" s="1"/>
      <c r="M40" s="1"/>
      <c r="N40" s="1">
        <v>26</v>
      </c>
      <c r="O40" s="1"/>
      <c r="P40" s="1"/>
      <c r="Q40" s="1"/>
      <c r="R40" s="1"/>
      <c r="S40" s="1"/>
    </row>
    <row r="41" spans="1:20" ht="15.75" customHeight="1">
      <c r="A41" s="1"/>
      <c r="B41" s="1"/>
      <c r="D41" s="1"/>
      <c r="E41" s="1"/>
      <c r="F41" s="1"/>
      <c r="G41" s="1"/>
      <c r="H41" s="1"/>
      <c r="I41" s="1"/>
      <c r="J41" s="1"/>
      <c r="K41" s="1"/>
      <c r="L41" s="1"/>
      <c r="M41" s="1"/>
      <c r="N41" s="1"/>
      <c r="O41" s="1"/>
      <c r="P41" s="1"/>
      <c r="Q41" s="1"/>
      <c r="R41" s="1"/>
      <c r="S41" s="1"/>
    </row>
    <row r="42" spans="1:20" ht="15.75" customHeight="1">
      <c r="A42" s="1"/>
      <c r="B42" s="1"/>
    </row>
    <row r="43" spans="1:20" ht="15.75" customHeight="1">
      <c r="A43" s="1"/>
      <c r="B43" s="1"/>
    </row>
    <row r="44" spans="1:20" ht="15.75" customHeight="1">
      <c r="A44" s="1"/>
      <c r="B44" s="1"/>
    </row>
    <row r="45" spans="1:20" ht="15.75" customHeight="1">
      <c r="A45" s="1"/>
      <c r="B45" s="1"/>
    </row>
    <row r="46" spans="1:20" ht="15.75" customHeight="1">
      <c r="A46" s="1"/>
      <c r="B46" s="1"/>
    </row>
    <row r="47" spans="1:20" ht="15.75" customHeight="1">
      <c r="A47" s="1"/>
      <c r="B47" s="1"/>
    </row>
    <row r="48" spans="1:20" ht="15.75" customHeight="1">
      <c r="A48" s="1"/>
      <c r="B48" s="1"/>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spans="3:20" ht="15.75" customHeight="1"/>
    <row r="66" spans="3:20" ht="15.75" customHeight="1"/>
    <row r="67" spans="3:20" ht="15.75" customHeight="1"/>
    <row r="70" spans="3:20" ht="15" customHeight="1">
      <c r="D70" s="232" t="s">
        <v>175</v>
      </c>
      <c r="E70" s="232"/>
      <c r="F70" s="232"/>
      <c r="G70" s="232"/>
      <c r="H70" s="232"/>
      <c r="I70" s="232"/>
      <c r="J70" s="232"/>
      <c r="K70" s="232"/>
      <c r="L70" s="232"/>
      <c r="M70" s="232"/>
      <c r="N70" s="232"/>
      <c r="O70" s="232"/>
      <c r="P70" s="232"/>
      <c r="Q70" s="232"/>
      <c r="R70" s="232"/>
      <c r="S70" s="232"/>
    </row>
    <row r="71" spans="3:20" ht="15" customHeight="1">
      <c r="C71" s="243"/>
      <c r="D71" s="873" t="s">
        <v>764</v>
      </c>
      <c r="E71" s="874"/>
      <c r="F71" s="874"/>
      <c r="G71" s="874"/>
      <c r="H71" s="874"/>
      <c r="I71" s="874"/>
      <c r="J71" s="874"/>
      <c r="K71" s="874"/>
      <c r="L71" s="874"/>
      <c r="M71" s="874"/>
      <c r="N71" s="874"/>
      <c r="O71" s="874"/>
      <c r="P71" s="874"/>
      <c r="Q71" s="874"/>
      <c r="R71" s="874"/>
      <c r="S71" s="875"/>
      <c r="T71" s="232"/>
    </row>
    <row r="72" spans="3:20" ht="15" customHeight="1">
      <c r="C72" s="243"/>
      <c r="D72" s="876"/>
      <c r="E72" s="877"/>
      <c r="F72" s="877"/>
      <c r="G72" s="877"/>
      <c r="H72" s="877"/>
      <c r="I72" s="877"/>
      <c r="J72" s="877"/>
      <c r="K72" s="877"/>
      <c r="L72" s="877"/>
      <c r="M72" s="877"/>
      <c r="N72" s="877"/>
      <c r="O72" s="877"/>
      <c r="P72" s="877"/>
      <c r="Q72" s="877"/>
      <c r="R72" s="877"/>
      <c r="S72" s="878"/>
      <c r="T72" s="232"/>
    </row>
    <row r="73" spans="3:20" ht="15" customHeight="1">
      <c r="C73" s="243"/>
      <c r="D73" s="876"/>
      <c r="E73" s="877"/>
      <c r="F73" s="877"/>
      <c r="G73" s="877"/>
      <c r="H73" s="877"/>
      <c r="I73" s="877"/>
      <c r="J73" s="877"/>
      <c r="K73" s="877"/>
      <c r="L73" s="877"/>
      <c r="M73" s="877"/>
      <c r="N73" s="877"/>
      <c r="O73" s="877"/>
      <c r="P73" s="877"/>
      <c r="Q73" s="877"/>
      <c r="R73" s="877"/>
      <c r="S73" s="878"/>
      <c r="T73" s="232"/>
    </row>
    <row r="74" spans="3:20" ht="15" customHeight="1">
      <c r="C74" s="243"/>
      <c r="D74" s="876"/>
      <c r="E74" s="877"/>
      <c r="F74" s="877"/>
      <c r="G74" s="877"/>
      <c r="H74" s="877"/>
      <c r="I74" s="877"/>
      <c r="J74" s="877"/>
      <c r="K74" s="877"/>
      <c r="L74" s="877"/>
      <c r="M74" s="877"/>
      <c r="N74" s="877"/>
      <c r="O74" s="877"/>
      <c r="P74" s="877"/>
      <c r="Q74" s="877"/>
      <c r="R74" s="877"/>
      <c r="S74" s="878"/>
      <c r="T74" s="232"/>
    </row>
    <row r="75" spans="3:20" ht="15" customHeight="1">
      <c r="C75" s="243"/>
      <c r="D75" s="876"/>
      <c r="E75" s="877"/>
      <c r="F75" s="877"/>
      <c r="G75" s="877"/>
      <c r="H75" s="877"/>
      <c r="I75" s="877"/>
      <c r="J75" s="877"/>
      <c r="K75" s="877"/>
      <c r="L75" s="877"/>
      <c r="M75" s="877"/>
      <c r="N75" s="877"/>
      <c r="O75" s="877"/>
      <c r="P75" s="877"/>
      <c r="Q75" s="877"/>
      <c r="R75" s="877"/>
      <c r="S75" s="878"/>
      <c r="T75" s="232"/>
    </row>
    <row r="76" spans="3:20" ht="15" customHeight="1">
      <c r="C76" s="243"/>
      <c r="D76" s="876"/>
      <c r="E76" s="877"/>
      <c r="F76" s="877"/>
      <c r="G76" s="877"/>
      <c r="H76" s="877"/>
      <c r="I76" s="877"/>
      <c r="J76" s="877"/>
      <c r="K76" s="877"/>
      <c r="L76" s="877"/>
      <c r="M76" s="877"/>
      <c r="N76" s="877"/>
      <c r="O76" s="877"/>
      <c r="P76" s="877"/>
      <c r="Q76" s="877"/>
      <c r="R76" s="877"/>
      <c r="S76" s="878"/>
      <c r="T76" s="232"/>
    </row>
    <row r="77" spans="3:20" ht="15" customHeight="1">
      <c r="C77" s="243"/>
      <c r="D77" s="876"/>
      <c r="E77" s="877"/>
      <c r="F77" s="877"/>
      <c r="G77" s="877"/>
      <c r="H77" s="877"/>
      <c r="I77" s="877"/>
      <c r="J77" s="877"/>
      <c r="K77" s="877"/>
      <c r="L77" s="877"/>
      <c r="M77" s="877"/>
      <c r="N77" s="877"/>
      <c r="O77" s="877"/>
      <c r="P77" s="877"/>
      <c r="Q77" s="877"/>
      <c r="R77" s="877"/>
      <c r="S77" s="878"/>
      <c r="T77" s="232"/>
    </row>
    <row r="78" spans="3:20" ht="15" customHeight="1">
      <c r="C78" s="243"/>
      <c r="D78" s="879"/>
      <c r="E78" s="880"/>
      <c r="F78" s="880"/>
      <c r="G78" s="880"/>
      <c r="H78" s="880"/>
      <c r="I78" s="880"/>
      <c r="J78" s="880"/>
      <c r="K78" s="880"/>
      <c r="L78" s="880"/>
      <c r="M78" s="880"/>
      <c r="N78" s="880"/>
      <c r="O78" s="880"/>
      <c r="P78" s="880"/>
      <c r="Q78" s="880"/>
      <c r="R78" s="880"/>
      <c r="S78" s="881"/>
      <c r="T78" s="232"/>
    </row>
    <row r="79" spans="3:20" ht="15" customHeight="1">
      <c r="D79" s="232"/>
      <c r="E79" s="232"/>
      <c r="F79" s="232"/>
      <c r="G79" s="232"/>
      <c r="H79" s="232"/>
      <c r="I79" s="232"/>
      <c r="J79" s="232"/>
      <c r="K79" s="232"/>
      <c r="L79" s="232"/>
      <c r="M79" s="232"/>
      <c r="N79" s="232"/>
      <c r="O79" s="232"/>
      <c r="P79" s="232"/>
      <c r="Q79" s="232"/>
      <c r="R79" s="232"/>
      <c r="S79" s="232"/>
    </row>
  </sheetData>
  <mergeCells count="25">
    <mergeCell ref="D71:S78"/>
    <mergeCell ref="AD23:AM23"/>
    <mergeCell ref="Z25:Z27"/>
    <mergeCell ref="C1:S1"/>
    <mergeCell ref="C2:S2"/>
    <mergeCell ref="C3:S3"/>
    <mergeCell ref="C4:S4"/>
    <mergeCell ref="C5:S5"/>
    <mergeCell ref="X28:AM28"/>
    <mergeCell ref="Y15:AC18"/>
    <mergeCell ref="Y29:AC32"/>
    <mergeCell ref="X25:Y27"/>
    <mergeCell ref="X7:AM7"/>
    <mergeCell ref="X8:AM8"/>
    <mergeCell ref="X9:AC9"/>
    <mergeCell ref="AD9:AM9"/>
    <mergeCell ref="Z11:Z13"/>
    <mergeCell ref="AA11:AA13"/>
    <mergeCell ref="X11:Y13"/>
    <mergeCell ref="X14:AM14"/>
    <mergeCell ref="AA25:AA27"/>
    <mergeCell ref="X21:AM21"/>
    <mergeCell ref="X22:AM22"/>
    <mergeCell ref="X23:AC23"/>
    <mergeCell ref="X24:Y24"/>
  </mergeCells>
  <phoneticPr fontId="18" type="noConversion"/>
  <printOptions horizontalCentered="1"/>
  <pageMargins left="0.7" right="0.7" top="0.75" bottom="0.75" header="0.3" footer="0.3"/>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6928F-C08F-4BBF-BEA2-1865AB5E75DB}">
  <sheetPr>
    <tabColor rgb="FF00B0F0"/>
    <outlinePr summaryBelow="0" summaryRight="0"/>
  </sheetPr>
  <dimension ref="A1:AB58"/>
  <sheetViews>
    <sheetView workbookViewId="0">
      <pane xSplit="2" ySplit="6" topLeftCell="C7" activePane="bottomRight" state="frozen"/>
      <selection pane="bottomRight" activeCell="K19" sqref="K19"/>
      <selection pane="bottomLeft" activeCell="A7" sqref="A7"/>
      <selection pane="topRight" activeCell="C1" sqref="C1"/>
    </sheetView>
  </sheetViews>
  <sheetFormatPr defaultColWidth="14.42578125" defaultRowHeight="15" customHeight="1"/>
  <cols>
    <col min="2" max="2" width="21.85546875" customWidth="1"/>
    <col min="3" max="3" width="9.140625"/>
    <col min="4" max="5" width="19" customWidth="1"/>
    <col min="6" max="6" width="9.42578125" bestFit="1" customWidth="1"/>
    <col min="7" max="8" width="9.7109375" bestFit="1" customWidth="1"/>
    <col min="9" max="9" width="10.85546875" bestFit="1" customWidth="1"/>
    <col min="10" max="10" width="11.85546875" customWidth="1"/>
    <col min="11" max="11" width="13.140625" customWidth="1"/>
    <col min="12" max="12" width="16.85546875" customWidth="1"/>
  </cols>
  <sheetData>
    <row r="1" spans="1:28">
      <c r="A1" s="138"/>
      <c r="B1" s="93"/>
      <c r="C1" s="868" t="s">
        <v>40</v>
      </c>
      <c r="D1" s="1158"/>
      <c r="E1" s="1158"/>
      <c r="F1" s="1158"/>
      <c r="G1" s="1158"/>
      <c r="H1" s="1158"/>
      <c r="I1" s="1158"/>
      <c r="J1" s="1158"/>
      <c r="K1" s="1158"/>
    </row>
    <row r="2" spans="1:28">
      <c r="A2" s="138"/>
      <c r="B2" s="93"/>
      <c r="C2" s="868" t="s">
        <v>41</v>
      </c>
      <c r="D2" s="1158"/>
      <c r="E2" s="1158"/>
      <c r="F2" s="1158"/>
      <c r="G2" s="1158"/>
      <c r="H2" s="1158"/>
      <c r="I2" s="1158"/>
      <c r="J2" s="1158"/>
      <c r="K2" s="1158"/>
    </row>
    <row r="3" spans="1:28">
      <c r="A3" s="139"/>
      <c r="B3" s="86"/>
      <c r="C3" s="869" t="s">
        <v>42</v>
      </c>
      <c r="D3" s="1159"/>
      <c r="E3" s="1159"/>
      <c r="F3" s="1159"/>
      <c r="G3" s="1159"/>
      <c r="H3" s="1159"/>
      <c r="I3" s="1159"/>
      <c r="J3" s="1159"/>
      <c r="K3" s="1159"/>
    </row>
    <row r="4" spans="1:28">
      <c r="A4" s="140"/>
      <c r="B4" s="141"/>
      <c r="C4" s="870" t="s">
        <v>765</v>
      </c>
      <c r="D4" s="1160"/>
      <c r="E4" s="1160"/>
      <c r="F4" s="1160"/>
      <c r="G4" s="1160"/>
      <c r="H4" s="1160"/>
      <c r="I4" s="1160"/>
      <c r="J4" s="1160"/>
      <c r="K4" s="1160"/>
    </row>
    <row r="5" spans="1:28">
      <c r="A5" s="2"/>
      <c r="B5" s="142"/>
      <c r="C5" s="871" t="s">
        <v>255</v>
      </c>
      <c r="D5" s="1159"/>
      <c r="E5" s="1159"/>
      <c r="F5" s="1159"/>
      <c r="G5" s="1159"/>
      <c r="H5" s="1159"/>
      <c r="I5" s="1159"/>
      <c r="J5" s="1159"/>
      <c r="K5" s="1159"/>
    </row>
    <row r="6" spans="1:28">
      <c r="A6" s="3" t="s">
        <v>45</v>
      </c>
      <c r="B6" s="4" t="s">
        <v>46</v>
      </c>
      <c r="C6" s="4" t="s">
        <v>47</v>
      </c>
      <c r="D6" s="4" t="s">
        <v>48</v>
      </c>
      <c r="E6" s="4" t="s">
        <v>49</v>
      </c>
      <c r="F6" s="4" t="s">
        <v>392</v>
      </c>
      <c r="G6" s="4" t="s">
        <v>393</v>
      </c>
      <c r="H6" s="4" t="s">
        <v>394</v>
      </c>
      <c r="I6" s="37" t="s">
        <v>395</v>
      </c>
      <c r="J6" s="3" t="s">
        <v>62</v>
      </c>
      <c r="K6" s="38" t="s">
        <v>63</v>
      </c>
      <c r="L6" s="253" t="s">
        <v>64</v>
      </c>
    </row>
    <row r="7" spans="1:28">
      <c r="A7" s="39" t="s">
        <v>65</v>
      </c>
      <c r="B7" s="6" t="s">
        <v>66</v>
      </c>
      <c r="C7" s="15">
        <v>1</v>
      </c>
      <c r="D7" s="41" t="s">
        <v>766</v>
      </c>
      <c r="E7" s="41" t="s">
        <v>767</v>
      </c>
      <c r="F7" s="42">
        <v>5.01</v>
      </c>
      <c r="G7" s="42">
        <v>7.11</v>
      </c>
      <c r="H7" s="42">
        <v>7.5</v>
      </c>
      <c r="I7" s="42">
        <v>5.34</v>
      </c>
      <c r="J7" s="43">
        <f>IFERROR(AVERAGE(F7:I7), 0)</f>
        <v>6.24</v>
      </c>
      <c r="K7" s="8">
        <v>5</v>
      </c>
      <c r="L7" s="250" t="s">
        <v>768</v>
      </c>
      <c r="M7" s="1042" t="s">
        <v>70</v>
      </c>
      <c r="N7" s="1043"/>
      <c r="O7" s="1202"/>
      <c r="P7" s="1202"/>
      <c r="Q7" s="1202"/>
      <c r="R7" s="1202"/>
      <c r="S7" s="1202"/>
      <c r="T7" s="1202"/>
      <c r="U7" s="1202"/>
      <c r="V7" s="1202"/>
      <c r="W7" s="1202"/>
      <c r="X7" s="1202"/>
      <c r="Y7" s="1202"/>
      <c r="Z7" s="1202"/>
      <c r="AA7" s="1202"/>
      <c r="AB7" s="1203"/>
    </row>
    <row r="8" spans="1:28">
      <c r="A8" s="9"/>
      <c r="B8" s="10" t="s">
        <v>66</v>
      </c>
      <c r="C8" s="11">
        <v>2</v>
      </c>
      <c r="D8" s="156" t="s">
        <v>769</v>
      </c>
      <c r="E8" s="156" t="s">
        <v>770</v>
      </c>
      <c r="F8" s="45">
        <v>4.92</v>
      </c>
      <c r="G8" s="45">
        <v>6.41</v>
      </c>
      <c r="H8" s="45">
        <v>7.8</v>
      </c>
      <c r="I8" s="45">
        <v>6.48</v>
      </c>
      <c r="J8" s="33">
        <f t="shared" ref="J7:J24" si="0">IFERROR(AVERAGE(F8:I8), 0)</f>
        <v>6.4024999999999999</v>
      </c>
      <c r="K8" s="14">
        <v>5</v>
      </c>
      <c r="L8" s="250" t="s">
        <v>771</v>
      </c>
      <c r="M8" s="1042" t="s">
        <v>74</v>
      </c>
      <c r="N8" s="1043"/>
      <c r="O8" s="1202"/>
      <c r="P8" s="1202"/>
      <c r="Q8" s="1202"/>
      <c r="R8" s="1202"/>
      <c r="S8" s="1202"/>
      <c r="T8" s="1202"/>
      <c r="U8" s="1202"/>
      <c r="V8" s="1202"/>
      <c r="W8" s="1202"/>
      <c r="X8" s="1202"/>
      <c r="Y8" s="1202"/>
      <c r="Z8" s="1202"/>
      <c r="AA8" s="1202"/>
      <c r="AB8" s="1203"/>
    </row>
    <row r="9" spans="1:28">
      <c r="A9" s="9"/>
      <c r="B9" s="10" t="s">
        <v>66</v>
      </c>
      <c r="C9" s="11">
        <v>3</v>
      </c>
      <c r="D9" s="156" t="s">
        <v>772</v>
      </c>
      <c r="E9" s="156" t="s">
        <v>773</v>
      </c>
      <c r="F9" s="45">
        <v>3.96</v>
      </c>
      <c r="G9" s="45">
        <v>5.63</v>
      </c>
      <c r="H9" s="45">
        <v>6.5</v>
      </c>
      <c r="I9" s="45">
        <v>6.34</v>
      </c>
      <c r="J9" s="33">
        <f t="shared" si="0"/>
        <v>5.6074999999999999</v>
      </c>
      <c r="K9" s="14">
        <v>5</v>
      </c>
      <c r="L9" s="250" t="s">
        <v>774</v>
      </c>
      <c r="M9" s="1179"/>
      <c r="N9" s="1180"/>
      <c r="O9" s="1177"/>
      <c r="P9" s="1177"/>
      <c r="Q9" s="1177"/>
      <c r="R9" s="1178"/>
      <c r="S9" s="844" t="s">
        <v>78</v>
      </c>
      <c r="T9" s="1177"/>
      <c r="U9" s="1177"/>
      <c r="V9" s="1177"/>
      <c r="W9" s="1177"/>
      <c r="X9" s="1177"/>
      <c r="Y9" s="1177"/>
      <c r="Z9" s="1177"/>
      <c r="AA9" s="1177"/>
      <c r="AB9" s="1178"/>
    </row>
    <row r="10" spans="1:28">
      <c r="A10" s="9"/>
      <c r="B10" s="149" t="s">
        <v>91</v>
      </c>
      <c r="C10" s="15">
        <v>1</v>
      </c>
      <c r="D10" s="41" t="s">
        <v>766</v>
      </c>
      <c r="E10" s="41" t="s">
        <v>767</v>
      </c>
      <c r="F10" s="42">
        <v>3</v>
      </c>
      <c r="G10" s="42">
        <v>2</v>
      </c>
      <c r="H10" s="42">
        <v>2</v>
      </c>
      <c r="I10" s="42">
        <v>3</v>
      </c>
      <c r="J10" s="43">
        <f t="shared" si="0"/>
        <v>2.5</v>
      </c>
      <c r="K10" s="8">
        <v>5</v>
      </c>
      <c r="L10" s="250" t="s">
        <v>768</v>
      </c>
      <c r="M10" s="14" t="s">
        <v>82</v>
      </c>
      <c r="N10" s="14"/>
      <c r="O10" s="14" t="s">
        <v>83</v>
      </c>
      <c r="P10" s="14" t="s">
        <v>84</v>
      </c>
      <c r="Q10" s="14" t="s">
        <v>85</v>
      </c>
      <c r="R10" s="14" t="s">
        <v>86</v>
      </c>
      <c r="S10" s="14" t="s">
        <v>4</v>
      </c>
      <c r="T10" s="14" t="s">
        <v>5</v>
      </c>
      <c r="U10" s="14" t="s">
        <v>6</v>
      </c>
      <c r="V10" s="14" t="s">
        <v>7</v>
      </c>
      <c r="W10" s="14" t="s">
        <v>8</v>
      </c>
      <c r="X10" s="14" t="s">
        <v>9</v>
      </c>
      <c r="Y10" s="14" t="s">
        <v>10</v>
      </c>
      <c r="Z10" s="14" t="s">
        <v>11</v>
      </c>
      <c r="AA10" s="14" t="s">
        <v>12</v>
      </c>
      <c r="AB10" s="14" t="s">
        <v>13</v>
      </c>
    </row>
    <row r="11" spans="1:28">
      <c r="A11" s="9"/>
      <c r="B11" s="10" t="s">
        <v>91</v>
      </c>
      <c r="C11" s="11">
        <v>2</v>
      </c>
      <c r="D11" s="156" t="s">
        <v>769</v>
      </c>
      <c r="E11" s="156" t="s">
        <v>770</v>
      </c>
      <c r="F11" s="45">
        <v>2</v>
      </c>
      <c r="G11" s="45">
        <v>2</v>
      </c>
      <c r="H11" s="45">
        <v>2</v>
      </c>
      <c r="I11" s="45">
        <v>2</v>
      </c>
      <c r="J11" s="33">
        <f t="shared" si="0"/>
        <v>2</v>
      </c>
      <c r="K11" s="14">
        <v>5</v>
      </c>
      <c r="L11" s="250" t="s">
        <v>771</v>
      </c>
      <c r="M11" s="886" t="s">
        <v>775</v>
      </c>
      <c r="N11" s="281"/>
      <c r="O11" s="886" t="s">
        <v>26</v>
      </c>
      <c r="P11" s="883" t="s">
        <v>22</v>
      </c>
      <c r="Q11" s="32">
        <v>1</v>
      </c>
      <c r="R11" s="14" t="s">
        <v>653</v>
      </c>
      <c r="S11" s="33">
        <f>J7</f>
        <v>6.24</v>
      </c>
      <c r="T11" s="33">
        <f>J10</f>
        <v>2.5</v>
      </c>
      <c r="U11" s="33">
        <f>J13</f>
        <v>23</v>
      </c>
      <c r="V11" s="33">
        <f>J16</f>
        <v>7.4275000000000002</v>
      </c>
      <c r="W11" s="33">
        <f>J19</f>
        <v>28.8</v>
      </c>
      <c r="X11" s="33">
        <f>J22</f>
        <v>5</v>
      </c>
      <c r="Y11" s="33">
        <f>J25</f>
        <v>4186.6877328739292</v>
      </c>
      <c r="Z11" s="33">
        <f>J28</f>
        <v>8.1249999999999989E-2</v>
      </c>
      <c r="AA11" s="33">
        <f>J31</f>
        <v>0.10249999999999999</v>
      </c>
      <c r="AB11" s="33">
        <f>J34</f>
        <v>18.75</v>
      </c>
    </row>
    <row r="12" spans="1:28">
      <c r="A12" s="9"/>
      <c r="B12" s="10" t="s">
        <v>91</v>
      </c>
      <c r="C12" s="11">
        <v>3</v>
      </c>
      <c r="D12" s="156" t="s">
        <v>772</v>
      </c>
      <c r="E12" s="156" t="s">
        <v>773</v>
      </c>
      <c r="F12" s="45">
        <v>3</v>
      </c>
      <c r="G12" s="45">
        <v>3</v>
      </c>
      <c r="H12" s="45">
        <v>2</v>
      </c>
      <c r="I12" s="45">
        <v>7</v>
      </c>
      <c r="J12" s="33">
        <f t="shared" si="0"/>
        <v>3.75</v>
      </c>
      <c r="K12" s="14">
        <v>5</v>
      </c>
      <c r="L12" s="250" t="s">
        <v>774</v>
      </c>
      <c r="M12" s="1196"/>
      <c r="N12" s="289"/>
      <c r="O12" s="1196"/>
      <c r="P12" s="1196"/>
      <c r="Q12" s="32">
        <v>2</v>
      </c>
      <c r="R12" s="14" t="s">
        <v>651</v>
      </c>
      <c r="S12" s="33">
        <f>J8</f>
        <v>6.4024999999999999</v>
      </c>
      <c r="T12" s="33">
        <f>J11</f>
        <v>2</v>
      </c>
      <c r="U12" s="33">
        <f>J14</f>
        <v>40</v>
      </c>
      <c r="V12" s="33">
        <f>J17</f>
        <v>7.4325000000000001</v>
      </c>
      <c r="W12" s="33">
        <f>J20</f>
        <v>29.1</v>
      </c>
      <c r="X12" s="33">
        <f>J23</f>
        <v>10</v>
      </c>
      <c r="Y12" s="33">
        <f>J26</f>
        <v>6459.0739014781548</v>
      </c>
      <c r="Z12" s="33">
        <f>J29</f>
        <v>0.157</v>
      </c>
      <c r="AA12" s="33">
        <f>J32</f>
        <v>6.3750000000000001E-2</v>
      </c>
      <c r="AB12" s="33">
        <f>J35</f>
        <v>22.5</v>
      </c>
    </row>
    <row r="13" spans="1:28">
      <c r="A13" s="9"/>
      <c r="B13" s="149" t="s">
        <v>92</v>
      </c>
      <c r="C13" s="15">
        <v>1</v>
      </c>
      <c r="D13" s="41" t="s">
        <v>766</v>
      </c>
      <c r="E13" s="41" t="s">
        <v>767</v>
      </c>
      <c r="F13" s="42">
        <v>15</v>
      </c>
      <c r="G13" s="42">
        <v>20</v>
      </c>
      <c r="H13" s="42">
        <v>33</v>
      </c>
      <c r="I13" s="42">
        <v>24</v>
      </c>
      <c r="J13" s="48">
        <f t="shared" si="0"/>
        <v>23</v>
      </c>
      <c r="K13" s="8">
        <v>65</v>
      </c>
      <c r="L13" s="250" t="s">
        <v>768</v>
      </c>
      <c r="M13" s="1197"/>
      <c r="N13" s="290"/>
      <c r="O13" s="1197"/>
      <c r="P13" s="1197"/>
      <c r="Q13" s="32">
        <v>3</v>
      </c>
      <c r="R13" s="14" t="s">
        <v>648</v>
      </c>
      <c r="S13" s="33">
        <f>J9</f>
        <v>5.6074999999999999</v>
      </c>
      <c r="T13" s="33">
        <f>J12</f>
        <v>3.75</v>
      </c>
      <c r="U13" s="33">
        <f>J15</f>
        <v>30</v>
      </c>
      <c r="V13" s="33">
        <f>J18</f>
        <v>7.5049999999999999</v>
      </c>
      <c r="W13" s="33">
        <f>J21</f>
        <v>29.375</v>
      </c>
      <c r="X13" s="33">
        <f>J24</f>
        <v>5</v>
      </c>
      <c r="Y13" s="33">
        <f>J27</f>
        <v>32628.689701079344</v>
      </c>
      <c r="Z13" s="33">
        <f>J30</f>
        <v>0.13974999999999999</v>
      </c>
      <c r="AA13" s="33">
        <f>J33</f>
        <v>0.16125</v>
      </c>
      <c r="AB13" s="33">
        <f>J36</f>
        <v>16.5</v>
      </c>
    </row>
    <row r="14" spans="1:28">
      <c r="A14" s="9"/>
      <c r="B14" s="10" t="s">
        <v>92</v>
      </c>
      <c r="C14" s="11">
        <v>2</v>
      </c>
      <c r="D14" s="156" t="s">
        <v>769</v>
      </c>
      <c r="E14" s="156" t="s">
        <v>770</v>
      </c>
      <c r="F14" s="45">
        <v>39</v>
      </c>
      <c r="G14" s="45">
        <v>43</v>
      </c>
      <c r="H14" s="45">
        <v>60</v>
      </c>
      <c r="I14" s="45">
        <v>18</v>
      </c>
      <c r="J14" s="35">
        <f t="shared" si="0"/>
        <v>40</v>
      </c>
      <c r="K14" s="14">
        <v>65</v>
      </c>
      <c r="L14" s="250" t="s">
        <v>771</v>
      </c>
      <c r="M14" s="1179"/>
      <c r="N14" s="1180"/>
      <c r="O14" s="1177"/>
      <c r="P14" s="1177"/>
      <c r="Q14" s="1177"/>
      <c r="R14" s="1177"/>
      <c r="S14" s="1177"/>
      <c r="T14" s="1177"/>
      <c r="U14" s="1177"/>
      <c r="V14" s="1177"/>
      <c r="W14" s="1177"/>
      <c r="X14" s="1177"/>
      <c r="Y14" s="1177"/>
      <c r="Z14" s="1177"/>
      <c r="AA14" s="1177"/>
      <c r="AB14" s="1178"/>
    </row>
    <row r="15" spans="1:28">
      <c r="A15" s="9"/>
      <c r="B15" s="10" t="s">
        <v>92</v>
      </c>
      <c r="C15" s="11">
        <v>3</v>
      </c>
      <c r="D15" s="156" t="s">
        <v>772</v>
      </c>
      <c r="E15" s="156" t="s">
        <v>773</v>
      </c>
      <c r="F15" s="45">
        <v>15</v>
      </c>
      <c r="G15" s="45">
        <v>27</v>
      </c>
      <c r="H15" s="45">
        <v>32</v>
      </c>
      <c r="I15" s="45">
        <v>46</v>
      </c>
      <c r="J15" s="35">
        <f t="shared" si="0"/>
        <v>30</v>
      </c>
      <c r="K15" s="14">
        <v>65</v>
      </c>
      <c r="L15" s="250" t="s">
        <v>774</v>
      </c>
      <c r="M15" s="14" t="s">
        <v>93</v>
      </c>
      <c r="N15" s="291"/>
      <c r="O15" s="1167"/>
      <c r="P15" s="1160"/>
      <c r="Q15" s="1160"/>
      <c r="R15" s="1181"/>
      <c r="S15" s="35">
        <f t="shared" ref="S15:AB15" si="1">AVERAGE(S11:S13)</f>
        <v>6.083333333333333</v>
      </c>
      <c r="T15" s="35">
        <f t="shared" si="1"/>
        <v>2.75</v>
      </c>
      <c r="U15" s="35">
        <f t="shared" si="1"/>
        <v>31</v>
      </c>
      <c r="V15" s="35">
        <f t="shared" si="1"/>
        <v>7.4549999999999992</v>
      </c>
      <c r="W15" s="35">
        <f t="shared" si="1"/>
        <v>29.091666666666669</v>
      </c>
      <c r="X15" s="35">
        <f t="shared" si="1"/>
        <v>6.666666666666667</v>
      </c>
      <c r="Y15" s="35">
        <f t="shared" si="1"/>
        <v>14424.817111810475</v>
      </c>
      <c r="Z15" s="28">
        <f t="shared" si="1"/>
        <v>0.126</v>
      </c>
      <c r="AA15" s="28">
        <f t="shared" si="1"/>
        <v>0.10916666666666668</v>
      </c>
      <c r="AB15" s="35">
        <f t="shared" si="1"/>
        <v>19.25</v>
      </c>
    </row>
    <row r="16" spans="1:28">
      <c r="A16" s="9"/>
      <c r="B16" s="149" t="s">
        <v>7</v>
      </c>
      <c r="C16" s="15">
        <v>1</v>
      </c>
      <c r="D16" s="41" t="s">
        <v>766</v>
      </c>
      <c r="E16" s="41" t="s">
        <v>767</v>
      </c>
      <c r="F16" s="42">
        <v>7.24</v>
      </c>
      <c r="G16" s="42">
        <v>7.48</v>
      </c>
      <c r="H16" s="42">
        <v>7.6</v>
      </c>
      <c r="I16" s="42">
        <v>7.39</v>
      </c>
      <c r="J16" s="48">
        <f t="shared" si="0"/>
        <v>7.4275000000000002</v>
      </c>
      <c r="K16" s="17" t="s">
        <v>776</v>
      </c>
      <c r="L16" s="250" t="s">
        <v>768</v>
      </c>
      <c r="M16" s="14" t="s">
        <v>94</v>
      </c>
      <c r="N16" s="293"/>
      <c r="O16" s="1182"/>
      <c r="P16" s="1176"/>
      <c r="Q16" s="1176"/>
      <c r="R16" s="1183"/>
      <c r="S16" s="35">
        <f t="shared" ref="S16:AB16" si="2">MIN(S11:S13)</f>
        <v>5.6074999999999999</v>
      </c>
      <c r="T16" s="35">
        <f t="shared" si="2"/>
        <v>2</v>
      </c>
      <c r="U16" s="35">
        <f t="shared" si="2"/>
        <v>23</v>
      </c>
      <c r="V16" s="35">
        <f t="shared" si="2"/>
        <v>7.4275000000000002</v>
      </c>
      <c r="W16" s="35">
        <f t="shared" si="2"/>
        <v>28.8</v>
      </c>
      <c r="X16" s="35">
        <f t="shared" si="2"/>
        <v>5</v>
      </c>
      <c r="Y16" s="35">
        <f t="shared" si="2"/>
        <v>4186.6877328739292</v>
      </c>
      <c r="Z16" s="28">
        <f t="shared" si="2"/>
        <v>8.1249999999999989E-2</v>
      </c>
      <c r="AA16" s="28">
        <f t="shared" si="2"/>
        <v>6.3750000000000001E-2</v>
      </c>
      <c r="AB16" s="35">
        <f t="shared" si="2"/>
        <v>16.5</v>
      </c>
    </row>
    <row r="17" spans="1:28">
      <c r="A17" s="9"/>
      <c r="B17" s="10" t="s">
        <v>7</v>
      </c>
      <c r="C17" s="11">
        <v>2</v>
      </c>
      <c r="D17" s="156" t="s">
        <v>769</v>
      </c>
      <c r="E17" s="156" t="s">
        <v>770</v>
      </c>
      <c r="F17" s="45">
        <v>7.21</v>
      </c>
      <c r="G17" s="45">
        <v>7.5</v>
      </c>
      <c r="H17" s="45">
        <v>7.39</v>
      </c>
      <c r="I17" s="45">
        <v>7.63</v>
      </c>
      <c r="J17" s="35">
        <f t="shared" si="0"/>
        <v>7.4325000000000001</v>
      </c>
      <c r="K17" s="18" t="s">
        <v>776</v>
      </c>
      <c r="L17" s="250" t="s">
        <v>771</v>
      </c>
      <c r="M17" s="14" t="s">
        <v>95</v>
      </c>
      <c r="N17" s="293"/>
      <c r="O17" s="1182"/>
      <c r="P17" s="1176"/>
      <c r="Q17" s="1176"/>
      <c r="R17" s="1183"/>
      <c r="S17" s="35">
        <f t="shared" ref="S17:AB17" si="3">MAX(S11:S13)</f>
        <v>6.4024999999999999</v>
      </c>
      <c r="T17" s="35">
        <f t="shared" si="3"/>
        <v>3.75</v>
      </c>
      <c r="U17" s="35">
        <f t="shared" si="3"/>
        <v>40</v>
      </c>
      <c r="V17" s="35">
        <f t="shared" si="3"/>
        <v>7.5049999999999999</v>
      </c>
      <c r="W17" s="35">
        <f t="shared" si="3"/>
        <v>29.375</v>
      </c>
      <c r="X17" s="35">
        <f t="shared" si="3"/>
        <v>10</v>
      </c>
      <c r="Y17" s="35">
        <f t="shared" si="3"/>
        <v>32628.689701079344</v>
      </c>
      <c r="Z17" s="28">
        <f t="shared" si="3"/>
        <v>0.157</v>
      </c>
      <c r="AA17" s="28">
        <f t="shared" si="3"/>
        <v>0.16125</v>
      </c>
      <c r="AB17" s="35">
        <f t="shared" si="3"/>
        <v>22.5</v>
      </c>
    </row>
    <row r="18" spans="1:28">
      <c r="A18" s="9"/>
      <c r="B18" s="10" t="s">
        <v>7</v>
      </c>
      <c r="C18" s="11">
        <v>3</v>
      </c>
      <c r="D18" s="156" t="s">
        <v>772</v>
      </c>
      <c r="E18" s="156" t="s">
        <v>773</v>
      </c>
      <c r="F18" s="45">
        <v>7.25</v>
      </c>
      <c r="G18" s="45">
        <v>7.45</v>
      </c>
      <c r="H18" s="45">
        <v>7.55</v>
      </c>
      <c r="I18" s="45">
        <v>7.77</v>
      </c>
      <c r="J18" s="35">
        <f t="shared" si="0"/>
        <v>7.5049999999999999</v>
      </c>
      <c r="K18" s="18" t="s">
        <v>776</v>
      </c>
      <c r="L18" s="250" t="s">
        <v>774</v>
      </c>
      <c r="M18" s="14" t="s">
        <v>96</v>
      </c>
      <c r="N18" s="292"/>
      <c r="O18" s="1184"/>
      <c r="P18" s="1159"/>
      <c r="Q18" s="1159"/>
      <c r="R18" s="1185"/>
      <c r="S18" s="29" t="s">
        <v>97</v>
      </c>
      <c r="T18" s="29" t="s">
        <v>97</v>
      </c>
      <c r="U18" s="29" t="s">
        <v>697</v>
      </c>
      <c r="V18" s="29" t="s">
        <v>750</v>
      </c>
      <c r="W18" s="29" t="s">
        <v>698</v>
      </c>
      <c r="X18" s="29" t="s">
        <v>751</v>
      </c>
      <c r="Y18" s="29" t="s">
        <v>700</v>
      </c>
      <c r="Z18" s="29" t="s">
        <v>98</v>
      </c>
      <c r="AA18" s="29" t="s">
        <v>104</v>
      </c>
      <c r="AB18" s="29" t="s">
        <v>701</v>
      </c>
    </row>
    <row r="19" spans="1:28">
      <c r="A19" s="9"/>
      <c r="B19" s="149" t="s">
        <v>108</v>
      </c>
      <c r="C19" s="15">
        <v>1</v>
      </c>
      <c r="D19" s="41" t="s">
        <v>766</v>
      </c>
      <c r="E19" s="41" t="s">
        <v>767</v>
      </c>
      <c r="F19" s="42">
        <v>27.6</v>
      </c>
      <c r="G19" s="42">
        <v>31.5</v>
      </c>
      <c r="H19" s="42">
        <v>27.1</v>
      </c>
      <c r="I19" s="42">
        <v>29</v>
      </c>
      <c r="J19" s="48">
        <f t="shared" si="0"/>
        <v>28.8</v>
      </c>
      <c r="K19" s="17" t="s">
        <v>777</v>
      </c>
      <c r="L19" s="250" t="s">
        <v>768</v>
      </c>
    </row>
    <row r="20" spans="1:28">
      <c r="A20" s="9"/>
      <c r="B20" s="10" t="s">
        <v>108</v>
      </c>
      <c r="C20" s="11">
        <v>2</v>
      </c>
      <c r="D20" s="156" t="s">
        <v>769</v>
      </c>
      <c r="E20" s="156" t="s">
        <v>770</v>
      </c>
      <c r="F20" s="45">
        <v>29</v>
      </c>
      <c r="G20" s="45">
        <v>31.5</v>
      </c>
      <c r="H20" s="45">
        <v>27.3</v>
      </c>
      <c r="I20" s="45">
        <v>28.6</v>
      </c>
      <c r="J20" s="35">
        <f t="shared" si="0"/>
        <v>29.1</v>
      </c>
      <c r="K20" s="18" t="s">
        <v>777</v>
      </c>
      <c r="L20" s="250" t="s">
        <v>771</v>
      </c>
    </row>
    <row r="21" spans="1:28">
      <c r="A21" s="9"/>
      <c r="B21" s="10" t="s">
        <v>108</v>
      </c>
      <c r="C21" s="11">
        <v>3</v>
      </c>
      <c r="D21" s="156" t="s">
        <v>772</v>
      </c>
      <c r="E21" s="156" t="s">
        <v>773</v>
      </c>
      <c r="F21" s="45">
        <v>31</v>
      </c>
      <c r="G21" s="45">
        <v>31.5</v>
      </c>
      <c r="H21" s="45">
        <v>26.9</v>
      </c>
      <c r="I21" s="45">
        <v>28.1</v>
      </c>
      <c r="J21" s="35">
        <f t="shared" si="0"/>
        <v>29.375</v>
      </c>
      <c r="K21" s="18" t="s">
        <v>777</v>
      </c>
      <c r="L21" s="250" t="s">
        <v>774</v>
      </c>
      <c r="M21" s="971" t="s">
        <v>70</v>
      </c>
      <c r="N21" s="972"/>
      <c r="O21" s="1198"/>
      <c r="P21" s="1198"/>
      <c r="Q21" s="1198"/>
      <c r="R21" s="1198"/>
      <c r="S21" s="1198"/>
      <c r="T21" s="1198"/>
      <c r="U21" s="1198"/>
      <c r="V21" s="1198"/>
      <c r="W21" s="1198"/>
      <c r="X21" s="1198"/>
      <c r="Y21" s="1198"/>
      <c r="Z21" s="1198"/>
      <c r="AA21" s="1198"/>
      <c r="AB21" s="1199"/>
    </row>
    <row r="22" spans="1:28">
      <c r="A22" s="9"/>
      <c r="B22" s="149" t="s">
        <v>110</v>
      </c>
      <c r="C22" s="15">
        <v>1</v>
      </c>
      <c r="D22" s="41" t="s">
        <v>766</v>
      </c>
      <c r="E22" s="41" t="s">
        <v>767</v>
      </c>
      <c r="F22" s="42">
        <v>5</v>
      </c>
      <c r="G22" s="42">
        <v>5</v>
      </c>
      <c r="H22" s="42">
        <v>5</v>
      </c>
      <c r="I22" s="42">
        <v>5</v>
      </c>
      <c r="J22" s="48">
        <f t="shared" si="0"/>
        <v>5</v>
      </c>
      <c r="K22" s="8">
        <v>55</v>
      </c>
      <c r="L22" s="250" t="s">
        <v>768</v>
      </c>
      <c r="M22" s="971" t="s">
        <v>107</v>
      </c>
      <c r="N22" s="972"/>
      <c r="O22" s="1198"/>
      <c r="P22" s="1198"/>
      <c r="Q22" s="1198"/>
      <c r="R22" s="1198"/>
      <c r="S22" s="1198"/>
      <c r="T22" s="1198"/>
      <c r="U22" s="1198"/>
      <c r="V22" s="1198"/>
      <c r="W22" s="1198"/>
      <c r="X22" s="1198"/>
      <c r="Y22" s="1198"/>
      <c r="Z22" s="1198"/>
      <c r="AA22" s="1198"/>
      <c r="AB22" s="1199"/>
    </row>
    <row r="23" spans="1:28">
      <c r="A23" s="9"/>
      <c r="B23" s="10" t="s">
        <v>110</v>
      </c>
      <c r="C23" s="11">
        <v>2</v>
      </c>
      <c r="D23" s="156" t="s">
        <v>769</v>
      </c>
      <c r="E23" s="156" t="s">
        <v>770</v>
      </c>
      <c r="F23" s="45">
        <v>5</v>
      </c>
      <c r="G23" s="45">
        <v>25</v>
      </c>
      <c r="H23" s="45">
        <v>5</v>
      </c>
      <c r="I23" s="45">
        <v>5</v>
      </c>
      <c r="J23" s="35">
        <f t="shared" si="0"/>
        <v>10</v>
      </c>
      <c r="K23" s="14">
        <v>55</v>
      </c>
      <c r="L23" s="250" t="s">
        <v>771</v>
      </c>
      <c r="M23" s="1179"/>
      <c r="N23" s="1180"/>
      <c r="O23" s="1177"/>
      <c r="P23" s="1177"/>
      <c r="Q23" s="1177"/>
      <c r="R23" s="1178"/>
      <c r="S23" s="844" t="s">
        <v>78</v>
      </c>
      <c r="T23" s="1177"/>
      <c r="U23" s="1177"/>
      <c r="V23" s="1177"/>
      <c r="W23" s="1177"/>
      <c r="X23" s="1177"/>
      <c r="Y23" s="1177"/>
      <c r="Z23" s="1177"/>
      <c r="AA23" s="1177"/>
      <c r="AB23" s="1178"/>
    </row>
    <row r="24" spans="1:28">
      <c r="A24" s="9"/>
      <c r="B24" s="10" t="s">
        <v>110</v>
      </c>
      <c r="C24" s="11">
        <v>3</v>
      </c>
      <c r="D24" s="156" t="s">
        <v>772</v>
      </c>
      <c r="E24" s="156" t="s">
        <v>773</v>
      </c>
      <c r="F24" s="45">
        <v>5</v>
      </c>
      <c r="G24" s="45">
        <v>5</v>
      </c>
      <c r="H24" s="45">
        <v>5</v>
      </c>
      <c r="I24" s="45">
        <v>5</v>
      </c>
      <c r="J24" s="35">
        <f t="shared" si="0"/>
        <v>5</v>
      </c>
      <c r="K24" s="14">
        <v>55</v>
      </c>
      <c r="L24" s="250" t="s">
        <v>774</v>
      </c>
      <c r="M24" s="14" t="s">
        <v>82</v>
      </c>
      <c r="N24" s="14"/>
      <c r="O24" s="14" t="s">
        <v>83</v>
      </c>
      <c r="P24" s="14" t="s">
        <v>84</v>
      </c>
      <c r="Q24" s="14" t="s">
        <v>85</v>
      </c>
      <c r="R24" s="14" t="s">
        <v>86</v>
      </c>
      <c r="S24" s="14" t="s">
        <v>4</v>
      </c>
      <c r="T24" s="14" t="s">
        <v>5</v>
      </c>
      <c r="U24" s="14" t="s">
        <v>6</v>
      </c>
      <c r="V24" s="14" t="s">
        <v>7</v>
      </c>
      <c r="W24" s="14" t="s">
        <v>8</v>
      </c>
      <c r="X24" s="14" t="s">
        <v>9</v>
      </c>
      <c r="Y24" s="14" t="s">
        <v>10</v>
      </c>
      <c r="Z24" s="14" t="s">
        <v>11</v>
      </c>
      <c r="AA24" s="14" t="s">
        <v>12</v>
      </c>
      <c r="AB24" s="14" t="s">
        <v>13</v>
      </c>
    </row>
    <row r="25" spans="1:28" ht="28.5">
      <c r="A25" s="9"/>
      <c r="B25" s="149" t="s">
        <v>111</v>
      </c>
      <c r="C25" s="15">
        <v>1</v>
      </c>
      <c r="D25" s="41" t="s">
        <v>766</v>
      </c>
      <c r="E25" s="41" t="s">
        <v>767</v>
      </c>
      <c r="F25" s="42">
        <v>9200</v>
      </c>
      <c r="G25" s="42">
        <v>9200</v>
      </c>
      <c r="H25" s="42">
        <v>3300</v>
      </c>
      <c r="I25" s="42">
        <v>1100</v>
      </c>
      <c r="J25" s="49">
        <f>IFERROR(GEOMEAN(F25:I25), "")</f>
        <v>4186.6877328739292</v>
      </c>
      <c r="K25" s="8">
        <v>100</v>
      </c>
      <c r="L25" s="250" t="s">
        <v>768</v>
      </c>
      <c r="M25" s="886" t="s">
        <v>778</v>
      </c>
      <c r="N25" s="883"/>
      <c r="O25" s="886" t="s">
        <v>765</v>
      </c>
      <c r="P25" s="883" t="s">
        <v>22</v>
      </c>
      <c r="Q25" s="32">
        <v>1</v>
      </c>
      <c r="R25" s="65" t="s">
        <v>648</v>
      </c>
      <c r="S25" s="35">
        <f>J7</f>
        <v>6.24</v>
      </c>
      <c r="T25" s="35">
        <f>J10</f>
        <v>2.5</v>
      </c>
      <c r="U25" s="35">
        <f>J13</f>
        <v>23</v>
      </c>
      <c r="V25" s="35">
        <f>J16</f>
        <v>7.4275000000000002</v>
      </c>
      <c r="W25" s="35">
        <f>J19</f>
        <v>28.8</v>
      </c>
      <c r="X25" s="35">
        <f>J34</f>
        <v>18.75</v>
      </c>
      <c r="Y25" s="36">
        <f>J25</f>
        <v>4186.6877328739292</v>
      </c>
      <c r="Z25" s="28">
        <f>J28</f>
        <v>8.1249999999999989E-2</v>
      </c>
      <c r="AA25" s="28">
        <f>J31</f>
        <v>0.10249999999999999</v>
      </c>
      <c r="AB25" s="35">
        <f>J34</f>
        <v>18.75</v>
      </c>
    </row>
    <row r="26" spans="1:28" ht="28.5">
      <c r="A26" s="9"/>
      <c r="B26" s="10" t="s">
        <v>111</v>
      </c>
      <c r="C26" s="11">
        <v>2</v>
      </c>
      <c r="D26" s="156" t="s">
        <v>769</v>
      </c>
      <c r="E26" s="156" t="s">
        <v>770</v>
      </c>
      <c r="F26" s="45">
        <v>17000</v>
      </c>
      <c r="G26" s="45">
        <v>5400</v>
      </c>
      <c r="H26" s="45">
        <v>7900</v>
      </c>
      <c r="I26" s="45">
        <v>2400</v>
      </c>
      <c r="J26" s="36">
        <f>IFERROR(GEOMEAN(F26:I26), "")</f>
        <v>6459.0739014781548</v>
      </c>
      <c r="K26" s="14">
        <v>100</v>
      </c>
      <c r="L26" s="250" t="s">
        <v>771</v>
      </c>
      <c r="M26" s="1196"/>
      <c r="N26" s="884"/>
      <c r="O26" s="1196"/>
      <c r="P26" s="1196"/>
      <c r="Q26" s="32">
        <v>2</v>
      </c>
      <c r="R26" s="65" t="s">
        <v>651</v>
      </c>
      <c r="S26" s="35">
        <f>J8</f>
        <v>6.4024999999999999</v>
      </c>
      <c r="T26" s="35">
        <f t="shared" ref="T26:T27" si="4">J11</f>
        <v>2</v>
      </c>
      <c r="U26" s="35">
        <f>J14</f>
        <v>40</v>
      </c>
      <c r="V26" s="35">
        <f>J17</f>
        <v>7.4325000000000001</v>
      </c>
      <c r="W26" s="35">
        <f>J20</f>
        <v>29.1</v>
      </c>
      <c r="X26" s="35">
        <f>J35</f>
        <v>22.5</v>
      </c>
      <c r="Y26" s="36">
        <f>J26</f>
        <v>6459.0739014781548</v>
      </c>
      <c r="Z26" s="28">
        <f>J29</f>
        <v>0.157</v>
      </c>
      <c r="AA26" s="28">
        <f>J32</f>
        <v>6.3750000000000001E-2</v>
      </c>
      <c r="AB26" s="35">
        <f>J35</f>
        <v>22.5</v>
      </c>
    </row>
    <row r="27" spans="1:28" ht="28.5">
      <c r="A27" s="9"/>
      <c r="B27" s="10" t="s">
        <v>111</v>
      </c>
      <c r="C27" s="11">
        <v>3</v>
      </c>
      <c r="D27" s="156" t="s">
        <v>772</v>
      </c>
      <c r="E27" s="156" t="s">
        <v>773</v>
      </c>
      <c r="F27" s="45">
        <v>3500</v>
      </c>
      <c r="G27" s="45">
        <v>22000</v>
      </c>
      <c r="H27" s="45">
        <v>92000</v>
      </c>
      <c r="I27" s="45">
        <v>160000</v>
      </c>
      <c r="J27" s="36">
        <f>IFERROR(GEOMEAN(F27:I27), "")</f>
        <v>32628.689701079344</v>
      </c>
      <c r="K27" s="14">
        <v>100</v>
      </c>
      <c r="L27" s="250" t="s">
        <v>774</v>
      </c>
      <c r="M27" s="1197"/>
      <c r="N27" s="885"/>
      <c r="O27" s="1197"/>
      <c r="P27" s="1197"/>
      <c r="Q27" s="32">
        <v>3</v>
      </c>
      <c r="R27" s="65" t="s">
        <v>653</v>
      </c>
      <c r="S27" s="35">
        <f>J9</f>
        <v>5.6074999999999999</v>
      </c>
      <c r="T27" s="35">
        <f t="shared" si="4"/>
        <v>3.75</v>
      </c>
      <c r="U27" s="35">
        <f>J15</f>
        <v>30</v>
      </c>
      <c r="V27" s="35">
        <f>J18</f>
        <v>7.5049999999999999</v>
      </c>
      <c r="W27" s="35">
        <f>J21</f>
        <v>29.375</v>
      </c>
      <c r="X27" s="35">
        <f>J36</f>
        <v>16.5</v>
      </c>
      <c r="Y27" s="36">
        <f>J27</f>
        <v>32628.689701079344</v>
      </c>
      <c r="Z27" s="28">
        <f>J30</f>
        <v>0.13974999999999999</v>
      </c>
      <c r="AA27" s="28">
        <f>J33</f>
        <v>0.16125</v>
      </c>
      <c r="AB27" s="35">
        <f>J36</f>
        <v>16.5</v>
      </c>
    </row>
    <row r="28" spans="1:28">
      <c r="A28" s="9"/>
      <c r="B28" s="149" t="s">
        <v>113</v>
      </c>
      <c r="C28" s="15">
        <v>1</v>
      </c>
      <c r="D28" s="41" t="s">
        <v>766</v>
      </c>
      <c r="E28" s="41" t="s">
        <v>767</v>
      </c>
      <c r="F28" s="52">
        <v>3.5999999999999997E-2</v>
      </c>
      <c r="G28" s="52">
        <v>4.8000000000000001E-2</v>
      </c>
      <c r="H28" s="52">
        <v>0.14499999999999999</v>
      </c>
      <c r="I28" s="52">
        <v>9.6000000000000002E-2</v>
      </c>
      <c r="J28" s="48">
        <f t="shared" ref="J28:J36" si="5">IFERROR(AVERAGE(F28:I28), 0)</f>
        <v>8.1249999999999989E-2</v>
      </c>
      <c r="K28" s="8">
        <v>7</v>
      </c>
      <c r="L28" s="250" t="s">
        <v>768</v>
      </c>
      <c r="M28" s="1179"/>
      <c r="N28" s="1180"/>
      <c r="O28" s="1177"/>
      <c r="P28" s="1177"/>
      <c r="Q28" s="1177"/>
      <c r="R28" s="1177"/>
      <c r="S28" s="1177"/>
      <c r="T28" s="1177"/>
      <c r="U28" s="1177"/>
      <c r="V28" s="1177"/>
      <c r="W28" s="1177"/>
      <c r="X28" s="1177"/>
      <c r="Y28" s="1177"/>
      <c r="Z28" s="1177"/>
      <c r="AA28" s="1177"/>
      <c r="AB28" s="1178"/>
    </row>
    <row r="29" spans="1:28" ht="17.25">
      <c r="A29" s="9"/>
      <c r="B29" s="10" t="s">
        <v>114</v>
      </c>
      <c r="C29" s="11">
        <v>2</v>
      </c>
      <c r="D29" s="156" t="s">
        <v>769</v>
      </c>
      <c r="E29" s="156" t="s">
        <v>770</v>
      </c>
      <c r="F29" s="53">
        <v>7.0999999999999994E-2</v>
      </c>
      <c r="G29" s="53">
        <v>6.9000000000000006E-2</v>
      </c>
      <c r="H29" s="53">
        <v>0.41</v>
      </c>
      <c r="I29" s="53">
        <v>7.8E-2</v>
      </c>
      <c r="J29" s="35">
        <f t="shared" si="5"/>
        <v>0.157</v>
      </c>
      <c r="K29" s="14">
        <v>7</v>
      </c>
      <c r="L29" s="250" t="s">
        <v>771</v>
      </c>
      <c r="M29" s="14" t="s">
        <v>93</v>
      </c>
      <c r="N29" s="291"/>
      <c r="O29" s="1167"/>
      <c r="P29" s="1160"/>
      <c r="Q29" s="1160"/>
      <c r="R29" s="1181"/>
      <c r="S29" s="35">
        <f t="shared" ref="S29:AB29" si="6">AVERAGE(S25:S27)</f>
        <v>6.083333333333333</v>
      </c>
      <c r="T29" s="35">
        <f t="shared" si="6"/>
        <v>2.75</v>
      </c>
      <c r="U29" s="35">
        <f t="shared" si="6"/>
        <v>31</v>
      </c>
      <c r="V29" s="35">
        <f t="shared" si="6"/>
        <v>7.4549999999999992</v>
      </c>
      <c r="W29" s="35">
        <f t="shared" si="6"/>
        <v>29.091666666666669</v>
      </c>
      <c r="X29" s="35">
        <f t="shared" si="6"/>
        <v>19.25</v>
      </c>
      <c r="Y29" s="35">
        <f t="shared" si="6"/>
        <v>14424.817111810475</v>
      </c>
      <c r="Z29" s="28">
        <f t="shared" si="6"/>
        <v>0.126</v>
      </c>
      <c r="AA29" s="28">
        <f t="shared" si="6"/>
        <v>0.10916666666666668</v>
      </c>
      <c r="AB29" s="35">
        <f t="shared" si="6"/>
        <v>19.25</v>
      </c>
    </row>
    <row r="30" spans="1:28" ht="17.25">
      <c r="A30" s="9"/>
      <c r="B30" s="10" t="s">
        <v>114</v>
      </c>
      <c r="C30" s="11">
        <v>3</v>
      </c>
      <c r="D30" s="156" t="s">
        <v>772</v>
      </c>
      <c r="E30" s="156" t="s">
        <v>773</v>
      </c>
      <c r="F30" s="53">
        <v>7.0999999999999994E-2</v>
      </c>
      <c r="G30" s="53">
        <v>0.115</v>
      </c>
      <c r="H30" s="53">
        <v>0.17899999999999999</v>
      </c>
      <c r="I30" s="53">
        <v>0.19400000000000001</v>
      </c>
      <c r="J30" s="35">
        <f t="shared" si="5"/>
        <v>0.13974999999999999</v>
      </c>
      <c r="K30" s="14">
        <v>7</v>
      </c>
      <c r="L30" s="250" t="s">
        <v>774</v>
      </c>
      <c r="M30" s="14" t="s">
        <v>94</v>
      </c>
      <c r="N30" s="293"/>
      <c r="O30" s="1182"/>
      <c r="P30" s="1176"/>
      <c r="Q30" s="1176"/>
      <c r="R30" s="1183"/>
      <c r="S30" s="35">
        <f t="shared" ref="S30:AB30" si="7">MIN(S25:S27)</f>
        <v>5.6074999999999999</v>
      </c>
      <c r="T30" s="35">
        <f t="shared" si="7"/>
        <v>2</v>
      </c>
      <c r="U30" s="35">
        <f t="shared" si="7"/>
        <v>23</v>
      </c>
      <c r="V30" s="35">
        <f t="shared" si="7"/>
        <v>7.4275000000000002</v>
      </c>
      <c r="W30" s="35">
        <f t="shared" si="7"/>
        <v>28.8</v>
      </c>
      <c r="X30" s="35">
        <f t="shared" si="7"/>
        <v>16.5</v>
      </c>
      <c r="Y30" s="35">
        <f t="shared" si="7"/>
        <v>4186.6877328739292</v>
      </c>
      <c r="Z30" s="28">
        <f t="shared" si="7"/>
        <v>8.1249999999999989E-2</v>
      </c>
      <c r="AA30" s="28">
        <f t="shared" si="7"/>
        <v>6.3750000000000001E-2</v>
      </c>
      <c r="AB30" s="35">
        <f t="shared" si="7"/>
        <v>16.5</v>
      </c>
    </row>
    <row r="31" spans="1:28">
      <c r="A31" s="9"/>
      <c r="B31" s="149" t="s">
        <v>115</v>
      </c>
      <c r="C31" s="15">
        <v>1</v>
      </c>
      <c r="D31" s="41" t="s">
        <v>766</v>
      </c>
      <c r="E31" s="41" t="s">
        <v>767</v>
      </c>
      <c r="F31" s="52">
        <v>7.5999999999999998E-2</v>
      </c>
      <c r="G31" s="52">
        <v>0.107</v>
      </c>
      <c r="H31" s="52">
        <v>0.122</v>
      </c>
      <c r="I31" s="52">
        <v>0.105</v>
      </c>
      <c r="J31" s="48">
        <f t="shared" si="5"/>
        <v>0.10249999999999999</v>
      </c>
      <c r="K31" s="8">
        <v>2.5000000000000001E-2</v>
      </c>
      <c r="L31" s="250" t="s">
        <v>768</v>
      </c>
      <c r="M31" s="14" t="s">
        <v>95</v>
      </c>
      <c r="N31" s="293"/>
      <c r="O31" s="1182"/>
      <c r="P31" s="1176"/>
      <c r="Q31" s="1176"/>
      <c r="R31" s="1183"/>
      <c r="S31" s="35">
        <f t="shared" ref="S31:AB31" si="8">MAX(S25:S27)</f>
        <v>6.4024999999999999</v>
      </c>
      <c r="T31" s="35">
        <f t="shared" si="8"/>
        <v>3.75</v>
      </c>
      <c r="U31" s="35">
        <f t="shared" si="8"/>
        <v>40</v>
      </c>
      <c r="V31" s="35">
        <f t="shared" si="8"/>
        <v>7.5049999999999999</v>
      </c>
      <c r="W31" s="35">
        <f t="shared" si="8"/>
        <v>29.375</v>
      </c>
      <c r="X31" s="35">
        <f t="shared" si="8"/>
        <v>22.5</v>
      </c>
      <c r="Y31" s="35">
        <f t="shared" si="8"/>
        <v>32628.689701079344</v>
      </c>
      <c r="Z31" s="28">
        <f t="shared" si="8"/>
        <v>0.157</v>
      </c>
      <c r="AA31" s="28">
        <f t="shared" si="8"/>
        <v>0.16125</v>
      </c>
      <c r="AB31" s="35">
        <f t="shared" si="8"/>
        <v>22.5</v>
      </c>
    </row>
    <row r="32" spans="1:28">
      <c r="A32" s="9"/>
      <c r="B32" s="10" t="s">
        <v>116</v>
      </c>
      <c r="C32" s="11">
        <v>2</v>
      </c>
      <c r="D32" s="156" t="s">
        <v>769</v>
      </c>
      <c r="E32" s="156" t="s">
        <v>770</v>
      </c>
      <c r="F32" s="53">
        <v>6.5000000000000002E-2</v>
      </c>
      <c r="G32" s="53">
        <v>8.2000000000000003E-2</v>
      </c>
      <c r="H32" s="53">
        <v>7.0000000000000007E-2</v>
      </c>
      <c r="I32" s="53">
        <v>3.7999999999999999E-2</v>
      </c>
      <c r="J32" s="35">
        <f t="shared" si="5"/>
        <v>6.3750000000000001E-2</v>
      </c>
      <c r="K32" s="14">
        <v>2.5000000000000001E-2</v>
      </c>
      <c r="L32" s="250" t="s">
        <v>771</v>
      </c>
      <c r="M32" s="14" t="s">
        <v>96</v>
      </c>
      <c r="N32" s="292"/>
      <c r="O32" s="1184"/>
      <c r="P32" s="1159"/>
      <c r="Q32" s="1159"/>
      <c r="R32" s="1185"/>
      <c r="S32" s="661" t="s">
        <v>97</v>
      </c>
      <c r="T32" s="661" t="s">
        <v>97</v>
      </c>
      <c r="U32" s="661" t="s">
        <v>697</v>
      </c>
      <c r="V32" s="661" t="s">
        <v>100</v>
      </c>
      <c r="W32" s="661" t="s">
        <v>698</v>
      </c>
      <c r="X32" s="661" t="s">
        <v>699</v>
      </c>
      <c r="Y32" s="661" t="s">
        <v>700</v>
      </c>
      <c r="Z32" s="661" t="s">
        <v>98</v>
      </c>
      <c r="AA32" s="661" t="s">
        <v>104</v>
      </c>
      <c r="AB32" s="662" t="s">
        <v>701</v>
      </c>
    </row>
    <row r="33" spans="1:17">
      <c r="A33" s="9"/>
      <c r="B33" s="10" t="s">
        <v>116</v>
      </c>
      <c r="C33" s="11">
        <v>3</v>
      </c>
      <c r="D33" s="156" t="s">
        <v>772</v>
      </c>
      <c r="E33" s="156" t="s">
        <v>773</v>
      </c>
      <c r="F33" s="53">
        <v>0.19700000000000001</v>
      </c>
      <c r="G33" s="53">
        <v>0.23400000000000001</v>
      </c>
      <c r="H33" s="53">
        <v>6.3E-2</v>
      </c>
      <c r="I33" s="53">
        <v>0.151</v>
      </c>
      <c r="J33" s="35">
        <f t="shared" si="5"/>
        <v>0.16125</v>
      </c>
      <c r="K33" s="14">
        <v>2.5000000000000001E-2</v>
      </c>
      <c r="L33" s="250" t="s">
        <v>774</v>
      </c>
    </row>
    <row r="34" spans="1:17">
      <c r="A34" s="9"/>
      <c r="B34" s="149" t="s">
        <v>117</v>
      </c>
      <c r="C34" s="15">
        <v>1</v>
      </c>
      <c r="D34" s="41" t="s">
        <v>766</v>
      </c>
      <c r="E34" s="41" t="s">
        <v>767</v>
      </c>
      <c r="F34" s="42">
        <v>32</v>
      </c>
      <c r="G34" s="42">
        <v>11</v>
      </c>
      <c r="H34" s="42">
        <v>8</v>
      </c>
      <c r="I34" s="42">
        <v>24</v>
      </c>
      <c r="J34" s="48">
        <f t="shared" si="5"/>
        <v>18.75</v>
      </c>
      <c r="K34" s="8">
        <v>250</v>
      </c>
      <c r="L34" s="250" t="s">
        <v>768</v>
      </c>
    </row>
    <row r="35" spans="1:17">
      <c r="A35" s="9"/>
      <c r="B35" s="10" t="s">
        <v>117</v>
      </c>
      <c r="C35" s="11">
        <v>2</v>
      </c>
      <c r="D35" s="156" t="s">
        <v>769</v>
      </c>
      <c r="E35" s="156" t="s">
        <v>770</v>
      </c>
      <c r="F35" s="45">
        <v>34</v>
      </c>
      <c r="G35" s="45">
        <v>9</v>
      </c>
      <c r="H35" s="45">
        <v>9</v>
      </c>
      <c r="I35" s="45">
        <v>38</v>
      </c>
      <c r="J35" s="35">
        <f t="shared" si="5"/>
        <v>22.5</v>
      </c>
      <c r="K35" s="14">
        <v>250</v>
      </c>
      <c r="L35" s="250" t="s">
        <v>771</v>
      </c>
    </row>
    <row r="36" spans="1:17">
      <c r="A36" s="9"/>
      <c r="B36" s="10" t="s">
        <v>117</v>
      </c>
      <c r="C36" s="11">
        <v>3</v>
      </c>
      <c r="D36" s="156" t="s">
        <v>772</v>
      </c>
      <c r="E36" s="156" t="s">
        <v>773</v>
      </c>
      <c r="F36" s="45">
        <v>21</v>
      </c>
      <c r="G36" s="45">
        <v>12</v>
      </c>
      <c r="H36" s="45">
        <v>11</v>
      </c>
      <c r="I36" s="45">
        <v>22</v>
      </c>
      <c r="J36" s="35">
        <f t="shared" si="5"/>
        <v>16.5</v>
      </c>
      <c r="K36" s="14">
        <v>250</v>
      </c>
      <c r="L36" s="250" t="s">
        <v>774</v>
      </c>
    </row>
    <row r="37" spans="1:17" ht="61.5" customHeight="1">
      <c r="A37" s="9"/>
      <c r="B37" s="149" t="s">
        <v>314</v>
      </c>
      <c r="C37" s="15">
        <v>1</v>
      </c>
      <c r="D37" s="41" t="s">
        <v>766</v>
      </c>
      <c r="E37" s="41" t="s">
        <v>767</v>
      </c>
      <c r="F37" s="228" t="s">
        <v>779</v>
      </c>
      <c r="G37" s="228" t="s">
        <v>780</v>
      </c>
      <c r="H37" s="228" t="s">
        <v>781</v>
      </c>
      <c r="I37" s="228" t="s">
        <v>782</v>
      </c>
      <c r="L37" s="250" t="s">
        <v>768</v>
      </c>
    </row>
    <row r="38" spans="1:17" ht="52.5" customHeight="1">
      <c r="A38" s="9"/>
      <c r="B38" s="10" t="s">
        <v>117</v>
      </c>
      <c r="C38" s="11">
        <v>2</v>
      </c>
      <c r="D38" s="156" t="s">
        <v>769</v>
      </c>
      <c r="E38" s="156" t="s">
        <v>770</v>
      </c>
      <c r="F38" s="225" t="s">
        <v>783</v>
      </c>
      <c r="G38" s="225" t="s">
        <v>784</v>
      </c>
      <c r="H38" s="225" t="s">
        <v>785</v>
      </c>
      <c r="I38" s="225" t="s">
        <v>786</v>
      </c>
      <c r="L38" s="250" t="s">
        <v>771</v>
      </c>
    </row>
    <row r="39" spans="1:17" ht="57" customHeight="1">
      <c r="A39" s="9"/>
      <c r="B39" s="10" t="s">
        <v>117</v>
      </c>
      <c r="C39" s="11">
        <v>3</v>
      </c>
      <c r="D39" s="156" t="s">
        <v>772</v>
      </c>
      <c r="E39" s="285" t="s">
        <v>773</v>
      </c>
      <c r="F39" s="234" t="s">
        <v>787</v>
      </c>
      <c r="G39" s="234" t="s">
        <v>788</v>
      </c>
      <c r="H39" s="234" t="s">
        <v>789</v>
      </c>
      <c r="I39" s="234" t="s">
        <v>790</v>
      </c>
      <c r="L39" s="250" t="s">
        <v>774</v>
      </c>
    </row>
    <row r="40" spans="1:17" ht="15" customHeight="1">
      <c r="B40" s="232"/>
      <c r="C40" s="231"/>
      <c r="D40" s="231" t="s">
        <v>173</v>
      </c>
      <c r="E40" s="231"/>
      <c r="F40" s="641">
        <v>45735</v>
      </c>
      <c r="G40" s="641">
        <v>45838</v>
      </c>
      <c r="H40" s="641">
        <v>45903</v>
      </c>
      <c r="I40" s="641">
        <v>45989</v>
      </c>
    </row>
    <row r="41" spans="1:17" ht="15" customHeight="1">
      <c r="C41" s="232"/>
      <c r="D41" s="232"/>
      <c r="E41" s="232"/>
      <c r="F41" s="232"/>
      <c r="G41" s="232"/>
      <c r="H41" s="232"/>
      <c r="I41" s="232"/>
    </row>
    <row r="43" spans="1:17" ht="15" customHeight="1">
      <c r="B43" s="232" t="s">
        <v>175</v>
      </c>
      <c r="C43" s="232"/>
      <c r="D43" s="232"/>
      <c r="E43" s="232"/>
      <c r="F43" s="232"/>
      <c r="G43" s="232"/>
      <c r="H43" s="232"/>
      <c r="I43" s="232"/>
      <c r="J43" s="232"/>
      <c r="K43" s="232"/>
      <c r="M43" s="4" t="s">
        <v>48</v>
      </c>
      <c r="N43" s="4" t="s">
        <v>392</v>
      </c>
      <c r="O43" s="4" t="s">
        <v>393</v>
      </c>
      <c r="P43" s="4" t="s">
        <v>394</v>
      </c>
      <c r="Q43" s="38" t="s">
        <v>63</v>
      </c>
    </row>
    <row r="44" spans="1:17" ht="15" customHeight="1">
      <c r="A44" s="232"/>
      <c r="B44" s="873" t="s">
        <v>791</v>
      </c>
      <c r="C44" s="874"/>
      <c r="D44" s="874"/>
      <c r="E44" s="874"/>
      <c r="F44" s="874"/>
      <c r="G44" s="874"/>
      <c r="H44" s="874"/>
      <c r="I44" s="874"/>
      <c r="J44" s="874"/>
      <c r="K44" s="875"/>
      <c r="L44" s="232"/>
      <c r="M44" s="41" t="s">
        <v>766</v>
      </c>
      <c r="N44" s="42">
        <v>5.01</v>
      </c>
      <c r="O44" s="42">
        <v>7.11</v>
      </c>
      <c r="P44" s="42">
        <v>7.5</v>
      </c>
      <c r="Q44" s="8">
        <v>5</v>
      </c>
    </row>
    <row r="45" spans="1:17" ht="15" customHeight="1">
      <c r="A45" s="232"/>
      <c r="B45" s="876"/>
      <c r="C45" s="877"/>
      <c r="D45" s="877"/>
      <c r="E45" s="877"/>
      <c r="F45" s="877"/>
      <c r="G45" s="877"/>
      <c r="H45" s="877"/>
      <c r="I45" s="877"/>
      <c r="J45" s="877"/>
      <c r="K45" s="878"/>
      <c r="L45" s="232"/>
      <c r="M45" s="156" t="s">
        <v>769</v>
      </c>
      <c r="N45" s="45">
        <v>4.92</v>
      </c>
      <c r="O45" s="45">
        <v>6.41</v>
      </c>
      <c r="P45" s="45">
        <v>7.8</v>
      </c>
      <c r="Q45" s="14">
        <v>5</v>
      </c>
    </row>
    <row r="46" spans="1:17" ht="15" customHeight="1">
      <c r="A46" s="232"/>
      <c r="B46" s="876"/>
      <c r="C46" s="877"/>
      <c r="D46" s="877"/>
      <c r="E46" s="877"/>
      <c r="F46" s="877"/>
      <c r="G46" s="877"/>
      <c r="H46" s="877"/>
      <c r="I46" s="877"/>
      <c r="J46" s="877"/>
      <c r="K46" s="878"/>
      <c r="L46" s="232"/>
      <c r="M46" s="156" t="s">
        <v>772</v>
      </c>
      <c r="N46" s="45">
        <v>3.96</v>
      </c>
      <c r="O46" s="45">
        <v>5.63</v>
      </c>
      <c r="P46" s="45">
        <v>6.5</v>
      </c>
      <c r="Q46" s="14">
        <v>5</v>
      </c>
    </row>
    <row r="47" spans="1:17" ht="15" customHeight="1">
      <c r="A47" s="232"/>
      <c r="B47" s="876"/>
      <c r="C47" s="877"/>
      <c r="D47" s="877"/>
      <c r="E47" s="877"/>
      <c r="F47" s="877"/>
      <c r="G47" s="877"/>
      <c r="H47" s="877"/>
      <c r="I47" s="877"/>
      <c r="J47" s="877"/>
      <c r="K47" s="878"/>
      <c r="L47" s="232"/>
    </row>
    <row r="48" spans="1:17" ht="15" customHeight="1">
      <c r="A48" s="232"/>
      <c r="B48" s="876"/>
      <c r="C48" s="877"/>
      <c r="D48" s="877"/>
      <c r="E48" s="877"/>
      <c r="F48" s="877"/>
      <c r="G48" s="877"/>
      <c r="H48" s="877"/>
      <c r="I48" s="877"/>
      <c r="J48" s="877"/>
      <c r="K48" s="878"/>
      <c r="L48" s="232"/>
    </row>
    <row r="49" spans="1:12" ht="15" customHeight="1">
      <c r="A49" s="232"/>
      <c r="B49" s="876"/>
      <c r="C49" s="877"/>
      <c r="D49" s="877"/>
      <c r="E49" s="877"/>
      <c r="F49" s="877"/>
      <c r="G49" s="877"/>
      <c r="H49" s="877"/>
      <c r="I49" s="877"/>
      <c r="J49" s="877"/>
      <c r="K49" s="878"/>
      <c r="L49" s="232"/>
    </row>
    <row r="50" spans="1:12" ht="15" customHeight="1">
      <c r="A50" s="232"/>
      <c r="B50" s="876"/>
      <c r="C50" s="877"/>
      <c r="D50" s="877"/>
      <c r="E50" s="877"/>
      <c r="F50" s="877"/>
      <c r="G50" s="877"/>
      <c r="H50" s="877"/>
      <c r="I50" s="877"/>
      <c r="J50" s="877"/>
      <c r="K50" s="878"/>
      <c r="L50" s="232"/>
    </row>
    <row r="51" spans="1:12" ht="15" customHeight="1">
      <c r="A51" s="232"/>
      <c r="B51" s="876"/>
      <c r="C51" s="877"/>
      <c r="D51" s="877"/>
      <c r="E51" s="877"/>
      <c r="F51" s="877"/>
      <c r="G51" s="877"/>
      <c r="H51" s="877"/>
      <c r="I51" s="877"/>
      <c r="J51" s="877"/>
      <c r="K51" s="878"/>
      <c r="L51" s="232"/>
    </row>
    <row r="52" spans="1:12" ht="15" customHeight="1">
      <c r="A52" s="232"/>
      <c r="B52" s="876"/>
      <c r="C52" s="877"/>
      <c r="D52" s="877"/>
      <c r="E52" s="877"/>
      <c r="F52" s="877"/>
      <c r="G52" s="877"/>
      <c r="H52" s="877"/>
      <c r="I52" s="877"/>
      <c r="J52" s="877"/>
      <c r="K52" s="878"/>
      <c r="L52" s="232"/>
    </row>
    <row r="53" spans="1:12" ht="15" customHeight="1">
      <c r="A53" s="232"/>
      <c r="B53" s="876"/>
      <c r="C53" s="877"/>
      <c r="D53" s="877"/>
      <c r="E53" s="877"/>
      <c r="F53" s="877"/>
      <c r="G53" s="877"/>
      <c r="H53" s="877"/>
      <c r="I53" s="877"/>
      <c r="J53" s="877"/>
      <c r="K53" s="878"/>
      <c r="L53" s="232"/>
    </row>
    <row r="54" spans="1:12" ht="15" customHeight="1">
      <c r="A54" s="232"/>
      <c r="B54" s="876"/>
      <c r="C54" s="877"/>
      <c r="D54" s="877"/>
      <c r="E54" s="877"/>
      <c r="F54" s="877"/>
      <c r="G54" s="877"/>
      <c r="H54" s="877"/>
      <c r="I54" s="877"/>
      <c r="J54" s="877"/>
      <c r="K54" s="878"/>
      <c r="L54" s="232"/>
    </row>
    <row r="55" spans="1:12" ht="15" customHeight="1">
      <c r="A55" s="232"/>
      <c r="B55" s="879"/>
      <c r="C55" s="880"/>
      <c r="D55" s="880"/>
      <c r="E55" s="880"/>
      <c r="F55" s="880"/>
      <c r="G55" s="880"/>
      <c r="H55" s="880"/>
      <c r="I55" s="880"/>
      <c r="J55" s="880"/>
      <c r="K55" s="881"/>
      <c r="L55" s="232"/>
    </row>
    <row r="56" spans="1:12" ht="15" customHeight="1">
      <c r="B56" s="232"/>
      <c r="C56" s="232"/>
      <c r="D56" s="232"/>
      <c r="E56" s="232"/>
      <c r="F56" s="232"/>
      <c r="G56" s="232"/>
      <c r="H56" s="232"/>
      <c r="I56" s="232"/>
      <c r="J56" s="232"/>
      <c r="K56" s="232"/>
    </row>
    <row r="57" spans="1:12" ht="15" customHeight="1">
      <c r="D57" s="1"/>
      <c r="E57" s="1"/>
      <c r="F57" s="1"/>
      <c r="G57" s="1"/>
      <c r="H57" s="1"/>
      <c r="I57" s="1"/>
      <c r="J57" s="1"/>
      <c r="K57" s="1"/>
    </row>
    <row r="58" spans="1:12" ht="15" customHeight="1">
      <c r="D58" s="1"/>
      <c r="E58" s="1"/>
      <c r="F58" s="1"/>
      <c r="G58" s="1"/>
      <c r="H58" s="1"/>
      <c r="I58" s="1"/>
      <c r="J58" s="1"/>
      <c r="K58" s="1"/>
    </row>
  </sheetData>
  <mergeCells count="25">
    <mergeCell ref="B44:K55"/>
    <mergeCell ref="M25:M27"/>
    <mergeCell ref="O25:O27"/>
    <mergeCell ref="P25:P27"/>
    <mergeCell ref="M28:AB28"/>
    <mergeCell ref="O29:R32"/>
    <mergeCell ref="N25:N27"/>
    <mergeCell ref="M14:AB14"/>
    <mergeCell ref="O15:R18"/>
    <mergeCell ref="M21:AB21"/>
    <mergeCell ref="M22:AB22"/>
    <mergeCell ref="M23:R23"/>
    <mergeCell ref="S23:AB23"/>
    <mergeCell ref="M7:AB7"/>
    <mergeCell ref="M8:AB8"/>
    <mergeCell ref="M9:R9"/>
    <mergeCell ref="S9:AB9"/>
    <mergeCell ref="M11:M13"/>
    <mergeCell ref="O11:O13"/>
    <mergeCell ref="P11:P13"/>
    <mergeCell ref="C1:K1"/>
    <mergeCell ref="C2:K2"/>
    <mergeCell ref="C3:K3"/>
    <mergeCell ref="C4:K4"/>
    <mergeCell ref="C5:K5"/>
  </mergeCells>
  <phoneticPr fontId="18" type="noConversion"/>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6BF3-66E3-4469-9920-F45F7E51BE4F}">
  <sheetPr>
    <tabColor rgb="FF305496"/>
    <outlinePr summaryBelow="0" summaryRight="0"/>
  </sheetPr>
  <dimension ref="A1:AL69"/>
  <sheetViews>
    <sheetView workbookViewId="0">
      <pane xSplit="2" ySplit="6" topLeftCell="C7" activePane="bottomRight" state="frozen"/>
      <selection pane="bottomRight" activeCell="E7" sqref="E7:E10"/>
      <selection pane="bottomLeft" activeCell="A7" sqref="A7"/>
      <selection pane="topRight" activeCell="C1" sqref="C1"/>
    </sheetView>
  </sheetViews>
  <sheetFormatPr defaultColWidth="14.42578125" defaultRowHeight="15" customHeight="1"/>
  <cols>
    <col min="2" max="2" width="21.85546875" customWidth="1"/>
    <col min="3" max="3" width="9.140625"/>
    <col min="4" max="4" width="37.85546875" customWidth="1"/>
    <col min="5" max="5" width="22.7109375" bestFit="1" customWidth="1"/>
    <col min="20" max="20" width="7.5703125" hidden="1" customWidth="1"/>
  </cols>
  <sheetData>
    <row r="1" spans="1:38">
      <c r="A1" s="138"/>
      <c r="B1" s="93"/>
      <c r="C1" s="868" t="s">
        <v>40</v>
      </c>
      <c r="D1" s="907"/>
      <c r="E1" s="907"/>
      <c r="F1" s="907"/>
      <c r="G1" s="907"/>
      <c r="H1" s="907"/>
      <c r="I1" s="907"/>
      <c r="J1" s="907"/>
      <c r="K1" s="907"/>
      <c r="L1" s="907"/>
      <c r="M1" s="907"/>
      <c r="N1" s="907"/>
      <c r="O1" s="907"/>
      <c r="P1" s="907"/>
      <c r="Q1" s="907"/>
      <c r="R1" s="907"/>
      <c r="S1" s="907"/>
    </row>
    <row r="2" spans="1:38">
      <c r="A2" s="138"/>
      <c r="B2" s="93"/>
      <c r="C2" s="868" t="s">
        <v>41</v>
      </c>
      <c r="D2" s="907"/>
      <c r="E2" s="907"/>
      <c r="F2" s="907"/>
      <c r="G2" s="907"/>
      <c r="H2" s="907"/>
      <c r="I2" s="907"/>
      <c r="J2" s="907"/>
      <c r="K2" s="907"/>
      <c r="L2" s="907"/>
      <c r="M2" s="907"/>
      <c r="N2" s="907"/>
      <c r="O2" s="907"/>
      <c r="P2" s="907"/>
      <c r="Q2" s="907"/>
      <c r="R2" s="907"/>
      <c r="S2" s="907"/>
    </row>
    <row r="3" spans="1:38">
      <c r="A3" s="139"/>
      <c r="B3" s="86"/>
      <c r="C3" s="869" t="s">
        <v>42</v>
      </c>
      <c r="D3" s="908"/>
      <c r="E3" s="908"/>
      <c r="F3" s="908"/>
      <c r="G3" s="908"/>
      <c r="H3" s="908"/>
      <c r="I3" s="908"/>
      <c r="J3" s="908"/>
      <c r="K3" s="908"/>
      <c r="L3" s="908"/>
      <c r="M3" s="908"/>
      <c r="N3" s="908"/>
      <c r="O3" s="908"/>
      <c r="P3" s="908"/>
      <c r="Q3" s="908"/>
      <c r="R3" s="908"/>
      <c r="S3" s="908"/>
    </row>
    <row r="4" spans="1:38">
      <c r="A4" s="140"/>
      <c r="B4" s="141"/>
      <c r="C4" s="870" t="s">
        <v>792</v>
      </c>
      <c r="D4" s="1047"/>
      <c r="E4" s="1047"/>
      <c r="F4" s="1047"/>
      <c r="G4" s="1047"/>
      <c r="H4" s="1047"/>
      <c r="I4" s="1047"/>
      <c r="J4" s="1047"/>
      <c r="K4" s="1047"/>
      <c r="L4" s="1047"/>
      <c r="M4" s="1047"/>
      <c r="N4" s="1047"/>
      <c r="O4" s="1047"/>
      <c r="P4" s="1047"/>
      <c r="Q4" s="1047"/>
      <c r="R4" s="1047"/>
      <c r="S4" s="1047"/>
    </row>
    <row r="5" spans="1:38">
      <c r="A5" s="2"/>
      <c r="B5" s="142"/>
      <c r="C5" s="871" t="s">
        <v>421</v>
      </c>
      <c r="D5" s="1048"/>
      <c r="E5" s="1048"/>
      <c r="F5" s="1048"/>
      <c r="G5" s="1048"/>
      <c r="H5" s="1048"/>
      <c r="I5" s="1048"/>
      <c r="J5" s="1048"/>
      <c r="K5" s="1048"/>
      <c r="L5" s="1048"/>
      <c r="M5" s="1048"/>
      <c r="N5" s="1048"/>
      <c r="O5" s="1048"/>
      <c r="P5" s="1048"/>
      <c r="Q5" s="1048"/>
      <c r="R5" s="1048"/>
      <c r="S5" s="1048"/>
    </row>
    <row r="6" spans="1:38">
      <c r="A6" s="3" t="s">
        <v>45</v>
      </c>
      <c r="B6" s="4" t="s">
        <v>46</v>
      </c>
      <c r="C6" s="4" t="s">
        <v>47</v>
      </c>
      <c r="D6" s="4" t="s">
        <v>48</v>
      </c>
      <c r="E6" s="4" t="s">
        <v>49</v>
      </c>
      <c r="F6" s="5" t="s">
        <v>50</v>
      </c>
      <c r="G6" s="5" t="s">
        <v>51</v>
      </c>
      <c r="H6" s="4" t="s">
        <v>52</v>
      </c>
      <c r="I6" s="4" t="s">
        <v>53</v>
      </c>
      <c r="J6" s="5" t="s">
        <v>54</v>
      </c>
      <c r="K6" s="4" t="s">
        <v>55</v>
      </c>
      <c r="L6" s="136" t="s">
        <v>56</v>
      </c>
      <c r="M6" s="4" t="s">
        <v>57</v>
      </c>
      <c r="N6" s="4" t="s">
        <v>58</v>
      </c>
      <c r="O6" s="4" t="s">
        <v>59</v>
      </c>
      <c r="P6" s="4" t="s">
        <v>60</v>
      </c>
      <c r="Q6" s="37" t="s">
        <v>61</v>
      </c>
      <c r="R6" s="3" t="s">
        <v>62</v>
      </c>
      <c r="S6" s="38" t="s">
        <v>63</v>
      </c>
      <c r="T6" s="253" t="s">
        <v>64</v>
      </c>
    </row>
    <row r="7" spans="1:38">
      <c r="A7" s="39" t="s">
        <v>65</v>
      </c>
      <c r="B7" s="6" t="s">
        <v>66</v>
      </c>
      <c r="C7" s="15">
        <v>1</v>
      </c>
      <c r="D7" s="41" t="s">
        <v>793</v>
      </c>
      <c r="E7" s="41" t="s">
        <v>794</v>
      </c>
      <c r="F7" s="42" t="s">
        <v>119</v>
      </c>
      <c r="G7" s="42" t="s">
        <v>119</v>
      </c>
      <c r="H7" s="42">
        <v>3.9</v>
      </c>
      <c r="I7" s="42" t="s">
        <v>119</v>
      </c>
      <c r="J7" s="42" t="s">
        <v>119</v>
      </c>
      <c r="K7" s="42">
        <v>4.45</v>
      </c>
      <c r="L7" s="42" t="s">
        <v>119</v>
      </c>
      <c r="M7" s="42">
        <v>4.8899999999999997</v>
      </c>
      <c r="N7" s="42"/>
      <c r="O7" s="42" t="s">
        <v>119</v>
      </c>
      <c r="P7" s="42">
        <v>5.0999999999999996</v>
      </c>
      <c r="Q7" s="42" t="s">
        <v>119</v>
      </c>
      <c r="R7" s="43">
        <f t="shared" ref="R7:R30" si="0">IFERROR(AVERAGE(F7:Q7), 0)</f>
        <v>4.5849999999999991</v>
      </c>
      <c r="S7" s="8">
        <v>5</v>
      </c>
      <c r="T7" s="250" t="s">
        <v>768</v>
      </c>
      <c r="X7" s="849" t="s">
        <v>70</v>
      </c>
      <c r="Y7" s="850"/>
      <c r="Z7" s="850"/>
      <c r="AA7" s="850"/>
      <c r="AB7" s="850"/>
      <c r="AC7" s="850"/>
      <c r="AD7" s="850"/>
      <c r="AE7" s="850"/>
      <c r="AF7" s="850"/>
      <c r="AG7" s="850"/>
      <c r="AH7" s="850"/>
      <c r="AI7" s="850"/>
      <c r="AJ7" s="850"/>
      <c r="AK7" s="850"/>
      <c r="AL7" s="851"/>
    </row>
    <row r="8" spans="1:38">
      <c r="A8" s="9"/>
      <c r="B8" s="10" t="s">
        <v>66</v>
      </c>
      <c r="C8" s="11">
        <v>2</v>
      </c>
      <c r="D8" s="156" t="s">
        <v>795</v>
      </c>
      <c r="E8" s="156" t="s">
        <v>794</v>
      </c>
      <c r="F8" s="45" t="s">
        <v>119</v>
      </c>
      <c r="G8" s="45" t="s">
        <v>119</v>
      </c>
      <c r="H8" s="45">
        <v>4.1900000000000004</v>
      </c>
      <c r="I8" s="45" t="s">
        <v>119</v>
      </c>
      <c r="J8" s="45" t="s">
        <v>119</v>
      </c>
      <c r="K8" s="45">
        <v>4.58</v>
      </c>
      <c r="L8" s="45" t="s">
        <v>119</v>
      </c>
      <c r="M8" s="45">
        <v>5.2</v>
      </c>
      <c r="N8" s="45"/>
      <c r="O8" s="45" t="s">
        <v>119</v>
      </c>
      <c r="P8" s="45">
        <v>4.51</v>
      </c>
      <c r="Q8" s="45" t="s">
        <v>119</v>
      </c>
      <c r="R8" s="33">
        <f t="shared" si="0"/>
        <v>4.6199999999999992</v>
      </c>
      <c r="S8" s="14">
        <v>5</v>
      </c>
      <c r="T8" s="250" t="s">
        <v>771</v>
      </c>
      <c r="X8" s="852" t="s">
        <v>107</v>
      </c>
      <c r="Y8" s="853"/>
      <c r="Z8" s="853"/>
      <c r="AA8" s="853"/>
      <c r="AB8" s="853"/>
      <c r="AC8" s="853"/>
      <c r="AD8" s="853"/>
      <c r="AE8" s="853"/>
      <c r="AF8" s="853"/>
      <c r="AG8" s="853"/>
      <c r="AH8" s="853"/>
      <c r="AI8" s="853"/>
      <c r="AJ8" s="853"/>
      <c r="AK8" s="853"/>
      <c r="AL8" s="854"/>
    </row>
    <row r="9" spans="1:38">
      <c r="A9" s="9"/>
      <c r="B9" s="10" t="s">
        <v>66</v>
      </c>
      <c r="C9" s="11">
        <v>3</v>
      </c>
      <c r="D9" s="156" t="s">
        <v>796</v>
      </c>
      <c r="E9" s="156" t="s">
        <v>797</v>
      </c>
      <c r="F9" s="45" t="s">
        <v>119</v>
      </c>
      <c r="G9" s="45" t="s">
        <v>119</v>
      </c>
      <c r="H9" s="45">
        <v>4.1500000000000004</v>
      </c>
      <c r="I9" s="45" t="s">
        <v>119</v>
      </c>
      <c r="J9" s="45" t="s">
        <v>119</v>
      </c>
      <c r="K9" s="45">
        <v>5.29</v>
      </c>
      <c r="L9" s="45" t="s">
        <v>119</v>
      </c>
      <c r="M9" s="45">
        <v>5.21</v>
      </c>
      <c r="N9" s="45"/>
      <c r="O9" s="45" t="s">
        <v>119</v>
      </c>
      <c r="P9" s="45">
        <v>4.8099999999999996</v>
      </c>
      <c r="Q9" s="45" t="s">
        <v>119</v>
      </c>
      <c r="R9" s="33">
        <f t="shared" si="0"/>
        <v>4.8650000000000002</v>
      </c>
      <c r="S9" s="14">
        <v>5</v>
      </c>
      <c r="T9" s="250" t="s">
        <v>798</v>
      </c>
      <c r="X9" s="862"/>
      <c r="Y9" s="848"/>
      <c r="Z9" s="848"/>
      <c r="AA9" s="848"/>
      <c r="AB9" s="848"/>
      <c r="AC9" s="848" t="s">
        <v>78</v>
      </c>
      <c r="AD9" s="1161"/>
      <c r="AE9" s="1161"/>
      <c r="AF9" s="1161"/>
      <c r="AG9" s="1161"/>
      <c r="AH9" s="1161"/>
      <c r="AI9" s="1161"/>
      <c r="AJ9" s="1161"/>
      <c r="AK9" s="1161"/>
      <c r="AL9" s="1164"/>
    </row>
    <row r="10" spans="1:38">
      <c r="A10" s="9"/>
      <c r="B10" s="10" t="s">
        <v>66</v>
      </c>
      <c r="C10" s="11">
        <v>4</v>
      </c>
      <c r="D10" s="156" t="s">
        <v>799</v>
      </c>
      <c r="E10" s="156" t="s">
        <v>800</v>
      </c>
      <c r="F10" s="45" t="s">
        <v>119</v>
      </c>
      <c r="G10" s="45" t="s">
        <v>119</v>
      </c>
      <c r="H10" s="45">
        <v>4.5599999999999996</v>
      </c>
      <c r="I10" s="45" t="s">
        <v>119</v>
      </c>
      <c r="J10" s="45" t="s">
        <v>119</v>
      </c>
      <c r="K10" s="45">
        <v>6.08</v>
      </c>
      <c r="L10" s="45" t="s">
        <v>119</v>
      </c>
      <c r="M10" s="45">
        <v>5.16</v>
      </c>
      <c r="N10" s="45"/>
      <c r="O10" s="45" t="s">
        <v>119</v>
      </c>
      <c r="P10" s="45">
        <v>5.08</v>
      </c>
      <c r="Q10" s="45" t="s">
        <v>119</v>
      </c>
      <c r="R10" s="33">
        <f t="shared" si="0"/>
        <v>5.2200000000000006</v>
      </c>
      <c r="S10" s="14">
        <v>5</v>
      </c>
      <c r="T10" s="250" t="s">
        <v>774</v>
      </c>
      <c r="X10" s="657" t="s">
        <v>82</v>
      </c>
      <c r="Y10" s="14" t="s">
        <v>83</v>
      </c>
      <c r="Z10" s="14" t="s">
        <v>84</v>
      </c>
      <c r="AA10" s="14" t="s">
        <v>85</v>
      </c>
      <c r="AB10" s="14" t="s">
        <v>86</v>
      </c>
      <c r="AC10" s="14" t="s">
        <v>4</v>
      </c>
      <c r="AD10" s="14" t="s">
        <v>5</v>
      </c>
      <c r="AE10" s="14" t="s">
        <v>6</v>
      </c>
      <c r="AF10" s="14" t="s">
        <v>7</v>
      </c>
      <c r="AG10" s="14" t="s">
        <v>8</v>
      </c>
      <c r="AH10" s="14" t="s">
        <v>9</v>
      </c>
      <c r="AI10" s="14" t="s">
        <v>10</v>
      </c>
      <c r="AJ10" s="14" t="s">
        <v>11</v>
      </c>
      <c r="AK10" s="14" t="s">
        <v>12</v>
      </c>
      <c r="AL10" s="658" t="s">
        <v>13</v>
      </c>
    </row>
    <row r="11" spans="1:38" ht="30">
      <c r="A11" s="9"/>
      <c r="B11" s="149" t="s">
        <v>91</v>
      </c>
      <c r="C11" s="15">
        <v>1</v>
      </c>
      <c r="D11" s="41" t="s">
        <v>793</v>
      </c>
      <c r="E11" s="41" t="s">
        <v>794</v>
      </c>
      <c r="F11" s="42" t="s">
        <v>119</v>
      </c>
      <c r="G11" s="42" t="s">
        <v>119</v>
      </c>
      <c r="H11" s="42">
        <v>2</v>
      </c>
      <c r="I11" s="42" t="s">
        <v>119</v>
      </c>
      <c r="J11" s="42" t="s">
        <v>119</v>
      </c>
      <c r="K11" s="42">
        <v>3</v>
      </c>
      <c r="L11" s="42" t="s">
        <v>119</v>
      </c>
      <c r="M11" s="42">
        <v>2</v>
      </c>
      <c r="N11" s="42"/>
      <c r="O11" s="42" t="s">
        <v>119</v>
      </c>
      <c r="P11" s="42">
        <v>2</v>
      </c>
      <c r="Q11" s="42" t="s">
        <v>119</v>
      </c>
      <c r="R11" s="43">
        <f t="shared" si="0"/>
        <v>2.25</v>
      </c>
      <c r="S11" s="8">
        <v>7</v>
      </c>
      <c r="T11" s="250" t="s">
        <v>768</v>
      </c>
      <c r="X11" s="1044" t="s">
        <v>688</v>
      </c>
      <c r="Y11" s="909" t="s">
        <v>792</v>
      </c>
      <c r="Z11" s="909" t="s">
        <v>22</v>
      </c>
      <c r="AA11" s="32">
        <v>1</v>
      </c>
      <c r="AB11" s="65" t="s">
        <v>793</v>
      </c>
      <c r="AC11" s="33">
        <f>R7</f>
        <v>4.5849999999999991</v>
      </c>
      <c r="AD11" s="33">
        <f>R11</f>
        <v>2.25</v>
      </c>
      <c r="AE11" s="33">
        <f>R15</f>
        <v>14.75</v>
      </c>
      <c r="AF11" s="33">
        <f>R19</f>
        <v>7.1950000000000003</v>
      </c>
      <c r="AG11" s="33">
        <f>R23</f>
        <v>27.05</v>
      </c>
      <c r="AH11" s="33">
        <f>R27</f>
        <v>15</v>
      </c>
      <c r="AI11" s="33">
        <f>R31</f>
        <v>46900.280740938033</v>
      </c>
      <c r="AJ11" s="34">
        <f>R35</f>
        <v>0.39300000000000002</v>
      </c>
      <c r="AK11" s="34">
        <f>R39</f>
        <v>0.30375000000000002</v>
      </c>
      <c r="AL11" s="664">
        <f>R43</f>
        <v>23.5</v>
      </c>
    </row>
    <row r="12" spans="1:38" ht="45.75">
      <c r="A12" s="9"/>
      <c r="B12" s="10" t="s">
        <v>91</v>
      </c>
      <c r="C12" s="11">
        <v>2</v>
      </c>
      <c r="D12" s="156" t="s">
        <v>795</v>
      </c>
      <c r="E12" s="156" t="s">
        <v>794</v>
      </c>
      <c r="F12" s="45" t="s">
        <v>119</v>
      </c>
      <c r="G12" s="45" t="s">
        <v>119</v>
      </c>
      <c r="H12" s="45">
        <v>3</v>
      </c>
      <c r="I12" s="45" t="s">
        <v>119</v>
      </c>
      <c r="J12" s="45" t="s">
        <v>119</v>
      </c>
      <c r="K12" s="45">
        <v>2</v>
      </c>
      <c r="L12" s="45" t="s">
        <v>119</v>
      </c>
      <c r="M12" s="45">
        <v>2</v>
      </c>
      <c r="N12" s="45"/>
      <c r="O12" s="45" t="s">
        <v>119</v>
      </c>
      <c r="P12" s="45">
        <v>2</v>
      </c>
      <c r="Q12" s="45" t="s">
        <v>119</v>
      </c>
      <c r="R12" s="33">
        <f t="shared" si="0"/>
        <v>2.25</v>
      </c>
      <c r="S12" s="14">
        <v>7</v>
      </c>
      <c r="T12" s="250" t="s">
        <v>771</v>
      </c>
      <c r="X12" s="1045"/>
      <c r="Y12" s="910"/>
      <c r="Z12" s="910"/>
      <c r="AA12" s="32">
        <v>2</v>
      </c>
      <c r="AB12" s="65" t="s">
        <v>795</v>
      </c>
      <c r="AC12" s="33">
        <f t="shared" ref="AC12:AC14" si="1">R8</f>
        <v>4.6199999999999992</v>
      </c>
      <c r="AD12" s="33">
        <f t="shared" ref="AD12:AD14" si="2">R12</f>
        <v>2.25</v>
      </c>
      <c r="AE12" s="33">
        <f t="shared" ref="AE12:AE14" si="3">R16</f>
        <v>13.25</v>
      </c>
      <c r="AF12" s="33">
        <f t="shared" ref="AF12:AF14" si="4">R20</f>
        <v>7.1950000000000003</v>
      </c>
      <c r="AG12" s="33">
        <f t="shared" ref="AG12:AG14" si="5">R24</f>
        <v>26.65</v>
      </c>
      <c r="AH12" s="33">
        <f t="shared" ref="AH12:AH14" si="6">R28</f>
        <v>16.25</v>
      </c>
      <c r="AI12" s="33">
        <f t="shared" ref="AI12:AI14" si="7">R32</f>
        <v>16444.563466485295</v>
      </c>
      <c r="AJ12" s="34">
        <f t="shared" ref="AJ12:AJ14" si="8">R36</f>
        <v>0.34274999999999994</v>
      </c>
      <c r="AK12" s="34">
        <f t="shared" ref="AK12:AK14" si="9">R40</f>
        <v>0.21549999999999997</v>
      </c>
      <c r="AL12" s="664">
        <f t="shared" ref="AL12:AL14" si="10">R44</f>
        <v>58.5</v>
      </c>
    </row>
    <row r="13" spans="1:38" ht="45.75">
      <c r="A13" s="9"/>
      <c r="B13" s="10" t="s">
        <v>91</v>
      </c>
      <c r="C13" s="11">
        <v>3</v>
      </c>
      <c r="D13" s="156" t="s">
        <v>796</v>
      </c>
      <c r="E13" s="156" t="s">
        <v>797</v>
      </c>
      <c r="F13" s="45" t="s">
        <v>119</v>
      </c>
      <c r="G13" s="45" t="s">
        <v>119</v>
      </c>
      <c r="H13" s="45">
        <v>2</v>
      </c>
      <c r="I13" s="45" t="s">
        <v>119</v>
      </c>
      <c r="J13" s="45" t="s">
        <v>119</v>
      </c>
      <c r="K13" s="45">
        <v>2</v>
      </c>
      <c r="L13" s="45" t="s">
        <v>119</v>
      </c>
      <c r="M13" s="45">
        <v>2</v>
      </c>
      <c r="N13" s="45"/>
      <c r="O13" s="45" t="s">
        <v>119</v>
      </c>
      <c r="P13" s="45">
        <v>3</v>
      </c>
      <c r="Q13" s="45" t="s">
        <v>119</v>
      </c>
      <c r="R13" s="33">
        <f t="shared" si="0"/>
        <v>2.25</v>
      </c>
      <c r="S13" s="14">
        <v>7</v>
      </c>
      <c r="T13" s="250" t="s">
        <v>798</v>
      </c>
      <c r="X13" s="1045"/>
      <c r="Y13" s="910"/>
      <c r="Z13" s="910"/>
      <c r="AA13" s="32">
        <v>3</v>
      </c>
      <c r="AB13" s="65" t="s">
        <v>796</v>
      </c>
      <c r="AC13" s="33">
        <f t="shared" si="1"/>
        <v>4.8650000000000002</v>
      </c>
      <c r="AD13" s="33">
        <f t="shared" si="2"/>
        <v>2.25</v>
      </c>
      <c r="AE13" s="33">
        <f t="shared" si="3"/>
        <v>13.25</v>
      </c>
      <c r="AF13" s="33">
        <f t="shared" si="4"/>
        <v>7.2074999999999996</v>
      </c>
      <c r="AG13" s="33">
        <f t="shared" si="5"/>
        <v>26.725000000000001</v>
      </c>
      <c r="AH13" s="33">
        <f t="shared" si="6"/>
        <v>13.75</v>
      </c>
      <c r="AI13" s="33">
        <f t="shared" si="7"/>
        <v>14344.237114388028</v>
      </c>
      <c r="AJ13" s="34">
        <f t="shared" si="8"/>
        <v>0.23574999999999999</v>
      </c>
      <c r="AK13" s="34">
        <f t="shared" si="9"/>
        <v>0.19500000000000001</v>
      </c>
      <c r="AL13" s="664">
        <f t="shared" si="10"/>
        <v>67.75</v>
      </c>
    </row>
    <row r="14" spans="1:38" ht="60.75">
      <c r="A14" s="9"/>
      <c r="B14" s="10" t="s">
        <v>91</v>
      </c>
      <c r="C14" s="11">
        <v>4</v>
      </c>
      <c r="D14" s="156" t="s">
        <v>799</v>
      </c>
      <c r="E14" s="156" t="s">
        <v>800</v>
      </c>
      <c r="F14" s="45" t="s">
        <v>119</v>
      </c>
      <c r="G14" s="45" t="s">
        <v>119</v>
      </c>
      <c r="H14" s="45">
        <v>2</v>
      </c>
      <c r="I14" s="45" t="s">
        <v>119</v>
      </c>
      <c r="J14" s="45" t="s">
        <v>119</v>
      </c>
      <c r="K14" s="45">
        <v>2</v>
      </c>
      <c r="L14" s="45" t="s">
        <v>119</v>
      </c>
      <c r="M14" s="45">
        <v>2</v>
      </c>
      <c r="N14" s="45"/>
      <c r="O14" s="45" t="s">
        <v>119</v>
      </c>
      <c r="P14" s="45">
        <v>2</v>
      </c>
      <c r="Q14" s="45" t="s">
        <v>119</v>
      </c>
      <c r="R14" s="33">
        <f t="shared" si="0"/>
        <v>2</v>
      </c>
      <c r="S14" s="14">
        <v>7</v>
      </c>
      <c r="T14" s="250" t="s">
        <v>774</v>
      </c>
      <c r="X14" s="1046"/>
      <c r="Y14" s="911"/>
      <c r="Z14" s="911"/>
      <c r="AA14" s="32">
        <v>4</v>
      </c>
      <c r="AB14" s="65" t="s">
        <v>799</v>
      </c>
      <c r="AC14" s="33">
        <f t="shared" si="1"/>
        <v>5.2200000000000006</v>
      </c>
      <c r="AD14" s="33">
        <f t="shared" si="2"/>
        <v>2</v>
      </c>
      <c r="AE14" s="33">
        <f t="shared" si="3"/>
        <v>15.75</v>
      </c>
      <c r="AF14" s="33">
        <f t="shared" si="4"/>
        <v>7.18</v>
      </c>
      <c r="AG14" s="33">
        <f t="shared" si="5"/>
        <v>26.75</v>
      </c>
      <c r="AH14" s="33">
        <f t="shared" si="6"/>
        <v>12.5</v>
      </c>
      <c r="AI14" s="33">
        <f t="shared" si="7"/>
        <v>44225.024083588803</v>
      </c>
      <c r="AJ14" s="34">
        <f t="shared" si="8"/>
        <v>0.25950000000000001</v>
      </c>
      <c r="AK14" s="34">
        <f t="shared" si="9"/>
        <v>0.23824999999999999</v>
      </c>
      <c r="AL14" s="664">
        <f t="shared" si="10"/>
        <v>153.5</v>
      </c>
    </row>
    <row r="15" spans="1:38">
      <c r="A15" s="9"/>
      <c r="B15" s="149" t="s">
        <v>92</v>
      </c>
      <c r="C15" s="15">
        <v>1</v>
      </c>
      <c r="D15" s="41" t="s">
        <v>793</v>
      </c>
      <c r="E15" s="41" t="s">
        <v>794</v>
      </c>
      <c r="F15" s="42" t="s">
        <v>119</v>
      </c>
      <c r="G15" s="42" t="s">
        <v>119</v>
      </c>
      <c r="H15" s="42">
        <v>15</v>
      </c>
      <c r="I15" s="42" t="s">
        <v>119</v>
      </c>
      <c r="J15" s="42" t="s">
        <v>119</v>
      </c>
      <c r="K15" s="42">
        <v>9</v>
      </c>
      <c r="L15" s="42" t="s">
        <v>119</v>
      </c>
      <c r="M15" s="42">
        <v>9</v>
      </c>
      <c r="N15" s="42"/>
      <c r="O15" s="42" t="s">
        <v>119</v>
      </c>
      <c r="P15" s="42">
        <v>26</v>
      </c>
      <c r="Q15" s="42" t="s">
        <v>119</v>
      </c>
      <c r="R15" s="48">
        <f t="shared" si="0"/>
        <v>14.75</v>
      </c>
      <c r="S15" s="8">
        <v>80</v>
      </c>
      <c r="T15" s="250" t="s">
        <v>768</v>
      </c>
      <c r="X15" s="862"/>
      <c r="Y15" s="848"/>
      <c r="Z15" s="848"/>
      <c r="AA15" s="848"/>
      <c r="AB15" s="848"/>
      <c r="AC15" s="848"/>
      <c r="AD15" s="848"/>
      <c r="AE15" s="848"/>
      <c r="AF15" s="848"/>
      <c r="AG15" s="848"/>
      <c r="AH15" s="848"/>
      <c r="AI15" s="848"/>
      <c r="AJ15" s="848"/>
      <c r="AK15" s="848"/>
      <c r="AL15" s="872"/>
    </row>
    <row r="16" spans="1:38">
      <c r="A16" s="9"/>
      <c r="B16" s="10" t="s">
        <v>92</v>
      </c>
      <c r="C16" s="11">
        <v>2</v>
      </c>
      <c r="D16" s="156" t="s">
        <v>795</v>
      </c>
      <c r="E16" s="156" t="s">
        <v>794</v>
      </c>
      <c r="F16" s="45" t="s">
        <v>119</v>
      </c>
      <c r="G16" s="45" t="s">
        <v>119</v>
      </c>
      <c r="H16" s="45">
        <v>9</v>
      </c>
      <c r="I16" s="45" t="s">
        <v>119</v>
      </c>
      <c r="J16" s="45" t="s">
        <v>119</v>
      </c>
      <c r="K16" s="45">
        <v>6</v>
      </c>
      <c r="L16" s="45" t="s">
        <v>119</v>
      </c>
      <c r="M16" s="45">
        <v>13</v>
      </c>
      <c r="N16" s="45"/>
      <c r="O16" s="45" t="s">
        <v>119</v>
      </c>
      <c r="P16" s="45">
        <v>25</v>
      </c>
      <c r="Q16" s="45" t="s">
        <v>119</v>
      </c>
      <c r="R16" s="35">
        <f t="shared" si="0"/>
        <v>13.25</v>
      </c>
      <c r="S16" s="14">
        <v>80</v>
      </c>
      <c r="T16" s="250" t="s">
        <v>771</v>
      </c>
      <c r="X16" s="657" t="s">
        <v>93</v>
      </c>
      <c r="Y16" s="1162"/>
      <c r="Z16" s="1161"/>
      <c r="AA16" s="1161"/>
      <c r="AB16" s="1161"/>
      <c r="AC16" s="33">
        <f>AVERAGE(AC11:AC14)</f>
        <v>4.8224999999999998</v>
      </c>
      <c r="AD16" s="33">
        <f t="shared" ref="AD16:AL16" si="11">AVERAGE(AD11:AD14)</f>
        <v>2.1875</v>
      </c>
      <c r="AE16" s="33">
        <f t="shared" si="11"/>
        <v>14.25</v>
      </c>
      <c r="AF16" s="33">
        <f t="shared" si="11"/>
        <v>7.194375</v>
      </c>
      <c r="AG16" s="33">
        <f t="shared" si="11"/>
        <v>26.793750000000003</v>
      </c>
      <c r="AH16" s="33">
        <f t="shared" si="11"/>
        <v>14.375</v>
      </c>
      <c r="AI16" s="33">
        <f t="shared" si="11"/>
        <v>30478.526351350039</v>
      </c>
      <c r="AJ16" s="33">
        <f t="shared" si="11"/>
        <v>0.30774999999999997</v>
      </c>
      <c r="AK16" s="33">
        <f t="shared" si="11"/>
        <v>0.238125</v>
      </c>
      <c r="AL16" s="33">
        <f t="shared" si="11"/>
        <v>75.8125</v>
      </c>
    </row>
    <row r="17" spans="1:38">
      <c r="A17" s="9"/>
      <c r="B17" s="10" t="s">
        <v>92</v>
      </c>
      <c r="C17" s="11">
        <v>3</v>
      </c>
      <c r="D17" s="156" t="s">
        <v>796</v>
      </c>
      <c r="E17" s="156" t="s">
        <v>797</v>
      </c>
      <c r="F17" s="45" t="s">
        <v>119</v>
      </c>
      <c r="G17" s="45" t="s">
        <v>119</v>
      </c>
      <c r="H17" s="45">
        <v>12</v>
      </c>
      <c r="I17" s="45" t="s">
        <v>119</v>
      </c>
      <c r="J17" s="45" t="s">
        <v>119</v>
      </c>
      <c r="K17" s="45">
        <v>7</v>
      </c>
      <c r="L17" s="45" t="s">
        <v>119</v>
      </c>
      <c r="M17" s="45">
        <v>11</v>
      </c>
      <c r="N17" s="45"/>
      <c r="O17" s="45" t="s">
        <v>119</v>
      </c>
      <c r="P17" s="45">
        <v>23</v>
      </c>
      <c r="Q17" s="45" t="s">
        <v>119</v>
      </c>
      <c r="R17" s="35">
        <f t="shared" si="0"/>
        <v>13.25</v>
      </c>
      <c r="S17" s="14">
        <v>80</v>
      </c>
      <c r="T17" s="250" t="s">
        <v>798</v>
      </c>
      <c r="X17" s="657" t="s">
        <v>94</v>
      </c>
      <c r="Y17" s="1161"/>
      <c r="Z17" s="1163"/>
      <c r="AA17" s="1163"/>
      <c r="AB17" s="1161"/>
      <c r="AC17" s="33">
        <f>MIN(AC11:AC14)</f>
        <v>4.5849999999999991</v>
      </c>
      <c r="AD17" s="33">
        <f t="shared" ref="AD17:AL17" si="12">MIN(AD11:AD14)</f>
        <v>2</v>
      </c>
      <c r="AE17" s="33">
        <f t="shared" si="12"/>
        <v>13.25</v>
      </c>
      <c r="AF17" s="33">
        <f t="shared" si="12"/>
        <v>7.18</v>
      </c>
      <c r="AG17" s="33">
        <f t="shared" si="12"/>
        <v>26.65</v>
      </c>
      <c r="AH17" s="33">
        <f t="shared" si="12"/>
        <v>12.5</v>
      </c>
      <c r="AI17" s="33">
        <f t="shared" si="12"/>
        <v>14344.237114388028</v>
      </c>
      <c r="AJ17" s="33">
        <f t="shared" si="12"/>
        <v>0.23574999999999999</v>
      </c>
      <c r="AK17" s="33">
        <f t="shared" si="12"/>
        <v>0.19500000000000001</v>
      </c>
      <c r="AL17" s="33">
        <f t="shared" si="12"/>
        <v>23.5</v>
      </c>
    </row>
    <row r="18" spans="1:38">
      <c r="A18" s="9"/>
      <c r="B18" s="10" t="s">
        <v>92</v>
      </c>
      <c r="C18" s="11">
        <v>4</v>
      </c>
      <c r="D18" s="156" t="s">
        <v>799</v>
      </c>
      <c r="E18" s="156" t="s">
        <v>800</v>
      </c>
      <c r="F18" s="45" t="s">
        <v>119</v>
      </c>
      <c r="G18" s="45" t="s">
        <v>119</v>
      </c>
      <c r="H18" s="45">
        <v>14</v>
      </c>
      <c r="I18" s="45" t="s">
        <v>119</v>
      </c>
      <c r="J18" s="45" t="s">
        <v>119</v>
      </c>
      <c r="K18" s="45">
        <v>18</v>
      </c>
      <c r="L18" s="45" t="s">
        <v>119</v>
      </c>
      <c r="M18" s="45">
        <v>14</v>
      </c>
      <c r="N18" s="45"/>
      <c r="O18" s="45" t="s">
        <v>119</v>
      </c>
      <c r="P18" s="45">
        <v>17</v>
      </c>
      <c r="Q18" s="45" t="s">
        <v>119</v>
      </c>
      <c r="R18" s="35">
        <f t="shared" si="0"/>
        <v>15.75</v>
      </c>
      <c r="S18" s="14">
        <v>80</v>
      </c>
      <c r="T18" s="250" t="s">
        <v>774</v>
      </c>
      <c r="X18" s="657" t="s">
        <v>95</v>
      </c>
      <c r="Y18" s="1161"/>
      <c r="Z18" s="1163"/>
      <c r="AA18" s="1163"/>
      <c r="AB18" s="1161"/>
      <c r="AC18" s="33">
        <f>MAX(AC11:AC14)</f>
        <v>5.2200000000000006</v>
      </c>
      <c r="AD18" s="33">
        <f t="shared" ref="AD18:AL18" si="13">MAX(AD11:AD14)</f>
        <v>2.25</v>
      </c>
      <c r="AE18" s="33">
        <f t="shared" si="13"/>
        <v>15.75</v>
      </c>
      <c r="AF18" s="33">
        <f t="shared" si="13"/>
        <v>7.2074999999999996</v>
      </c>
      <c r="AG18" s="33">
        <f t="shared" si="13"/>
        <v>27.05</v>
      </c>
      <c r="AH18" s="33">
        <f t="shared" si="13"/>
        <v>16.25</v>
      </c>
      <c r="AI18" s="33">
        <f t="shared" si="13"/>
        <v>46900.280740938033</v>
      </c>
      <c r="AJ18" s="33">
        <f t="shared" si="13"/>
        <v>0.39300000000000002</v>
      </c>
      <c r="AK18" s="33">
        <f t="shared" si="13"/>
        <v>0.30375000000000002</v>
      </c>
      <c r="AL18" s="33">
        <f t="shared" si="13"/>
        <v>153.5</v>
      </c>
    </row>
    <row r="19" spans="1:38">
      <c r="A19" s="9"/>
      <c r="B19" s="149" t="s">
        <v>7</v>
      </c>
      <c r="C19" s="15">
        <v>1</v>
      </c>
      <c r="D19" s="41" t="s">
        <v>793</v>
      </c>
      <c r="E19" s="41" t="s">
        <v>794</v>
      </c>
      <c r="F19" s="42" t="s">
        <v>119</v>
      </c>
      <c r="G19" s="42" t="s">
        <v>119</v>
      </c>
      <c r="H19" s="42">
        <v>7.03</v>
      </c>
      <c r="I19" s="42" t="s">
        <v>119</v>
      </c>
      <c r="J19" s="42" t="s">
        <v>119</v>
      </c>
      <c r="K19" s="42">
        <v>7.12</v>
      </c>
      <c r="L19" s="42" t="s">
        <v>119</v>
      </c>
      <c r="M19" s="42">
        <v>7.48</v>
      </c>
      <c r="N19" s="42"/>
      <c r="O19" s="42" t="s">
        <v>119</v>
      </c>
      <c r="P19" s="42">
        <v>7.15</v>
      </c>
      <c r="Q19" s="42" t="s">
        <v>119</v>
      </c>
      <c r="R19" s="48">
        <f t="shared" si="0"/>
        <v>7.1950000000000003</v>
      </c>
      <c r="S19" s="17" t="s">
        <v>106</v>
      </c>
      <c r="T19" s="250" t="s">
        <v>768</v>
      </c>
      <c r="X19" s="660" t="s">
        <v>96</v>
      </c>
      <c r="Y19" s="1166"/>
      <c r="Z19" s="1166"/>
      <c r="AA19" s="1166"/>
      <c r="AB19" s="1166"/>
      <c r="AC19" s="661" t="s">
        <v>97</v>
      </c>
      <c r="AD19" s="661" t="s">
        <v>97</v>
      </c>
      <c r="AE19" s="661" t="s">
        <v>697</v>
      </c>
      <c r="AF19" s="661" t="s">
        <v>100</v>
      </c>
      <c r="AG19" s="661" t="s">
        <v>698</v>
      </c>
      <c r="AH19" s="661" t="s">
        <v>699</v>
      </c>
      <c r="AI19" s="661" t="s">
        <v>700</v>
      </c>
      <c r="AJ19" s="661" t="s">
        <v>98</v>
      </c>
      <c r="AK19" s="661" t="s">
        <v>104</v>
      </c>
      <c r="AL19" s="662" t="s">
        <v>701</v>
      </c>
    </row>
    <row r="20" spans="1:38">
      <c r="A20" s="9"/>
      <c r="B20" s="10" t="s">
        <v>7</v>
      </c>
      <c r="C20" s="11">
        <v>2</v>
      </c>
      <c r="D20" s="156" t="s">
        <v>795</v>
      </c>
      <c r="E20" s="156" t="s">
        <v>794</v>
      </c>
      <c r="F20" s="45" t="s">
        <v>119</v>
      </c>
      <c r="G20" s="45" t="s">
        <v>119</v>
      </c>
      <c r="H20" s="45">
        <v>7.1</v>
      </c>
      <c r="I20" s="45" t="s">
        <v>119</v>
      </c>
      <c r="J20" s="45" t="s">
        <v>119</v>
      </c>
      <c r="K20" s="45">
        <v>7.11</v>
      </c>
      <c r="L20" s="45" t="s">
        <v>119</v>
      </c>
      <c r="M20" s="45">
        <v>7.39</v>
      </c>
      <c r="N20" s="45"/>
      <c r="O20" s="45" t="s">
        <v>119</v>
      </c>
      <c r="P20" s="45">
        <v>7.18</v>
      </c>
      <c r="Q20" s="45" t="s">
        <v>119</v>
      </c>
      <c r="R20" s="35">
        <f t="shared" si="0"/>
        <v>7.1950000000000003</v>
      </c>
      <c r="S20" s="18" t="s">
        <v>106</v>
      </c>
      <c r="T20" s="250" t="s">
        <v>771</v>
      </c>
    </row>
    <row r="21" spans="1:38">
      <c r="A21" s="9"/>
      <c r="B21" s="10" t="s">
        <v>7</v>
      </c>
      <c r="C21" s="11">
        <v>3</v>
      </c>
      <c r="D21" s="156" t="s">
        <v>796</v>
      </c>
      <c r="E21" s="156" t="s">
        <v>797</v>
      </c>
      <c r="F21" s="45" t="s">
        <v>119</v>
      </c>
      <c r="G21" s="45" t="s">
        <v>119</v>
      </c>
      <c r="H21" s="45">
        <v>7.09</v>
      </c>
      <c r="I21" s="45" t="s">
        <v>119</v>
      </c>
      <c r="J21" s="45" t="s">
        <v>119</v>
      </c>
      <c r="K21" s="45">
        <v>7.1</v>
      </c>
      <c r="L21" s="45" t="s">
        <v>119</v>
      </c>
      <c r="M21" s="45">
        <v>7.43</v>
      </c>
      <c r="N21" s="45"/>
      <c r="O21" s="45" t="s">
        <v>119</v>
      </c>
      <c r="P21" s="45">
        <v>7.21</v>
      </c>
      <c r="Q21" s="45" t="s">
        <v>119</v>
      </c>
      <c r="R21" s="35">
        <f t="shared" si="0"/>
        <v>7.2074999999999996</v>
      </c>
      <c r="S21" s="18" t="s">
        <v>106</v>
      </c>
      <c r="T21" s="250" t="s">
        <v>798</v>
      </c>
    </row>
    <row r="22" spans="1:38">
      <c r="A22" s="9"/>
      <c r="B22" s="10" t="s">
        <v>7</v>
      </c>
      <c r="C22" s="11">
        <v>4</v>
      </c>
      <c r="D22" s="156" t="s">
        <v>799</v>
      </c>
      <c r="E22" s="156" t="s">
        <v>800</v>
      </c>
      <c r="F22" s="45" t="s">
        <v>119</v>
      </c>
      <c r="G22" s="45" t="s">
        <v>119</v>
      </c>
      <c r="H22" s="45">
        <v>7.14</v>
      </c>
      <c r="I22" s="45" t="s">
        <v>119</v>
      </c>
      <c r="J22" s="45" t="s">
        <v>119</v>
      </c>
      <c r="K22" s="45">
        <v>7.18</v>
      </c>
      <c r="L22" s="45" t="s">
        <v>119</v>
      </c>
      <c r="M22" s="45">
        <v>7.2</v>
      </c>
      <c r="N22" s="45"/>
      <c r="O22" s="45" t="s">
        <v>119</v>
      </c>
      <c r="P22" s="45">
        <v>7.2</v>
      </c>
      <c r="Q22" s="45" t="s">
        <v>119</v>
      </c>
      <c r="R22" s="35">
        <f t="shared" si="0"/>
        <v>7.18</v>
      </c>
      <c r="S22" s="18" t="s">
        <v>106</v>
      </c>
      <c r="T22" s="250" t="s">
        <v>774</v>
      </c>
    </row>
    <row r="23" spans="1:38">
      <c r="A23" s="9"/>
      <c r="B23" s="149" t="s">
        <v>108</v>
      </c>
      <c r="C23" s="15">
        <v>1</v>
      </c>
      <c r="D23" s="41" t="s">
        <v>793</v>
      </c>
      <c r="E23" s="41" t="s">
        <v>794</v>
      </c>
      <c r="F23" s="42" t="s">
        <v>119</v>
      </c>
      <c r="G23" s="42" t="s">
        <v>119</v>
      </c>
      <c r="H23" s="42">
        <v>28.2</v>
      </c>
      <c r="I23" s="42" t="s">
        <v>119</v>
      </c>
      <c r="J23" s="42" t="s">
        <v>119</v>
      </c>
      <c r="K23" s="42">
        <v>28.1</v>
      </c>
      <c r="L23" s="42" t="s">
        <v>119</v>
      </c>
      <c r="M23" s="42">
        <v>26.1</v>
      </c>
      <c r="N23" s="42"/>
      <c r="O23" s="42" t="s">
        <v>119</v>
      </c>
      <c r="P23" s="42">
        <v>25.8</v>
      </c>
      <c r="Q23" s="42" t="s">
        <v>119</v>
      </c>
      <c r="R23" s="48">
        <f t="shared" si="0"/>
        <v>27.05</v>
      </c>
      <c r="S23" s="17" t="s">
        <v>109</v>
      </c>
      <c r="T23" s="250" t="s">
        <v>768</v>
      </c>
    </row>
    <row r="24" spans="1:38">
      <c r="A24" s="9"/>
      <c r="B24" s="10" t="s">
        <v>108</v>
      </c>
      <c r="C24" s="11">
        <v>2</v>
      </c>
      <c r="D24" s="156" t="s">
        <v>795</v>
      </c>
      <c r="E24" s="156" t="s">
        <v>794</v>
      </c>
      <c r="F24" s="45" t="s">
        <v>119</v>
      </c>
      <c r="G24" s="45" t="s">
        <v>119</v>
      </c>
      <c r="H24" s="45">
        <v>26.5</v>
      </c>
      <c r="I24" s="45" t="s">
        <v>119</v>
      </c>
      <c r="J24" s="45" t="s">
        <v>119</v>
      </c>
      <c r="K24" s="45">
        <v>28</v>
      </c>
      <c r="L24" s="45" t="s">
        <v>119</v>
      </c>
      <c r="M24" s="45">
        <v>26.1</v>
      </c>
      <c r="N24" s="45"/>
      <c r="O24" s="45" t="s">
        <v>119</v>
      </c>
      <c r="P24" s="45">
        <v>26</v>
      </c>
      <c r="Q24" s="45" t="s">
        <v>119</v>
      </c>
      <c r="R24" s="35">
        <f t="shared" si="0"/>
        <v>26.65</v>
      </c>
      <c r="S24" s="18" t="s">
        <v>109</v>
      </c>
      <c r="T24" s="250" t="s">
        <v>771</v>
      </c>
    </row>
    <row r="25" spans="1:38">
      <c r="A25" s="9"/>
      <c r="B25" s="10" t="s">
        <v>108</v>
      </c>
      <c r="C25" s="11">
        <v>3</v>
      </c>
      <c r="D25" s="156" t="s">
        <v>796</v>
      </c>
      <c r="E25" s="156" t="s">
        <v>797</v>
      </c>
      <c r="F25" s="45" t="s">
        <v>119</v>
      </c>
      <c r="G25" s="45" t="s">
        <v>119</v>
      </c>
      <c r="H25" s="45">
        <v>26.9</v>
      </c>
      <c r="I25" s="45" t="s">
        <v>119</v>
      </c>
      <c r="J25" s="45" t="s">
        <v>119</v>
      </c>
      <c r="K25" s="45">
        <v>27.8</v>
      </c>
      <c r="L25" s="45" t="s">
        <v>119</v>
      </c>
      <c r="M25" s="45">
        <v>26.1</v>
      </c>
      <c r="N25" s="45"/>
      <c r="O25" s="45" t="s">
        <v>119</v>
      </c>
      <c r="P25" s="45">
        <v>26.1</v>
      </c>
      <c r="Q25" s="45" t="s">
        <v>119</v>
      </c>
      <c r="R25" s="35">
        <f t="shared" si="0"/>
        <v>26.725000000000001</v>
      </c>
      <c r="S25" s="18" t="s">
        <v>109</v>
      </c>
      <c r="T25" s="250" t="s">
        <v>798</v>
      </c>
    </row>
    <row r="26" spans="1:38">
      <c r="A26" s="9"/>
      <c r="B26" s="10" t="s">
        <v>108</v>
      </c>
      <c r="C26" s="11">
        <v>4</v>
      </c>
      <c r="D26" s="156" t="s">
        <v>799</v>
      </c>
      <c r="E26" s="156" t="s">
        <v>800</v>
      </c>
      <c r="F26" s="45" t="s">
        <v>119</v>
      </c>
      <c r="G26" s="45" t="s">
        <v>119</v>
      </c>
      <c r="H26" s="45">
        <v>27.5</v>
      </c>
      <c r="I26" s="45" t="s">
        <v>119</v>
      </c>
      <c r="J26" s="45" t="s">
        <v>119</v>
      </c>
      <c r="K26" s="45">
        <v>27.1</v>
      </c>
      <c r="L26" s="45" t="s">
        <v>119</v>
      </c>
      <c r="M26" s="45">
        <v>26.3</v>
      </c>
      <c r="N26" s="45"/>
      <c r="O26" s="45" t="s">
        <v>119</v>
      </c>
      <c r="P26" s="45">
        <v>26.1</v>
      </c>
      <c r="Q26" s="45" t="s">
        <v>119</v>
      </c>
      <c r="R26" s="35">
        <f t="shared" si="0"/>
        <v>26.75</v>
      </c>
      <c r="S26" s="18" t="s">
        <v>109</v>
      </c>
      <c r="T26" s="250" t="s">
        <v>774</v>
      </c>
    </row>
    <row r="27" spans="1:38">
      <c r="A27" s="9"/>
      <c r="B27" s="149" t="s">
        <v>110</v>
      </c>
      <c r="C27" s="15">
        <v>1</v>
      </c>
      <c r="D27" s="41" t="s">
        <v>793</v>
      </c>
      <c r="E27" s="41" t="s">
        <v>794</v>
      </c>
      <c r="F27" s="42" t="s">
        <v>119</v>
      </c>
      <c r="G27" s="42" t="s">
        <v>119</v>
      </c>
      <c r="H27" s="42">
        <v>15</v>
      </c>
      <c r="I27" s="42" t="s">
        <v>119</v>
      </c>
      <c r="J27" s="42" t="s">
        <v>119</v>
      </c>
      <c r="K27" s="42">
        <v>5</v>
      </c>
      <c r="L27" s="42" t="s">
        <v>119</v>
      </c>
      <c r="M27" s="42">
        <v>25</v>
      </c>
      <c r="N27" s="42"/>
      <c r="O27" s="42" t="s">
        <v>119</v>
      </c>
      <c r="P27" s="706">
        <v>15</v>
      </c>
      <c r="Q27" s="42" t="s">
        <v>119</v>
      </c>
      <c r="R27" s="48">
        <f t="shared" si="0"/>
        <v>15</v>
      </c>
      <c r="S27" s="8">
        <v>75</v>
      </c>
      <c r="T27" s="250" t="s">
        <v>768</v>
      </c>
    </row>
    <row r="28" spans="1:38">
      <c r="A28" s="9"/>
      <c r="B28" s="10" t="s">
        <v>110</v>
      </c>
      <c r="C28" s="11">
        <v>2</v>
      </c>
      <c r="D28" s="156" t="s">
        <v>795</v>
      </c>
      <c r="E28" s="156" t="s">
        <v>794</v>
      </c>
      <c r="F28" s="45" t="s">
        <v>119</v>
      </c>
      <c r="G28" s="45" t="s">
        <v>119</v>
      </c>
      <c r="H28" s="45">
        <v>15</v>
      </c>
      <c r="I28" s="45" t="s">
        <v>119</v>
      </c>
      <c r="J28" s="45" t="s">
        <v>119</v>
      </c>
      <c r="K28" s="45">
        <v>5</v>
      </c>
      <c r="L28" s="45" t="s">
        <v>119</v>
      </c>
      <c r="M28" s="45">
        <v>25</v>
      </c>
      <c r="N28" s="45"/>
      <c r="O28" s="45" t="s">
        <v>119</v>
      </c>
      <c r="P28" s="45">
        <v>20</v>
      </c>
      <c r="Q28" s="45" t="s">
        <v>119</v>
      </c>
      <c r="R28" s="35">
        <f t="shared" si="0"/>
        <v>16.25</v>
      </c>
      <c r="S28" s="14">
        <v>75</v>
      </c>
      <c r="T28" s="250" t="s">
        <v>771</v>
      </c>
    </row>
    <row r="29" spans="1:38">
      <c r="A29" s="9"/>
      <c r="B29" s="10" t="s">
        <v>110</v>
      </c>
      <c r="C29" s="11">
        <v>3</v>
      </c>
      <c r="D29" s="156" t="s">
        <v>796</v>
      </c>
      <c r="E29" s="156" t="s">
        <v>797</v>
      </c>
      <c r="F29" s="45" t="s">
        <v>119</v>
      </c>
      <c r="G29" s="45" t="s">
        <v>119</v>
      </c>
      <c r="H29" s="45">
        <v>5</v>
      </c>
      <c r="I29" s="45" t="s">
        <v>119</v>
      </c>
      <c r="J29" s="45" t="s">
        <v>119</v>
      </c>
      <c r="K29" s="45">
        <v>5</v>
      </c>
      <c r="L29" s="45" t="s">
        <v>119</v>
      </c>
      <c r="M29" s="45">
        <v>25</v>
      </c>
      <c r="N29" s="45"/>
      <c r="O29" s="45" t="s">
        <v>119</v>
      </c>
      <c r="P29" s="45">
        <v>20</v>
      </c>
      <c r="Q29" s="45" t="s">
        <v>119</v>
      </c>
      <c r="R29" s="35">
        <f t="shared" si="0"/>
        <v>13.75</v>
      </c>
      <c r="S29" s="14">
        <v>75</v>
      </c>
      <c r="T29" s="250" t="s">
        <v>798</v>
      </c>
    </row>
    <row r="30" spans="1:38">
      <c r="A30" s="9"/>
      <c r="B30" s="10" t="s">
        <v>110</v>
      </c>
      <c r="C30" s="11">
        <v>4</v>
      </c>
      <c r="D30" s="156" t="s">
        <v>799</v>
      </c>
      <c r="E30" s="156" t="s">
        <v>800</v>
      </c>
      <c r="F30" s="45" t="s">
        <v>119</v>
      </c>
      <c r="G30" s="45" t="s">
        <v>119</v>
      </c>
      <c r="H30" s="45">
        <v>5</v>
      </c>
      <c r="I30" s="45" t="s">
        <v>119</v>
      </c>
      <c r="J30" s="45" t="s">
        <v>119</v>
      </c>
      <c r="K30" s="45">
        <v>5</v>
      </c>
      <c r="L30" s="45" t="s">
        <v>119</v>
      </c>
      <c r="M30" s="45">
        <v>30</v>
      </c>
      <c r="N30" s="45"/>
      <c r="O30" s="45" t="s">
        <v>119</v>
      </c>
      <c r="P30" s="45">
        <v>10</v>
      </c>
      <c r="Q30" s="45" t="s">
        <v>119</v>
      </c>
      <c r="R30" s="35">
        <f t="shared" si="0"/>
        <v>12.5</v>
      </c>
      <c r="S30" s="14">
        <v>75</v>
      </c>
      <c r="T30" s="250" t="s">
        <v>774</v>
      </c>
    </row>
    <row r="31" spans="1:38" ht="28.5">
      <c r="A31" s="9"/>
      <c r="B31" s="149" t="s">
        <v>111</v>
      </c>
      <c r="C31" s="15">
        <v>1</v>
      </c>
      <c r="D31" s="41" t="s">
        <v>793</v>
      </c>
      <c r="E31" s="41" t="s">
        <v>794</v>
      </c>
      <c r="F31" s="42" t="s">
        <v>119</v>
      </c>
      <c r="G31" s="42" t="s">
        <v>119</v>
      </c>
      <c r="H31" s="42">
        <v>35000</v>
      </c>
      <c r="I31" s="42" t="s">
        <v>119</v>
      </c>
      <c r="J31" s="42" t="s">
        <v>119</v>
      </c>
      <c r="K31" s="42">
        <v>160000</v>
      </c>
      <c r="L31" s="42" t="s">
        <v>119</v>
      </c>
      <c r="M31" s="42">
        <v>160000</v>
      </c>
      <c r="N31" s="42"/>
      <c r="O31" s="42" t="s">
        <v>119</v>
      </c>
      <c r="P31" s="42">
        <v>5400</v>
      </c>
      <c r="Q31" s="42" t="s">
        <v>119</v>
      </c>
      <c r="R31" s="49">
        <f>IFERROR(GEOMEAN(F31:Q31), "")</f>
        <v>46900.280740938033</v>
      </c>
      <c r="S31" s="8">
        <v>200</v>
      </c>
      <c r="T31" s="250" t="s">
        <v>768</v>
      </c>
    </row>
    <row r="32" spans="1:38" ht="28.5">
      <c r="A32" s="9"/>
      <c r="B32" s="10" t="s">
        <v>111</v>
      </c>
      <c r="C32" s="11">
        <v>2</v>
      </c>
      <c r="D32" s="156" t="s">
        <v>795</v>
      </c>
      <c r="E32" s="156" t="s">
        <v>794</v>
      </c>
      <c r="F32" s="45" t="s">
        <v>119</v>
      </c>
      <c r="G32" s="45" t="s">
        <v>119</v>
      </c>
      <c r="H32" s="45">
        <v>5400</v>
      </c>
      <c r="I32" s="45" t="s">
        <v>119</v>
      </c>
      <c r="J32" s="45" t="s">
        <v>119</v>
      </c>
      <c r="K32" s="45">
        <v>9200</v>
      </c>
      <c r="L32" s="45" t="s">
        <v>119</v>
      </c>
      <c r="M32" s="45">
        <v>160000</v>
      </c>
      <c r="N32" s="45"/>
      <c r="O32" s="45" t="s">
        <v>119</v>
      </c>
      <c r="P32" s="45">
        <v>9200</v>
      </c>
      <c r="Q32" s="45" t="s">
        <v>119</v>
      </c>
      <c r="R32" s="36">
        <f>IFERROR(GEOMEAN(F32:Q32), "")</f>
        <v>16444.563466485295</v>
      </c>
      <c r="S32" s="14">
        <v>200</v>
      </c>
      <c r="T32" s="250" t="s">
        <v>771</v>
      </c>
    </row>
    <row r="33" spans="1:20" ht="28.5">
      <c r="A33" s="9"/>
      <c r="B33" s="10" t="s">
        <v>111</v>
      </c>
      <c r="C33" s="11">
        <v>3</v>
      </c>
      <c r="D33" s="156" t="s">
        <v>796</v>
      </c>
      <c r="E33" s="156" t="s">
        <v>797</v>
      </c>
      <c r="F33" s="45" t="s">
        <v>119</v>
      </c>
      <c r="G33" s="45" t="s">
        <v>119</v>
      </c>
      <c r="H33" s="45">
        <v>14000</v>
      </c>
      <c r="I33" s="45" t="s">
        <v>119</v>
      </c>
      <c r="J33" s="45" t="s">
        <v>119</v>
      </c>
      <c r="K33" s="45">
        <v>3500</v>
      </c>
      <c r="L33" s="45" t="s">
        <v>119</v>
      </c>
      <c r="M33" s="45">
        <v>54000</v>
      </c>
      <c r="N33" s="45"/>
      <c r="O33" s="45" t="s">
        <v>119</v>
      </c>
      <c r="P33" s="45">
        <v>16000</v>
      </c>
      <c r="Q33" s="45" t="s">
        <v>119</v>
      </c>
      <c r="R33" s="36">
        <f>IFERROR(GEOMEAN(F33:Q33), "")</f>
        <v>14344.237114388028</v>
      </c>
      <c r="S33" s="14">
        <v>200</v>
      </c>
      <c r="T33" s="250" t="s">
        <v>798</v>
      </c>
    </row>
    <row r="34" spans="1:20" ht="28.5">
      <c r="A34" s="9"/>
      <c r="B34" s="10" t="s">
        <v>111</v>
      </c>
      <c r="C34" s="11">
        <v>4</v>
      </c>
      <c r="D34" s="156" t="s">
        <v>799</v>
      </c>
      <c r="E34" s="156" t="s">
        <v>800</v>
      </c>
      <c r="F34" s="45" t="s">
        <v>119</v>
      </c>
      <c r="G34" s="45" t="s">
        <v>119</v>
      </c>
      <c r="H34" s="45">
        <v>22000</v>
      </c>
      <c r="I34" s="45" t="s">
        <v>119</v>
      </c>
      <c r="J34" s="45" t="s">
        <v>119</v>
      </c>
      <c r="K34" s="45">
        <v>54000</v>
      </c>
      <c r="L34" s="45" t="s">
        <v>119</v>
      </c>
      <c r="M34" s="45">
        <v>92000</v>
      </c>
      <c r="N34" s="45"/>
      <c r="O34" s="45" t="s">
        <v>119</v>
      </c>
      <c r="P34" s="45">
        <v>35000</v>
      </c>
      <c r="Q34" s="45" t="s">
        <v>119</v>
      </c>
      <c r="R34" s="36">
        <f>IFERROR(GEOMEAN(F34:Q34), "")</f>
        <v>44225.024083588803</v>
      </c>
      <c r="S34" s="14">
        <v>200</v>
      </c>
      <c r="T34" s="250" t="s">
        <v>774</v>
      </c>
    </row>
    <row r="35" spans="1:20">
      <c r="A35" s="9"/>
      <c r="B35" s="149" t="s">
        <v>113</v>
      </c>
      <c r="C35" s="15">
        <v>1</v>
      </c>
      <c r="D35" s="41" t="s">
        <v>793</v>
      </c>
      <c r="E35" s="41" t="s">
        <v>794</v>
      </c>
      <c r="F35" s="42" t="s">
        <v>119</v>
      </c>
      <c r="G35" s="42" t="s">
        <v>119</v>
      </c>
      <c r="H35" s="52">
        <v>0.59299999999999997</v>
      </c>
      <c r="I35" s="42" t="s">
        <v>119</v>
      </c>
      <c r="J35" s="42" t="s">
        <v>119</v>
      </c>
      <c r="K35" s="52">
        <v>0.61499999999999999</v>
      </c>
      <c r="L35" s="42" t="s">
        <v>119</v>
      </c>
      <c r="M35" s="52">
        <v>0.247</v>
      </c>
      <c r="N35" s="52"/>
      <c r="O35" s="42" t="s">
        <v>119</v>
      </c>
      <c r="P35" s="52">
        <v>0.11700000000000001</v>
      </c>
      <c r="Q35" s="42" t="s">
        <v>119</v>
      </c>
      <c r="R35" s="48">
        <f t="shared" ref="R35:R46" si="14">IFERROR(AVERAGE(F35:Q35), 0)</f>
        <v>0.39300000000000002</v>
      </c>
      <c r="S35" s="8">
        <v>7</v>
      </c>
      <c r="T35" s="250" t="s">
        <v>768</v>
      </c>
    </row>
    <row r="36" spans="1:20">
      <c r="A36" s="9"/>
      <c r="B36" s="10" t="s">
        <v>114</v>
      </c>
      <c r="C36" s="11">
        <v>2</v>
      </c>
      <c r="D36" s="156" t="s">
        <v>795</v>
      </c>
      <c r="E36" s="156" t="s">
        <v>794</v>
      </c>
      <c r="F36" s="45" t="s">
        <v>119</v>
      </c>
      <c r="G36" s="45" t="s">
        <v>119</v>
      </c>
      <c r="H36" s="53">
        <v>0.23300000000000001</v>
      </c>
      <c r="I36" s="45" t="s">
        <v>119</v>
      </c>
      <c r="J36" s="45" t="s">
        <v>119</v>
      </c>
      <c r="K36" s="53">
        <v>0.6</v>
      </c>
      <c r="L36" s="45" t="s">
        <v>119</v>
      </c>
      <c r="M36" s="53">
        <v>0.24099999999999999</v>
      </c>
      <c r="N36" s="53"/>
      <c r="O36" s="45" t="s">
        <v>119</v>
      </c>
      <c r="P36" s="53">
        <v>0.29699999999999999</v>
      </c>
      <c r="Q36" s="45" t="s">
        <v>119</v>
      </c>
      <c r="R36" s="35">
        <f t="shared" si="14"/>
        <v>0.34274999999999994</v>
      </c>
      <c r="S36" s="14">
        <v>7</v>
      </c>
      <c r="T36" s="250" t="s">
        <v>771</v>
      </c>
    </row>
    <row r="37" spans="1:20">
      <c r="A37" s="9"/>
      <c r="B37" s="10" t="s">
        <v>114</v>
      </c>
      <c r="C37" s="11">
        <v>3</v>
      </c>
      <c r="D37" s="156" t="s">
        <v>796</v>
      </c>
      <c r="E37" s="156" t="s">
        <v>797</v>
      </c>
      <c r="F37" s="45" t="s">
        <v>119</v>
      </c>
      <c r="G37" s="45" t="s">
        <v>119</v>
      </c>
      <c r="H37" s="53">
        <v>0.22</v>
      </c>
      <c r="I37" s="45" t="s">
        <v>119</v>
      </c>
      <c r="J37" s="45" t="s">
        <v>119</v>
      </c>
      <c r="K37" s="53">
        <v>0.26800000000000002</v>
      </c>
      <c r="L37" s="45" t="s">
        <v>119</v>
      </c>
      <c r="M37" s="53">
        <v>0.2</v>
      </c>
      <c r="N37" s="53"/>
      <c r="O37" s="45" t="s">
        <v>119</v>
      </c>
      <c r="P37" s="53">
        <v>0.255</v>
      </c>
      <c r="Q37" s="45" t="s">
        <v>119</v>
      </c>
      <c r="R37" s="35">
        <f t="shared" si="14"/>
        <v>0.23574999999999999</v>
      </c>
      <c r="S37" s="14">
        <v>7</v>
      </c>
      <c r="T37" s="250" t="s">
        <v>798</v>
      </c>
    </row>
    <row r="38" spans="1:20">
      <c r="A38" s="9"/>
      <c r="B38" s="10" t="s">
        <v>114</v>
      </c>
      <c r="C38" s="11">
        <v>4</v>
      </c>
      <c r="D38" s="156" t="s">
        <v>799</v>
      </c>
      <c r="E38" s="156" t="s">
        <v>800</v>
      </c>
      <c r="F38" s="45" t="s">
        <v>119</v>
      </c>
      <c r="G38" s="45" t="s">
        <v>119</v>
      </c>
      <c r="H38" s="53">
        <v>0.29699999999999999</v>
      </c>
      <c r="I38" s="45" t="s">
        <v>119</v>
      </c>
      <c r="J38" s="45" t="s">
        <v>119</v>
      </c>
      <c r="K38" s="53">
        <v>0.25900000000000001</v>
      </c>
      <c r="L38" s="45" t="s">
        <v>119</v>
      </c>
      <c r="M38" s="53">
        <v>0.191</v>
      </c>
      <c r="N38" s="53"/>
      <c r="O38" s="45" t="s">
        <v>119</v>
      </c>
      <c r="P38" s="53">
        <v>0.29099999999999998</v>
      </c>
      <c r="Q38" s="45" t="s">
        <v>119</v>
      </c>
      <c r="R38" s="35">
        <f t="shared" si="14"/>
        <v>0.25950000000000001</v>
      </c>
      <c r="S38" s="14">
        <v>7</v>
      </c>
      <c r="T38" s="250" t="s">
        <v>774</v>
      </c>
    </row>
    <row r="39" spans="1:20">
      <c r="A39" s="9"/>
      <c r="B39" s="149" t="s">
        <v>115</v>
      </c>
      <c r="C39" s="15">
        <v>1</v>
      </c>
      <c r="D39" s="41" t="s">
        <v>793</v>
      </c>
      <c r="E39" s="41" t="s">
        <v>794</v>
      </c>
      <c r="F39" s="42" t="s">
        <v>119</v>
      </c>
      <c r="G39" s="42" t="s">
        <v>119</v>
      </c>
      <c r="H39" s="52">
        <v>0.38700000000000001</v>
      </c>
      <c r="I39" s="42" t="s">
        <v>119</v>
      </c>
      <c r="J39" s="42" t="s">
        <v>119</v>
      </c>
      <c r="K39" s="52">
        <v>0.08</v>
      </c>
      <c r="L39" s="42" t="s">
        <v>119</v>
      </c>
      <c r="M39" s="52">
        <v>0.52900000000000003</v>
      </c>
      <c r="N39" s="52"/>
      <c r="O39" s="42" t="s">
        <v>119</v>
      </c>
      <c r="P39" s="52">
        <v>0.219</v>
      </c>
      <c r="Q39" s="42" t="s">
        <v>119</v>
      </c>
      <c r="R39" s="48">
        <f t="shared" si="14"/>
        <v>0.30375000000000002</v>
      </c>
      <c r="S39" s="8">
        <v>2.5000000000000001E-2</v>
      </c>
      <c r="T39" s="250" t="s">
        <v>768</v>
      </c>
    </row>
    <row r="40" spans="1:20">
      <c r="A40" s="9"/>
      <c r="B40" s="10" t="s">
        <v>116</v>
      </c>
      <c r="C40" s="11">
        <v>2</v>
      </c>
      <c r="D40" s="156" t="s">
        <v>795</v>
      </c>
      <c r="E40" s="156" t="s">
        <v>794</v>
      </c>
      <c r="F40" s="45" t="s">
        <v>119</v>
      </c>
      <c r="G40" s="45" t="s">
        <v>119</v>
      </c>
      <c r="H40" s="53">
        <v>0.19900000000000001</v>
      </c>
      <c r="I40" s="45" t="s">
        <v>119</v>
      </c>
      <c r="J40" s="45" t="s">
        <v>119</v>
      </c>
      <c r="K40" s="53">
        <v>5.3999999999999999E-2</v>
      </c>
      <c r="L40" s="45" t="s">
        <v>119</v>
      </c>
      <c r="M40" s="53">
        <v>0.312</v>
      </c>
      <c r="N40" s="53"/>
      <c r="O40" s="45" t="s">
        <v>119</v>
      </c>
      <c r="P40" s="53">
        <v>0.29699999999999999</v>
      </c>
      <c r="Q40" s="45" t="s">
        <v>119</v>
      </c>
      <c r="R40" s="35">
        <f t="shared" si="14"/>
        <v>0.21549999999999997</v>
      </c>
      <c r="S40" s="14">
        <v>2.5000000000000001E-2</v>
      </c>
      <c r="T40" s="250" t="s">
        <v>771</v>
      </c>
    </row>
    <row r="41" spans="1:20">
      <c r="A41" s="9"/>
      <c r="B41" s="10" t="s">
        <v>116</v>
      </c>
      <c r="C41" s="11">
        <v>3</v>
      </c>
      <c r="D41" s="156" t="s">
        <v>796</v>
      </c>
      <c r="E41" s="156" t="s">
        <v>797</v>
      </c>
      <c r="F41" s="45" t="s">
        <v>119</v>
      </c>
      <c r="G41" s="45" t="s">
        <v>119</v>
      </c>
      <c r="H41" s="53">
        <v>0.34100000000000003</v>
      </c>
      <c r="I41" s="45" t="s">
        <v>119</v>
      </c>
      <c r="J41" s="45" t="s">
        <v>119</v>
      </c>
      <c r="K41" s="53">
        <v>4.4999999999999998E-2</v>
      </c>
      <c r="L41" s="45" t="s">
        <v>119</v>
      </c>
      <c r="M41" s="53">
        <v>0.13600000000000001</v>
      </c>
      <c r="N41" s="53"/>
      <c r="O41" s="45" t="s">
        <v>119</v>
      </c>
      <c r="P41" s="53">
        <v>0.25800000000000001</v>
      </c>
      <c r="Q41" s="45" t="s">
        <v>119</v>
      </c>
      <c r="R41" s="35">
        <f t="shared" si="14"/>
        <v>0.19500000000000001</v>
      </c>
      <c r="S41" s="14">
        <v>2.5000000000000001E-2</v>
      </c>
      <c r="T41" s="250" t="s">
        <v>798</v>
      </c>
    </row>
    <row r="42" spans="1:20">
      <c r="A42" s="9"/>
      <c r="B42" s="10" t="s">
        <v>116</v>
      </c>
      <c r="C42" s="11">
        <v>4</v>
      </c>
      <c r="D42" s="156" t="s">
        <v>799</v>
      </c>
      <c r="E42" s="156" t="s">
        <v>800</v>
      </c>
      <c r="F42" s="45" t="s">
        <v>119</v>
      </c>
      <c r="G42" s="45" t="s">
        <v>119</v>
      </c>
      <c r="H42" s="53">
        <v>0.49299999999999999</v>
      </c>
      <c r="I42" s="45" t="s">
        <v>119</v>
      </c>
      <c r="J42" s="45" t="s">
        <v>119</v>
      </c>
      <c r="K42" s="53">
        <v>3.1E-2</v>
      </c>
      <c r="L42" s="45" t="s">
        <v>119</v>
      </c>
      <c r="M42" s="53">
        <v>0.19600000000000001</v>
      </c>
      <c r="N42" s="53"/>
      <c r="O42" s="45" t="s">
        <v>119</v>
      </c>
      <c r="P42" s="53">
        <v>0.23300000000000001</v>
      </c>
      <c r="Q42" s="45" t="s">
        <v>119</v>
      </c>
      <c r="R42" s="35">
        <f t="shared" si="14"/>
        <v>0.23824999999999999</v>
      </c>
      <c r="S42" s="14">
        <v>2.5000000000000001E-2</v>
      </c>
      <c r="T42" s="250" t="s">
        <v>774</v>
      </c>
    </row>
    <row r="43" spans="1:20">
      <c r="A43" s="9"/>
      <c r="B43" s="149" t="s">
        <v>117</v>
      </c>
      <c r="C43" s="15">
        <v>1</v>
      </c>
      <c r="D43" s="41" t="s">
        <v>793</v>
      </c>
      <c r="E43" s="41" t="s">
        <v>794</v>
      </c>
      <c r="F43" s="42" t="s">
        <v>119</v>
      </c>
      <c r="G43" s="42" t="s">
        <v>119</v>
      </c>
      <c r="H43" s="42">
        <v>22</v>
      </c>
      <c r="I43" s="42" t="s">
        <v>119</v>
      </c>
      <c r="J43" s="42" t="s">
        <v>119</v>
      </c>
      <c r="K43" s="42">
        <v>13</v>
      </c>
      <c r="L43" s="42" t="s">
        <v>119</v>
      </c>
      <c r="M43" s="42">
        <v>57</v>
      </c>
      <c r="N43" s="42"/>
      <c r="O43" s="42" t="s">
        <v>119</v>
      </c>
      <c r="P43" s="42">
        <v>2</v>
      </c>
      <c r="Q43" s="42" t="s">
        <v>119</v>
      </c>
      <c r="R43" s="48">
        <f t="shared" si="14"/>
        <v>23.5</v>
      </c>
      <c r="S43" s="8">
        <v>350</v>
      </c>
      <c r="T43" s="250" t="s">
        <v>768</v>
      </c>
    </row>
    <row r="44" spans="1:20">
      <c r="A44" s="9"/>
      <c r="B44" s="10" t="s">
        <v>117</v>
      </c>
      <c r="C44" s="11">
        <v>2</v>
      </c>
      <c r="D44" s="156" t="s">
        <v>795</v>
      </c>
      <c r="E44" s="156" t="s">
        <v>794</v>
      </c>
      <c r="F44" s="45" t="s">
        <v>119</v>
      </c>
      <c r="G44" s="45" t="s">
        <v>119</v>
      </c>
      <c r="H44" s="45">
        <v>32</v>
      </c>
      <c r="I44" s="45" t="s">
        <v>119</v>
      </c>
      <c r="J44" s="45" t="s">
        <v>119</v>
      </c>
      <c r="K44" s="45">
        <v>15</v>
      </c>
      <c r="L44" s="45" t="s">
        <v>119</v>
      </c>
      <c r="M44" s="45">
        <v>101</v>
      </c>
      <c r="N44" s="45"/>
      <c r="O44" s="45" t="s">
        <v>119</v>
      </c>
      <c r="P44" s="45">
        <v>86</v>
      </c>
      <c r="Q44" s="45" t="s">
        <v>119</v>
      </c>
      <c r="R44" s="35">
        <f t="shared" si="14"/>
        <v>58.5</v>
      </c>
      <c r="S44" s="14">
        <v>350</v>
      </c>
      <c r="T44" s="250" t="s">
        <v>771</v>
      </c>
    </row>
    <row r="45" spans="1:20">
      <c r="A45" s="9"/>
      <c r="B45" s="10" t="s">
        <v>117</v>
      </c>
      <c r="C45" s="11">
        <v>3</v>
      </c>
      <c r="D45" s="156" t="s">
        <v>796</v>
      </c>
      <c r="E45" s="156" t="s">
        <v>797</v>
      </c>
      <c r="F45" s="45" t="s">
        <v>119</v>
      </c>
      <c r="G45" s="45" t="s">
        <v>119</v>
      </c>
      <c r="H45" s="45">
        <v>40</v>
      </c>
      <c r="I45" s="45" t="s">
        <v>119</v>
      </c>
      <c r="J45" s="45" t="s">
        <v>119</v>
      </c>
      <c r="K45" s="45">
        <v>14</v>
      </c>
      <c r="L45" s="45" t="s">
        <v>119</v>
      </c>
      <c r="M45" s="45">
        <v>132</v>
      </c>
      <c r="N45" s="45"/>
      <c r="O45" s="45" t="s">
        <v>119</v>
      </c>
      <c r="P45" s="45">
        <v>85</v>
      </c>
      <c r="Q45" s="45" t="s">
        <v>119</v>
      </c>
      <c r="R45" s="35">
        <f t="shared" si="14"/>
        <v>67.75</v>
      </c>
      <c r="S45" s="14">
        <v>350</v>
      </c>
      <c r="T45" s="250" t="s">
        <v>798</v>
      </c>
    </row>
    <row r="46" spans="1:20">
      <c r="A46" s="9"/>
      <c r="B46" s="10" t="s">
        <v>117</v>
      </c>
      <c r="C46" s="11">
        <v>4</v>
      </c>
      <c r="D46" s="156" t="s">
        <v>799</v>
      </c>
      <c r="E46" s="156" t="s">
        <v>800</v>
      </c>
      <c r="F46" s="45" t="s">
        <v>119</v>
      </c>
      <c r="G46" s="45" t="s">
        <v>119</v>
      </c>
      <c r="H46" s="45">
        <v>19</v>
      </c>
      <c r="I46" s="45" t="s">
        <v>119</v>
      </c>
      <c r="J46" s="45" t="s">
        <v>119</v>
      </c>
      <c r="K46" s="45">
        <v>13</v>
      </c>
      <c r="L46" s="45" t="s">
        <v>119</v>
      </c>
      <c r="M46" s="45">
        <v>500</v>
      </c>
      <c r="N46" s="45"/>
      <c r="O46" s="45" t="s">
        <v>119</v>
      </c>
      <c r="P46" s="45">
        <v>82</v>
      </c>
      <c r="Q46" s="45" t="s">
        <v>119</v>
      </c>
      <c r="R46" s="35">
        <f t="shared" si="14"/>
        <v>153.5</v>
      </c>
      <c r="S46" s="14">
        <v>350</v>
      </c>
      <c r="T46" s="250" t="s">
        <v>774</v>
      </c>
    </row>
    <row r="47" spans="1:20" ht="61.5" customHeight="1">
      <c r="A47" s="9"/>
      <c r="B47" s="149" t="s">
        <v>314</v>
      </c>
      <c r="C47" s="15">
        <v>1</v>
      </c>
      <c r="D47" s="41" t="s">
        <v>793</v>
      </c>
      <c r="E47" s="41" t="s">
        <v>794</v>
      </c>
      <c r="F47" s="228" t="s">
        <v>119</v>
      </c>
      <c r="G47" s="228" t="s">
        <v>119</v>
      </c>
      <c r="H47" s="228" t="s">
        <v>801</v>
      </c>
      <c r="I47" s="228" t="s">
        <v>119</v>
      </c>
      <c r="J47" s="228" t="s">
        <v>119</v>
      </c>
      <c r="K47" s="228" t="s">
        <v>802</v>
      </c>
      <c r="L47" s="228" t="s">
        <v>119</v>
      </c>
      <c r="M47" s="228" t="s">
        <v>803</v>
      </c>
      <c r="N47" s="228"/>
      <c r="O47" s="228" t="s">
        <v>119</v>
      </c>
      <c r="P47" s="228" t="s">
        <v>804</v>
      </c>
      <c r="Q47" s="228" t="s">
        <v>119</v>
      </c>
      <c r="T47" s="250" t="s">
        <v>768</v>
      </c>
    </row>
    <row r="48" spans="1:20" ht="52.5" customHeight="1">
      <c r="A48" s="9"/>
      <c r="B48" s="10" t="s">
        <v>117</v>
      </c>
      <c r="C48" s="11">
        <v>2</v>
      </c>
      <c r="D48" s="156" t="s">
        <v>795</v>
      </c>
      <c r="E48" s="156" t="s">
        <v>794</v>
      </c>
      <c r="F48" s="225" t="s">
        <v>119</v>
      </c>
      <c r="G48" s="225" t="s">
        <v>119</v>
      </c>
      <c r="H48" s="225" t="s">
        <v>801</v>
      </c>
      <c r="I48" s="225" t="s">
        <v>119</v>
      </c>
      <c r="J48" s="225" t="s">
        <v>119</v>
      </c>
      <c r="K48" s="225" t="s">
        <v>805</v>
      </c>
      <c r="L48" s="225" t="s">
        <v>119</v>
      </c>
      <c r="M48" s="225" t="s">
        <v>806</v>
      </c>
      <c r="N48" s="225"/>
      <c r="O48" s="225" t="s">
        <v>119</v>
      </c>
      <c r="P48" s="225" t="s">
        <v>807</v>
      </c>
      <c r="Q48" s="225" t="s">
        <v>119</v>
      </c>
      <c r="T48" s="250" t="s">
        <v>771</v>
      </c>
    </row>
    <row r="49" spans="1:20" ht="56.25" customHeight="1">
      <c r="A49" s="9"/>
      <c r="B49" s="10" t="s">
        <v>117</v>
      </c>
      <c r="C49" s="11">
        <v>3</v>
      </c>
      <c r="D49" s="156" t="s">
        <v>796</v>
      </c>
      <c r="E49" s="156" t="s">
        <v>797</v>
      </c>
      <c r="F49" s="225" t="s">
        <v>119</v>
      </c>
      <c r="G49" s="225" t="s">
        <v>119</v>
      </c>
      <c r="H49" s="225" t="s">
        <v>801</v>
      </c>
      <c r="I49" s="225" t="s">
        <v>119</v>
      </c>
      <c r="J49" s="225" t="s">
        <v>119</v>
      </c>
      <c r="K49" s="225" t="s">
        <v>808</v>
      </c>
      <c r="L49" s="225" t="s">
        <v>119</v>
      </c>
      <c r="M49" s="225" t="s">
        <v>809</v>
      </c>
      <c r="N49" s="225"/>
      <c r="O49" s="225" t="s">
        <v>119</v>
      </c>
      <c r="P49" s="225" t="s">
        <v>810</v>
      </c>
      <c r="Q49" s="225" t="s">
        <v>119</v>
      </c>
      <c r="T49" s="250" t="s">
        <v>798</v>
      </c>
    </row>
    <row r="50" spans="1:20" ht="57" customHeight="1">
      <c r="A50" s="9"/>
      <c r="B50" s="10" t="s">
        <v>117</v>
      </c>
      <c r="C50" s="233">
        <v>4</v>
      </c>
      <c r="D50" s="156" t="s">
        <v>799</v>
      </c>
      <c r="E50" s="285" t="s">
        <v>800</v>
      </c>
      <c r="F50" s="234" t="s">
        <v>119</v>
      </c>
      <c r="G50" s="234" t="s">
        <v>119</v>
      </c>
      <c r="H50" s="234" t="s">
        <v>811</v>
      </c>
      <c r="I50" s="234" t="s">
        <v>119</v>
      </c>
      <c r="J50" s="234" t="s">
        <v>119</v>
      </c>
      <c r="K50" s="234" t="s">
        <v>812</v>
      </c>
      <c r="L50" s="234" t="s">
        <v>119</v>
      </c>
      <c r="M50" s="234" t="s">
        <v>809</v>
      </c>
      <c r="N50" s="234"/>
      <c r="O50" s="234" t="s">
        <v>119</v>
      </c>
      <c r="P50" s="234" t="s">
        <v>813</v>
      </c>
      <c r="Q50" s="234" t="s">
        <v>119</v>
      </c>
      <c r="T50" s="250" t="s">
        <v>774</v>
      </c>
    </row>
    <row r="51" spans="1:20" ht="15" customHeight="1">
      <c r="B51" s="232"/>
      <c r="C51" s="231"/>
      <c r="D51" s="231" t="s">
        <v>173</v>
      </c>
      <c r="E51" s="231"/>
      <c r="F51" s="231"/>
      <c r="G51" s="231"/>
      <c r="H51" s="231">
        <v>14</v>
      </c>
      <c r="I51" s="231"/>
      <c r="J51" s="231"/>
      <c r="K51" s="231">
        <v>27</v>
      </c>
      <c r="L51" s="231"/>
      <c r="M51" s="231">
        <v>29</v>
      </c>
      <c r="N51" s="231"/>
      <c r="O51" s="231"/>
      <c r="P51" s="231">
        <v>7</v>
      </c>
      <c r="Q51" s="231"/>
      <c r="R51" s="232"/>
    </row>
    <row r="52" spans="1:20" ht="15" customHeight="1">
      <c r="C52" s="232"/>
      <c r="D52" s="232"/>
      <c r="E52" s="232"/>
      <c r="F52" s="232"/>
      <c r="G52" s="232"/>
      <c r="H52" s="232"/>
      <c r="I52" s="232"/>
      <c r="J52" s="232"/>
      <c r="K52" s="232"/>
      <c r="L52" s="232"/>
      <c r="M52" s="232"/>
      <c r="N52" s="232"/>
      <c r="O52" s="232"/>
      <c r="P52" s="232"/>
      <c r="Q52" s="232"/>
    </row>
    <row r="57" spans="1:20" ht="15" customHeight="1">
      <c r="D57" s="232" t="s">
        <v>175</v>
      </c>
      <c r="E57" s="232"/>
      <c r="F57" s="232"/>
      <c r="G57" s="232"/>
      <c r="H57" s="232"/>
      <c r="I57" s="232"/>
      <c r="J57" s="232"/>
      <c r="K57" s="232"/>
      <c r="L57" s="232"/>
      <c r="M57" s="232"/>
      <c r="N57" s="232"/>
      <c r="O57" s="232"/>
      <c r="P57" s="232"/>
      <c r="Q57" s="232"/>
      <c r="R57" s="232"/>
      <c r="S57" s="232"/>
    </row>
    <row r="58" spans="1:20" ht="15" customHeight="1">
      <c r="C58" s="232"/>
      <c r="D58" s="873" t="s">
        <v>814</v>
      </c>
      <c r="E58" s="874"/>
      <c r="F58" s="874"/>
      <c r="G58" s="874"/>
      <c r="H58" s="874"/>
      <c r="I58" s="874"/>
      <c r="J58" s="874"/>
      <c r="K58" s="874"/>
      <c r="L58" s="874"/>
      <c r="M58" s="874"/>
      <c r="N58" s="874"/>
      <c r="O58" s="874"/>
      <c r="P58" s="874"/>
      <c r="Q58" s="874"/>
      <c r="R58" s="874"/>
      <c r="S58" s="875"/>
      <c r="T58" s="232"/>
    </row>
    <row r="59" spans="1:20" ht="15" customHeight="1">
      <c r="C59" s="232"/>
      <c r="D59" s="876"/>
      <c r="E59" s="877"/>
      <c r="F59" s="877"/>
      <c r="G59" s="877"/>
      <c r="H59" s="877"/>
      <c r="I59" s="877"/>
      <c r="J59" s="877"/>
      <c r="K59" s="877"/>
      <c r="L59" s="877"/>
      <c r="M59" s="877"/>
      <c r="N59" s="877"/>
      <c r="O59" s="877"/>
      <c r="P59" s="877"/>
      <c r="Q59" s="877"/>
      <c r="R59" s="877"/>
      <c r="S59" s="878"/>
      <c r="T59" s="232"/>
    </row>
    <row r="60" spans="1:20" ht="15" customHeight="1">
      <c r="C60" s="232"/>
      <c r="D60" s="876"/>
      <c r="E60" s="877"/>
      <c r="F60" s="877"/>
      <c r="G60" s="877"/>
      <c r="H60" s="877"/>
      <c r="I60" s="877"/>
      <c r="J60" s="877"/>
      <c r="K60" s="877"/>
      <c r="L60" s="877"/>
      <c r="M60" s="877"/>
      <c r="N60" s="877"/>
      <c r="O60" s="877"/>
      <c r="P60" s="877"/>
      <c r="Q60" s="877"/>
      <c r="R60" s="877"/>
      <c r="S60" s="878"/>
      <c r="T60" s="232"/>
    </row>
    <row r="61" spans="1:20" ht="15" customHeight="1">
      <c r="C61" s="232"/>
      <c r="D61" s="876"/>
      <c r="E61" s="877"/>
      <c r="F61" s="877"/>
      <c r="G61" s="877"/>
      <c r="H61" s="877"/>
      <c r="I61" s="877"/>
      <c r="J61" s="877"/>
      <c r="K61" s="877"/>
      <c r="L61" s="877"/>
      <c r="M61" s="877"/>
      <c r="N61" s="877"/>
      <c r="O61" s="877"/>
      <c r="P61" s="877"/>
      <c r="Q61" s="877"/>
      <c r="R61" s="877"/>
      <c r="S61" s="878"/>
      <c r="T61" s="232"/>
    </row>
    <row r="62" spans="1:20" ht="15" customHeight="1">
      <c r="C62" s="232"/>
      <c r="D62" s="876"/>
      <c r="E62" s="877"/>
      <c r="F62" s="877"/>
      <c r="G62" s="877"/>
      <c r="H62" s="877"/>
      <c r="I62" s="877"/>
      <c r="J62" s="877"/>
      <c r="K62" s="877"/>
      <c r="L62" s="877"/>
      <c r="M62" s="877"/>
      <c r="N62" s="877"/>
      <c r="O62" s="877"/>
      <c r="P62" s="877"/>
      <c r="Q62" s="877"/>
      <c r="R62" s="877"/>
      <c r="S62" s="878"/>
      <c r="T62" s="232"/>
    </row>
    <row r="63" spans="1:20" ht="15" customHeight="1">
      <c r="C63" s="232"/>
      <c r="D63" s="876"/>
      <c r="E63" s="877"/>
      <c r="F63" s="877"/>
      <c r="G63" s="877"/>
      <c r="H63" s="877"/>
      <c r="I63" s="877"/>
      <c r="J63" s="877"/>
      <c r="K63" s="877"/>
      <c r="L63" s="877"/>
      <c r="M63" s="877"/>
      <c r="N63" s="877"/>
      <c r="O63" s="877"/>
      <c r="P63" s="877"/>
      <c r="Q63" s="877"/>
      <c r="R63" s="877"/>
      <c r="S63" s="878"/>
      <c r="T63" s="232"/>
    </row>
    <row r="64" spans="1:20" ht="15" customHeight="1">
      <c r="C64" s="232"/>
      <c r="D64" s="876"/>
      <c r="E64" s="877"/>
      <c r="F64" s="877"/>
      <c r="G64" s="877"/>
      <c r="H64" s="877"/>
      <c r="I64" s="877"/>
      <c r="J64" s="877"/>
      <c r="K64" s="877"/>
      <c r="L64" s="877"/>
      <c r="M64" s="877"/>
      <c r="N64" s="877"/>
      <c r="O64" s="877"/>
      <c r="P64" s="877"/>
      <c r="Q64" s="877"/>
      <c r="R64" s="877"/>
      <c r="S64" s="878"/>
      <c r="T64" s="232"/>
    </row>
    <row r="65" spans="3:20" ht="15" customHeight="1">
      <c r="C65" s="232"/>
      <c r="D65" s="876"/>
      <c r="E65" s="877"/>
      <c r="F65" s="877"/>
      <c r="G65" s="877"/>
      <c r="H65" s="877"/>
      <c r="I65" s="877"/>
      <c r="J65" s="877"/>
      <c r="K65" s="877"/>
      <c r="L65" s="877"/>
      <c r="M65" s="877"/>
      <c r="N65" s="877"/>
      <c r="O65" s="877"/>
      <c r="P65" s="877"/>
      <c r="Q65" s="877"/>
      <c r="R65" s="877"/>
      <c r="S65" s="878"/>
      <c r="T65" s="232"/>
    </row>
    <row r="66" spans="3:20" ht="15" customHeight="1">
      <c r="C66" s="232"/>
      <c r="D66" s="876"/>
      <c r="E66" s="877"/>
      <c r="F66" s="877"/>
      <c r="G66" s="877"/>
      <c r="H66" s="877"/>
      <c r="I66" s="877"/>
      <c r="J66" s="877"/>
      <c r="K66" s="877"/>
      <c r="L66" s="877"/>
      <c r="M66" s="877"/>
      <c r="N66" s="877"/>
      <c r="O66" s="877"/>
      <c r="P66" s="877"/>
      <c r="Q66" s="877"/>
      <c r="R66" s="877"/>
      <c r="S66" s="878"/>
      <c r="T66" s="232"/>
    </row>
    <row r="67" spans="3:20" ht="15" customHeight="1">
      <c r="C67" s="232"/>
      <c r="D67" s="876"/>
      <c r="E67" s="877"/>
      <c r="F67" s="877"/>
      <c r="G67" s="877"/>
      <c r="H67" s="877"/>
      <c r="I67" s="877"/>
      <c r="J67" s="877"/>
      <c r="K67" s="877"/>
      <c r="L67" s="877"/>
      <c r="M67" s="877"/>
      <c r="N67" s="877"/>
      <c r="O67" s="877"/>
      <c r="P67" s="877"/>
      <c r="Q67" s="877"/>
      <c r="R67" s="877"/>
      <c r="S67" s="878"/>
      <c r="T67" s="232"/>
    </row>
    <row r="68" spans="3:20" ht="15" customHeight="1">
      <c r="C68" s="232"/>
      <c r="D68" s="879"/>
      <c r="E68" s="880"/>
      <c r="F68" s="880"/>
      <c r="G68" s="880"/>
      <c r="H68" s="880"/>
      <c r="I68" s="880"/>
      <c r="J68" s="880"/>
      <c r="K68" s="880"/>
      <c r="L68" s="880"/>
      <c r="M68" s="880"/>
      <c r="N68" s="880"/>
      <c r="O68" s="880"/>
      <c r="P68" s="880"/>
      <c r="Q68" s="880"/>
      <c r="R68" s="880"/>
      <c r="S68" s="881"/>
      <c r="T68" s="232"/>
    </row>
    <row r="69" spans="3:20" ht="15" customHeight="1">
      <c r="D69" s="232"/>
      <c r="E69" s="232"/>
      <c r="F69" s="232"/>
      <c r="G69" s="232"/>
      <c r="H69" s="232"/>
      <c r="I69" s="232"/>
      <c r="J69" s="232"/>
      <c r="K69" s="232"/>
      <c r="L69" s="232"/>
      <c r="M69" s="232"/>
      <c r="N69" s="232"/>
      <c r="O69" s="232"/>
      <c r="P69" s="232"/>
      <c r="Q69" s="232"/>
      <c r="R69" s="232"/>
      <c r="S69" s="232"/>
    </row>
  </sheetData>
  <mergeCells count="15">
    <mergeCell ref="D58:S68"/>
    <mergeCell ref="C1:S1"/>
    <mergeCell ref="C2:S2"/>
    <mergeCell ref="C3:S3"/>
    <mergeCell ref="C4:S4"/>
    <mergeCell ref="C5:S5"/>
    <mergeCell ref="X15:AL15"/>
    <mergeCell ref="Y16:AB19"/>
    <mergeCell ref="X7:AL7"/>
    <mergeCell ref="X8:AL8"/>
    <mergeCell ref="X9:AB9"/>
    <mergeCell ref="AC9:AL9"/>
    <mergeCell ref="X11:X14"/>
    <mergeCell ref="Y11:Y14"/>
    <mergeCell ref="Z11:Z14"/>
  </mergeCells>
  <phoneticPr fontId="18" type="noConversion"/>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33C0B"/>
    <pageSetUpPr fitToPage="1"/>
  </sheetPr>
  <dimension ref="A1:AL94"/>
  <sheetViews>
    <sheetView workbookViewId="0">
      <pane xSplit="2" ySplit="6" topLeftCell="C60" activePane="bottomRight" state="frozen"/>
      <selection pane="bottomRight" activeCell="P7" sqref="P7:Q61"/>
      <selection pane="bottomLeft" activeCell="A7" sqref="A7"/>
      <selection pane="topRight"/>
    </sheetView>
  </sheetViews>
  <sheetFormatPr defaultColWidth="14.42578125" defaultRowHeight="15" customHeight="1"/>
  <cols>
    <col min="1" max="1" width="9.140625" customWidth="1"/>
    <col min="2" max="2" width="29.42578125" customWidth="1"/>
    <col min="3" max="3" width="9.140625" style="1" customWidth="1"/>
    <col min="4" max="5" width="21.28515625" customWidth="1"/>
    <col min="6" max="6" width="13.85546875" customWidth="1"/>
    <col min="7" max="7" width="12.42578125" customWidth="1"/>
    <col min="8" max="9" width="13.140625" customWidth="1"/>
    <col min="11" max="11" width="12.85546875" customWidth="1"/>
    <col min="13" max="13" width="13.140625" customWidth="1"/>
    <col min="14" max="14" width="14" customWidth="1"/>
    <col min="15" max="15" width="13.140625" customWidth="1"/>
    <col min="16" max="16" width="13" customWidth="1"/>
    <col min="17" max="17" width="13.140625" customWidth="1"/>
    <col min="18" max="18" width="18.7109375" customWidth="1"/>
    <col min="19" max="19" width="13.28515625" bestFit="1" customWidth="1"/>
    <col min="20" max="20" width="5.85546875" bestFit="1" customWidth="1"/>
    <col min="21" max="23" width="8.7109375" customWidth="1"/>
    <col min="24" max="24" width="21.85546875" bestFit="1" customWidth="1"/>
    <col min="25" max="25" width="10.7109375" bestFit="1" customWidth="1"/>
    <col min="26" max="27" width="8.7109375" customWidth="1"/>
  </cols>
  <sheetData>
    <row r="1" spans="1:38">
      <c r="A1" s="60"/>
      <c r="B1" s="168"/>
      <c r="C1" s="892" t="s">
        <v>40</v>
      </c>
      <c r="D1" s="1160"/>
      <c r="E1" s="1160"/>
      <c r="F1" s="1160"/>
      <c r="G1" s="1160"/>
      <c r="H1" s="1160"/>
      <c r="I1" s="1160"/>
      <c r="J1" s="1160"/>
      <c r="K1" s="1160"/>
      <c r="L1" s="1160"/>
      <c r="M1" s="1160"/>
      <c r="N1" s="1160"/>
      <c r="O1" s="1160"/>
      <c r="P1" s="1160"/>
      <c r="Q1" s="1160"/>
      <c r="R1" s="1160"/>
      <c r="S1" s="1160"/>
    </row>
    <row r="2" spans="1:38">
      <c r="A2" s="138"/>
      <c r="B2" s="93"/>
      <c r="C2" s="868" t="s">
        <v>41</v>
      </c>
      <c r="D2" s="1158"/>
      <c r="E2" s="1158"/>
      <c r="F2" s="1158"/>
      <c r="G2" s="1158"/>
      <c r="H2" s="1158"/>
      <c r="I2" s="1158"/>
      <c r="J2" s="1158"/>
      <c r="K2" s="1158"/>
      <c r="L2" s="1158"/>
      <c r="M2" s="1158"/>
      <c r="N2" s="1158"/>
      <c r="O2" s="1158"/>
      <c r="P2" s="1158"/>
      <c r="Q2" s="1158"/>
      <c r="R2" s="1158"/>
      <c r="S2" s="1158"/>
    </row>
    <row r="3" spans="1:38">
      <c r="A3" s="139"/>
      <c r="B3" s="86"/>
      <c r="C3" s="869" t="s">
        <v>815</v>
      </c>
      <c r="D3" s="1159"/>
      <c r="E3" s="1159"/>
      <c r="F3" s="1159"/>
      <c r="G3" s="1159"/>
      <c r="H3" s="1159"/>
      <c r="I3" s="1159"/>
      <c r="J3" s="1159"/>
      <c r="K3" s="1159"/>
      <c r="L3" s="1159"/>
      <c r="M3" s="1159"/>
      <c r="N3" s="1159"/>
      <c r="O3" s="1159"/>
      <c r="P3" s="1159"/>
      <c r="Q3" s="1159"/>
      <c r="R3" s="1159"/>
      <c r="S3" s="1159"/>
    </row>
    <row r="4" spans="1:38">
      <c r="A4" s="140"/>
      <c r="B4" s="141"/>
      <c r="C4" s="870" t="s">
        <v>816</v>
      </c>
      <c r="D4" s="1160"/>
      <c r="E4" s="1160"/>
      <c r="F4" s="1160"/>
      <c r="G4" s="1160"/>
      <c r="H4" s="1160"/>
      <c r="I4" s="1160"/>
      <c r="J4" s="1160"/>
      <c r="K4" s="1160"/>
      <c r="L4" s="1160"/>
      <c r="M4" s="1160"/>
      <c r="N4" s="1160"/>
      <c r="O4" s="1160"/>
      <c r="P4" s="1160"/>
      <c r="Q4" s="1160"/>
      <c r="R4" s="1160"/>
      <c r="S4" s="1160"/>
    </row>
    <row r="5" spans="1:38">
      <c r="A5" s="2"/>
      <c r="B5" s="142"/>
      <c r="C5" s="871" t="s">
        <v>255</v>
      </c>
      <c r="D5" s="1159"/>
      <c r="E5" s="1159"/>
      <c r="F5" s="1159"/>
      <c r="G5" s="1159"/>
      <c r="H5" s="1159"/>
      <c r="I5" s="1159"/>
      <c r="J5" s="1159"/>
      <c r="K5" s="1159"/>
      <c r="L5" s="1159"/>
      <c r="M5" s="1159"/>
      <c r="N5" s="1159"/>
      <c r="O5" s="1159"/>
      <c r="P5" s="1159"/>
      <c r="Q5" s="1159"/>
      <c r="R5" s="1159"/>
      <c r="S5" s="1159"/>
    </row>
    <row r="6" spans="1:38">
      <c r="A6" s="3" t="s">
        <v>45</v>
      </c>
      <c r="B6" s="4" t="s">
        <v>46</v>
      </c>
      <c r="C6" s="4" t="s">
        <v>47</v>
      </c>
      <c r="D6" s="4" t="s">
        <v>48</v>
      </c>
      <c r="E6" s="4" t="s">
        <v>49</v>
      </c>
      <c r="F6" s="459" t="s">
        <v>50</v>
      </c>
      <c r="G6" s="459" t="s">
        <v>51</v>
      </c>
      <c r="H6" s="460" t="s">
        <v>52</v>
      </c>
      <c r="I6" s="460" t="s">
        <v>53</v>
      </c>
      <c r="J6" s="460" t="s">
        <v>54</v>
      </c>
      <c r="K6" s="460" t="s">
        <v>55</v>
      </c>
      <c r="L6" s="459" t="s">
        <v>56</v>
      </c>
      <c r="M6" s="5" t="s">
        <v>57</v>
      </c>
      <c r="N6" s="4" t="s">
        <v>58</v>
      </c>
      <c r="O6" s="4" t="s">
        <v>59</v>
      </c>
      <c r="P6" s="4" t="s">
        <v>60</v>
      </c>
      <c r="Q6" s="4" t="s">
        <v>61</v>
      </c>
      <c r="R6" s="170" t="s">
        <v>62</v>
      </c>
      <c r="S6" s="179" t="s">
        <v>63</v>
      </c>
      <c r="T6" s="253" t="s">
        <v>64</v>
      </c>
    </row>
    <row r="7" spans="1:38" ht="14.25" customHeight="1">
      <c r="A7" s="39" t="s">
        <v>65</v>
      </c>
      <c r="B7" s="174" t="s">
        <v>66</v>
      </c>
      <c r="C7" s="15">
        <v>1</v>
      </c>
      <c r="D7" s="66" t="s">
        <v>817</v>
      </c>
      <c r="E7" s="66" t="s">
        <v>818</v>
      </c>
      <c r="F7" s="67">
        <v>5.29</v>
      </c>
      <c r="G7" s="67">
        <v>5.99</v>
      </c>
      <c r="H7" s="67">
        <v>5.21</v>
      </c>
      <c r="I7" s="67">
        <v>5.31</v>
      </c>
      <c r="J7" s="67">
        <v>5.29</v>
      </c>
      <c r="K7" s="67">
        <v>5.15</v>
      </c>
      <c r="L7" s="67">
        <v>5.82</v>
      </c>
      <c r="M7" s="67">
        <v>5.72</v>
      </c>
      <c r="N7" s="67">
        <v>6.25</v>
      </c>
      <c r="O7" s="67">
        <v>6.83</v>
      </c>
      <c r="P7" s="67">
        <v>6.21</v>
      </c>
      <c r="Q7" s="67">
        <v>5.71</v>
      </c>
      <c r="R7" s="48">
        <f t="shared" ref="R7:R36" si="0">IFERROR(AVERAGE(F7:Q7), 0)</f>
        <v>5.7316666666666665</v>
      </c>
      <c r="S7" s="8">
        <v>5</v>
      </c>
      <c r="T7" s="248" t="s">
        <v>819</v>
      </c>
      <c r="X7" s="843" t="s">
        <v>70</v>
      </c>
      <c r="Y7" s="843"/>
      <c r="Z7" s="843"/>
      <c r="AA7" s="843"/>
      <c r="AB7" s="843"/>
      <c r="AC7" s="843"/>
      <c r="AD7" s="843"/>
      <c r="AE7" s="843"/>
      <c r="AF7" s="843"/>
      <c r="AG7" s="843"/>
      <c r="AH7" s="843"/>
      <c r="AI7" s="843"/>
      <c r="AJ7" s="843"/>
      <c r="AK7" s="843"/>
      <c r="AL7" s="843"/>
    </row>
    <row r="8" spans="1:38" ht="30">
      <c r="A8" s="9"/>
      <c r="B8" s="175" t="s">
        <v>66</v>
      </c>
      <c r="C8" s="11">
        <v>2</v>
      </c>
      <c r="D8" s="68" t="s">
        <v>820</v>
      </c>
      <c r="E8" s="68" t="s">
        <v>821</v>
      </c>
      <c r="F8" s="57">
        <v>5.05</v>
      </c>
      <c r="G8" s="57">
        <v>6.36</v>
      </c>
      <c r="H8" s="57">
        <v>7.84</v>
      </c>
      <c r="I8" s="57">
        <v>5.25</v>
      </c>
      <c r="J8" s="57">
        <v>5.3</v>
      </c>
      <c r="K8" s="57">
        <v>5.16</v>
      </c>
      <c r="L8" s="57">
        <v>5.35</v>
      </c>
      <c r="M8" s="57">
        <v>5.51</v>
      </c>
      <c r="N8" s="57">
        <v>6.33</v>
      </c>
      <c r="O8" s="57">
        <v>6.82</v>
      </c>
      <c r="P8" s="57">
        <v>6.13</v>
      </c>
      <c r="Q8" s="57">
        <v>5.61</v>
      </c>
      <c r="R8" s="35">
        <f t="shared" si="0"/>
        <v>5.8924999999999992</v>
      </c>
      <c r="S8" s="14">
        <v>5</v>
      </c>
      <c r="T8" s="248" t="s">
        <v>822</v>
      </c>
      <c r="X8" s="843" t="s">
        <v>74</v>
      </c>
      <c r="Y8" s="843"/>
      <c r="Z8" s="843"/>
      <c r="AA8" s="843"/>
      <c r="AB8" s="843"/>
      <c r="AC8" s="843"/>
      <c r="AD8" s="843"/>
      <c r="AE8" s="843"/>
      <c r="AF8" s="843"/>
      <c r="AG8" s="843"/>
      <c r="AH8" s="843"/>
      <c r="AI8" s="843"/>
      <c r="AJ8" s="843"/>
      <c r="AK8" s="843"/>
      <c r="AL8" s="843"/>
    </row>
    <row r="9" spans="1:38" ht="30">
      <c r="A9" s="9"/>
      <c r="B9" s="175" t="s">
        <v>66</v>
      </c>
      <c r="C9" s="11">
        <v>3</v>
      </c>
      <c r="D9" s="68" t="s">
        <v>823</v>
      </c>
      <c r="E9" s="68" t="s">
        <v>824</v>
      </c>
      <c r="F9" s="57">
        <v>5.52</v>
      </c>
      <c r="G9" s="57">
        <v>5.18</v>
      </c>
      <c r="H9" s="57">
        <v>7.73</v>
      </c>
      <c r="I9" s="57">
        <v>5.03</v>
      </c>
      <c r="J9" s="57">
        <v>5.28</v>
      </c>
      <c r="K9" s="57">
        <v>5.03</v>
      </c>
      <c r="L9" s="57">
        <v>5.55</v>
      </c>
      <c r="M9" s="57">
        <v>5.46</v>
      </c>
      <c r="N9" s="57">
        <v>6.39</v>
      </c>
      <c r="O9" s="57">
        <v>6.73</v>
      </c>
      <c r="P9" s="57">
        <v>6.01</v>
      </c>
      <c r="Q9" s="57">
        <v>5.38</v>
      </c>
      <c r="R9" s="35">
        <f t="shared" si="0"/>
        <v>5.7741666666666669</v>
      </c>
      <c r="S9" s="14">
        <v>5</v>
      </c>
      <c r="T9" s="248" t="s">
        <v>825</v>
      </c>
      <c r="X9" s="844"/>
      <c r="Y9" s="845"/>
      <c r="Z9" s="845"/>
      <c r="AA9" s="845"/>
      <c r="AB9" s="846"/>
      <c r="AC9" s="848" t="s">
        <v>78</v>
      </c>
      <c r="AD9" s="1161"/>
      <c r="AE9" s="1161"/>
      <c r="AF9" s="1161"/>
      <c r="AG9" s="1161"/>
      <c r="AH9" s="1161"/>
      <c r="AI9" s="1161"/>
      <c r="AJ9" s="1161"/>
      <c r="AK9" s="1161"/>
      <c r="AL9" s="1161"/>
    </row>
    <row r="10" spans="1:38" ht="30">
      <c r="A10" s="9"/>
      <c r="B10" s="175" t="s">
        <v>66</v>
      </c>
      <c r="C10" s="11">
        <v>4</v>
      </c>
      <c r="D10" s="68" t="s">
        <v>826</v>
      </c>
      <c r="E10" s="68" t="s">
        <v>827</v>
      </c>
      <c r="F10" s="57">
        <v>3.4</v>
      </c>
      <c r="G10" s="57">
        <v>4.9000000000000004</v>
      </c>
      <c r="H10" s="57">
        <v>4.75</v>
      </c>
      <c r="I10" s="57">
        <v>5.61</v>
      </c>
      <c r="J10" s="57">
        <v>5.25</v>
      </c>
      <c r="K10" s="57">
        <v>5.25</v>
      </c>
      <c r="L10" s="57">
        <v>5.16</v>
      </c>
      <c r="M10" s="57">
        <v>5</v>
      </c>
      <c r="N10" s="57">
        <v>6.35</v>
      </c>
      <c r="O10" s="57">
        <v>6.59</v>
      </c>
      <c r="P10" s="57">
        <v>5.63</v>
      </c>
      <c r="Q10" s="57">
        <v>5.13</v>
      </c>
      <c r="R10" s="35">
        <f t="shared" si="0"/>
        <v>5.2516666666666678</v>
      </c>
      <c r="S10" s="14">
        <v>5</v>
      </c>
      <c r="T10" s="248" t="s">
        <v>828</v>
      </c>
      <c r="X10" s="14" t="s">
        <v>82</v>
      </c>
      <c r="Y10" s="14" t="s">
        <v>83</v>
      </c>
      <c r="Z10" s="14" t="s">
        <v>84</v>
      </c>
      <c r="AA10" s="14" t="s">
        <v>722</v>
      </c>
      <c r="AB10" s="14" t="s">
        <v>829</v>
      </c>
      <c r="AC10" s="14" t="s">
        <v>4</v>
      </c>
      <c r="AD10" s="14" t="s">
        <v>5</v>
      </c>
      <c r="AE10" s="14" t="s">
        <v>6</v>
      </c>
      <c r="AF10" s="14" t="s">
        <v>7</v>
      </c>
      <c r="AG10" s="14" t="s">
        <v>8</v>
      </c>
      <c r="AH10" s="14" t="s">
        <v>9</v>
      </c>
      <c r="AI10" s="14" t="s">
        <v>10</v>
      </c>
      <c r="AJ10" s="14" t="s">
        <v>11</v>
      </c>
      <c r="AK10" s="14" t="s">
        <v>12</v>
      </c>
      <c r="AL10" s="14" t="s">
        <v>13</v>
      </c>
    </row>
    <row r="11" spans="1:38" ht="30">
      <c r="A11" s="9"/>
      <c r="B11" s="175" t="s">
        <v>66</v>
      </c>
      <c r="C11" s="11">
        <v>5</v>
      </c>
      <c r="D11" s="68" t="s">
        <v>830</v>
      </c>
      <c r="E11" s="68" t="s">
        <v>831</v>
      </c>
      <c r="F11" s="57">
        <v>3.2</v>
      </c>
      <c r="G11" s="57">
        <v>5.6</v>
      </c>
      <c r="H11" s="57">
        <v>3.66</v>
      </c>
      <c r="I11" s="57">
        <v>4.0999999999999996</v>
      </c>
      <c r="J11" s="57">
        <v>5.21</v>
      </c>
      <c r="K11" s="57">
        <v>5.0999999999999996</v>
      </c>
      <c r="L11" s="57">
        <v>4.7</v>
      </c>
      <c r="M11" s="57">
        <v>4.57</v>
      </c>
      <c r="N11" s="57">
        <v>6.39</v>
      </c>
      <c r="O11" s="57">
        <v>6.61</v>
      </c>
      <c r="P11" s="57">
        <v>5.47</v>
      </c>
      <c r="Q11" s="57">
        <v>4.29</v>
      </c>
      <c r="R11" s="35">
        <f>IFERROR(AVERAGE(F11:Q11), 0)</f>
        <v>4.9083333333333332</v>
      </c>
      <c r="S11" s="14">
        <v>5</v>
      </c>
      <c r="T11" s="248" t="s">
        <v>832</v>
      </c>
      <c r="X11" s="847" t="s">
        <v>833</v>
      </c>
      <c r="Y11" s="847" t="s">
        <v>816</v>
      </c>
      <c r="Z11" s="855" t="s">
        <v>16</v>
      </c>
      <c r="AA11" s="32">
        <v>1</v>
      </c>
      <c r="AB11" s="65" t="s">
        <v>830</v>
      </c>
      <c r="AC11" s="33">
        <f>AVERAGE(F7:K7)</f>
        <v>5.373333333333334</v>
      </c>
      <c r="AD11" s="33">
        <f>AVERAGE(F12:K12)</f>
        <v>2.1666666666666665</v>
      </c>
      <c r="AE11" s="33">
        <f>AVERAGE(F17:K17)</f>
        <v>13</v>
      </c>
      <c r="AF11" s="33">
        <f>AVERAGE(F22:K22)</f>
        <v>7.2749999999999995</v>
      </c>
      <c r="AG11" s="33">
        <f>AVERAGE(F27:K27)</f>
        <v>28.533333333333331</v>
      </c>
      <c r="AH11" s="33">
        <f>AVERAGE(F32:K32)</f>
        <v>6.666666666666667</v>
      </c>
      <c r="AI11" s="33">
        <f>GEOMEAN(F37:K37)</f>
        <v>6403.2535024007548</v>
      </c>
      <c r="AJ11" s="34">
        <f>AVERAGE(F42:K42)</f>
        <v>0.45600000000000002</v>
      </c>
      <c r="AK11" s="34">
        <f>AVERAGE(F47:K47)</f>
        <v>6.1500000000000006E-2</v>
      </c>
      <c r="AL11" s="33">
        <f>AVERAGE(F52:K52)</f>
        <v>54.833333333333336</v>
      </c>
    </row>
    <row r="12" spans="1:38" ht="15.75" customHeight="1">
      <c r="A12" s="9"/>
      <c r="B12" s="174" t="s">
        <v>91</v>
      </c>
      <c r="C12" s="15">
        <v>1</v>
      </c>
      <c r="D12" s="66" t="s">
        <v>817</v>
      </c>
      <c r="E12" s="66" t="s">
        <v>834</v>
      </c>
      <c r="F12" s="7">
        <v>3</v>
      </c>
      <c r="G12" s="7">
        <v>2</v>
      </c>
      <c r="H12" s="7">
        <v>2</v>
      </c>
      <c r="I12" s="7">
        <v>2</v>
      </c>
      <c r="J12" s="7">
        <v>2</v>
      </c>
      <c r="K12" s="7">
        <v>2</v>
      </c>
      <c r="L12" s="7">
        <v>2</v>
      </c>
      <c r="M12" s="7">
        <v>3</v>
      </c>
      <c r="N12" s="7">
        <v>3</v>
      </c>
      <c r="O12" s="7">
        <v>2</v>
      </c>
      <c r="P12" s="7">
        <v>2</v>
      </c>
      <c r="Q12" s="7">
        <v>5</v>
      </c>
      <c r="R12" s="48">
        <f t="shared" si="0"/>
        <v>2.5</v>
      </c>
      <c r="S12" s="8">
        <v>7</v>
      </c>
      <c r="T12" s="248" t="s">
        <v>819</v>
      </c>
      <c r="X12" s="1161"/>
      <c r="Y12" s="1161"/>
      <c r="Z12" s="1161"/>
      <c r="AA12" s="32">
        <v>2</v>
      </c>
      <c r="AB12" s="65" t="s">
        <v>826</v>
      </c>
      <c r="AC12" s="33">
        <f>AVERAGE(F8:K8)</f>
        <v>5.8266666666666671</v>
      </c>
      <c r="AD12" s="33">
        <f>AVERAGE(F13:K13)</f>
        <v>2.5</v>
      </c>
      <c r="AE12" s="33">
        <f>AVERAGE(F18:K18)</f>
        <v>15.333333333333334</v>
      </c>
      <c r="AF12" s="33">
        <f>AVERAGE(F23:K23)</f>
        <v>7.3000000000000007</v>
      </c>
      <c r="AG12" s="33">
        <f>AVERAGE(F28:K28)</f>
        <v>28.983333333333331</v>
      </c>
      <c r="AH12" s="33">
        <f>AVERAGE(F33:K33)</f>
        <v>6.666666666666667</v>
      </c>
      <c r="AI12" s="33">
        <f>GEOMEAN(F38:K38)</f>
        <v>26509.155478350578</v>
      </c>
      <c r="AJ12" s="34">
        <f>AVERAGE(F43:K43)</f>
        <v>0.39533333333333331</v>
      </c>
      <c r="AK12" s="34">
        <f>AVERAGE(F48:K48)</f>
        <v>7.0999999999999994E-2</v>
      </c>
      <c r="AL12" s="33">
        <f>AVERAGE(F53:K53)</f>
        <v>44.333333333333336</v>
      </c>
    </row>
    <row r="13" spans="1:38" ht="30">
      <c r="A13" s="9"/>
      <c r="B13" s="175" t="s">
        <v>91</v>
      </c>
      <c r="C13" s="11">
        <v>2</v>
      </c>
      <c r="D13" s="68" t="s">
        <v>820</v>
      </c>
      <c r="E13" s="68" t="s">
        <v>821</v>
      </c>
      <c r="F13" s="12">
        <v>2</v>
      </c>
      <c r="G13" s="12">
        <v>2</v>
      </c>
      <c r="H13" s="12">
        <v>4</v>
      </c>
      <c r="I13" s="12">
        <v>2</v>
      </c>
      <c r="J13" s="12">
        <v>2</v>
      </c>
      <c r="K13" s="12">
        <v>3</v>
      </c>
      <c r="L13" s="12">
        <v>2</v>
      </c>
      <c r="M13" s="12">
        <v>2</v>
      </c>
      <c r="N13" s="12">
        <v>2</v>
      </c>
      <c r="O13" s="12">
        <v>2</v>
      </c>
      <c r="P13" s="12">
        <v>2</v>
      </c>
      <c r="Q13" s="12">
        <v>2</v>
      </c>
      <c r="R13" s="35">
        <f t="shared" si="0"/>
        <v>2.25</v>
      </c>
      <c r="S13" s="14">
        <v>7</v>
      </c>
      <c r="T13" s="248" t="s">
        <v>822</v>
      </c>
      <c r="X13" s="1161"/>
      <c r="Y13" s="1161"/>
      <c r="Z13" s="1161"/>
      <c r="AA13" s="32">
        <v>3</v>
      </c>
      <c r="AB13" s="65" t="s">
        <v>823</v>
      </c>
      <c r="AC13" s="33">
        <f>AVERAGE(F9:K9)</f>
        <v>5.6283333333333339</v>
      </c>
      <c r="AD13" s="33">
        <f>AVERAGE(F14:K14)</f>
        <v>2.5</v>
      </c>
      <c r="AE13" s="33">
        <f>AVERAGE(F19:K19)</f>
        <v>18.666666666666668</v>
      </c>
      <c r="AF13" s="33">
        <f>AVERAGE(F24:K24)</f>
        <v>7.1800000000000006</v>
      </c>
      <c r="AG13" s="33">
        <f>AVERAGE(F29:K29)</f>
        <v>29.233333333333334</v>
      </c>
      <c r="AH13" s="33">
        <f>AVERAGE(F34:K34)</f>
        <v>6.666666666666667</v>
      </c>
      <c r="AI13" s="33">
        <f>GEOMEAN(F39:K39)</f>
        <v>17743.977213857197</v>
      </c>
      <c r="AJ13" s="34">
        <f>AVERAGE(F44:K44)</f>
        <v>0.45350000000000001</v>
      </c>
      <c r="AK13" s="34">
        <f>AVERAGE(F49:K49)</f>
        <v>6.9166666666666668E-2</v>
      </c>
      <c r="AL13" s="33">
        <f>AVERAGE(F54:K54)</f>
        <v>174.66666666666666</v>
      </c>
    </row>
    <row r="14" spans="1:38" ht="30">
      <c r="A14" s="9"/>
      <c r="B14" s="175" t="s">
        <v>91</v>
      </c>
      <c r="C14" s="11">
        <v>3</v>
      </c>
      <c r="D14" s="68" t="s">
        <v>823</v>
      </c>
      <c r="E14" s="68" t="s">
        <v>824</v>
      </c>
      <c r="F14" s="12">
        <v>2</v>
      </c>
      <c r="G14" s="12">
        <v>2</v>
      </c>
      <c r="H14" s="12">
        <v>2</v>
      </c>
      <c r="I14" s="12">
        <v>5</v>
      </c>
      <c r="J14" s="12">
        <v>2</v>
      </c>
      <c r="K14" s="12">
        <v>2</v>
      </c>
      <c r="L14" s="12">
        <v>2</v>
      </c>
      <c r="M14" s="12">
        <v>2</v>
      </c>
      <c r="N14" s="12">
        <v>2</v>
      </c>
      <c r="O14" s="12">
        <v>2</v>
      </c>
      <c r="P14" s="12">
        <v>2</v>
      </c>
      <c r="Q14" s="12">
        <v>2</v>
      </c>
      <c r="R14" s="35">
        <f t="shared" si="0"/>
        <v>2.25</v>
      </c>
      <c r="S14" s="14">
        <v>7</v>
      </c>
      <c r="T14" s="248" t="s">
        <v>825</v>
      </c>
      <c r="X14" s="1161"/>
      <c r="Y14" s="1161"/>
      <c r="Z14" s="1161"/>
      <c r="AA14" s="32">
        <v>4</v>
      </c>
      <c r="AB14" s="65" t="s">
        <v>820</v>
      </c>
      <c r="AC14" s="33">
        <f>AVERAGE(F10:K10)</f>
        <v>4.8600000000000003</v>
      </c>
      <c r="AD14" s="33">
        <f>AVERAGE(F15:K15)</f>
        <v>4</v>
      </c>
      <c r="AE14" s="33">
        <f>AVERAGE(F20:K20)</f>
        <v>10.333333333333334</v>
      </c>
      <c r="AF14" s="33">
        <f>AVERAGE(F25:K25)</f>
        <v>7.1466666666666656</v>
      </c>
      <c r="AG14" s="33">
        <f>AVERAGE(F30:K30)</f>
        <v>29.3</v>
      </c>
      <c r="AH14" s="33">
        <f>AVERAGE(F35:K35)</f>
        <v>6.666666666666667</v>
      </c>
      <c r="AI14" s="33">
        <f>GEOMEAN(F40:K40)</f>
        <v>44752.290466893508</v>
      </c>
      <c r="AJ14" s="34">
        <f>AVERAGE(F45:K45)</f>
        <v>0.6196666666666667</v>
      </c>
      <c r="AK14" s="34">
        <f>AVERAGE(F50:K50)</f>
        <v>8.1500000000000003E-2</v>
      </c>
      <c r="AL14" s="33">
        <f>AVERAGE(F55:K55)</f>
        <v>204.16666666666666</v>
      </c>
    </row>
    <row r="15" spans="1:38" ht="30">
      <c r="A15" s="9"/>
      <c r="B15" s="175" t="s">
        <v>91</v>
      </c>
      <c r="C15" s="11">
        <v>4</v>
      </c>
      <c r="D15" s="68" t="s">
        <v>826</v>
      </c>
      <c r="E15" s="68" t="s">
        <v>827</v>
      </c>
      <c r="F15" s="12">
        <v>3</v>
      </c>
      <c r="G15" s="12">
        <v>2</v>
      </c>
      <c r="H15" s="12">
        <v>5</v>
      </c>
      <c r="I15" s="12">
        <v>7</v>
      </c>
      <c r="J15" s="12">
        <v>4</v>
      </c>
      <c r="K15" s="12">
        <v>3</v>
      </c>
      <c r="L15" s="12">
        <v>2</v>
      </c>
      <c r="M15" s="12">
        <v>2</v>
      </c>
      <c r="N15" s="12">
        <v>3</v>
      </c>
      <c r="O15" s="12">
        <v>2</v>
      </c>
      <c r="P15" s="12">
        <v>2</v>
      </c>
      <c r="Q15" s="12">
        <v>2</v>
      </c>
      <c r="R15" s="35">
        <f t="shared" si="0"/>
        <v>3.0833333333333335</v>
      </c>
      <c r="S15" s="14">
        <v>7</v>
      </c>
      <c r="T15" s="248" t="s">
        <v>828</v>
      </c>
      <c r="X15" s="1161"/>
      <c r="Y15" s="1161"/>
      <c r="Z15" s="1161"/>
      <c r="AA15" s="32">
        <v>5</v>
      </c>
      <c r="AB15" s="65" t="s">
        <v>817</v>
      </c>
      <c r="AC15" s="33">
        <f>AVERAGE(F11:K11)</f>
        <v>4.4783333333333344</v>
      </c>
      <c r="AD15" s="33">
        <f>AVERAGE(F16:K16)</f>
        <v>4.666666666666667</v>
      </c>
      <c r="AE15" s="33">
        <f>AVERAGE(F21:K21)</f>
        <v>17</v>
      </c>
      <c r="AF15" s="33">
        <f>AVERAGE(F26:K26)</f>
        <v>7.18</v>
      </c>
      <c r="AG15" s="33">
        <f>AVERAGE(F31:K31)</f>
        <v>28.833333333333332</v>
      </c>
      <c r="AH15" s="33">
        <f>AVERAGE(F36:K36)</f>
        <v>6.666666666666667</v>
      </c>
      <c r="AI15" s="33">
        <f>GEOMEAN(F41:K41)</f>
        <v>224076.76974398663</v>
      </c>
      <c r="AJ15" s="34">
        <f>AVERAGE(F46:K46)</f>
        <v>0.35833333333333334</v>
      </c>
      <c r="AK15" s="34">
        <f>AVERAGE(F51:K51)</f>
        <v>9.8999999999999991E-2</v>
      </c>
      <c r="AL15" s="33">
        <f>AVERAGE(F56:K56)</f>
        <v>143.66666666666666</v>
      </c>
    </row>
    <row r="16" spans="1:38" ht="30">
      <c r="A16" s="9"/>
      <c r="B16" s="175" t="s">
        <v>91</v>
      </c>
      <c r="C16" s="11">
        <v>5</v>
      </c>
      <c r="D16" s="68" t="s">
        <v>830</v>
      </c>
      <c r="E16" s="68" t="s">
        <v>831</v>
      </c>
      <c r="F16" s="12">
        <v>7</v>
      </c>
      <c r="G16" s="12">
        <v>3</v>
      </c>
      <c r="H16" s="12">
        <v>7</v>
      </c>
      <c r="I16" s="12">
        <v>2</v>
      </c>
      <c r="J16" s="12">
        <v>3</v>
      </c>
      <c r="K16" s="12">
        <v>6</v>
      </c>
      <c r="L16" s="12">
        <v>3</v>
      </c>
      <c r="M16" s="12">
        <v>3</v>
      </c>
      <c r="N16" s="12">
        <v>4</v>
      </c>
      <c r="O16" s="12">
        <v>2</v>
      </c>
      <c r="P16" s="12">
        <v>3</v>
      </c>
      <c r="Q16" s="12">
        <v>4</v>
      </c>
      <c r="R16" s="35">
        <f t="shared" si="0"/>
        <v>3.9166666666666665</v>
      </c>
      <c r="S16" s="14">
        <v>7</v>
      </c>
      <c r="T16" s="248" t="s">
        <v>832</v>
      </c>
      <c r="X16" s="848"/>
      <c r="Y16" s="848"/>
      <c r="Z16" s="848"/>
      <c r="AA16" s="848"/>
      <c r="AB16" s="848"/>
      <c r="AC16" s="848"/>
      <c r="AD16" s="848"/>
      <c r="AE16" s="848"/>
      <c r="AF16" s="848"/>
      <c r="AG16" s="848"/>
      <c r="AH16" s="848"/>
      <c r="AI16" s="848"/>
      <c r="AJ16" s="848"/>
      <c r="AK16" s="848"/>
      <c r="AL16" s="848"/>
    </row>
    <row r="17" spans="1:38" ht="13.5" customHeight="1">
      <c r="A17" s="9"/>
      <c r="B17" s="174" t="s">
        <v>92</v>
      </c>
      <c r="C17" s="15">
        <v>1</v>
      </c>
      <c r="D17" s="66" t="s">
        <v>817</v>
      </c>
      <c r="E17" s="66" t="s">
        <v>834</v>
      </c>
      <c r="F17" s="7">
        <v>8</v>
      </c>
      <c r="G17" s="7">
        <v>5</v>
      </c>
      <c r="H17" s="7">
        <v>6</v>
      </c>
      <c r="I17" s="7">
        <v>7</v>
      </c>
      <c r="J17" s="7">
        <v>27</v>
      </c>
      <c r="K17" s="7">
        <v>25</v>
      </c>
      <c r="L17" s="7">
        <v>78</v>
      </c>
      <c r="M17" s="7">
        <v>90</v>
      </c>
      <c r="N17" s="7">
        <v>33</v>
      </c>
      <c r="O17" s="7">
        <v>15</v>
      </c>
      <c r="P17" s="7">
        <v>22</v>
      </c>
      <c r="Q17" s="7">
        <v>7</v>
      </c>
      <c r="R17" s="48">
        <f t="shared" si="0"/>
        <v>26.916666666666668</v>
      </c>
      <c r="S17" s="8">
        <v>80</v>
      </c>
      <c r="T17" s="248" t="s">
        <v>819</v>
      </c>
      <c r="X17" s="14" t="s">
        <v>93</v>
      </c>
      <c r="Y17" s="1162"/>
      <c r="Z17" s="1161"/>
      <c r="AA17" s="1161"/>
      <c r="AB17" s="1161"/>
      <c r="AC17" s="33">
        <f t="shared" ref="AC17:AL17" si="1">AVERAGE(AC11:AC13)</f>
        <v>5.6094444444444447</v>
      </c>
      <c r="AD17" s="33">
        <f t="shared" si="1"/>
        <v>2.3888888888888888</v>
      </c>
      <c r="AE17" s="33">
        <f t="shared" si="1"/>
        <v>15.666666666666666</v>
      </c>
      <c r="AF17" s="33">
        <f t="shared" si="1"/>
        <v>7.251666666666666</v>
      </c>
      <c r="AG17" s="33">
        <f t="shared" si="1"/>
        <v>28.916666666666668</v>
      </c>
      <c r="AH17" s="33">
        <f t="shared" si="1"/>
        <v>6.666666666666667</v>
      </c>
      <c r="AI17" s="33">
        <f t="shared" si="1"/>
        <v>16885.462064869509</v>
      </c>
      <c r="AJ17" s="34">
        <f t="shared" si="1"/>
        <v>0.43494444444444441</v>
      </c>
      <c r="AK17" s="34">
        <f t="shared" si="1"/>
        <v>6.7222222222222225E-2</v>
      </c>
      <c r="AL17" s="33">
        <f t="shared" si="1"/>
        <v>91.277777777777771</v>
      </c>
    </row>
    <row r="18" spans="1:38" ht="30">
      <c r="A18" s="9"/>
      <c r="B18" s="175" t="s">
        <v>92</v>
      </c>
      <c r="C18" s="11">
        <v>2</v>
      </c>
      <c r="D18" s="68" t="s">
        <v>820</v>
      </c>
      <c r="E18" s="68" t="s">
        <v>821</v>
      </c>
      <c r="F18" s="12">
        <v>9</v>
      </c>
      <c r="G18" s="12">
        <v>10</v>
      </c>
      <c r="H18" s="12">
        <v>11</v>
      </c>
      <c r="I18" s="12">
        <v>8</v>
      </c>
      <c r="J18" s="12">
        <v>13</v>
      </c>
      <c r="K18" s="12">
        <v>41</v>
      </c>
      <c r="L18" s="12">
        <v>14</v>
      </c>
      <c r="M18" s="12">
        <v>10</v>
      </c>
      <c r="N18" s="12">
        <v>55</v>
      </c>
      <c r="O18" s="12">
        <v>14</v>
      </c>
      <c r="P18" s="12">
        <v>18</v>
      </c>
      <c r="Q18" s="12">
        <v>5</v>
      </c>
      <c r="R18" s="35">
        <f t="shared" si="0"/>
        <v>17.333333333333332</v>
      </c>
      <c r="S18" s="14">
        <v>80</v>
      </c>
      <c r="T18" s="248" t="s">
        <v>822</v>
      </c>
      <c r="X18" s="14" t="s">
        <v>94</v>
      </c>
      <c r="Y18" s="1161"/>
      <c r="Z18" s="1163"/>
      <c r="AA18" s="1163"/>
      <c r="AB18" s="1161"/>
      <c r="AC18" s="33">
        <f t="shared" ref="AC18:AL18" si="2">MIN(AC11:AC13)</f>
        <v>5.373333333333334</v>
      </c>
      <c r="AD18" s="33">
        <f t="shared" si="2"/>
        <v>2.1666666666666665</v>
      </c>
      <c r="AE18" s="33">
        <f t="shared" si="2"/>
        <v>13</v>
      </c>
      <c r="AF18" s="33">
        <f t="shared" si="2"/>
        <v>7.1800000000000006</v>
      </c>
      <c r="AG18" s="33">
        <f t="shared" si="2"/>
        <v>28.533333333333331</v>
      </c>
      <c r="AH18" s="33">
        <f t="shared" si="2"/>
        <v>6.666666666666667</v>
      </c>
      <c r="AI18" s="33">
        <f t="shared" si="2"/>
        <v>6403.2535024007548</v>
      </c>
      <c r="AJ18" s="34">
        <f t="shared" si="2"/>
        <v>0.39533333333333331</v>
      </c>
      <c r="AK18" s="34">
        <f t="shared" si="2"/>
        <v>6.1500000000000006E-2</v>
      </c>
      <c r="AL18" s="33">
        <f t="shared" si="2"/>
        <v>44.333333333333336</v>
      </c>
    </row>
    <row r="19" spans="1:38" ht="30">
      <c r="A19" s="9"/>
      <c r="B19" s="175" t="s">
        <v>92</v>
      </c>
      <c r="C19" s="11">
        <v>3</v>
      </c>
      <c r="D19" s="68" t="s">
        <v>823</v>
      </c>
      <c r="E19" s="68" t="s">
        <v>824</v>
      </c>
      <c r="F19" s="12">
        <v>18</v>
      </c>
      <c r="G19" s="12">
        <v>13</v>
      </c>
      <c r="H19" s="12">
        <v>10</v>
      </c>
      <c r="I19" s="12">
        <v>18</v>
      </c>
      <c r="J19" s="12">
        <v>25</v>
      </c>
      <c r="K19" s="12">
        <v>28</v>
      </c>
      <c r="L19" s="12">
        <v>33</v>
      </c>
      <c r="M19" s="12">
        <v>38</v>
      </c>
      <c r="N19" s="12">
        <v>36</v>
      </c>
      <c r="O19" s="12">
        <v>13</v>
      </c>
      <c r="P19" s="12">
        <v>15</v>
      </c>
      <c r="Q19" s="12">
        <v>7</v>
      </c>
      <c r="R19" s="35">
        <f t="shared" si="0"/>
        <v>21.166666666666668</v>
      </c>
      <c r="S19" s="14">
        <v>80</v>
      </c>
      <c r="T19" s="248" t="s">
        <v>825</v>
      </c>
      <c r="X19" s="14" t="s">
        <v>95</v>
      </c>
      <c r="Y19" s="1161"/>
      <c r="Z19" s="1163"/>
      <c r="AA19" s="1163"/>
      <c r="AB19" s="1161"/>
      <c r="AC19" s="33">
        <f t="shared" ref="AC19:AL19" si="3">MAX(AC11:AC13)</f>
        <v>5.8266666666666671</v>
      </c>
      <c r="AD19" s="33">
        <f t="shared" si="3"/>
        <v>2.5</v>
      </c>
      <c r="AE19" s="33">
        <f t="shared" si="3"/>
        <v>18.666666666666668</v>
      </c>
      <c r="AF19" s="33">
        <f t="shared" si="3"/>
        <v>7.3000000000000007</v>
      </c>
      <c r="AG19" s="33">
        <f t="shared" si="3"/>
        <v>29.233333333333334</v>
      </c>
      <c r="AH19" s="33">
        <f t="shared" si="3"/>
        <v>6.666666666666667</v>
      </c>
      <c r="AI19" s="33">
        <f t="shared" si="3"/>
        <v>26509.155478350578</v>
      </c>
      <c r="AJ19" s="34">
        <f t="shared" si="3"/>
        <v>0.45600000000000002</v>
      </c>
      <c r="AK19" s="34">
        <f t="shared" si="3"/>
        <v>7.0999999999999994E-2</v>
      </c>
      <c r="AL19" s="33">
        <f t="shared" si="3"/>
        <v>174.66666666666666</v>
      </c>
    </row>
    <row r="20" spans="1:38" ht="30">
      <c r="A20" s="9"/>
      <c r="B20" s="175" t="s">
        <v>92</v>
      </c>
      <c r="C20" s="11">
        <v>4</v>
      </c>
      <c r="D20" s="68" t="s">
        <v>826</v>
      </c>
      <c r="E20" s="68" t="s">
        <v>827</v>
      </c>
      <c r="F20" s="12">
        <v>4</v>
      </c>
      <c r="G20" s="12">
        <v>6</v>
      </c>
      <c r="H20" s="12">
        <v>3</v>
      </c>
      <c r="I20" s="12">
        <v>15</v>
      </c>
      <c r="J20" s="12">
        <v>11</v>
      </c>
      <c r="K20" s="12">
        <v>23</v>
      </c>
      <c r="L20" s="12">
        <v>12</v>
      </c>
      <c r="M20" s="12">
        <v>19</v>
      </c>
      <c r="N20" s="12">
        <v>44</v>
      </c>
      <c r="O20" s="12">
        <v>14</v>
      </c>
      <c r="P20" s="12">
        <v>12</v>
      </c>
      <c r="Q20" s="12">
        <v>26</v>
      </c>
      <c r="R20" s="35">
        <f t="shared" si="0"/>
        <v>15.75</v>
      </c>
      <c r="S20" s="14">
        <v>80</v>
      </c>
      <c r="T20" s="248" t="s">
        <v>828</v>
      </c>
      <c r="X20" s="14" t="s">
        <v>96</v>
      </c>
      <c r="Y20" s="1161"/>
      <c r="Z20" s="1161"/>
      <c r="AA20" s="1161"/>
      <c r="AB20" s="1161"/>
      <c r="AC20" s="29" t="s">
        <v>97</v>
      </c>
      <c r="AD20" s="29" t="s">
        <v>98</v>
      </c>
      <c r="AE20" s="29" t="s">
        <v>99</v>
      </c>
      <c r="AF20" s="29" t="s">
        <v>100</v>
      </c>
      <c r="AG20" s="29" t="s">
        <v>101</v>
      </c>
      <c r="AH20" s="29" t="s">
        <v>102</v>
      </c>
      <c r="AI20" s="29" t="s">
        <v>103</v>
      </c>
      <c r="AJ20" s="29" t="s">
        <v>98</v>
      </c>
      <c r="AK20" s="29" t="s">
        <v>104</v>
      </c>
      <c r="AL20" s="29" t="s">
        <v>105</v>
      </c>
    </row>
    <row r="21" spans="1:38" ht="30">
      <c r="A21" s="9"/>
      <c r="B21" s="175" t="s">
        <v>92</v>
      </c>
      <c r="C21" s="11">
        <v>5</v>
      </c>
      <c r="D21" s="68" t="s">
        <v>830</v>
      </c>
      <c r="E21" s="68" t="s">
        <v>831</v>
      </c>
      <c r="F21" s="12">
        <v>6</v>
      </c>
      <c r="G21" s="12">
        <v>8</v>
      </c>
      <c r="H21" s="12">
        <v>17</v>
      </c>
      <c r="I21" s="12">
        <v>1</v>
      </c>
      <c r="J21" s="12">
        <v>33</v>
      </c>
      <c r="K21" s="12">
        <v>37</v>
      </c>
      <c r="L21" s="12">
        <v>11</v>
      </c>
      <c r="M21" s="12">
        <v>13</v>
      </c>
      <c r="N21" s="12">
        <v>41</v>
      </c>
      <c r="O21" s="12">
        <v>13</v>
      </c>
      <c r="P21" s="12">
        <v>20</v>
      </c>
      <c r="Q21" s="12">
        <v>25</v>
      </c>
      <c r="R21" s="35">
        <f t="shared" si="0"/>
        <v>18.75</v>
      </c>
      <c r="S21" s="14">
        <v>80</v>
      </c>
      <c r="T21" s="248" t="s">
        <v>832</v>
      </c>
      <c r="X21" s="243"/>
      <c r="Y21" s="243"/>
      <c r="Z21" s="243"/>
      <c r="AA21" s="243"/>
      <c r="AB21" s="243"/>
      <c r="AC21" s="243"/>
      <c r="AD21" s="243"/>
      <c r="AE21" s="243"/>
      <c r="AF21" s="243"/>
      <c r="AG21" s="243"/>
      <c r="AH21" s="243"/>
      <c r="AI21" s="243"/>
      <c r="AJ21" s="243"/>
      <c r="AK21" s="243"/>
      <c r="AL21" s="243"/>
    </row>
    <row r="22" spans="1:38" ht="14.25" customHeight="1">
      <c r="A22" s="9"/>
      <c r="B22" s="174" t="s">
        <v>7</v>
      </c>
      <c r="C22" s="15">
        <v>1</v>
      </c>
      <c r="D22" s="66" t="s">
        <v>817</v>
      </c>
      <c r="E22" s="66" t="s">
        <v>834</v>
      </c>
      <c r="F22" s="7">
        <v>7.45</v>
      </c>
      <c r="G22" s="7">
        <v>7.22</v>
      </c>
      <c r="H22" s="7">
        <v>7.19</v>
      </c>
      <c r="I22" s="7">
        <v>7.42</v>
      </c>
      <c r="J22" s="7">
        <v>7.19</v>
      </c>
      <c r="K22" s="7">
        <v>7.18</v>
      </c>
      <c r="L22" s="7">
        <v>7.18</v>
      </c>
      <c r="M22" s="7">
        <v>7.12</v>
      </c>
      <c r="N22" s="7">
        <v>7.85</v>
      </c>
      <c r="O22" s="7">
        <v>7.86</v>
      </c>
      <c r="P22" s="7">
        <v>7.75</v>
      </c>
      <c r="Q22" s="7">
        <v>7.78</v>
      </c>
      <c r="R22" s="48">
        <f t="shared" si="0"/>
        <v>7.4325000000000001</v>
      </c>
      <c r="S22" s="17" t="s">
        <v>106</v>
      </c>
      <c r="T22" s="248" t="s">
        <v>819</v>
      </c>
      <c r="X22" s="243"/>
      <c r="Y22" s="243"/>
      <c r="Z22" s="243"/>
      <c r="AA22" s="243"/>
      <c r="AB22" s="243"/>
      <c r="AC22" s="243"/>
      <c r="AD22" s="243"/>
      <c r="AE22" s="243"/>
      <c r="AF22" s="243"/>
      <c r="AG22" s="243"/>
      <c r="AH22" s="243"/>
      <c r="AI22" s="243"/>
      <c r="AJ22" s="243"/>
      <c r="AK22" s="243"/>
      <c r="AL22" s="243"/>
    </row>
    <row r="23" spans="1:38" ht="30">
      <c r="A23" s="9"/>
      <c r="B23" s="175" t="s">
        <v>7</v>
      </c>
      <c r="C23" s="11">
        <v>2</v>
      </c>
      <c r="D23" s="68" t="s">
        <v>820</v>
      </c>
      <c r="E23" s="68" t="s">
        <v>821</v>
      </c>
      <c r="F23" s="12">
        <v>7.58</v>
      </c>
      <c r="G23" s="12">
        <v>7.23</v>
      </c>
      <c r="H23" s="12">
        <v>7.18</v>
      </c>
      <c r="I23" s="12">
        <v>7.43</v>
      </c>
      <c r="J23" s="12">
        <v>7.2</v>
      </c>
      <c r="K23" s="12">
        <v>7.18</v>
      </c>
      <c r="L23" s="12">
        <v>7.2</v>
      </c>
      <c r="M23" s="12">
        <v>7.15</v>
      </c>
      <c r="N23" s="12">
        <v>7.78</v>
      </c>
      <c r="O23" s="12">
        <v>7.81</v>
      </c>
      <c r="P23" s="12">
        <v>7.73</v>
      </c>
      <c r="Q23" s="12">
        <v>7.75</v>
      </c>
      <c r="R23" s="35">
        <f t="shared" si="0"/>
        <v>7.4350000000000014</v>
      </c>
      <c r="S23" s="18" t="s">
        <v>106</v>
      </c>
      <c r="T23" s="248" t="s">
        <v>822</v>
      </c>
      <c r="X23" s="970" t="s">
        <v>70</v>
      </c>
      <c r="Y23" s="970"/>
      <c r="Z23" s="970"/>
      <c r="AA23" s="970"/>
      <c r="AB23" s="970"/>
      <c r="AC23" s="970"/>
      <c r="AD23" s="970"/>
      <c r="AE23" s="970"/>
      <c r="AF23" s="970"/>
      <c r="AG23" s="970"/>
      <c r="AH23" s="970"/>
      <c r="AI23" s="970"/>
      <c r="AJ23" s="970"/>
      <c r="AK23" s="970"/>
      <c r="AL23" s="970"/>
    </row>
    <row r="24" spans="1:38" ht="30">
      <c r="A24" s="9"/>
      <c r="B24" s="175" t="s">
        <v>7</v>
      </c>
      <c r="C24" s="11">
        <v>3</v>
      </c>
      <c r="D24" s="68" t="s">
        <v>823</v>
      </c>
      <c r="E24" s="68" t="s">
        <v>824</v>
      </c>
      <c r="F24" s="12">
        <v>6.99</v>
      </c>
      <c r="G24" s="12">
        <v>7.18</v>
      </c>
      <c r="H24" s="12">
        <v>7.2</v>
      </c>
      <c r="I24" s="12">
        <v>7.32</v>
      </c>
      <c r="J24" s="12">
        <v>7.19</v>
      </c>
      <c r="K24" s="12">
        <v>7.2</v>
      </c>
      <c r="L24" s="12">
        <v>7.18</v>
      </c>
      <c r="M24" s="12">
        <v>7.2</v>
      </c>
      <c r="N24" s="12">
        <v>7.79</v>
      </c>
      <c r="O24" s="12">
        <v>7.78</v>
      </c>
      <c r="P24" s="12">
        <v>7.75</v>
      </c>
      <c r="Q24" s="12">
        <v>7.78</v>
      </c>
      <c r="R24" s="35">
        <f t="shared" si="0"/>
        <v>7.3800000000000017</v>
      </c>
      <c r="S24" s="18" t="s">
        <v>106</v>
      </c>
      <c r="T24" s="248" t="s">
        <v>825</v>
      </c>
      <c r="X24" s="970" t="s">
        <v>107</v>
      </c>
      <c r="Y24" s="970"/>
      <c r="Z24" s="970"/>
      <c r="AA24" s="970"/>
      <c r="AB24" s="970"/>
      <c r="AC24" s="970"/>
      <c r="AD24" s="970"/>
      <c r="AE24" s="970"/>
      <c r="AF24" s="970"/>
      <c r="AG24" s="970"/>
      <c r="AH24" s="970"/>
      <c r="AI24" s="970"/>
      <c r="AJ24" s="970"/>
      <c r="AK24" s="970"/>
      <c r="AL24" s="970"/>
    </row>
    <row r="25" spans="1:38" ht="30">
      <c r="A25" s="9"/>
      <c r="B25" s="175" t="s">
        <v>7</v>
      </c>
      <c r="C25" s="11">
        <v>4</v>
      </c>
      <c r="D25" s="68" t="s">
        <v>826</v>
      </c>
      <c r="E25" s="68" t="s">
        <v>827</v>
      </c>
      <c r="F25" s="12">
        <v>6.85</v>
      </c>
      <c r="G25" s="12">
        <v>7.2</v>
      </c>
      <c r="H25" s="12">
        <v>7.13</v>
      </c>
      <c r="I25" s="12">
        <v>7.3</v>
      </c>
      <c r="J25" s="12">
        <v>7.21</v>
      </c>
      <c r="K25" s="12">
        <v>7.19</v>
      </c>
      <c r="L25" s="12">
        <v>7.15</v>
      </c>
      <c r="M25" s="12">
        <v>7.18</v>
      </c>
      <c r="N25" s="12">
        <v>7.89</v>
      </c>
      <c r="O25" s="12">
        <v>7.89</v>
      </c>
      <c r="P25" s="12">
        <v>7.7</v>
      </c>
      <c r="Q25" s="12">
        <v>7.72</v>
      </c>
      <c r="R25" s="35">
        <f>IFERROR(AVERAGE(F25:Q25), 0)</f>
        <v>7.3674999999999997</v>
      </c>
      <c r="S25" s="18" t="s">
        <v>106</v>
      </c>
      <c r="T25" s="248" t="s">
        <v>828</v>
      </c>
      <c r="X25" s="14"/>
      <c r="Y25" s="273"/>
      <c r="Z25" s="273"/>
      <c r="AA25" s="273"/>
      <c r="AB25" s="273"/>
      <c r="AC25" s="848" t="s">
        <v>78</v>
      </c>
      <c r="AD25" s="1161"/>
      <c r="AE25" s="1161"/>
      <c r="AF25" s="1161"/>
      <c r="AG25" s="1161"/>
      <c r="AH25" s="1161"/>
      <c r="AI25" s="1161"/>
      <c r="AJ25" s="1161"/>
      <c r="AK25" s="1161"/>
      <c r="AL25" s="1161"/>
    </row>
    <row r="26" spans="1:38" ht="30">
      <c r="A26" s="9"/>
      <c r="B26" s="175" t="s">
        <v>7</v>
      </c>
      <c r="C26" s="11">
        <v>5</v>
      </c>
      <c r="D26" s="68" t="s">
        <v>830</v>
      </c>
      <c r="E26" s="68" t="s">
        <v>831</v>
      </c>
      <c r="F26" s="12">
        <v>6.91</v>
      </c>
      <c r="G26" s="12">
        <v>7.21</v>
      </c>
      <c r="H26" s="12">
        <v>7.15</v>
      </c>
      <c r="I26" s="12">
        <v>7.31</v>
      </c>
      <c r="J26" s="12">
        <v>7.25</v>
      </c>
      <c r="K26" s="12">
        <v>7.25</v>
      </c>
      <c r="L26" s="12">
        <v>7.19</v>
      </c>
      <c r="M26" s="12">
        <v>7.3</v>
      </c>
      <c r="N26" s="12">
        <v>7.81</v>
      </c>
      <c r="O26" s="12">
        <v>7.69</v>
      </c>
      <c r="P26" s="12">
        <v>7.63</v>
      </c>
      <c r="Q26" s="12">
        <v>7.69</v>
      </c>
      <c r="R26" s="35">
        <f t="shared" si="0"/>
        <v>7.3658333333333319</v>
      </c>
      <c r="S26" s="18" t="s">
        <v>106</v>
      </c>
      <c r="T26" s="248" t="s">
        <v>832</v>
      </c>
      <c r="X26" s="14" t="s">
        <v>82</v>
      </c>
      <c r="Y26" s="14" t="s">
        <v>83</v>
      </c>
      <c r="Z26" s="14" t="s">
        <v>84</v>
      </c>
      <c r="AA26" s="14" t="s">
        <v>722</v>
      </c>
      <c r="AB26" s="14" t="s">
        <v>829</v>
      </c>
      <c r="AC26" s="14" t="s">
        <v>4</v>
      </c>
      <c r="AD26" s="14" t="s">
        <v>5</v>
      </c>
      <c r="AE26" s="14" t="s">
        <v>6</v>
      </c>
      <c r="AF26" s="14" t="s">
        <v>7</v>
      </c>
      <c r="AG26" s="14" t="s">
        <v>8</v>
      </c>
      <c r="AH26" s="14" t="s">
        <v>9</v>
      </c>
      <c r="AI26" s="14" t="s">
        <v>10</v>
      </c>
      <c r="AJ26" s="14" t="s">
        <v>11</v>
      </c>
      <c r="AK26" s="14" t="s">
        <v>12</v>
      </c>
      <c r="AL26" s="14" t="s">
        <v>13</v>
      </c>
    </row>
    <row r="27" spans="1:38" ht="16.5" customHeight="1">
      <c r="A27" s="9"/>
      <c r="B27" s="174" t="s">
        <v>108</v>
      </c>
      <c r="C27" s="15">
        <v>1</v>
      </c>
      <c r="D27" s="66" t="s">
        <v>817</v>
      </c>
      <c r="E27" s="66" t="s">
        <v>834</v>
      </c>
      <c r="F27" s="7">
        <v>28</v>
      </c>
      <c r="G27" s="7">
        <v>26.2</v>
      </c>
      <c r="H27" s="7">
        <v>27.4</v>
      </c>
      <c r="I27" s="7">
        <v>31.2</v>
      </c>
      <c r="J27" s="7">
        <v>31.2</v>
      </c>
      <c r="K27" s="7">
        <v>27.2</v>
      </c>
      <c r="L27" s="7">
        <v>28</v>
      </c>
      <c r="M27" s="7">
        <v>27.8</v>
      </c>
      <c r="N27" s="7">
        <v>26</v>
      </c>
      <c r="O27" s="7">
        <v>28.9</v>
      </c>
      <c r="P27" s="7">
        <v>26.8</v>
      </c>
      <c r="Q27" s="7">
        <v>29.8</v>
      </c>
      <c r="R27" s="48">
        <f t="shared" si="0"/>
        <v>28.208333333333332</v>
      </c>
      <c r="S27" s="17" t="s">
        <v>109</v>
      </c>
      <c r="T27" s="248" t="s">
        <v>819</v>
      </c>
      <c r="X27" s="847" t="s">
        <v>833</v>
      </c>
      <c r="Y27" s="847" t="s">
        <v>816</v>
      </c>
      <c r="Z27" s="855" t="s">
        <v>16</v>
      </c>
      <c r="AA27" s="32">
        <v>1</v>
      </c>
      <c r="AB27" s="65" t="s">
        <v>830</v>
      </c>
      <c r="AC27" s="35">
        <f>R7</f>
        <v>5.7316666666666665</v>
      </c>
      <c r="AD27" s="35">
        <f>R12</f>
        <v>2.5</v>
      </c>
      <c r="AE27" s="35">
        <f>R17</f>
        <v>26.916666666666668</v>
      </c>
      <c r="AF27" s="35">
        <f>R22</f>
        <v>7.4325000000000001</v>
      </c>
      <c r="AG27" s="35">
        <f>R27</f>
        <v>28.208333333333332</v>
      </c>
      <c r="AH27" s="35">
        <f>R32</f>
        <v>8.1666666666666661</v>
      </c>
      <c r="AI27" s="36">
        <f>R37</f>
        <v>17224.725698852981</v>
      </c>
      <c r="AJ27" s="34">
        <f>R42</f>
        <v>0.49933333333333335</v>
      </c>
      <c r="AK27" s="34">
        <f>R47</f>
        <v>9.9916666666666668E-2</v>
      </c>
      <c r="AL27" s="35">
        <f>R52</f>
        <v>30.916666666666668</v>
      </c>
    </row>
    <row r="28" spans="1:38" ht="30">
      <c r="A28" s="9"/>
      <c r="B28" s="175" t="s">
        <v>108</v>
      </c>
      <c r="C28" s="11">
        <v>2</v>
      </c>
      <c r="D28" s="68" t="s">
        <v>820</v>
      </c>
      <c r="E28" s="68" t="s">
        <v>821</v>
      </c>
      <c r="F28" s="12">
        <v>30.1</v>
      </c>
      <c r="G28" s="12">
        <v>26.9</v>
      </c>
      <c r="H28" s="12">
        <v>27.5</v>
      </c>
      <c r="I28" s="12">
        <v>31.1</v>
      </c>
      <c r="J28" s="12">
        <v>31.2</v>
      </c>
      <c r="K28" s="12">
        <v>27.1</v>
      </c>
      <c r="L28" s="12">
        <v>28.1</v>
      </c>
      <c r="M28" s="12">
        <v>28.2</v>
      </c>
      <c r="N28" s="12">
        <v>26.1</v>
      </c>
      <c r="O28" s="12">
        <v>28.7</v>
      </c>
      <c r="P28" s="12">
        <v>26.8</v>
      </c>
      <c r="Q28" s="12">
        <v>30.1</v>
      </c>
      <c r="R28" s="35">
        <f t="shared" si="0"/>
        <v>28.491666666666664</v>
      </c>
      <c r="S28" s="18" t="s">
        <v>109</v>
      </c>
      <c r="T28" s="248" t="s">
        <v>822</v>
      </c>
      <c r="X28" s="1161"/>
      <c r="Y28" s="1161"/>
      <c r="Z28" s="1161"/>
      <c r="AA28" s="32">
        <v>2</v>
      </c>
      <c r="AB28" s="65" t="s">
        <v>826</v>
      </c>
      <c r="AC28" s="35">
        <f>R8</f>
        <v>5.8924999999999992</v>
      </c>
      <c r="AD28" s="35">
        <f>R13</f>
        <v>2.25</v>
      </c>
      <c r="AE28" s="35">
        <f>R18</f>
        <v>17.333333333333332</v>
      </c>
      <c r="AF28" s="35">
        <f>R23</f>
        <v>7.4350000000000014</v>
      </c>
      <c r="AG28" s="35">
        <f>R28</f>
        <v>28.491666666666664</v>
      </c>
      <c r="AH28" s="35">
        <f>R33</f>
        <v>6.666666666666667</v>
      </c>
      <c r="AI28" s="36">
        <f>R38</f>
        <v>31499.084440299361</v>
      </c>
      <c r="AJ28" s="34">
        <f>R43</f>
        <v>0.30583333333333335</v>
      </c>
      <c r="AK28" s="34">
        <f>R48</f>
        <v>7.5583333333333336E-2</v>
      </c>
      <c r="AL28" s="35">
        <f>R53</f>
        <v>25.75</v>
      </c>
    </row>
    <row r="29" spans="1:38" ht="15.75" customHeight="1">
      <c r="A29" s="9"/>
      <c r="B29" s="175" t="s">
        <v>108</v>
      </c>
      <c r="C29" s="11">
        <v>3</v>
      </c>
      <c r="D29" s="68" t="s">
        <v>823</v>
      </c>
      <c r="E29" s="68" t="s">
        <v>824</v>
      </c>
      <c r="F29" s="12">
        <v>30.1</v>
      </c>
      <c r="G29" s="12">
        <v>27.3</v>
      </c>
      <c r="H29" s="12">
        <v>27.7</v>
      </c>
      <c r="I29" s="12">
        <v>32.1</v>
      </c>
      <c r="J29" s="12">
        <v>31.1</v>
      </c>
      <c r="K29" s="12">
        <v>27.1</v>
      </c>
      <c r="L29" s="12">
        <v>28.5</v>
      </c>
      <c r="M29" s="12">
        <v>27.6</v>
      </c>
      <c r="N29" s="12">
        <v>26.3</v>
      </c>
      <c r="O29" s="12">
        <v>29.3</v>
      </c>
      <c r="P29" s="12">
        <v>26.8</v>
      </c>
      <c r="Q29" s="12">
        <v>30.2</v>
      </c>
      <c r="R29" s="35">
        <f t="shared" si="0"/>
        <v>28.675000000000001</v>
      </c>
      <c r="S29" s="18" t="s">
        <v>109</v>
      </c>
      <c r="T29" s="248" t="s">
        <v>825</v>
      </c>
      <c r="X29" s="1161"/>
      <c r="Y29" s="1161"/>
      <c r="Z29" s="1161"/>
      <c r="AA29" s="32">
        <v>3</v>
      </c>
      <c r="AB29" s="65" t="s">
        <v>823</v>
      </c>
      <c r="AC29" s="35">
        <f>R9</f>
        <v>5.7741666666666669</v>
      </c>
      <c r="AD29" s="35">
        <f>R14</f>
        <v>2.25</v>
      </c>
      <c r="AE29" s="35">
        <f>R19</f>
        <v>21.166666666666668</v>
      </c>
      <c r="AF29" s="35">
        <f>R24</f>
        <v>7.3800000000000017</v>
      </c>
      <c r="AG29" s="35">
        <f>R29</f>
        <v>28.675000000000001</v>
      </c>
      <c r="AH29" s="35">
        <f>R34</f>
        <v>7.083333333333333</v>
      </c>
      <c r="AI29" s="36">
        <f>R39</f>
        <v>34990.21051761759</v>
      </c>
      <c r="AJ29" s="34">
        <f>R44</f>
        <v>0.40966666666666662</v>
      </c>
      <c r="AK29" s="34">
        <f>R49</f>
        <v>8.533333333333333E-2</v>
      </c>
      <c r="AL29" s="35">
        <f>R54</f>
        <v>91.333333333333329</v>
      </c>
    </row>
    <row r="30" spans="1:38" ht="30">
      <c r="A30" s="9"/>
      <c r="B30" s="175" t="s">
        <v>108</v>
      </c>
      <c r="C30" s="11">
        <v>4</v>
      </c>
      <c r="D30" s="68" t="s">
        <v>826</v>
      </c>
      <c r="E30" s="68" t="s">
        <v>827</v>
      </c>
      <c r="F30" s="12">
        <v>29.8</v>
      </c>
      <c r="G30" s="12">
        <v>27.1</v>
      </c>
      <c r="H30" s="12">
        <v>28.7</v>
      </c>
      <c r="I30" s="12">
        <v>32.1</v>
      </c>
      <c r="J30" s="12">
        <v>31.1</v>
      </c>
      <c r="K30" s="12">
        <v>27</v>
      </c>
      <c r="L30" s="12">
        <v>28.5</v>
      </c>
      <c r="M30" s="12">
        <v>27</v>
      </c>
      <c r="N30" s="12">
        <v>26</v>
      </c>
      <c r="O30" s="12">
        <v>29.2</v>
      </c>
      <c r="P30" s="12">
        <v>27</v>
      </c>
      <c r="Q30" s="12">
        <v>30.1</v>
      </c>
      <c r="R30" s="35">
        <f t="shared" si="0"/>
        <v>28.633333333333336</v>
      </c>
      <c r="S30" s="18" t="s">
        <v>109</v>
      </c>
      <c r="T30" s="248" t="s">
        <v>828</v>
      </c>
      <c r="X30" s="1161"/>
      <c r="Y30" s="1161"/>
      <c r="Z30" s="1161"/>
      <c r="AA30" s="32">
        <v>4</v>
      </c>
      <c r="AB30" s="65" t="s">
        <v>820</v>
      </c>
      <c r="AC30" s="35">
        <f>R10</f>
        <v>5.2516666666666678</v>
      </c>
      <c r="AD30" s="35">
        <f>R15</f>
        <v>3.0833333333333335</v>
      </c>
      <c r="AE30" s="35">
        <f>R20</f>
        <v>15.75</v>
      </c>
      <c r="AF30" s="35">
        <f>R25</f>
        <v>7.3674999999999997</v>
      </c>
      <c r="AG30" s="35">
        <f>R30</f>
        <v>28.633333333333336</v>
      </c>
      <c r="AH30" s="35">
        <f>R35</f>
        <v>7.5</v>
      </c>
      <c r="AI30" s="36">
        <f>R40</f>
        <v>51404.854069794288</v>
      </c>
      <c r="AJ30" s="34">
        <f>R45</f>
        <v>0.53749999999999998</v>
      </c>
      <c r="AK30" s="34">
        <f>R50</f>
        <v>0.10299999999999999</v>
      </c>
      <c r="AL30" s="35">
        <f>R55</f>
        <v>114</v>
      </c>
    </row>
    <row r="31" spans="1:38" ht="15.75" customHeight="1">
      <c r="A31" s="9"/>
      <c r="B31" s="175" t="s">
        <v>108</v>
      </c>
      <c r="C31" s="11">
        <v>5</v>
      </c>
      <c r="D31" s="68" t="s">
        <v>830</v>
      </c>
      <c r="E31" s="68" t="s">
        <v>831</v>
      </c>
      <c r="F31" s="12">
        <v>28.6</v>
      </c>
      <c r="G31" s="12">
        <v>26.6</v>
      </c>
      <c r="H31" s="12">
        <v>28.3</v>
      </c>
      <c r="I31" s="12">
        <v>32</v>
      </c>
      <c r="J31" s="12">
        <v>31</v>
      </c>
      <c r="K31" s="12">
        <v>26.5</v>
      </c>
      <c r="L31" s="12">
        <v>28.5</v>
      </c>
      <c r="M31" s="12">
        <v>26.9</v>
      </c>
      <c r="N31" s="12">
        <v>26</v>
      </c>
      <c r="O31" s="12">
        <v>29.3</v>
      </c>
      <c r="P31" s="12">
        <v>26.2</v>
      </c>
      <c r="Q31" s="12">
        <v>30.1</v>
      </c>
      <c r="R31" s="35">
        <f t="shared" si="0"/>
        <v>28.333333333333332</v>
      </c>
      <c r="S31" s="18" t="s">
        <v>109</v>
      </c>
      <c r="T31" s="248" t="s">
        <v>832</v>
      </c>
      <c r="X31" s="1161"/>
      <c r="Y31" s="1161"/>
      <c r="Z31" s="1161"/>
      <c r="AA31" s="32">
        <v>5</v>
      </c>
      <c r="AB31" s="65" t="s">
        <v>817</v>
      </c>
      <c r="AC31" s="35">
        <f>R11</f>
        <v>4.9083333333333332</v>
      </c>
      <c r="AD31" s="35">
        <f>R16</f>
        <v>3.9166666666666665</v>
      </c>
      <c r="AE31" s="35">
        <f>R21</f>
        <v>18.75</v>
      </c>
      <c r="AF31" s="35">
        <f>R26</f>
        <v>7.3658333333333319</v>
      </c>
      <c r="AG31" s="35">
        <f>R31</f>
        <v>28.333333333333332</v>
      </c>
      <c r="AH31" s="35">
        <f>R36</f>
        <v>7.083333333333333</v>
      </c>
      <c r="AI31" s="36">
        <f>R41</f>
        <v>138957.59324076222</v>
      </c>
      <c r="AJ31" s="34">
        <f>R46</f>
        <v>0.43033333333333329</v>
      </c>
      <c r="AK31" s="34">
        <f>R51</f>
        <v>0.12866666666666665</v>
      </c>
      <c r="AL31" s="35">
        <f>R56</f>
        <v>156.25</v>
      </c>
    </row>
    <row r="32" spans="1:38" ht="15.75" customHeight="1">
      <c r="A32" s="9"/>
      <c r="B32" s="174" t="s">
        <v>110</v>
      </c>
      <c r="C32" s="15">
        <v>1</v>
      </c>
      <c r="D32" s="66" t="s">
        <v>817</v>
      </c>
      <c r="E32" s="66" t="s">
        <v>834</v>
      </c>
      <c r="F32" s="7">
        <v>5</v>
      </c>
      <c r="G32" s="7">
        <v>5</v>
      </c>
      <c r="H32" s="7">
        <v>5</v>
      </c>
      <c r="I32" s="7">
        <v>5</v>
      </c>
      <c r="J32" s="7">
        <v>5</v>
      </c>
      <c r="K32" s="7">
        <v>15</v>
      </c>
      <c r="L32" s="7">
        <v>5</v>
      </c>
      <c r="M32" s="7">
        <v>10</v>
      </c>
      <c r="N32" s="7">
        <v>20</v>
      </c>
      <c r="O32" s="7">
        <v>8</v>
      </c>
      <c r="P32" s="7">
        <v>5</v>
      </c>
      <c r="Q32" s="7">
        <v>10</v>
      </c>
      <c r="R32" s="48">
        <f t="shared" si="0"/>
        <v>8.1666666666666661</v>
      </c>
      <c r="S32" s="8">
        <v>75</v>
      </c>
      <c r="T32" s="248" t="s">
        <v>819</v>
      </c>
      <c r="X32" s="844"/>
      <c r="Y32" s="845"/>
      <c r="Z32" s="845"/>
      <c r="AA32" s="845"/>
      <c r="AB32" s="845"/>
      <c r="AC32" s="845"/>
      <c r="AD32" s="845"/>
      <c r="AE32" s="845"/>
      <c r="AF32" s="845"/>
      <c r="AG32" s="845"/>
      <c r="AH32" s="845"/>
      <c r="AI32" s="845"/>
      <c r="AJ32" s="845"/>
      <c r="AK32" s="845"/>
      <c r="AL32" s="846"/>
    </row>
    <row r="33" spans="1:38" ht="15.75" customHeight="1">
      <c r="A33" s="9"/>
      <c r="B33" s="175" t="s">
        <v>110</v>
      </c>
      <c r="C33" s="11">
        <v>2</v>
      </c>
      <c r="D33" s="68" t="s">
        <v>820</v>
      </c>
      <c r="E33" s="68" t="s">
        <v>821</v>
      </c>
      <c r="F33" s="12">
        <v>5</v>
      </c>
      <c r="G33" s="12">
        <v>5</v>
      </c>
      <c r="H33" s="12">
        <v>5</v>
      </c>
      <c r="I33" s="12">
        <v>5</v>
      </c>
      <c r="J33" s="12">
        <v>5</v>
      </c>
      <c r="K33" s="12">
        <v>15</v>
      </c>
      <c r="L33" s="12">
        <v>5</v>
      </c>
      <c r="M33" s="12">
        <v>5</v>
      </c>
      <c r="N33" s="12">
        <v>15</v>
      </c>
      <c r="O33" s="12">
        <v>5</v>
      </c>
      <c r="P33" s="12">
        <v>5</v>
      </c>
      <c r="Q33" s="12">
        <v>5</v>
      </c>
      <c r="R33" s="35">
        <f t="shared" si="0"/>
        <v>6.666666666666667</v>
      </c>
      <c r="S33" s="14">
        <v>75</v>
      </c>
      <c r="T33" s="248" t="s">
        <v>822</v>
      </c>
      <c r="X33" s="14" t="s">
        <v>93</v>
      </c>
      <c r="Y33" s="1162"/>
      <c r="Z33" s="1161"/>
      <c r="AA33" s="1161"/>
      <c r="AB33" s="1161"/>
      <c r="AC33" s="35">
        <f t="shared" ref="AC33:AL33" si="4">AVERAGE(AC27:AC29)</f>
        <v>5.7994444444444442</v>
      </c>
      <c r="AD33" s="35">
        <f t="shared" si="4"/>
        <v>2.3333333333333335</v>
      </c>
      <c r="AE33" s="35">
        <f t="shared" si="4"/>
        <v>21.805555555555557</v>
      </c>
      <c r="AF33" s="35">
        <f t="shared" si="4"/>
        <v>7.4158333333333344</v>
      </c>
      <c r="AG33" s="35">
        <f t="shared" si="4"/>
        <v>28.458333333333332</v>
      </c>
      <c r="AH33" s="35">
        <f t="shared" si="4"/>
        <v>7.3055555555555545</v>
      </c>
      <c r="AI33" s="36">
        <f t="shared" si="4"/>
        <v>27904.673552256641</v>
      </c>
      <c r="AJ33" s="34">
        <f t="shared" si="4"/>
        <v>0.4049444444444445</v>
      </c>
      <c r="AK33" s="34">
        <f t="shared" si="4"/>
        <v>8.6944444444444435E-2</v>
      </c>
      <c r="AL33" s="35">
        <f t="shared" si="4"/>
        <v>49.333333333333336</v>
      </c>
    </row>
    <row r="34" spans="1:38" ht="15.75" customHeight="1">
      <c r="A34" s="9"/>
      <c r="B34" s="175" t="s">
        <v>110</v>
      </c>
      <c r="C34" s="11">
        <v>3</v>
      </c>
      <c r="D34" s="68" t="s">
        <v>823</v>
      </c>
      <c r="E34" s="68" t="s">
        <v>824</v>
      </c>
      <c r="F34" s="12">
        <v>5</v>
      </c>
      <c r="G34" s="12">
        <v>5</v>
      </c>
      <c r="H34" s="12">
        <v>5</v>
      </c>
      <c r="I34" s="12">
        <v>5</v>
      </c>
      <c r="J34" s="12">
        <v>5</v>
      </c>
      <c r="K34" s="12">
        <v>15</v>
      </c>
      <c r="L34" s="12">
        <v>5</v>
      </c>
      <c r="M34" s="12">
        <v>5</v>
      </c>
      <c r="N34" s="12">
        <v>15</v>
      </c>
      <c r="O34" s="12">
        <v>5</v>
      </c>
      <c r="P34" s="12">
        <v>10</v>
      </c>
      <c r="Q34" s="12">
        <v>5</v>
      </c>
      <c r="R34" s="35">
        <f t="shared" si="0"/>
        <v>7.083333333333333</v>
      </c>
      <c r="S34" s="14">
        <v>75</v>
      </c>
      <c r="T34" s="248" t="s">
        <v>825</v>
      </c>
      <c r="X34" s="14" t="s">
        <v>94</v>
      </c>
      <c r="Y34" s="1161"/>
      <c r="Z34" s="1163"/>
      <c r="AA34" s="1163"/>
      <c r="AB34" s="1161"/>
      <c r="AC34" s="35">
        <f t="shared" ref="AC34:AL34" si="5">MIN(AC27:AC29)</f>
        <v>5.7316666666666665</v>
      </c>
      <c r="AD34" s="35">
        <f t="shared" si="5"/>
        <v>2.25</v>
      </c>
      <c r="AE34" s="35">
        <f t="shared" si="5"/>
        <v>17.333333333333332</v>
      </c>
      <c r="AF34" s="35">
        <f t="shared" si="5"/>
        <v>7.3800000000000017</v>
      </c>
      <c r="AG34" s="35">
        <f t="shared" si="5"/>
        <v>28.208333333333332</v>
      </c>
      <c r="AH34" s="35">
        <f t="shared" si="5"/>
        <v>6.666666666666667</v>
      </c>
      <c r="AI34" s="36">
        <f t="shared" si="5"/>
        <v>17224.725698852981</v>
      </c>
      <c r="AJ34" s="34">
        <f t="shared" si="5"/>
        <v>0.30583333333333335</v>
      </c>
      <c r="AK34" s="34">
        <f t="shared" si="5"/>
        <v>7.5583333333333336E-2</v>
      </c>
      <c r="AL34" s="35">
        <f t="shared" si="5"/>
        <v>25.75</v>
      </c>
    </row>
    <row r="35" spans="1:38" ht="30">
      <c r="A35" s="9"/>
      <c r="B35" s="175" t="s">
        <v>110</v>
      </c>
      <c r="C35" s="11">
        <v>4</v>
      </c>
      <c r="D35" s="68" t="s">
        <v>826</v>
      </c>
      <c r="E35" s="68" t="s">
        <v>827</v>
      </c>
      <c r="F35" s="12">
        <v>5</v>
      </c>
      <c r="G35" s="12">
        <v>5</v>
      </c>
      <c r="H35" s="12">
        <v>5</v>
      </c>
      <c r="I35" s="12">
        <v>5</v>
      </c>
      <c r="J35" s="12">
        <v>5</v>
      </c>
      <c r="K35" s="12">
        <v>15</v>
      </c>
      <c r="L35" s="12">
        <v>5</v>
      </c>
      <c r="M35" s="12">
        <v>5</v>
      </c>
      <c r="N35" s="12">
        <v>20</v>
      </c>
      <c r="O35" s="12">
        <v>5</v>
      </c>
      <c r="P35" s="12">
        <v>5</v>
      </c>
      <c r="Q35" s="12">
        <v>10</v>
      </c>
      <c r="R35" s="35">
        <f t="shared" si="0"/>
        <v>7.5</v>
      </c>
      <c r="S35" s="14">
        <v>75</v>
      </c>
      <c r="T35" s="248" t="s">
        <v>828</v>
      </c>
      <c r="X35" s="14" t="s">
        <v>95</v>
      </c>
      <c r="Y35" s="1161"/>
      <c r="Z35" s="1163"/>
      <c r="AA35" s="1163"/>
      <c r="AB35" s="1161"/>
      <c r="AC35" s="35">
        <f t="shared" ref="AC35:AL35" si="6">MAX(AC27:AC29)</f>
        <v>5.8924999999999992</v>
      </c>
      <c r="AD35" s="35">
        <f t="shared" si="6"/>
        <v>2.5</v>
      </c>
      <c r="AE35" s="35">
        <f t="shared" si="6"/>
        <v>26.916666666666668</v>
      </c>
      <c r="AF35" s="35">
        <f t="shared" si="6"/>
        <v>7.4350000000000014</v>
      </c>
      <c r="AG35" s="35">
        <f t="shared" si="6"/>
        <v>28.675000000000001</v>
      </c>
      <c r="AH35" s="35">
        <f t="shared" si="6"/>
        <v>8.1666666666666661</v>
      </c>
      <c r="AI35" s="36">
        <f t="shared" si="6"/>
        <v>34990.21051761759</v>
      </c>
      <c r="AJ35" s="34">
        <f t="shared" si="6"/>
        <v>0.49933333333333335</v>
      </c>
      <c r="AK35" s="34">
        <f t="shared" si="6"/>
        <v>9.9916666666666668E-2</v>
      </c>
      <c r="AL35" s="35">
        <f t="shared" si="6"/>
        <v>91.333333333333329</v>
      </c>
    </row>
    <row r="36" spans="1:38" ht="15.75" customHeight="1">
      <c r="A36" s="9"/>
      <c r="B36" s="175" t="s">
        <v>110</v>
      </c>
      <c r="C36" s="11">
        <v>5</v>
      </c>
      <c r="D36" s="68" t="s">
        <v>830</v>
      </c>
      <c r="E36" s="68" t="s">
        <v>831</v>
      </c>
      <c r="F36" s="12">
        <v>5</v>
      </c>
      <c r="G36" s="12">
        <v>5</v>
      </c>
      <c r="H36" s="12">
        <v>5</v>
      </c>
      <c r="I36" s="12">
        <v>5</v>
      </c>
      <c r="J36" s="12">
        <v>5</v>
      </c>
      <c r="K36" s="12">
        <v>15</v>
      </c>
      <c r="L36" s="12">
        <v>5</v>
      </c>
      <c r="M36" s="12">
        <v>5</v>
      </c>
      <c r="N36" s="12">
        <v>20</v>
      </c>
      <c r="O36" s="12">
        <v>5</v>
      </c>
      <c r="P36" s="12">
        <v>5</v>
      </c>
      <c r="Q36" s="12">
        <v>5</v>
      </c>
      <c r="R36" s="35">
        <f t="shared" si="0"/>
        <v>7.083333333333333</v>
      </c>
      <c r="S36" s="14">
        <v>75</v>
      </c>
      <c r="T36" s="248" t="s">
        <v>832</v>
      </c>
      <c r="X36" s="14" t="s">
        <v>96</v>
      </c>
      <c r="Y36" s="1161"/>
      <c r="Z36" s="1161"/>
      <c r="AA36" s="1161"/>
      <c r="AB36" s="1161"/>
      <c r="AC36" s="29" t="s">
        <v>97</v>
      </c>
      <c r="AD36" s="29" t="s">
        <v>98</v>
      </c>
      <c r="AE36" s="29" t="s">
        <v>99</v>
      </c>
      <c r="AF36" s="29" t="s">
        <v>100</v>
      </c>
      <c r="AG36" s="29" t="s">
        <v>101</v>
      </c>
      <c r="AH36" s="29" t="s">
        <v>102</v>
      </c>
      <c r="AI36" s="29" t="s">
        <v>103</v>
      </c>
      <c r="AJ36" s="29" t="s">
        <v>98</v>
      </c>
      <c r="AK36" s="29" t="s">
        <v>104</v>
      </c>
      <c r="AL36" s="29" t="s">
        <v>105</v>
      </c>
    </row>
    <row r="37" spans="1:38" ht="15.75" customHeight="1">
      <c r="A37" s="9"/>
      <c r="B37" s="174" t="s">
        <v>111</v>
      </c>
      <c r="C37" s="15">
        <v>1</v>
      </c>
      <c r="D37" s="66" t="s">
        <v>817</v>
      </c>
      <c r="E37" s="66" t="s">
        <v>834</v>
      </c>
      <c r="F37" s="128">
        <v>35000</v>
      </c>
      <c r="G37" s="128">
        <v>70000</v>
      </c>
      <c r="H37" s="128">
        <v>790</v>
      </c>
      <c r="I37" s="128">
        <v>790</v>
      </c>
      <c r="J37" s="128">
        <v>4900</v>
      </c>
      <c r="K37" s="128">
        <v>9200</v>
      </c>
      <c r="L37" s="128">
        <v>2300</v>
      </c>
      <c r="M37" s="128">
        <v>920000</v>
      </c>
      <c r="N37" s="128">
        <v>130000</v>
      </c>
      <c r="O37" s="128">
        <v>23000</v>
      </c>
      <c r="P37" s="128">
        <v>92000</v>
      </c>
      <c r="Q37" s="128">
        <v>17000</v>
      </c>
      <c r="R37" s="46">
        <f>IFERROR(GEOMEAN(F37:Q37), 0)</f>
        <v>17224.725698852981</v>
      </c>
      <c r="S37" s="8">
        <v>200</v>
      </c>
      <c r="T37" s="248" t="s">
        <v>819</v>
      </c>
    </row>
    <row r="38" spans="1:38" ht="15.75" customHeight="1">
      <c r="A38" s="9"/>
      <c r="B38" s="175" t="s">
        <v>111</v>
      </c>
      <c r="C38" s="11">
        <v>2</v>
      </c>
      <c r="D38" s="68" t="s">
        <v>820</v>
      </c>
      <c r="E38" s="68" t="s">
        <v>821</v>
      </c>
      <c r="F38" s="129">
        <v>9200</v>
      </c>
      <c r="G38" s="129">
        <v>54000</v>
      </c>
      <c r="H38" s="129">
        <v>54000</v>
      </c>
      <c r="I38" s="129">
        <v>110000</v>
      </c>
      <c r="J38" s="129">
        <v>4900</v>
      </c>
      <c r="K38" s="129">
        <v>24000</v>
      </c>
      <c r="L38" s="129">
        <v>140000</v>
      </c>
      <c r="M38" s="129">
        <v>33000</v>
      </c>
      <c r="N38" s="129">
        <v>240000</v>
      </c>
      <c r="O38" s="129">
        <v>23000</v>
      </c>
      <c r="P38" s="129">
        <v>4900</v>
      </c>
      <c r="Q38" s="129">
        <v>22000</v>
      </c>
      <c r="R38" s="47">
        <f>IFERROR(GEOMEAN(F38:Q38), 0)</f>
        <v>31499.084440299361</v>
      </c>
      <c r="S38" s="14">
        <v>200</v>
      </c>
      <c r="T38" s="248" t="s">
        <v>822</v>
      </c>
    </row>
    <row r="39" spans="1:38" ht="15.75" customHeight="1">
      <c r="A39" s="9"/>
      <c r="B39" s="175" t="s">
        <v>111</v>
      </c>
      <c r="C39" s="11">
        <v>3</v>
      </c>
      <c r="D39" s="68" t="s">
        <v>823</v>
      </c>
      <c r="E39" s="68" t="s">
        <v>824</v>
      </c>
      <c r="F39" s="129">
        <v>35000</v>
      </c>
      <c r="G39" s="129">
        <v>54000</v>
      </c>
      <c r="H39" s="129">
        <v>7900</v>
      </c>
      <c r="I39" s="129">
        <v>4900</v>
      </c>
      <c r="J39" s="129">
        <v>54000</v>
      </c>
      <c r="K39" s="129">
        <v>7900</v>
      </c>
      <c r="L39" s="129">
        <v>220000</v>
      </c>
      <c r="M39" s="129">
        <v>49000</v>
      </c>
      <c r="N39" s="129">
        <v>350000</v>
      </c>
      <c r="O39" s="129">
        <v>200000</v>
      </c>
      <c r="P39" s="129">
        <v>11000</v>
      </c>
      <c r="Q39" s="129">
        <v>13000</v>
      </c>
      <c r="R39" s="47">
        <f>IFERROR(GEOMEAN(F39:Q39), 0)</f>
        <v>34990.21051761759</v>
      </c>
      <c r="S39" s="14">
        <v>200</v>
      </c>
      <c r="T39" s="248" t="s">
        <v>825</v>
      </c>
    </row>
    <row r="40" spans="1:38" ht="30">
      <c r="A40" s="9"/>
      <c r="B40" s="175" t="s">
        <v>111</v>
      </c>
      <c r="C40" s="11">
        <v>4</v>
      </c>
      <c r="D40" s="68" t="s">
        <v>826</v>
      </c>
      <c r="E40" s="68" t="s">
        <v>827</v>
      </c>
      <c r="F40" s="129">
        <v>24000</v>
      </c>
      <c r="G40" s="129">
        <v>110000</v>
      </c>
      <c r="H40" s="129">
        <v>35000</v>
      </c>
      <c r="I40" s="129">
        <v>35000</v>
      </c>
      <c r="J40" s="129">
        <v>54000</v>
      </c>
      <c r="K40" s="129">
        <v>46000</v>
      </c>
      <c r="L40" s="129">
        <v>92000</v>
      </c>
      <c r="M40" s="129">
        <v>79000</v>
      </c>
      <c r="N40" s="129">
        <v>140000</v>
      </c>
      <c r="O40" s="129">
        <v>70000</v>
      </c>
      <c r="P40" s="129">
        <v>17000</v>
      </c>
      <c r="Q40" s="129">
        <v>35000</v>
      </c>
      <c r="R40" s="47">
        <f>IFERROR(GEOMEAN(F40:Q40), 0)</f>
        <v>51404.854069794288</v>
      </c>
      <c r="S40" s="14">
        <v>200</v>
      </c>
      <c r="T40" s="248" t="s">
        <v>828</v>
      </c>
    </row>
    <row r="41" spans="1:38" ht="15.75" customHeight="1">
      <c r="A41" s="9"/>
      <c r="B41" s="175" t="s">
        <v>111</v>
      </c>
      <c r="C41" s="11">
        <v>5</v>
      </c>
      <c r="D41" s="68" t="s">
        <v>830</v>
      </c>
      <c r="E41" s="68" t="s">
        <v>831</v>
      </c>
      <c r="F41" s="129">
        <v>540000</v>
      </c>
      <c r="G41" s="129">
        <v>3500000</v>
      </c>
      <c r="H41" s="129">
        <v>13000</v>
      </c>
      <c r="I41" s="129">
        <v>160000</v>
      </c>
      <c r="J41" s="129">
        <v>350000</v>
      </c>
      <c r="K41" s="129">
        <v>92000</v>
      </c>
      <c r="L41" s="129">
        <v>35000</v>
      </c>
      <c r="M41" s="129">
        <v>170000</v>
      </c>
      <c r="N41" s="129">
        <v>110000</v>
      </c>
      <c r="O41" s="129">
        <v>23000</v>
      </c>
      <c r="P41" s="129">
        <v>170000</v>
      </c>
      <c r="Q41" s="129">
        <v>160000</v>
      </c>
      <c r="R41" s="47">
        <f>IFERROR(GEOMEAN(F41:Q41), 0)</f>
        <v>138957.59324076222</v>
      </c>
      <c r="S41" s="14">
        <v>200</v>
      </c>
      <c r="T41" s="248" t="s">
        <v>832</v>
      </c>
    </row>
    <row r="42" spans="1:38" ht="15.75" customHeight="1">
      <c r="A42" s="69"/>
      <c r="B42" s="180" t="s">
        <v>113</v>
      </c>
      <c r="C42" s="15">
        <v>1</v>
      </c>
      <c r="D42" s="66" t="s">
        <v>817</v>
      </c>
      <c r="E42" s="66" t="s">
        <v>834</v>
      </c>
      <c r="F42" s="22">
        <v>0.26</v>
      </c>
      <c r="G42" s="22">
        <v>0.40600000000000003</v>
      </c>
      <c r="H42" s="22">
        <v>0.76800000000000002</v>
      </c>
      <c r="I42" s="22">
        <v>0.38100000000000001</v>
      </c>
      <c r="J42" s="22">
        <v>0.437</v>
      </c>
      <c r="K42" s="22">
        <v>0.48399999999999999</v>
      </c>
      <c r="L42" s="22">
        <v>0.50600000000000001</v>
      </c>
      <c r="M42" s="22">
        <v>0.65800000000000003</v>
      </c>
      <c r="N42" s="22">
        <v>0.66700000000000004</v>
      </c>
      <c r="O42" s="22">
        <v>0.44700000000000001</v>
      </c>
      <c r="P42" s="22">
        <v>0.625</v>
      </c>
      <c r="Q42" s="22">
        <v>0.35299999999999998</v>
      </c>
      <c r="R42" s="70">
        <f t="shared" ref="R42:R56" si="7">IFERROR(AVERAGE(F42:Q42), 0)</f>
        <v>0.49933333333333335</v>
      </c>
      <c r="S42" s="70">
        <v>7</v>
      </c>
      <c r="T42" s="248" t="s">
        <v>819</v>
      </c>
    </row>
    <row r="43" spans="1:38" ht="15.75" customHeight="1">
      <c r="A43" s="69"/>
      <c r="B43" s="181" t="s">
        <v>114</v>
      </c>
      <c r="C43" s="11">
        <v>2</v>
      </c>
      <c r="D43" s="68" t="s">
        <v>820</v>
      </c>
      <c r="E43" s="68" t="s">
        <v>821</v>
      </c>
      <c r="F43" s="26">
        <v>0.19500000000000001</v>
      </c>
      <c r="G43" s="26">
        <v>0.20300000000000001</v>
      </c>
      <c r="H43" s="26">
        <v>0.51600000000000001</v>
      </c>
      <c r="I43" s="26">
        <v>0.315</v>
      </c>
      <c r="J43" s="26">
        <v>0.67100000000000004</v>
      </c>
      <c r="K43" s="26">
        <v>0.47199999999999998</v>
      </c>
      <c r="L43" s="26">
        <v>0.15</v>
      </c>
      <c r="M43" s="26">
        <v>0.08</v>
      </c>
      <c r="N43" s="26">
        <v>0.51700000000000002</v>
      </c>
      <c r="O43" s="26">
        <v>0.185</v>
      </c>
      <c r="P43" s="26">
        <v>0.28699999999999998</v>
      </c>
      <c r="Q43" s="26">
        <v>7.9000000000000001E-2</v>
      </c>
      <c r="R43" s="34">
        <f t="shared" si="7"/>
        <v>0.30583333333333335</v>
      </c>
      <c r="S43" s="34">
        <v>7</v>
      </c>
      <c r="T43" s="248" t="s">
        <v>822</v>
      </c>
    </row>
    <row r="44" spans="1:38" ht="15.75" customHeight="1">
      <c r="A44" s="69"/>
      <c r="B44" s="181" t="s">
        <v>114</v>
      </c>
      <c r="C44" s="11">
        <v>3</v>
      </c>
      <c r="D44" s="68" t="s">
        <v>823</v>
      </c>
      <c r="E44" s="68" t="s">
        <v>824</v>
      </c>
      <c r="F44" s="26">
        <v>0.248</v>
      </c>
      <c r="G44" s="26">
        <v>0.443</v>
      </c>
      <c r="H44" s="26">
        <v>0.59699999999999998</v>
      </c>
      <c r="I44" s="26">
        <v>0.505</v>
      </c>
      <c r="J44" s="26">
        <v>0.35299999999999998</v>
      </c>
      <c r="K44" s="26">
        <v>0.57499999999999996</v>
      </c>
      <c r="L44" s="26">
        <v>0.47299999999999998</v>
      </c>
      <c r="M44" s="26">
        <v>5.3999999999999999E-2</v>
      </c>
      <c r="N44" s="26">
        <v>0.57799999999999996</v>
      </c>
      <c r="O44" s="26">
        <v>0.28100000000000003</v>
      </c>
      <c r="P44" s="26">
        <v>0.59499999999999997</v>
      </c>
      <c r="Q44" s="26">
        <v>0.214</v>
      </c>
      <c r="R44" s="34">
        <f t="shared" si="7"/>
        <v>0.40966666666666662</v>
      </c>
      <c r="S44" s="34">
        <v>7</v>
      </c>
      <c r="T44" s="248" t="s">
        <v>825</v>
      </c>
    </row>
    <row r="45" spans="1:38" ht="30">
      <c r="A45" s="69"/>
      <c r="B45" s="181" t="s">
        <v>726</v>
      </c>
      <c r="C45" s="11">
        <v>4</v>
      </c>
      <c r="D45" s="68" t="s">
        <v>826</v>
      </c>
      <c r="E45" s="68" t="s">
        <v>827</v>
      </c>
      <c r="F45" s="26">
        <v>1.2649999999999999</v>
      </c>
      <c r="G45" s="26">
        <v>0.311</v>
      </c>
      <c r="H45" s="26">
        <v>0.52</v>
      </c>
      <c r="I45" s="26">
        <v>0.38900000000000001</v>
      </c>
      <c r="J45" s="26">
        <v>0.46899999999999997</v>
      </c>
      <c r="K45" s="26">
        <v>0.76400000000000001</v>
      </c>
      <c r="L45" s="26">
        <v>0.28899999999999998</v>
      </c>
      <c r="M45" s="26">
        <v>7.0999999999999994E-2</v>
      </c>
      <c r="N45" s="26">
        <v>1.222</v>
      </c>
      <c r="O45" s="26">
        <v>0.35499999999999998</v>
      </c>
      <c r="P45" s="26">
        <v>0.51200000000000001</v>
      </c>
      <c r="Q45" s="26">
        <v>0.28299999999999997</v>
      </c>
      <c r="R45" s="34">
        <f t="shared" si="7"/>
        <v>0.53749999999999998</v>
      </c>
      <c r="S45" s="34">
        <v>7</v>
      </c>
      <c r="T45" s="248" t="s">
        <v>828</v>
      </c>
    </row>
    <row r="46" spans="1:38" ht="15.75" customHeight="1">
      <c r="A46" s="69"/>
      <c r="B46" s="181" t="s">
        <v>726</v>
      </c>
      <c r="C46" s="11">
        <v>5</v>
      </c>
      <c r="D46" s="68" t="s">
        <v>830</v>
      </c>
      <c r="E46" s="68" t="s">
        <v>831</v>
      </c>
      <c r="F46" s="26">
        <v>0.66600000000000004</v>
      </c>
      <c r="G46" s="26">
        <v>0.255</v>
      </c>
      <c r="H46" s="26">
        <v>0.56299999999999994</v>
      </c>
      <c r="I46" s="26">
        <v>0.43</v>
      </c>
      <c r="J46" s="26">
        <v>2.3E-2</v>
      </c>
      <c r="K46" s="26">
        <v>0.21299999999999999</v>
      </c>
      <c r="L46" s="26">
        <v>0.83399999999999996</v>
      </c>
      <c r="M46" s="26">
        <v>4.2999999999999997E-2</v>
      </c>
      <c r="N46" s="26">
        <v>0.82499999999999996</v>
      </c>
      <c r="O46" s="26">
        <v>0.441</v>
      </c>
      <c r="P46" s="26">
        <v>0.45700000000000002</v>
      </c>
      <c r="Q46" s="26">
        <v>0.41399999999999998</v>
      </c>
      <c r="R46" s="34">
        <f t="shared" si="7"/>
        <v>0.43033333333333329</v>
      </c>
      <c r="S46" s="34">
        <v>7</v>
      </c>
      <c r="T46" s="248" t="s">
        <v>832</v>
      </c>
    </row>
    <row r="47" spans="1:38" ht="15.75" customHeight="1">
      <c r="A47" s="69"/>
      <c r="B47" s="180" t="s">
        <v>115</v>
      </c>
      <c r="C47" s="15">
        <v>1</v>
      </c>
      <c r="D47" s="66" t="s">
        <v>817</v>
      </c>
      <c r="E47" s="66" t="s">
        <v>834</v>
      </c>
      <c r="F47" s="22">
        <v>0.05</v>
      </c>
      <c r="G47" s="22">
        <v>4.2000000000000003E-2</v>
      </c>
      <c r="H47" s="22">
        <v>9.6000000000000002E-2</v>
      </c>
      <c r="I47" s="22">
        <v>1.0999999999999999E-2</v>
      </c>
      <c r="J47" s="22">
        <v>0.09</v>
      </c>
      <c r="K47" s="22">
        <v>0.08</v>
      </c>
      <c r="L47" s="22">
        <v>0.16500000000000001</v>
      </c>
      <c r="M47" s="22">
        <v>0.20100000000000001</v>
      </c>
      <c r="N47" s="22">
        <v>0.24399999999999999</v>
      </c>
      <c r="O47" s="22">
        <v>0.05</v>
      </c>
      <c r="P47" s="22">
        <v>7.2999999999999995E-2</v>
      </c>
      <c r="Q47" s="22">
        <v>9.7000000000000003E-2</v>
      </c>
      <c r="R47" s="70">
        <f t="shared" si="7"/>
        <v>9.9916666666666668E-2</v>
      </c>
      <c r="S47" s="70">
        <v>2.5000000000000001E-2</v>
      </c>
      <c r="T47" s="248" t="s">
        <v>819</v>
      </c>
    </row>
    <row r="48" spans="1:38" ht="15.75" customHeight="1">
      <c r="A48" s="69"/>
      <c r="B48" s="181" t="s">
        <v>116</v>
      </c>
      <c r="C48" s="11">
        <v>2</v>
      </c>
      <c r="D48" s="68" t="s">
        <v>820</v>
      </c>
      <c r="E48" s="68" t="s">
        <v>821</v>
      </c>
      <c r="F48" s="26">
        <v>5.2999999999999999E-2</v>
      </c>
      <c r="G48" s="26">
        <v>3.2000000000000001E-2</v>
      </c>
      <c r="H48" s="26">
        <v>0.10299999999999999</v>
      </c>
      <c r="I48" s="26">
        <v>9.2999999999999999E-2</v>
      </c>
      <c r="J48" s="26">
        <v>9.2999999999999999E-2</v>
      </c>
      <c r="K48" s="26">
        <v>5.1999999999999998E-2</v>
      </c>
      <c r="L48" s="26">
        <v>4.1000000000000002E-2</v>
      </c>
      <c r="M48" s="26">
        <v>5.1999999999999998E-2</v>
      </c>
      <c r="N48" s="26">
        <v>0.186</v>
      </c>
      <c r="O48" s="26">
        <v>3.4000000000000002E-2</v>
      </c>
      <c r="P48" s="26">
        <v>8.7999999999999995E-2</v>
      </c>
      <c r="Q48" s="26">
        <v>0.08</v>
      </c>
      <c r="R48" s="34">
        <f t="shared" si="7"/>
        <v>7.5583333333333336E-2</v>
      </c>
      <c r="S48" s="34">
        <v>2.5000000000000001E-2</v>
      </c>
      <c r="T48" s="248" t="s">
        <v>822</v>
      </c>
    </row>
    <row r="49" spans="1:20" ht="15.75" customHeight="1">
      <c r="A49" s="69"/>
      <c r="B49" s="181" t="s">
        <v>116</v>
      </c>
      <c r="C49" s="11">
        <v>3</v>
      </c>
      <c r="D49" s="68" t="s">
        <v>823</v>
      </c>
      <c r="E49" s="68" t="s">
        <v>824</v>
      </c>
      <c r="F49" s="26">
        <v>6.3E-2</v>
      </c>
      <c r="G49" s="26">
        <v>7.3999999999999996E-2</v>
      </c>
      <c r="H49" s="26">
        <v>7.5999999999999998E-2</v>
      </c>
      <c r="I49" s="26">
        <v>2.7E-2</v>
      </c>
      <c r="J49" s="26">
        <v>0.112</v>
      </c>
      <c r="K49" s="26">
        <v>6.3E-2</v>
      </c>
      <c r="L49" s="26">
        <v>7.5999999999999998E-2</v>
      </c>
      <c r="M49" s="26">
        <v>0.112</v>
      </c>
      <c r="N49" s="26">
        <v>0.19400000000000001</v>
      </c>
      <c r="O49" s="26">
        <v>7.5999999999999998E-2</v>
      </c>
      <c r="P49" s="26">
        <v>2.7E-2</v>
      </c>
      <c r="Q49" s="26">
        <v>0.124</v>
      </c>
      <c r="R49" s="34">
        <f t="shared" si="7"/>
        <v>8.533333333333333E-2</v>
      </c>
      <c r="S49" s="34">
        <v>2.5000000000000001E-2</v>
      </c>
      <c r="T49" s="248" t="s">
        <v>825</v>
      </c>
    </row>
    <row r="50" spans="1:20" ht="30">
      <c r="A50" s="69"/>
      <c r="B50" s="181" t="s">
        <v>727</v>
      </c>
      <c r="C50" s="11">
        <v>4</v>
      </c>
      <c r="D50" s="68" t="s">
        <v>826</v>
      </c>
      <c r="E50" s="68" t="s">
        <v>827</v>
      </c>
      <c r="F50" s="26">
        <v>6.5000000000000002E-2</v>
      </c>
      <c r="G50" s="26">
        <v>0.13500000000000001</v>
      </c>
      <c r="H50" s="26">
        <v>8.1000000000000003E-2</v>
      </c>
      <c r="I50" s="26">
        <v>1.0999999999999999E-2</v>
      </c>
      <c r="J50" s="26">
        <v>0.11700000000000001</v>
      </c>
      <c r="K50" s="26">
        <v>0.08</v>
      </c>
      <c r="L50" s="26">
        <v>5.6000000000000001E-2</v>
      </c>
      <c r="M50" s="26">
        <v>6.8000000000000005E-2</v>
      </c>
      <c r="N50" s="26">
        <v>0.36</v>
      </c>
      <c r="O50" s="26">
        <v>8.8999999999999996E-2</v>
      </c>
      <c r="P50" s="26">
        <v>6.3E-2</v>
      </c>
      <c r="Q50" s="26">
        <v>0.111</v>
      </c>
      <c r="R50" s="34">
        <f t="shared" si="7"/>
        <v>0.10299999999999999</v>
      </c>
      <c r="S50" s="34">
        <v>2.5000000000000001E-2</v>
      </c>
      <c r="T50" s="248" t="s">
        <v>828</v>
      </c>
    </row>
    <row r="51" spans="1:20" ht="15.75" customHeight="1">
      <c r="A51" s="69"/>
      <c r="B51" s="181" t="s">
        <v>727</v>
      </c>
      <c r="C51" s="11">
        <v>5</v>
      </c>
      <c r="D51" s="68" t="s">
        <v>830</v>
      </c>
      <c r="E51" s="68" t="s">
        <v>831</v>
      </c>
      <c r="F51" s="26">
        <v>0.108</v>
      </c>
      <c r="G51" s="26">
        <v>0.14299999999999999</v>
      </c>
      <c r="H51" s="26">
        <v>5.8999999999999997E-2</v>
      </c>
      <c r="I51" s="26">
        <v>4.7E-2</v>
      </c>
      <c r="J51" s="26">
        <v>0.112</v>
      </c>
      <c r="K51" s="26">
        <v>0.125</v>
      </c>
      <c r="L51" s="26">
        <v>3.7999999999999999E-2</v>
      </c>
      <c r="M51" s="26">
        <v>7.2999999999999995E-2</v>
      </c>
      <c r="N51" s="26">
        <v>0.51800000000000002</v>
      </c>
      <c r="O51" s="26">
        <v>8.6999999999999994E-2</v>
      </c>
      <c r="P51" s="26">
        <v>0.123</v>
      </c>
      <c r="Q51" s="26">
        <v>0.111</v>
      </c>
      <c r="R51" s="34">
        <f t="shared" si="7"/>
        <v>0.12866666666666665</v>
      </c>
      <c r="S51" s="34">
        <v>2.5000000000000001E-2</v>
      </c>
      <c r="T51" s="248" t="s">
        <v>832</v>
      </c>
    </row>
    <row r="52" spans="1:20" ht="15.75" customHeight="1">
      <c r="A52" s="9"/>
      <c r="B52" s="174" t="s">
        <v>117</v>
      </c>
      <c r="C52" s="15">
        <v>1</v>
      </c>
      <c r="D52" s="66" t="s">
        <v>817</v>
      </c>
      <c r="E52" s="66" t="s">
        <v>834</v>
      </c>
      <c r="F52" s="7">
        <v>50</v>
      </c>
      <c r="G52" s="7">
        <v>13</v>
      </c>
      <c r="H52" s="7">
        <v>5</v>
      </c>
      <c r="I52" s="7">
        <v>174</v>
      </c>
      <c r="J52" s="7">
        <v>9</v>
      </c>
      <c r="K52" s="7">
        <v>78</v>
      </c>
      <c r="L52" s="7">
        <v>5</v>
      </c>
      <c r="M52" s="7">
        <v>7</v>
      </c>
      <c r="N52" s="7">
        <v>7</v>
      </c>
      <c r="O52" s="7">
        <v>12</v>
      </c>
      <c r="P52" s="7">
        <v>4</v>
      </c>
      <c r="Q52" s="7">
        <v>7</v>
      </c>
      <c r="R52" s="48">
        <f t="shared" si="7"/>
        <v>30.916666666666668</v>
      </c>
      <c r="S52" s="8">
        <v>350</v>
      </c>
      <c r="T52" s="248" t="s">
        <v>819</v>
      </c>
    </row>
    <row r="53" spans="1:20" ht="15.75" customHeight="1">
      <c r="A53" s="9"/>
      <c r="B53" s="175" t="s">
        <v>117</v>
      </c>
      <c r="C53" s="11">
        <v>2</v>
      </c>
      <c r="D53" s="68" t="s">
        <v>820</v>
      </c>
      <c r="E53" s="68" t="s">
        <v>821</v>
      </c>
      <c r="F53" s="12">
        <v>70</v>
      </c>
      <c r="G53" s="12">
        <v>13</v>
      </c>
      <c r="H53" s="12">
        <v>6</v>
      </c>
      <c r="I53" s="12">
        <v>78</v>
      </c>
      <c r="J53" s="12">
        <v>19</v>
      </c>
      <c r="K53" s="12">
        <v>80</v>
      </c>
      <c r="L53" s="12">
        <v>6</v>
      </c>
      <c r="M53" s="12">
        <v>7</v>
      </c>
      <c r="N53" s="12">
        <v>10</v>
      </c>
      <c r="O53" s="12">
        <v>11</v>
      </c>
      <c r="P53" s="12">
        <v>4</v>
      </c>
      <c r="Q53" s="12">
        <v>5</v>
      </c>
      <c r="R53" s="35">
        <f t="shared" si="7"/>
        <v>25.75</v>
      </c>
      <c r="S53" s="14">
        <v>350</v>
      </c>
      <c r="T53" s="248" t="s">
        <v>822</v>
      </c>
    </row>
    <row r="54" spans="1:20" ht="15.75" customHeight="1">
      <c r="A54" s="9"/>
      <c r="B54" s="63" t="s">
        <v>117</v>
      </c>
      <c r="C54" s="11">
        <v>3</v>
      </c>
      <c r="D54" s="68" t="s">
        <v>823</v>
      </c>
      <c r="E54" s="68" t="s">
        <v>824</v>
      </c>
      <c r="F54" s="12">
        <v>764</v>
      </c>
      <c r="G54" s="12">
        <v>18</v>
      </c>
      <c r="H54" s="12">
        <v>18</v>
      </c>
      <c r="I54" s="12">
        <v>160</v>
      </c>
      <c r="J54" s="12">
        <v>6</v>
      </c>
      <c r="K54" s="12">
        <v>82</v>
      </c>
      <c r="L54" s="12">
        <v>7</v>
      </c>
      <c r="M54" s="12">
        <v>10</v>
      </c>
      <c r="N54" s="12">
        <v>5</v>
      </c>
      <c r="O54" s="12">
        <v>12</v>
      </c>
      <c r="P54" s="12">
        <v>7</v>
      </c>
      <c r="Q54" s="12">
        <v>7</v>
      </c>
      <c r="R54" s="35">
        <f t="shared" si="7"/>
        <v>91.333333333333329</v>
      </c>
      <c r="S54" s="14">
        <v>350</v>
      </c>
      <c r="T54" s="248" t="s">
        <v>825</v>
      </c>
    </row>
    <row r="55" spans="1:20" ht="30">
      <c r="A55" s="9"/>
      <c r="B55" s="175" t="s">
        <v>117</v>
      </c>
      <c r="C55" s="11">
        <v>4</v>
      </c>
      <c r="D55" s="68" t="s">
        <v>826</v>
      </c>
      <c r="E55" s="68" t="s">
        <v>827</v>
      </c>
      <c r="F55" s="12">
        <v>764</v>
      </c>
      <c r="G55" s="12">
        <v>178</v>
      </c>
      <c r="H55" s="12">
        <v>8</v>
      </c>
      <c r="I55" s="12">
        <v>164</v>
      </c>
      <c r="J55" s="12">
        <v>7</v>
      </c>
      <c r="K55" s="12">
        <v>104</v>
      </c>
      <c r="L55" s="12">
        <v>31</v>
      </c>
      <c r="M55" s="12">
        <v>60</v>
      </c>
      <c r="N55" s="12">
        <v>5</v>
      </c>
      <c r="O55" s="12">
        <v>16</v>
      </c>
      <c r="P55" s="12">
        <v>5</v>
      </c>
      <c r="Q55" s="12">
        <v>26</v>
      </c>
      <c r="R55" s="35">
        <f t="shared" si="7"/>
        <v>114</v>
      </c>
      <c r="S55" s="14">
        <v>350</v>
      </c>
      <c r="T55" s="248" t="s">
        <v>828</v>
      </c>
    </row>
    <row r="56" spans="1:20" ht="15.75" customHeight="1">
      <c r="A56" s="9"/>
      <c r="B56" s="63" t="s">
        <v>117</v>
      </c>
      <c r="C56" s="11">
        <v>5</v>
      </c>
      <c r="D56" s="68" t="s">
        <v>830</v>
      </c>
      <c r="E56" s="68" t="s">
        <v>831</v>
      </c>
      <c r="F56" s="12">
        <v>490</v>
      </c>
      <c r="G56" s="12">
        <v>123</v>
      </c>
      <c r="H56" s="12">
        <v>8</v>
      </c>
      <c r="I56" s="12">
        <v>136</v>
      </c>
      <c r="J56" s="12">
        <v>6</v>
      </c>
      <c r="K56" s="12">
        <v>99</v>
      </c>
      <c r="L56" s="12">
        <v>93</v>
      </c>
      <c r="M56" s="12">
        <v>779</v>
      </c>
      <c r="N56" s="12">
        <v>44</v>
      </c>
      <c r="O56" s="12">
        <v>48</v>
      </c>
      <c r="P56" s="12">
        <v>24</v>
      </c>
      <c r="Q56" s="12">
        <v>25</v>
      </c>
      <c r="R56" s="35">
        <f t="shared" si="7"/>
        <v>156.25</v>
      </c>
      <c r="S56" s="14">
        <v>350</v>
      </c>
      <c r="T56" s="248" t="s">
        <v>832</v>
      </c>
    </row>
    <row r="57" spans="1:20" ht="121.5">
      <c r="A57" s="9"/>
      <c r="B57" s="174" t="s">
        <v>314</v>
      </c>
      <c r="C57" s="15">
        <v>1</v>
      </c>
      <c r="D57" s="66" t="s">
        <v>817</v>
      </c>
      <c r="E57" s="66" t="s">
        <v>834</v>
      </c>
      <c r="F57" s="7" t="s">
        <v>657</v>
      </c>
      <c r="G57" s="7" t="s">
        <v>835</v>
      </c>
      <c r="H57" s="7" t="s">
        <v>836</v>
      </c>
      <c r="I57" s="7" t="s">
        <v>837</v>
      </c>
      <c r="J57" s="7" t="s">
        <v>838</v>
      </c>
      <c r="K57" s="7" t="s">
        <v>839</v>
      </c>
      <c r="L57" s="7" t="s">
        <v>840</v>
      </c>
      <c r="M57" s="7" t="s">
        <v>841</v>
      </c>
      <c r="N57" s="7" t="s">
        <v>842</v>
      </c>
      <c r="O57" s="7" t="s">
        <v>843</v>
      </c>
      <c r="P57" s="7" t="s">
        <v>844</v>
      </c>
      <c r="Q57" s="7" t="s">
        <v>845</v>
      </c>
      <c r="R57" s="1"/>
      <c r="S57" s="1"/>
      <c r="T57" s="248" t="s">
        <v>819</v>
      </c>
    </row>
    <row r="58" spans="1:20" ht="57.75" customHeight="1">
      <c r="A58" s="9"/>
      <c r="B58" s="175" t="s">
        <v>117</v>
      </c>
      <c r="C58" s="11">
        <v>2</v>
      </c>
      <c r="D58" s="68" t="s">
        <v>820</v>
      </c>
      <c r="E58" s="68" t="s">
        <v>821</v>
      </c>
      <c r="F58" s="12" t="s">
        <v>846</v>
      </c>
      <c r="G58" s="12" t="s">
        <v>847</v>
      </c>
      <c r="H58" s="12" t="s">
        <v>315</v>
      </c>
      <c r="I58" s="12" t="s">
        <v>848</v>
      </c>
      <c r="J58" s="12" t="s">
        <v>849</v>
      </c>
      <c r="K58" s="12" t="s">
        <v>850</v>
      </c>
      <c r="L58" s="12" t="s">
        <v>851</v>
      </c>
      <c r="M58" s="12" t="s">
        <v>852</v>
      </c>
      <c r="N58" s="12" t="s">
        <v>842</v>
      </c>
      <c r="O58" s="12" t="s">
        <v>853</v>
      </c>
      <c r="P58" s="12" t="s">
        <v>854</v>
      </c>
      <c r="Q58" s="12" t="s">
        <v>855</v>
      </c>
      <c r="R58" s="1"/>
      <c r="S58" s="1"/>
      <c r="T58" s="248" t="s">
        <v>822</v>
      </c>
    </row>
    <row r="59" spans="1:20" ht="51" customHeight="1">
      <c r="A59" s="9"/>
      <c r="B59" s="63" t="s">
        <v>117</v>
      </c>
      <c r="C59" s="11">
        <v>3</v>
      </c>
      <c r="D59" s="68" t="s">
        <v>823</v>
      </c>
      <c r="E59" s="68" t="s">
        <v>824</v>
      </c>
      <c r="F59" s="12" t="s">
        <v>856</v>
      </c>
      <c r="G59" s="12" t="s">
        <v>315</v>
      </c>
      <c r="H59" s="12" t="s">
        <v>315</v>
      </c>
      <c r="I59" s="12" t="s">
        <v>857</v>
      </c>
      <c r="J59" s="12" t="s">
        <v>858</v>
      </c>
      <c r="K59" s="12" t="s">
        <v>859</v>
      </c>
      <c r="L59" s="12" t="s">
        <v>860</v>
      </c>
      <c r="M59" s="12" t="s">
        <v>861</v>
      </c>
      <c r="N59" s="12" t="s">
        <v>862</v>
      </c>
      <c r="O59" s="12" t="s">
        <v>863</v>
      </c>
      <c r="P59" s="12" t="s">
        <v>864</v>
      </c>
      <c r="Q59" s="12" t="s">
        <v>865</v>
      </c>
      <c r="R59" s="1"/>
      <c r="S59" s="1"/>
      <c r="T59" s="248" t="s">
        <v>825</v>
      </c>
    </row>
    <row r="60" spans="1:20" ht="51.75" customHeight="1">
      <c r="A60" s="9"/>
      <c r="B60" s="63"/>
      <c r="C60" s="11">
        <v>4</v>
      </c>
      <c r="D60" s="68" t="s">
        <v>826</v>
      </c>
      <c r="E60" s="68" t="s">
        <v>827</v>
      </c>
      <c r="F60" s="12" t="s">
        <v>866</v>
      </c>
      <c r="G60" s="12" t="s">
        <v>368</v>
      </c>
      <c r="H60" s="12" t="s">
        <v>363</v>
      </c>
      <c r="I60" s="12" t="s">
        <v>867</v>
      </c>
      <c r="J60" s="12" t="s">
        <v>868</v>
      </c>
      <c r="K60" s="12" t="s">
        <v>363</v>
      </c>
      <c r="L60" s="12" t="s">
        <v>869</v>
      </c>
      <c r="M60" s="12" t="s">
        <v>870</v>
      </c>
      <c r="N60" s="12" t="s">
        <v>871</v>
      </c>
      <c r="O60" s="12" t="s">
        <v>872</v>
      </c>
      <c r="P60" s="12" t="s">
        <v>873</v>
      </c>
      <c r="Q60" s="12" t="s">
        <v>874</v>
      </c>
      <c r="R60" s="1"/>
      <c r="S60" s="1"/>
      <c r="T60" s="248" t="s">
        <v>828</v>
      </c>
    </row>
    <row r="61" spans="1:20" ht="51" customHeight="1">
      <c r="A61" s="9"/>
      <c r="B61" s="63"/>
      <c r="C61" s="11">
        <v>5</v>
      </c>
      <c r="D61" s="68" t="s">
        <v>830</v>
      </c>
      <c r="E61" s="68" t="s">
        <v>831</v>
      </c>
      <c r="F61" s="12" t="s">
        <v>516</v>
      </c>
      <c r="G61" s="12" t="s">
        <v>363</v>
      </c>
      <c r="H61" s="12" t="s">
        <v>363</v>
      </c>
      <c r="I61" s="12" t="s">
        <v>867</v>
      </c>
      <c r="J61" s="12" t="s">
        <v>875</v>
      </c>
      <c r="K61" s="12" t="s">
        <v>363</v>
      </c>
      <c r="L61" s="12" t="s">
        <v>876</v>
      </c>
      <c r="M61" s="12" t="s">
        <v>877</v>
      </c>
      <c r="N61" s="12" t="s">
        <v>878</v>
      </c>
      <c r="O61" s="12" t="s">
        <v>520</v>
      </c>
      <c r="P61" s="12" t="s">
        <v>387</v>
      </c>
      <c r="Q61" s="12" t="s">
        <v>879</v>
      </c>
      <c r="R61" s="1"/>
      <c r="S61" s="1"/>
      <c r="T61" s="248" t="s">
        <v>832</v>
      </c>
    </row>
    <row r="62" spans="1:20" ht="15.75" customHeight="1">
      <c r="A62" s="1"/>
      <c r="B62" s="1"/>
      <c r="C62" s="1" t="s">
        <v>349</v>
      </c>
      <c r="D62" s="1"/>
      <c r="E62" s="1"/>
      <c r="F62" s="1">
        <v>23</v>
      </c>
      <c r="G62" s="1">
        <v>20</v>
      </c>
      <c r="H62" s="1">
        <v>20</v>
      </c>
      <c r="I62" s="1">
        <v>24</v>
      </c>
      <c r="J62" s="1">
        <v>22</v>
      </c>
      <c r="K62" s="1">
        <v>9</v>
      </c>
      <c r="L62" s="1">
        <v>17</v>
      </c>
      <c r="M62" s="1">
        <v>15</v>
      </c>
      <c r="N62" s="1">
        <v>5</v>
      </c>
      <c r="O62" s="1">
        <v>9</v>
      </c>
      <c r="P62" s="1">
        <v>3</v>
      </c>
      <c r="Q62" s="1">
        <v>1</v>
      </c>
      <c r="R62" s="1"/>
      <c r="S62" s="1"/>
    </row>
    <row r="63" spans="1:20" ht="15.75" customHeight="1">
      <c r="A63" s="1"/>
      <c r="B63" s="1"/>
      <c r="D63" s="243"/>
      <c r="E63" s="243"/>
      <c r="F63" s="243"/>
      <c r="G63" s="243"/>
      <c r="H63" s="243"/>
      <c r="I63" s="243"/>
      <c r="J63" s="243"/>
      <c r="K63" s="243"/>
      <c r="L63" s="243"/>
      <c r="M63" s="243"/>
      <c r="N63" s="243"/>
      <c r="O63" s="243"/>
      <c r="P63" s="243"/>
      <c r="Q63" s="243"/>
      <c r="R63" s="243"/>
      <c r="S63" s="243"/>
    </row>
    <row r="64" spans="1:20" ht="15.75" customHeight="1">
      <c r="A64" s="1"/>
      <c r="B64" s="1"/>
      <c r="C64" s="243"/>
      <c r="D64" s="232"/>
      <c r="T64" s="232"/>
    </row>
    <row r="65" spans="3:20" ht="15.75" customHeight="1">
      <c r="C65" s="243"/>
      <c r="D65" s="232"/>
      <c r="T65" s="232"/>
    </row>
    <row r="66" spans="3:20" ht="15.75" customHeight="1">
      <c r="C66" s="243"/>
      <c r="D66" s="243" t="s">
        <v>880</v>
      </c>
      <c r="T66" s="232"/>
    </row>
    <row r="67" spans="3:20" ht="15.75" customHeight="1">
      <c r="C67" s="243"/>
      <c r="D67" s="877" t="s">
        <v>881</v>
      </c>
      <c r="E67" s="877"/>
      <c r="F67" s="877"/>
      <c r="G67" s="877"/>
      <c r="H67" s="877"/>
      <c r="I67" s="877"/>
      <c r="J67" s="877"/>
      <c r="K67" s="877"/>
      <c r="L67" s="877"/>
      <c r="M67" s="877"/>
      <c r="N67" s="877"/>
      <c r="O67" s="877"/>
      <c r="P67" s="877"/>
      <c r="Q67" s="877"/>
      <c r="T67" s="232"/>
    </row>
    <row r="68" spans="3:20" ht="15.75" customHeight="1">
      <c r="C68" s="243"/>
      <c r="D68" s="877"/>
      <c r="E68" s="877"/>
      <c r="F68" s="877"/>
      <c r="G68" s="877"/>
      <c r="H68" s="877"/>
      <c r="I68" s="877"/>
      <c r="J68" s="877"/>
      <c r="K68" s="877"/>
      <c r="L68" s="877"/>
      <c r="M68" s="877"/>
      <c r="N68" s="877"/>
      <c r="O68" s="877"/>
      <c r="P68" s="877"/>
      <c r="Q68" s="877"/>
      <c r="T68" s="232"/>
    </row>
    <row r="69" spans="3:20" ht="15.75" customHeight="1">
      <c r="C69" s="243"/>
      <c r="D69" s="877"/>
      <c r="E69" s="877"/>
      <c r="F69" s="877"/>
      <c r="G69" s="877"/>
      <c r="H69" s="877"/>
      <c r="I69" s="877"/>
      <c r="J69" s="877"/>
      <c r="K69" s="877"/>
      <c r="L69" s="877"/>
      <c r="M69" s="877"/>
      <c r="N69" s="877"/>
      <c r="O69" s="877"/>
      <c r="P69" s="877"/>
      <c r="Q69" s="877"/>
      <c r="T69" s="232"/>
    </row>
    <row r="70" spans="3:20" ht="15.75" customHeight="1">
      <c r="C70" s="243"/>
      <c r="D70" s="877"/>
      <c r="E70" s="877"/>
      <c r="F70" s="877"/>
      <c r="G70" s="877"/>
      <c r="H70" s="877"/>
      <c r="I70" s="877"/>
      <c r="J70" s="877"/>
      <c r="K70" s="877"/>
      <c r="L70" s="877"/>
      <c r="M70" s="877"/>
      <c r="N70" s="877"/>
      <c r="O70" s="877"/>
      <c r="P70" s="877"/>
      <c r="Q70" s="877"/>
      <c r="T70" s="232"/>
    </row>
    <row r="71" spans="3:20" ht="15.75" customHeight="1">
      <c r="C71" s="243"/>
      <c r="D71" s="877"/>
      <c r="E71" s="877"/>
      <c r="F71" s="877"/>
      <c r="G71" s="877"/>
      <c r="H71" s="877"/>
      <c r="I71" s="877"/>
      <c r="J71" s="877"/>
      <c r="K71" s="877"/>
      <c r="L71" s="877"/>
      <c r="M71" s="877"/>
      <c r="N71" s="877"/>
      <c r="O71" s="877"/>
      <c r="P71" s="877"/>
      <c r="Q71" s="877"/>
      <c r="T71" s="232"/>
    </row>
    <row r="72" spans="3:20" ht="15.75" customHeight="1">
      <c r="C72" s="243"/>
      <c r="D72" s="877"/>
      <c r="E72" s="877"/>
      <c r="F72" s="877"/>
      <c r="G72" s="877"/>
      <c r="H72" s="877"/>
      <c r="I72" s="877"/>
      <c r="J72" s="877"/>
      <c r="K72" s="877"/>
      <c r="L72" s="877"/>
      <c r="M72" s="877"/>
      <c r="N72" s="877"/>
      <c r="O72" s="877"/>
      <c r="P72" s="877"/>
      <c r="Q72" s="877"/>
      <c r="T72" s="232"/>
    </row>
    <row r="73" spans="3:20" ht="15.75" customHeight="1">
      <c r="C73" s="243"/>
      <c r="D73" s="877"/>
      <c r="E73" s="877"/>
      <c r="F73" s="877"/>
      <c r="G73" s="877"/>
      <c r="H73" s="877"/>
      <c r="I73" s="877"/>
      <c r="J73" s="877"/>
      <c r="K73" s="877"/>
      <c r="L73" s="877"/>
      <c r="M73" s="877"/>
      <c r="N73" s="877"/>
      <c r="O73" s="877"/>
      <c r="P73" s="877"/>
      <c r="Q73" s="877"/>
      <c r="T73" s="232"/>
    </row>
    <row r="74" spans="3:20" ht="15.75" customHeight="1">
      <c r="C74" s="243"/>
      <c r="D74" s="232"/>
      <c r="T74" s="232"/>
    </row>
    <row r="75" spans="3:20" ht="15.75" customHeight="1">
      <c r="C75" s="243"/>
      <c r="D75" s="232"/>
      <c r="T75" s="232"/>
    </row>
    <row r="76" spans="3:20" ht="15.75" customHeight="1">
      <c r="C76" s="243"/>
      <c r="D76" s="232"/>
      <c r="T76" s="232"/>
    </row>
    <row r="77" spans="3:20" ht="15.75" customHeight="1">
      <c r="C77" s="243"/>
      <c r="D77" s="232"/>
      <c r="T77" s="232"/>
    </row>
    <row r="78" spans="3:20" ht="15.75" customHeight="1">
      <c r="D78" s="243"/>
    </row>
    <row r="79" spans="3:20" ht="15.75" customHeight="1">
      <c r="D79" s="243"/>
    </row>
    <row r="80" spans="3:20" ht="15.75" customHeight="1">
      <c r="C80" s="243"/>
      <c r="D80" s="232"/>
      <c r="T80" s="232"/>
    </row>
    <row r="81" spans="3:20" ht="15.75" customHeight="1">
      <c r="C81" s="243"/>
      <c r="D81" s="232"/>
      <c r="T81" s="232"/>
    </row>
    <row r="82" spans="3:20" ht="15.75" customHeight="1">
      <c r="C82" s="243"/>
      <c r="D82" s="243"/>
      <c r="T82" s="232"/>
    </row>
    <row r="83" spans="3:20" ht="15.75" customHeight="1">
      <c r="C83" s="243"/>
      <c r="D83" s="232"/>
      <c r="T83" s="232"/>
    </row>
    <row r="84" spans="3:20" ht="15.75" customHeight="1">
      <c r="C84" s="243"/>
      <c r="D84" s="232"/>
      <c r="T84" s="232"/>
    </row>
    <row r="85" spans="3:20" ht="15.75" customHeight="1">
      <c r="C85" s="243"/>
      <c r="D85" s="232"/>
      <c r="T85" s="232"/>
    </row>
    <row r="86" spans="3:20" ht="15.75" customHeight="1">
      <c r="C86" s="243"/>
      <c r="D86" s="232"/>
      <c r="T86" s="232"/>
    </row>
    <row r="87" spans="3:20" ht="15.75" customHeight="1">
      <c r="C87" s="243"/>
      <c r="D87" s="232"/>
      <c r="T87" s="232"/>
    </row>
    <row r="88" spans="3:20" ht="15.75" customHeight="1">
      <c r="C88" s="243"/>
      <c r="D88" s="232"/>
      <c r="T88" s="232"/>
    </row>
    <row r="89" spans="3:20" ht="15.75" customHeight="1">
      <c r="C89" s="243"/>
      <c r="D89" s="243"/>
      <c r="T89" s="232"/>
    </row>
    <row r="90" spans="3:20" ht="15.75" customHeight="1">
      <c r="C90" s="243"/>
      <c r="D90" s="232"/>
      <c r="T90" s="232"/>
    </row>
    <row r="91" spans="3:20" ht="15.75" customHeight="1">
      <c r="C91" s="243"/>
      <c r="D91" s="232"/>
      <c r="T91" s="232"/>
    </row>
    <row r="92" spans="3:20" ht="15.75" customHeight="1">
      <c r="C92" s="243"/>
      <c r="D92" s="232"/>
      <c r="T92" s="232"/>
    </row>
    <row r="93" spans="3:20" ht="15.75" customHeight="1">
      <c r="C93" s="243"/>
      <c r="D93" s="232"/>
      <c r="T93" s="232"/>
    </row>
    <row r="94" spans="3:20" ht="15" customHeight="1">
      <c r="D94" s="232"/>
      <c r="E94" s="232"/>
      <c r="F94" s="232"/>
      <c r="G94" s="232"/>
      <c r="H94" s="232"/>
      <c r="I94" s="232"/>
      <c r="J94" s="232"/>
      <c r="K94" s="232"/>
      <c r="L94" s="232"/>
      <c r="M94" s="232"/>
      <c r="N94" s="232"/>
      <c r="O94" s="232"/>
      <c r="P94" s="232"/>
      <c r="Q94" s="232"/>
      <c r="R94" s="232"/>
      <c r="S94" s="232"/>
    </row>
  </sheetData>
  <mergeCells count="23">
    <mergeCell ref="D67:Q73"/>
    <mergeCell ref="X7:AL7"/>
    <mergeCell ref="X8:AL8"/>
    <mergeCell ref="X9:AB9"/>
    <mergeCell ref="C1:S1"/>
    <mergeCell ref="C2:S2"/>
    <mergeCell ref="C3:S3"/>
    <mergeCell ref="C4:S4"/>
    <mergeCell ref="C5:S5"/>
    <mergeCell ref="AC9:AL9"/>
    <mergeCell ref="X11:X15"/>
    <mergeCell ref="Y11:Y15"/>
    <mergeCell ref="Z11:Z15"/>
    <mergeCell ref="Y17:AB20"/>
    <mergeCell ref="Y33:AB36"/>
    <mergeCell ref="X32:AL32"/>
    <mergeCell ref="AC25:AL25"/>
    <mergeCell ref="X27:X31"/>
    <mergeCell ref="Y27:Y31"/>
    <mergeCell ref="X16:AL16"/>
    <mergeCell ref="X23:AL23"/>
    <mergeCell ref="X24:AL24"/>
    <mergeCell ref="Z27:Z31"/>
  </mergeCells>
  <phoneticPr fontId="18" type="noConversion"/>
  <conditionalFormatting sqref="F7:Q11">
    <cfRule type="cellIs" dxfId="2" priority="6" operator="lessThan">
      <formula>5</formula>
    </cfRule>
  </conditionalFormatting>
  <conditionalFormatting sqref="F17:Q21">
    <cfRule type="cellIs" dxfId="1" priority="4" operator="greaterThan">
      <formula>80</formula>
    </cfRule>
  </conditionalFormatting>
  <conditionalFormatting sqref="F47:Q51">
    <cfRule type="cellIs" dxfId="0" priority="1" operator="greaterThan">
      <formula>0.025</formula>
    </cfRule>
  </conditionalFormatting>
  <pageMargins left="0.7" right="0.7" top="0.75" bottom="0.75" header="0" footer="0"/>
  <pageSetup fitToHeight="0"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5C576-8CB1-49D8-B9F2-5F923FAE0002}">
  <sheetPr>
    <tabColor rgb="FFFFFF00"/>
  </sheetPr>
  <dimension ref="A1:AF75"/>
  <sheetViews>
    <sheetView workbookViewId="0">
      <selection activeCell="J30" sqref="J30"/>
    </sheetView>
  </sheetViews>
  <sheetFormatPr defaultRowHeight="15"/>
  <cols>
    <col min="2" max="2" width="18.28515625" customWidth="1"/>
    <col min="4" max="4" width="18.42578125" customWidth="1"/>
    <col min="5" max="5" width="18.42578125" style="221" customWidth="1"/>
    <col min="6" max="6" width="12.28515625" customWidth="1"/>
    <col min="7" max="7" width="11.42578125" customWidth="1"/>
    <col min="8" max="8" width="11.7109375" customWidth="1"/>
    <col min="9" max="9" width="12.85546875" customWidth="1"/>
    <col min="10" max="10" width="17.7109375" customWidth="1"/>
    <col min="11" max="11" width="19.85546875" customWidth="1"/>
    <col min="21" max="21" width="31.42578125" bestFit="1" customWidth="1"/>
    <col min="28" max="28" width="19.85546875" bestFit="1" customWidth="1"/>
    <col min="31" max="31" width="13.28515625" bestFit="1" customWidth="1"/>
  </cols>
  <sheetData>
    <row r="1" spans="1:30">
      <c r="A1" s="1011"/>
      <c r="B1" s="1012"/>
      <c r="C1" s="1012"/>
      <c r="D1" s="1012"/>
      <c r="E1" s="1012"/>
      <c r="F1" s="1012"/>
      <c r="G1" s="1012"/>
      <c r="H1" s="1012"/>
      <c r="I1" s="1012"/>
      <c r="J1" s="1012"/>
      <c r="K1" s="1013"/>
      <c r="L1" s="299"/>
    </row>
    <row r="2" spans="1:30">
      <c r="A2" s="1014" t="s">
        <v>41</v>
      </c>
      <c r="B2" s="1015"/>
      <c r="C2" s="1015"/>
      <c r="D2" s="1015"/>
      <c r="E2" s="1015"/>
      <c r="F2" s="1015"/>
      <c r="G2" s="1015"/>
      <c r="H2" s="1015"/>
      <c r="I2" s="1015"/>
      <c r="J2" s="1015"/>
      <c r="K2" s="1016"/>
      <c r="L2" s="301"/>
    </row>
    <row r="3" spans="1:30">
      <c r="A3" s="1017" t="s">
        <v>42</v>
      </c>
      <c r="B3" s="1018"/>
      <c r="C3" s="1018"/>
      <c r="D3" s="1018"/>
      <c r="E3" s="1018"/>
      <c r="F3" s="1018"/>
      <c r="G3" s="1018"/>
      <c r="H3" s="1018"/>
      <c r="I3" s="1018"/>
      <c r="J3" s="1018"/>
      <c r="K3" s="1019"/>
      <c r="L3" s="301"/>
    </row>
    <row r="4" spans="1:30" s="335" customFormat="1">
      <c r="A4" s="336" t="s">
        <v>45</v>
      </c>
      <c r="B4" s="327" t="s">
        <v>46</v>
      </c>
      <c r="C4" s="327" t="s">
        <v>47</v>
      </c>
      <c r="D4" s="327" t="s">
        <v>48</v>
      </c>
      <c r="E4" s="352" t="s">
        <v>49</v>
      </c>
      <c r="F4" s="327" t="s">
        <v>392</v>
      </c>
      <c r="G4" s="327" t="s">
        <v>393</v>
      </c>
      <c r="H4" s="327" t="s">
        <v>394</v>
      </c>
      <c r="I4" s="327" t="s">
        <v>395</v>
      </c>
      <c r="J4" s="327" t="s">
        <v>62</v>
      </c>
      <c r="K4" s="327" t="s">
        <v>63</v>
      </c>
      <c r="L4" s="331"/>
    </row>
    <row r="5" spans="1:30">
      <c r="A5" s="1023" t="s">
        <v>882</v>
      </c>
      <c r="B5" s="1024"/>
      <c r="C5" s="1024"/>
      <c r="D5" s="1024"/>
      <c r="E5" s="1024"/>
      <c r="F5" s="1024"/>
      <c r="G5" s="1024"/>
      <c r="H5" s="1024"/>
      <c r="I5" s="1024"/>
      <c r="J5" s="1024"/>
      <c r="K5" s="1055"/>
      <c r="L5" s="301"/>
    </row>
    <row r="6" spans="1:30">
      <c r="A6" s="1023" t="s">
        <v>255</v>
      </c>
      <c r="B6" s="1024"/>
      <c r="C6" s="1024"/>
      <c r="D6" s="1024"/>
      <c r="E6" s="1024"/>
      <c r="F6" s="1024"/>
      <c r="G6" s="1024"/>
      <c r="H6" s="1024"/>
      <c r="I6" s="1024"/>
      <c r="J6" s="1024"/>
      <c r="K6" s="1055"/>
      <c r="L6" s="301"/>
    </row>
    <row r="7" spans="1:30" ht="40.5" customHeight="1">
      <c r="A7" s="339" t="s">
        <v>65</v>
      </c>
      <c r="B7" s="1056" t="s">
        <v>66</v>
      </c>
      <c r="C7" s="328">
        <v>1</v>
      </c>
      <c r="D7" s="340" t="s">
        <v>883</v>
      </c>
      <c r="E7" s="345" t="s">
        <v>884</v>
      </c>
      <c r="F7" s="520">
        <v>6.09</v>
      </c>
      <c r="G7" s="520">
        <v>2.83</v>
      </c>
      <c r="H7" s="522">
        <v>7.01</v>
      </c>
      <c r="I7" s="522">
        <v>6.71</v>
      </c>
      <c r="J7" s="520">
        <f>AVERAGE(F7:I7)</f>
        <v>5.66</v>
      </c>
      <c r="K7" s="341">
        <v>5</v>
      </c>
      <c r="L7" s="301"/>
      <c r="P7" s="843"/>
      <c r="Q7" s="843"/>
      <c r="R7" s="843"/>
      <c r="S7" s="843"/>
      <c r="T7" s="843"/>
      <c r="U7" s="843"/>
      <c r="V7" s="843"/>
      <c r="W7" s="843"/>
      <c r="X7" s="843"/>
      <c r="Y7" s="843"/>
      <c r="Z7" s="843"/>
      <c r="AA7" s="843"/>
      <c r="AB7" s="843"/>
      <c r="AC7" s="843"/>
      <c r="AD7" s="843"/>
    </row>
    <row r="8" spans="1:30" ht="30">
      <c r="A8" s="342"/>
      <c r="B8" s="1057"/>
      <c r="C8" s="329">
        <v>2</v>
      </c>
      <c r="D8" s="343" t="s">
        <v>885</v>
      </c>
      <c r="E8" s="346" t="s">
        <v>886</v>
      </c>
      <c r="F8" s="523">
        <v>3.31</v>
      </c>
      <c r="G8" s="523">
        <v>1.54</v>
      </c>
      <c r="H8" s="525">
        <v>7.1</v>
      </c>
      <c r="I8" s="525">
        <v>6.35</v>
      </c>
      <c r="J8" s="523">
        <f>AVERAGE(F8:I8)</f>
        <v>4.5749999999999993</v>
      </c>
      <c r="K8" s="344">
        <v>5</v>
      </c>
      <c r="L8" s="301"/>
      <c r="P8" s="843"/>
      <c r="Q8" s="843"/>
      <c r="R8" s="843"/>
      <c r="S8" s="843"/>
      <c r="T8" s="843"/>
      <c r="U8" s="843"/>
      <c r="V8" s="843"/>
      <c r="W8" s="843"/>
      <c r="X8" s="843"/>
      <c r="Y8" s="843"/>
      <c r="Z8" s="843"/>
      <c r="AA8" s="843"/>
      <c r="AB8" s="843"/>
      <c r="AC8" s="843"/>
      <c r="AD8" s="843"/>
    </row>
    <row r="9" spans="1:30" ht="30">
      <c r="A9" s="342"/>
      <c r="B9" s="1058"/>
      <c r="C9" s="329">
        <v>3</v>
      </c>
      <c r="D9" s="343" t="s">
        <v>887</v>
      </c>
      <c r="E9" s="346" t="s">
        <v>888</v>
      </c>
      <c r="F9" s="523">
        <v>4.76</v>
      </c>
      <c r="G9" s="523">
        <v>2.97</v>
      </c>
      <c r="H9" s="525">
        <v>6.85</v>
      </c>
      <c r="I9" s="525">
        <v>6.41</v>
      </c>
      <c r="J9" s="523">
        <f>AVERAGE(F9:I9)</f>
        <v>5.2475000000000005</v>
      </c>
      <c r="K9" s="344">
        <v>5</v>
      </c>
      <c r="L9" s="301"/>
      <c r="P9" s="844"/>
      <c r="Q9" s="845"/>
      <c r="R9" s="845"/>
      <c r="S9" s="845"/>
      <c r="T9" s="846"/>
      <c r="U9" s="848"/>
      <c r="V9" s="1161"/>
      <c r="W9" s="1161"/>
      <c r="X9" s="1161"/>
      <c r="Y9" s="1161"/>
      <c r="Z9" s="1161"/>
      <c r="AA9" s="1161"/>
      <c r="AB9" s="1161"/>
      <c r="AC9" s="1161"/>
      <c r="AD9" s="1161"/>
    </row>
    <row r="10" spans="1:30" ht="30">
      <c r="A10" s="342"/>
      <c r="B10" s="1056" t="s">
        <v>91</v>
      </c>
      <c r="C10" s="328">
        <v>1</v>
      </c>
      <c r="D10" s="340" t="s">
        <v>883</v>
      </c>
      <c r="E10" s="345" t="s">
        <v>884</v>
      </c>
      <c r="F10" s="520">
        <v>2</v>
      </c>
      <c r="G10" s="520">
        <v>2</v>
      </c>
      <c r="H10" s="522">
        <v>3</v>
      </c>
      <c r="I10" s="522">
        <v>3</v>
      </c>
      <c r="J10" s="520">
        <f t="shared" ref="J10:J24" si="0">AVERAGE(F10:I10)</f>
        <v>2.5</v>
      </c>
      <c r="K10" s="341">
        <v>7</v>
      </c>
      <c r="L10" s="301"/>
      <c r="P10" s="14"/>
      <c r="Q10" s="14"/>
      <c r="R10" s="14"/>
      <c r="S10" s="14"/>
      <c r="T10" s="14"/>
      <c r="U10" s="14"/>
      <c r="V10" s="14"/>
      <c r="W10" s="14"/>
      <c r="X10" s="14"/>
      <c r="Y10" s="14"/>
      <c r="Z10" s="14"/>
      <c r="AA10" s="14"/>
      <c r="AB10" s="14"/>
      <c r="AC10" s="14"/>
      <c r="AD10" s="14"/>
    </row>
    <row r="11" spans="1:30" ht="30">
      <c r="A11" s="342"/>
      <c r="B11" s="1057"/>
      <c r="C11" s="329">
        <v>2</v>
      </c>
      <c r="D11" s="343" t="s">
        <v>885</v>
      </c>
      <c r="E11" s="346" t="s">
        <v>886</v>
      </c>
      <c r="F11" s="523">
        <v>3</v>
      </c>
      <c r="G11" s="523">
        <v>2</v>
      </c>
      <c r="H11" s="525">
        <v>5</v>
      </c>
      <c r="I11" s="525">
        <v>4</v>
      </c>
      <c r="J11" s="523">
        <f t="shared" si="0"/>
        <v>3.5</v>
      </c>
      <c r="K11" s="344">
        <v>7</v>
      </c>
      <c r="L11" s="301"/>
      <c r="P11" s="847"/>
      <c r="Q11" s="847"/>
      <c r="R11" s="855"/>
      <c r="S11" s="32"/>
      <c r="T11" s="65"/>
      <c r="U11" s="33"/>
      <c r="V11" s="33"/>
      <c r="W11" s="33"/>
      <c r="X11" s="33"/>
      <c r="Y11" s="33"/>
      <c r="Z11" s="33"/>
      <c r="AA11" s="33"/>
      <c r="AB11" s="34"/>
      <c r="AC11" s="34"/>
      <c r="AD11" s="33"/>
    </row>
    <row r="12" spans="1:30" ht="30">
      <c r="A12" s="342"/>
      <c r="B12" s="1058"/>
      <c r="C12" s="329">
        <v>3</v>
      </c>
      <c r="D12" s="343" t="s">
        <v>887</v>
      </c>
      <c r="E12" s="346" t="s">
        <v>888</v>
      </c>
      <c r="F12" s="523">
        <v>3</v>
      </c>
      <c r="G12" s="523">
        <v>2</v>
      </c>
      <c r="H12" s="525">
        <v>5</v>
      </c>
      <c r="I12" s="525">
        <v>5</v>
      </c>
      <c r="J12" s="523">
        <f t="shared" si="0"/>
        <v>3.75</v>
      </c>
      <c r="K12" s="344">
        <v>7</v>
      </c>
      <c r="L12" s="301"/>
      <c r="P12" s="1161"/>
      <c r="Q12" s="1161"/>
      <c r="R12" s="1161"/>
      <c r="S12" s="32"/>
      <c r="T12" s="65"/>
      <c r="U12" s="33"/>
      <c r="V12" s="33"/>
      <c r="W12" s="33"/>
      <c r="X12" s="33"/>
      <c r="Y12" s="33"/>
      <c r="Z12" s="33"/>
      <c r="AA12" s="33"/>
      <c r="AB12" s="34"/>
      <c r="AC12" s="34"/>
      <c r="AD12" s="33"/>
    </row>
    <row r="13" spans="1:30" ht="30">
      <c r="A13" s="342"/>
      <c r="B13" s="1056" t="s">
        <v>92</v>
      </c>
      <c r="C13" s="328">
        <v>1</v>
      </c>
      <c r="D13" s="340" t="s">
        <v>883</v>
      </c>
      <c r="E13" s="345" t="s">
        <v>884</v>
      </c>
      <c r="F13" s="520">
        <v>18</v>
      </c>
      <c r="G13" s="520">
        <v>94</v>
      </c>
      <c r="H13" s="522">
        <v>63</v>
      </c>
      <c r="I13" s="522">
        <v>10</v>
      </c>
      <c r="J13" s="520">
        <f t="shared" si="0"/>
        <v>46.25</v>
      </c>
      <c r="K13" s="341">
        <v>80</v>
      </c>
      <c r="L13" s="301"/>
      <c r="P13" s="1161"/>
      <c r="Q13" s="1161"/>
      <c r="R13" s="1161"/>
      <c r="S13" s="32"/>
      <c r="T13" s="65"/>
      <c r="U13" s="33"/>
      <c r="V13" s="33"/>
      <c r="W13" s="33"/>
      <c r="X13" s="33"/>
      <c r="Y13" s="33"/>
      <c r="Z13" s="33"/>
      <c r="AA13" s="33"/>
      <c r="AB13" s="34"/>
      <c r="AC13" s="34"/>
      <c r="AD13" s="33"/>
    </row>
    <row r="14" spans="1:30" ht="30">
      <c r="A14" s="342"/>
      <c r="B14" s="1057"/>
      <c r="C14" s="329">
        <v>2</v>
      </c>
      <c r="D14" s="343" t="s">
        <v>885</v>
      </c>
      <c r="E14" s="346" t="s">
        <v>886</v>
      </c>
      <c r="F14" s="523">
        <v>55</v>
      </c>
      <c r="G14" s="523">
        <v>22</v>
      </c>
      <c r="H14" s="525">
        <v>108</v>
      </c>
      <c r="I14" s="525">
        <v>15</v>
      </c>
      <c r="J14" s="523">
        <f t="shared" si="0"/>
        <v>50</v>
      </c>
      <c r="K14" s="344">
        <v>80</v>
      </c>
      <c r="L14" s="301"/>
      <c r="P14" s="1161"/>
      <c r="Q14" s="1161"/>
      <c r="R14" s="1161"/>
      <c r="S14" s="32"/>
      <c r="T14" s="65"/>
      <c r="U14" s="33"/>
      <c r="V14" s="33"/>
      <c r="W14" s="33"/>
      <c r="X14" s="33"/>
      <c r="Y14" s="33"/>
      <c r="Z14" s="33"/>
      <c r="AA14" s="33"/>
      <c r="AB14" s="34"/>
      <c r="AC14" s="34"/>
      <c r="AD14" s="33"/>
    </row>
    <row r="15" spans="1:30" ht="30">
      <c r="A15" s="342"/>
      <c r="B15" s="1058"/>
      <c r="C15" s="329">
        <v>3</v>
      </c>
      <c r="D15" s="343" t="s">
        <v>887</v>
      </c>
      <c r="E15" s="346" t="s">
        <v>888</v>
      </c>
      <c r="F15" s="523">
        <v>63</v>
      </c>
      <c r="G15" s="523">
        <v>123</v>
      </c>
      <c r="H15" s="525">
        <v>67</v>
      </c>
      <c r="I15" s="525">
        <v>12</v>
      </c>
      <c r="J15" s="523">
        <f t="shared" si="0"/>
        <v>66.25</v>
      </c>
      <c r="K15" s="344">
        <v>80</v>
      </c>
      <c r="L15" s="301"/>
      <c r="P15" s="1161"/>
      <c r="Q15" s="1161"/>
      <c r="R15" s="1161"/>
      <c r="S15" s="32"/>
      <c r="T15" s="65"/>
      <c r="U15" s="33"/>
      <c r="V15" s="33"/>
      <c r="W15" s="33"/>
      <c r="X15" s="33"/>
      <c r="Y15" s="33"/>
      <c r="Z15" s="33"/>
      <c r="AA15" s="33"/>
      <c r="AB15" s="34"/>
      <c r="AC15" s="34"/>
      <c r="AD15" s="33"/>
    </row>
    <row r="16" spans="1:30" ht="30">
      <c r="A16" s="342"/>
      <c r="B16" s="1056" t="s">
        <v>7</v>
      </c>
      <c r="C16" s="328">
        <v>1</v>
      </c>
      <c r="D16" s="340" t="s">
        <v>883</v>
      </c>
      <c r="E16" s="345" t="s">
        <v>884</v>
      </c>
      <c r="F16" s="520">
        <v>8.4700000000000006</v>
      </c>
      <c r="G16" s="520">
        <v>8.7100000000000009</v>
      </c>
      <c r="H16" s="522">
        <v>7.81</v>
      </c>
      <c r="I16" s="522">
        <v>7.51</v>
      </c>
      <c r="J16" s="520">
        <f t="shared" si="0"/>
        <v>8.125</v>
      </c>
      <c r="K16" s="340" t="s">
        <v>106</v>
      </c>
      <c r="L16" s="301"/>
      <c r="P16" s="848"/>
      <c r="Q16" s="848"/>
      <c r="R16" s="848"/>
      <c r="S16" s="848"/>
      <c r="T16" s="848"/>
      <c r="U16" s="848"/>
      <c r="V16" s="848"/>
      <c r="W16" s="848"/>
      <c r="X16" s="848"/>
      <c r="Y16" s="848"/>
      <c r="Z16" s="848"/>
      <c r="AA16" s="848"/>
      <c r="AB16" s="848"/>
      <c r="AC16" s="848"/>
      <c r="AD16" s="848"/>
    </row>
    <row r="17" spans="1:32" ht="30">
      <c r="A17" s="342"/>
      <c r="B17" s="1057"/>
      <c r="C17" s="329">
        <v>2</v>
      </c>
      <c r="D17" s="343" t="s">
        <v>885</v>
      </c>
      <c r="E17" s="346" t="s">
        <v>886</v>
      </c>
      <c r="F17" s="523">
        <v>8</v>
      </c>
      <c r="G17" s="523">
        <v>8.83</v>
      </c>
      <c r="H17" s="525">
        <v>7.59</v>
      </c>
      <c r="I17" s="525">
        <v>7.61</v>
      </c>
      <c r="J17" s="523">
        <f t="shared" si="0"/>
        <v>8.0075000000000003</v>
      </c>
      <c r="K17" s="343" t="s">
        <v>106</v>
      </c>
      <c r="L17" s="301"/>
      <c r="P17" s="14"/>
      <c r="Q17" s="1162"/>
      <c r="R17" s="1161"/>
      <c r="S17" s="1161"/>
      <c r="T17" s="1161"/>
      <c r="U17" s="33"/>
      <c r="V17" s="33"/>
      <c r="W17" s="33"/>
      <c r="X17" s="33"/>
      <c r="Y17" s="33"/>
      <c r="Z17" s="33"/>
      <c r="AA17" s="33"/>
      <c r="AB17" s="34"/>
      <c r="AC17" s="34"/>
      <c r="AD17" s="33"/>
    </row>
    <row r="18" spans="1:32" ht="30">
      <c r="A18" s="342"/>
      <c r="B18" s="1058"/>
      <c r="C18" s="329">
        <v>3</v>
      </c>
      <c r="D18" s="343" t="s">
        <v>887</v>
      </c>
      <c r="E18" s="346" t="s">
        <v>888</v>
      </c>
      <c r="F18" s="523">
        <v>8</v>
      </c>
      <c r="G18" s="523">
        <v>8.65</v>
      </c>
      <c r="H18" s="525">
        <v>7.63</v>
      </c>
      <c r="I18" s="525">
        <v>7.59</v>
      </c>
      <c r="J18" s="523">
        <f t="shared" si="0"/>
        <v>7.9674999999999994</v>
      </c>
      <c r="K18" s="343" t="s">
        <v>106</v>
      </c>
      <c r="L18" s="301"/>
      <c r="P18" s="14"/>
      <c r="Q18" s="1161"/>
      <c r="R18" s="1163"/>
      <c r="S18" s="1163"/>
      <c r="T18" s="1161"/>
      <c r="U18" s="33"/>
      <c r="V18" s="33"/>
      <c r="W18" s="33"/>
      <c r="X18" s="33"/>
      <c r="Y18" s="33"/>
      <c r="Z18" s="33"/>
      <c r="AA18" s="33"/>
      <c r="AB18" s="34"/>
      <c r="AC18" s="34"/>
      <c r="AD18" s="33"/>
    </row>
    <row r="19" spans="1:32" ht="30">
      <c r="A19" s="342"/>
      <c r="B19" s="1056" t="s">
        <v>725</v>
      </c>
      <c r="C19" s="328">
        <v>1</v>
      </c>
      <c r="D19" s="340" t="s">
        <v>883</v>
      </c>
      <c r="E19" s="345" t="s">
        <v>884</v>
      </c>
      <c r="F19" s="520">
        <v>26.1</v>
      </c>
      <c r="G19" s="520">
        <v>28.98</v>
      </c>
      <c r="H19" s="522">
        <v>28</v>
      </c>
      <c r="I19" s="522">
        <v>29.3</v>
      </c>
      <c r="J19" s="520">
        <f t="shared" si="0"/>
        <v>28.094999999999999</v>
      </c>
      <c r="K19" s="340" t="s">
        <v>109</v>
      </c>
      <c r="L19" s="301"/>
      <c r="P19" s="14"/>
      <c r="Q19" s="1161"/>
      <c r="R19" s="1163"/>
      <c r="S19" s="1163"/>
      <c r="T19" s="1161"/>
      <c r="U19" s="33"/>
      <c r="V19" s="33"/>
      <c r="W19" s="33"/>
      <c r="X19" s="33"/>
      <c r="Y19" s="33"/>
      <c r="Z19" s="33"/>
      <c r="AA19" s="33"/>
      <c r="AB19" s="34"/>
      <c r="AC19" s="34"/>
      <c r="AD19" s="33"/>
    </row>
    <row r="20" spans="1:32" ht="30">
      <c r="A20" s="342"/>
      <c r="B20" s="1057"/>
      <c r="C20" s="329">
        <v>2</v>
      </c>
      <c r="D20" s="343" t="s">
        <v>885</v>
      </c>
      <c r="E20" s="346" t="s">
        <v>886</v>
      </c>
      <c r="F20" s="523">
        <v>26.7</v>
      </c>
      <c r="G20" s="523">
        <v>29.21</v>
      </c>
      <c r="H20" s="525">
        <v>28.1</v>
      </c>
      <c r="I20" s="525">
        <v>30.1</v>
      </c>
      <c r="J20" s="523">
        <f t="shared" si="0"/>
        <v>28.527499999999996</v>
      </c>
      <c r="K20" s="343" t="s">
        <v>109</v>
      </c>
      <c r="L20" s="301"/>
      <c r="P20" s="14"/>
      <c r="Q20" s="1161"/>
      <c r="R20" s="1161"/>
      <c r="S20" s="1161"/>
      <c r="T20" s="1161"/>
      <c r="U20" s="29"/>
      <c r="V20" s="29"/>
      <c r="W20" s="29"/>
      <c r="X20" s="29"/>
      <c r="Y20" s="29"/>
      <c r="Z20" s="29"/>
      <c r="AA20" s="29"/>
      <c r="AB20" s="29"/>
      <c r="AC20" s="29"/>
      <c r="AD20" s="29"/>
    </row>
    <row r="21" spans="1:32" ht="30">
      <c r="A21" s="342"/>
      <c r="B21" s="1058"/>
      <c r="C21" s="329">
        <v>3</v>
      </c>
      <c r="D21" s="343" t="s">
        <v>887</v>
      </c>
      <c r="E21" s="346" t="s">
        <v>888</v>
      </c>
      <c r="F21" s="523">
        <v>27.2</v>
      </c>
      <c r="G21" s="523">
        <v>29.1</v>
      </c>
      <c r="H21" s="525">
        <v>28.1</v>
      </c>
      <c r="I21" s="525">
        <v>30.2</v>
      </c>
      <c r="J21" s="523">
        <f t="shared" si="0"/>
        <v>28.650000000000002</v>
      </c>
      <c r="K21" s="343" t="s">
        <v>109</v>
      </c>
      <c r="L21" s="301"/>
      <c r="P21" s="243"/>
      <c r="Q21" s="243"/>
      <c r="R21" s="243"/>
      <c r="S21" s="243"/>
      <c r="T21" s="243"/>
      <c r="U21" s="243"/>
      <c r="V21" s="243"/>
      <c r="W21" s="243"/>
      <c r="X21" s="243"/>
      <c r="Y21" s="243"/>
      <c r="Z21" s="243"/>
      <c r="AA21" s="243"/>
      <c r="AB21" s="243"/>
      <c r="AC21" s="243"/>
      <c r="AD21" s="243"/>
      <c r="AE21" s="232"/>
    </row>
    <row r="22" spans="1:32" ht="30">
      <c r="A22" s="342"/>
      <c r="B22" s="1056" t="s">
        <v>110</v>
      </c>
      <c r="C22" s="328">
        <v>1</v>
      </c>
      <c r="D22" s="340" t="s">
        <v>883</v>
      </c>
      <c r="E22" s="345" t="s">
        <v>884</v>
      </c>
      <c r="F22" s="520">
        <v>10</v>
      </c>
      <c r="G22" s="520">
        <v>25</v>
      </c>
      <c r="H22" s="522">
        <v>10</v>
      </c>
      <c r="I22" s="522">
        <v>5</v>
      </c>
      <c r="J22" s="520">
        <f t="shared" si="0"/>
        <v>12.5</v>
      </c>
      <c r="K22" s="341">
        <v>75</v>
      </c>
      <c r="L22" s="301"/>
      <c r="O22" s="232"/>
      <c r="P22" s="1054" t="s">
        <v>889</v>
      </c>
      <c r="Q22" s="1054"/>
      <c r="R22" s="1054"/>
      <c r="S22" s="1054"/>
      <c r="T22" s="1054"/>
      <c r="U22" s="1054"/>
      <c r="V22" s="1054"/>
      <c r="W22" s="1054"/>
      <c r="X22" s="1054"/>
      <c r="Y22" s="1054"/>
      <c r="Z22" s="1054"/>
      <c r="AA22" s="1054"/>
      <c r="AB22" s="1054"/>
      <c r="AC22" s="1054"/>
      <c r="AD22" s="1054"/>
      <c r="AE22" s="1054"/>
      <c r="AF22" s="232"/>
    </row>
    <row r="23" spans="1:32" ht="30">
      <c r="A23" s="342"/>
      <c r="B23" s="1057"/>
      <c r="C23" s="329">
        <v>2</v>
      </c>
      <c r="D23" s="343" t="s">
        <v>885</v>
      </c>
      <c r="E23" s="346" t="s">
        <v>886</v>
      </c>
      <c r="F23" s="523">
        <v>10</v>
      </c>
      <c r="G23" s="523">
        <v>5</v>
      </c>
      <c r="H23" s="525">
        <v>10</v>
      </c>
      <c r="I23" s="525">
        <v>5</v>
      </c>
      <c r="J23" s="523">
        <f t="shared" si="0"/>
        <v>7.5</v>
      </c>
      <c r="K23" s="344">
        <v>75</v>
      </c>
      <c r="L23" s="301"/>
      <c r="P23" s="1052" t="s">
        <v>107</v>
      </c>
      <c r="Q23" s="1053"/>
      <c r="R23" s="1204"/>
      <c r="S23" s="1204"/>
      <c r="T23" s="1204"/>
      <c r="U23" s="1204"/>
      <c r="V23" s="1204"/>
      <c r="W23" s="1204"/>
      <c r="X23" s="1204"/>
      <c r="Y23" s="1204"/>
      <c r="Z23" s="1204"/>
      <c r="AA23" s="1204"/>
      <c r="AB23" s="1204"/>
      <c r="AC23" s="1204"/>
      <c r="AD23" s="1204"/>
      <c r="AE23" s="1205"/>
    </row>
    <row r="24" spans="1:32" ht="30">
      <c r="A24" s="342"/>
      <c r="B24" s="1058"/>
      <c r="C24" s="329">
        <v>3</v>
      </c>
      <c r="D24" s="343" t="s">
        <v>887</v>
      </c>
      <c r="E24" s="346" t="s">
        <v>888</v>
      </c>
      <c r="F24" s="523">
        <v>10</v>
      </c>
      <c r="G24" s="523">
        <v>25</v>
      </c>
      <c r="H24" s="525">
        <v>10</v>
      </c>
      <c r="I24" s="525">
        <v>5</v>
      </c>
      <c r="J24" s="523">
        <f t="shared" si="0"/>
        <v>12.5</v>
      </c>
      <c r="K24" s="344">
        <v>75</v>
      </c>
      <c r="L24" s="301"/>
      <c r="O24" s="232"/>
      <c r="P24" s="1162"/>
      <c r="Q24" s="1162"/>
      <c r="R24" s="1161"/>
      <c r="S24" s="1161"/>
      <c r="T24" s="1161"/>
      <c r="U24" s="1161"/>
      <c r="V24" s="848" t="s">
        <v>78</v>
      </c>
      <c r="W24" s="1161"/>
      <c r="X24" s="1161"/>
      <c r="Y24" s="1161"/>
      <c r="Z24" s="1161"/>
      <c r="AA24" s="1161"/>
      <c r="AB24" s="1161"/>
      <c r="AC24" s="1161"/>
      <c r="AD24" s="1161"/>
      <c r="AE24" s="1161"/>
      <c r="AF24" s="232"/>
    </row>
    <row r="25" spans="1:32">
      <c r="A25" s="312"/>
      <c r="B25" s="313"/>
      <c r="C25" s="313"/>
      <c r="D25" s="313"/>
      <c r="E25" s="347"/>
      <c r="F25" s="313"/>
      <c r="G25" s="313"/>
      <c r="H25" s="313"/>
      <c r="I25" s="313"/>
      <c r="J25" s="313"/>
      <c r="K25" s="311"/>
      <c r="L25" s="301"/>
      <c r="O25" s="232"/>
      <c r="P25" s="14" t="s">
        <v>82</v>
      </c>
      <c r="Q25" s="14"/>
      <c r="R25" s="14" t="s">
        <v>83</v>
      </c>
      <c r="S25" s="14" t="s">
        <v>84</v>
      </c>
      <c r="T25" s="14" t="s">
        <v>85</v>
      </c>
      <c r="U25" s="14" t="s">
        <v>86</v>
      </c>
      <c r="V25" s="14" t="s">
        <v>4</v>
      </c>
      <c r="W25" s="14" t="s">
        <v>5</v>
      </c>
      <c r="X25" s="14" t="s">
        <v>6</v>
      </c>
      <c r="Y25" s="14" t="s">
        <v>7</v>
      </c>
      <c r="Z25" s="14" t="s">
        <v>8</v>
      </c>
      <c r="AA25" s="14" t="s">
        <v>9</v>
      </c>
      <c r="AB25" s="14" t="s">
        <v>10</v>
      </c>
      <c r="AC25" s="14" t="s">
        <v>11</v>
      </c>
      <c r="AD25" s="14" t="s">
        <v>12</v>
      </c>
      <c r="AE25" s="14" t="s">
        <v>13</v>
      </c>
      <c r="AF25" s="232"/>
    </row>
    <row r="26" spans="1:32" ht="30" customHeight="1">
      <c r="A26" s="307"/>
      <c r="B26" s="1049" t="s">
        <v>111</v>
      </c>
      <c r="C26" s="303">
        <v>1</v>
      </c>
      <c r="D26" s="305" t="s">
        <v>883</v>
      </c>
      <c r="E26" s="345" t="s">
        <v>884</v>
      </c>
      <c r="F26" s="636">
        <v>7900</v>
      </c>
      <c r="G26" s="636">
        <v>54000</v>
      </c>
      <c r="H26" s="628">
        <v>79000</v>
      </c>
      <c r="I26" s="628">
        <v>2800</v>
      </c>
      <c r="J26" s="314">
        <f>GEOMEAN(F26:I26)</f>
        <v>17526.754094941043</v>
      </c>
      <c r="K26" s="304">
        <v>200</v>
      </c>
      <c r="L26" s="301"/>
      <c r="O26" s="232"/>
      <c r="P26" s="1036" t="s">
        <v>890</v>
      </c>
      <c r="Q26" s="1037"/>
      <c r="R26" s="847" t="s">
        <v>891</v>
      </c>
      <c r="S26" s="855" t="s">
        <v>22</v>
      </c>
      <c r="T26" s="32">
        <v>1</v>
      </c>
      <c r="U26" s="14" t="s">
        <v>883</v>
      </c>
      <c r="V26" s="14">
        <f>J7</f>
        <v>5.66</v>
      </c>
      <c r="W26" s="14">
        <f>J10</f>
        <v>2.5</v>
      </c>
      <c r="X26" s="14">
        <f>J13</f>
        <v>46.25</v>
      </c>
      <c r="Y26" s="14">
        <f>J16</f>
        <v>8.125</v>
      </c>
      <c r="Z26" s="14">
        <f>J19</f>
        <v>28.094999999999999</v>
      </c>
      <c r="AA26" s="14">
        <f>J22</f>
        <v>12.5</v>
      </c>
      <c r="AB26" s="14">
        <f>J26</f>
        <v>17526.754094941043</v>
      </c>
      <c r="AC26" s="14">
        <f>J30</f>
        <v>0.84649999999999992</v>
      </c>
      <c r="AD26" s="14">
        <f>J33</f>
        <v>0.28149999999999997</v>
      </c>
      <c r="AE26" s="14">
        <f>J36</f>
        <v>99</v>
      </c>
      <c r="AF26" s="232"/>
    </row>
    <row r="27" spans="1:32" ht="30">
      <c r="A27" s="307"/>
      <c r="B27" s="1050"/>
      <c r="C27" s="308">
        <v>2</v>
      </c>
      <c r="D27" s="310" t="s">
        <v>885</v>
      </c>
      <c r="E27" s="346" t="s">
        <v>886</v>
      </c>
      <c r="F27" s="637">
        <v>49000</v>
      </c>
      <c r="G27" s="637">
        <v>4600</v>
      </c>
      <c r="H27" s="629">
        <v>170000</v>
      </c>
      <c r="I27" s="629">
        <v>54000</v>
      </c>
      <c r="J27" s="764">
        <f t="shared" ref="J27:J28" si="1">GEOMEAN(F27:I27)</f>
        <v>37927.057338022831</v>
      </c>
      <c r="K27" s="309">
        <v>200</v>
      </c>
      <c r="L27" s="301"/>
      <c r="O27" s="232"/>
      <c r="P27" s="1038"/>
      <c r="Q27" s="1039"/>
      <c r="R27" s="1161"/>
      <c r="S27" s="1161"/>
      <c r="T27" s="32">
        <v>2</v>
      </c>
      <c r="U27" s="14" t="s">
        <v>885</v>
      </c>
      <c r="V27" s="14">
        <f t="shared" ref="V27:V28" si="2">J8</f>
        <v>4.5749999999999993</v>
      </c>
      <c r="W27" s="14">
        <f t="shared" ref="W27:W28" si="3">J11</f>
        <v>3.5</v>
      </c>
      <c r="X27" s="14">
        <f t="shared" ref="X27:X28" si="4">J14</f>
        <v>50</v>
      </c>
      <c r="Y27" s="14">
        <f t="shared" ref="Y27:Y28" si="5">J17</f>
        <v>8.0075000000000003</v>
      </c>
      <c r="Z27" s="14">
        <f t="shared" ref="Z27:Z28" si="6">J20</f>
        <v>28.527499999999996</v>
      </c>
      <c r="AA27" s="14">
        <f t="shared" ref="AA27:AA28" si="7">J23</f>
        <v>7.5</v>
      </c>
      <c r="AB27" s="14">
        <f t="shared" ref="AB27:AB28" si="8">J27</f>
        <v>37927.057338022831</v>
      </c>
      <c r="AC27" s="14">
        <f t="shared" ref="AC27:AC28" si="9">J31</f>
        <v>0.60575000000000001</v>
      </c>
      <c r="AD27" s="14">
        <f t="shared" ref="AD27:AD28" si="10">J34</f>
        <v>0.1305</v>
      </c>
      <c r="AE27" s="14">
        <f t="shared" ref="AE27:AE28" si="11">J37</f>
        <v>95.25</v>
      </c>
      <c r="AF27" s="232"/>
    </row>
    <row r="28" spans="1:32" ht="30">
      <c r="A28" s="307"/>
      <c r="B28" s="1051"/>
      <c r="C28" s="308">
        <v>3</v>
      </c>
      <c r="D28" s="310" t="s">
        <v>887</v>
      </c>
      <c r="E28" s="346" t="s">
        <v>888</v>
      </c>
      <c r="F28" s="637">
        <v>130000</v>
      </c>
      <c r="G28" s="637">
        <v>35000</v>
      </c>
      <c r="H28" s="629">
        <v>140000</v>
      </c>
      <c r="I28" s="629">
        <v>3500</v>
      </c>
      <c r="J28" s="764">
        <f t="shared" si="1"/>
        <v>38641.312484685455</v>
      </c>
      <c r="K28" s="309">
        <v>200</v>
      </c>
      <c r="L28" s="301"/>
      <c r="O28" s="232"/>
      <c r="P28" s="1040"/>
      <c r="Q28" s="1041"/>
      <c r="R28" s="1161"/>
      <c r="S28" s="1161"/>
      <c r="T28" s="32">
        <v>3</v>
      </c>
      <c r="U28" s="14" t="s">
        <v>887</v>
      </c>
      <c r="V28" s="14">
        <f t="shared" si="2"/>
        <v>5.2475000000000005</v>
      </c>
      <c r="W28" s="14">
        <f t="shared" si="3"/>
        <v>3.75</v>
      </c>
      <c r="X28" s="14">
        <f t="shared" si="4"/>
        <v>66.25</v>
      </c>
      <c r="Y28" s="14">
        <f t="shared" si="5"/>
        <v>7.9674999999999994</v>
      </c>
      <c r="Z28" s="14">
        <f t="shared" si="6"/>
        <v>28.650000000000002</v>
      </c>
      <c r="AA28" s="14">
        <f t="shared" si="7"/>
        <v>12.5</v>
      </c>
      <c r="AB28" s="14">
        <f t="shared" si="8"/>
        <v>38641.312484685455</v>
      </c>
      <c r="AC28" s="14">
        <f t="shared" si="9"/>
        <v>0.98850000000000005</v>
      </c>
      <c r="AD28" s="14">
        <f t="shared" si="10"/>
        <v>0.14324999999999999</v>
      </c>
      <c r="AE28" s="14">
        <f t="shared" si="11"/>
        <v>108</v>
      </c>
      <c r="AF28" s="232"/>
    </row>
    <row r="29" spans="1:32">
      <c r="A29" s="312"/>
      <c r="B29" s="313"/>
      <c r="C29" s="313"/>
      <c r="D29" s="313"/>
      <c r="E29" s="347"/>
      <c r="F29" s="313"/>
      <c r="G29" s="313"/>
      <c r="H29" s="313"/>
      <c r="I29" s="313"/>
      <c r="J29" s="313"/>
      <c r="K29" s="311"/>
      <c r="L29" s="301"/>
      <c r="O29" s="232"/>
      <c r="P29" s="1162"/>
      <c r="Q29" s="1162"/>
      <c r="R29" s="1161"/>
      <c r="S29" s="1161"/>
      <c r="T29" s="1161"/>
      <c r="U29" s="1161"/>
      <c r="V29" s="1161"/>
      <c r="W29" s="1161"/>
      <c r="X29" s="1161"/>
      <c r="Y29" s="1161"/>
      <c r="Z29" s="1161"/>
      <c r="AA29" s="1161"/>
      <c r="AB29" s="1161"/>
      <c r="AC29" s="1161"/>
      <c r="AD29" s="1161"/>
      <c r="AE29" s="1161"/>
      <c r="AF29" s="232"/>
    </row>
    <row r="30" spans="1:32" ht="30">
      <c r="A30" s="307"/>
      <c r="B30" s="1049" t="s">
        <v>726</v>
      </c>
      <c r="C30" s="303">
        <v>1</v>
      </c>
      <c r="D30" s="305" t="s">
        <v>883</v>
      </c>
      <c r="E30" s="345" t="s">
        <v>884</v>
      </c>
      <c r="F30" s="572">
        <v>0.88300000000000001</v>
      </c>
      <c r="G30" s="572">
        <v>0.50900000000000001</v>
      </c>
      <c r="H30" s="483">
        <v>1.3280000000000001</v>
      </c>
      <c r="I30" s="483">
        <v>0.66600000000000004</v>
      </c>
      <c r="J30" s="572">
        <f>AVERAGE(F30:I30)</f>
        <v>0.84649999999999992</v>
      </c>
      <c r="K30" s="304">
        <v>7</v>
      </c>
      <c r="L30" s="301"/>
      <c r="O30" s="232"/>
      <c r="P30" s="14" t="s">
        <v>93</v>
      </c>
      <c r="Q30" s="14"/>
      <c r="R30" s="1162"/>
      <c r="S30" s="1161"/>
      <c r="T30" s="1161"/>
      <c r="U30" s="1161"/>
      <c r="V30" s="14">
        <f t="shared" ref="V30:AE30" si="12">AVERAGE(V26:V28)</f>
        <v>5.1608333333333336</v>
      </c>
      <c r="W30" s="14">
        <f t="shared" si="12"/>
        <v>3.25</v>
      </c>
      <c r="X30" s="14">
        <f t="shared" si="12"/>
        <v>54.166666666666664</v>
      </c>
      <c r="Y30" s="14">
        <f t="shared" si="12"/>
        <v>8.0333333333333332</v>
      </c>
      <c r="Z30" s="14">
        <f t="shared" si="12"/>
        <v>28.424166666666665</v>
      </c>
      <c r="AA30" s="14">
        <f t="shared" si="12"/>
        <v>10.833333333333334</v>
      </c>
      <c r="AB30" s="14">
        <f t="shared" si="12"/>
        <v>31365.041305883107</v>
      </c>
      <c r="AC30" s="14">
        <f t="shared" si="12"/>
        <v>0.81358333333333333</v>
      </c>
      <c r="AD30" s="14">
        <f t="shared" si="12"/>
        <v>0.18508333333333335</v>
      </c>
      <c r="AE30" s="14">
        <f t="shared" si="12"/>
        <v>100.75</v>
      </c>
      <c r="AF30" s="232"/>
    </row>
    <row r="31" spans="1:32" ht="30">
      <c r="A31" s="307"/>
      <c r="B31" s="1050"/>
      <c r="C31" s="308">
        <v>2</v>
      </c>
      <c r="D31" s="310" t="s">
        <v>885</v>
      </c>
      <c r="E31" s="346" t="s">
        <v>886</v>
      </c>
      <c r="F31" s="536">
        <v>0.371</v>
      </c>
      <c r="G31" s="536">
        <v>0.69799999999999995</v>
      </c>
      <c r="H31" s="484">
        <v>0.36299999999999999</v>
      </c>
      <c r="I31" s="484">
        <v>0.99099999999999999</v>
      </c>
      <c r="J31" s="536">
        <f t="shared" ref="J31:J38" si="13">AVERAGE(F31:I31)</f>
        <v>0.60575000000000001</v>
      </c>
      <c r="K31" s="309">
        <v>7</v>
      </c>
      <c r="L31" s="301"/>
      <c r="O31" s="232"/>
      <c r="P31" s="14" t="s">
        <v>94</v>
      </c>
      <c r="Q31" s="14"/>
      <c r="R31" s="1161"/>
      <c r="S31" s="1163"/>
      <c r="T31" s="1163"/>
      <c r="U31" s="1161"/>
      <c r="V31" s="14">
        <f t="shared" ref="V31:AE31" si="14">MIN(V26:V28)</f>
        <v>4.5749999999999993</v>
      </c>
      <c r="W31" s="14">
        <f t="shared" si="14"/>
        <v>2.5</v>
      </c>
      <c r="X31" s="14">
        <f t="shared" si="14"/>
        <v>46.25</v>
      </c>
      <c r="Y31" s="14">
        <f t="shared" si="14"/>
        <v>7.9674999999999994</v>
      </c>
      <c r="Z31" s="14">
        <f t="shared" si="14"/>
        <v>28.094999999999999</v>
      </c>
      <c r="AA31" s="14">
        <f t="shared" si="14"/>
        <v>7.5</v>
      </c>
      <c r="AB31" s="14">
        <f t="shared" si="14"/>
        <v>17526.754094941043</v>
      </c>
      <c r="AC31" s="14">
        <f t="shared" si="14"/>
        <v>0.60575000000000001</v>
      </c>
      <c r="AD31" s="14">
        <f t="shared" si="14"/>
        <v>0.1305</v>
      </c>
      <c r="AE31" s="14">
        <f t="shared" si="14"/>
        <v>95.25</v>
      </c>
      <c r="AF31" s="232"/>
    </row>
    <row r="32" spans="1:32" ht="30">
      <c r="A32" s="307"/>
      <c r="B32" s="1051"/>
      <c r="C32" s="308">
        <v>3</v>
      </c>
      <c r="D32" s="310" t="s">
        <v>887</v>
      </c>
      <c r="E32" s="346" t="s">
        <v>888</v>
      </c>
      <c r="F32" s="536">
        <v>0.45400000000000001</v>
      </c>
      <c r="G32" s="536">
        <v>1.796</v>
      </c>
      <c r="H32" s="484">
        <v>0.78</v>
      </c>
      <c r="I32" s="484">
        <v>0.92400000000000004</v>
      </c>
      <c r="J32" s="536">
        <f t="shared" si="13"/>
        <v>0.98850000000000005</v>
      </c>
      <c r="K32" s="309">
        <v>7</v>
      </c>
      <c r="L32" s="301"/>
      <c r="O32" s="232"/>
      <c r="P32" s="14" t="s">
        <v>95</v>
      </c>
      <c r="Q32" s="14"/>
      <c r="R32" s="1161"/>
      <c r="S32" s="1163"/>
      <c r="T32" s="1163"/>
      <c r="U32" s="1161"/>
      <c r="V32" s="14">
        <f t="shared" ref="V32:AE32" si="15">MAX(V26:V28)</f>
        <v>5.66</v>
      </c>
      <c r="W32" s="14">
        <f t="shared" si="15"/>
        <v>3.75</v>
      </c>
      <c r="X32" s="14">
        <f t="shared" si="15"/>
        <v>66.25</v>
      </c>
      <c r="Y32" s="14">
        <f t="shared" si="15"/>
        <v>8.125</v>
      </c>
      <c r="Z32" s="14">
        <f t="shared" si="15"/>
        <v>28.650000000000002</v>
      </c>
      <c r="AA32" s="14">
        <f t="shared" si="15"/>
        <v>12.5</v>
      </c>
      <c r="AB32" s="14">
        <f t="shared" si="15"/>
        <v>38641.312484685455</v>
      </c>
      <c r="AC32" s="14">
        <f t="shared" si="15"/>
        <v>0.98850000000000005</v>
      </c>
      <c r="AD32" s="14">
        <f t="shared" si="15"/>
        <v>0.28149999999999997</v>
      </c>
      <c r="AE32" s="14">
        <f t="shared" si="15"/>
        <v>108</v>
      </c>
      <c r="AF32" s="232"/>
    </row>
    <row r="33" spans="1:32" ht="30">
      <c r="A33" s="307"/>
      <c r="B33" s="1049" t="s">
        <v>727</v>
      </c>
      <c r="C33" s="303">
        <v>1</v>
      </c>
      <c r="D33" s="305" t="s">
        <v>883</v>
      </c>
      <c r="E33" s="345" t="s">
        <v>884</v>
      </c>
      <c r="F33" s="572">
        <v>2.5000000000000001E-2</v>
      </c>
      <c r="G33" s="572">
        <v>5.1999999999999998E-2</v>
      </c>
      <c r="H33" s="483">
        <v>0.84499999999999997</v>
      </c>
      <c r="I33" s="483">
        <v>0.20399999999999999</v>
      </c>
      <c r="J33" s="572">
        <f t="shared" si="13"/>
        <v>0.28149999999999997</v>
      </c>
      <c r="K33" s="304">
        <v>0.5</v>
      </c>
      <c r="L33" s="301"/>
      <c r="O33" s="232"/>
      <c r="P33" s="14" t="s">
        <v>96</v>
      </c>
      <c r="Q33" s="14"/>
      <c r="R33" s="1161"/>
      <c r="S33" s="1161"/>
      <c r="T33" s="1161"/>
      <c r="U33" s="1161"/>
      <c r="V33" s="29" t="s">
        <v>97</v>
      </c>
      <c r="W33" s="29" t="s">
        <v>97</v>
      </c>
      <c r="X33" s="29" t="s">
        <v>697</v>
      </c>
      <c r="Y33" s="29" t="s">
        <v>750</v>
      </c>
      <c r="Z33" s="29" t="s">
        <v>698</v>
      </c>
      <c r="AA33" s="29" t="s">
        <v>751</v>
      </c>
      <c r="AB33" s="29" t="s">
        <v>700</v>
      </c>
      <c r="AC33" s="29" t="s">
        <v>98</v>
      </c>
      <c r="AD33" s="29" t="s">
        <v>104</v>
      </c>
      <c r="AE33" s="29" t="s">
        <v>701</v>
      </c>
      <c r="AF33" s="232"/>
    </row>
    <row r="34" spans="1:32" ht="30">
      <c r="A34" s="307"/>
      <c r="B34" s="1050"/>
      <c r="C34" s="308">
        <v>2</v>
      </c>
      <c r="D34" s="310" t="s">
        <v>885</v>
      </c>
      <c r="E34" s="346" t="s">
        <v>886</v>
      </c>
      <c r="F34" s="536">
        <v>5.2999999999999999E-2</v>
      </c>
      <c r="G34" s="536">
        <v>1.2E-2</v>
      </c>
      <c r="H34" s="484">
        <v>0.33200000000000002</v>
      </c>
      <c r="I34" s="484">
        <v>0.125</v>
      </c>
      <c r="J34" s="536">
        <f t="shared" si="13"/>
        <v>0.1305</v>
      </c>
      <c r="K34" s="309">
        <v>0.5</v>
      </c>
      <c r="L34" s="301"/>
      <c r="O34" s="232"/>
      <c r="P34" s="243"/>
      <c r="Q34" s="241"/>
      <c r="R34" s="232"/>
      <c r="S34" s="232"/>
      <c r="T34" s="241"/>
      <c r="U34" s="246"/>
      <c r="V34" s="246"/>
      <c r="W34" s="246"/>
      <c r="X34" s="246"/>
      <c r="Y34" s="246"/>
      <c r="Z34" s="246"/>
      <c r="AA34" s="771"/>
      <c r="AB34" s="772"/>
      <c r="AC34" s="772"/>
      <c r="AD34" s="246"/>
      <c r="AE34" s="232"/>
    </row>
    <row r="35" spans="1:32" ht="30">
      <c r="A35" s="307"/>
      <c r="B35" s="1051"/>
      <c r="C35" s="308">
        <v>3</v>
      </c>
      <c r="D35" s="310" t="s">
        <v>887</v>
      </c>
      <c r="E35" s="346" t="s">
        <v>888</v>
      </c>
      <c r="F35" s="536">
        <v>6.8000000000000005E-2</v>
      </c>
      <c r="G35" s="536">
        <v>0.02</v>
      </c>
      <c r="H35" s="484">
        <v>0.29899999999999999</v>
      </c>
      <c r="I35" s="484">
        <v>0.186</v>
      </c>
      <c r="J35" s="536">
        <f t="shared" si="13"/>
        <v>0.14324999999999999</v>
      </c>
      <c r="K35" s="309">
        <v>0.5</v>
      </c>
      <c r="L35" s="301"/>
      <c r="O35" s="232"/>
      <c r="P35" s="243"/>
      <c r="Q35" s="241"/>
      <c r="R35" s="232"/>
      <c r="S35" s="232"/>
      <c r="T35" s="241"/>
      <c r="U35" s="246"/>
      <c r="V35" s="246"/>
      <c r="W35" s="246"/>
      <c r="X35" s="246"/>
      <c r="Y35" s="246"/>
      <c r="Z35" s="246"/>
      <c r="AA35" s="771"/>
      <c r="AB35" s="772"/>
      <c r="AC35" s="772"/>
      <c r="AD35" s="246"/>
      <c r="AE35" s="232"/>
    </row>
    <row r="36" spans="1:32" ht="30">
      <c r="A36" s="307"/>
      <c r="B36" s="1049" t="s">
        <v>117</v>
      </c>
      <c r="C36" s="303">
        <v>1</v>
      </c>
      <c r="D36" s="305" t="s">
        <v>883</v>
      </c>
      <c r="E36" s="345" t="s">
        <v>884</v>
      </c>
      <c r="F36" s="493">
        <v>32</v>
      </c>
      <c r="G36" s="493">
        <v>350</v>
      </c>
      <c r="H36" s="506">
        <v>6</v>
      </c>
      <c r="I36" s="506">
        <v>8</v>
      </c>
      <c r="J36" s="572">
        <f t="shared" si="13"/>
        <v>99</v>
      </c>
      <c r="K36" s="304">
        <v>350</v>
      </c>
      <c r="L36" s="301"/>
      <c r="O36" s="232"/>
      <c r="P36" s="243"/>
      <c r="Q36" s="241"/>
      <c r="R36" s="241"/>
      <c r="S36" s="241"/>
      <c r="T36" s="241"/>
      <c r="U36" s="245"/>
      <c r="V36" s="245"/>
      <c r="W36" s="245"/>
      <c r="X36" s="245"/>
      <c r="Y36" s="245"/>
      <c r="Z36" s="245"/>
      <c r="AA36" s="245"/>
      <c r="AB36" s="245"/>
      <c r="AC36" s="245"/>
      <c r="AD36" s="245"/>
      <c r="AE36" s="232"/>
    </row>
    <row r="37" spans="1:32" ht="30">
      <c r="A37" s="307"/>
      <c r="B37" s="1050"/>
      <c r="C37" s="308">
        <v>2</v>
      </c>
      <c r="D37" s="310" t="s">
        <v>885</v>
      </c>
      <c r="E37" s="346" t="s">
        <v>886</v>
      </c>
      <c r="F37" s="492">
        <v>32</v>
      </c>
      <c r="G37" s="492">
        <v>330</v>
      </c>
      <c r="H37" s="505">
        <v>4</v>
      </c>
      <c r="I37" s="505">
        <v>15</v>
      </c>
      <c r="J37" s="536">
        <f t="shared" si="13"/>
        <v>95.25</v>
      </c>
      <c r="K37" s="309">
        <v>350</v>
      </c>
      <c r="L37" s="301"/>
      <c r="P37" s="232"/>
      <c r="Q37" s="232"/>
      <c r="R37" s="232"/>
      <c r="S37" s="232"/>
      <c r="T37" s="232"/>
      <c r="U37" s="232"/>
      <c r="V37" s="232"/>
      <c r="W37" s="232"/>
      <c r="X37" s="232"/>
      <c r="Y37" s="232"/>
      <c r="Z37" s="232"/>
      <c r="AA37" s="232"/>
      <c r="AB37" s="232"/>
      <c r="AC37" s="232"/>
      <c r="AD37" s="232"/>
    </row>
    <row r="38" spans="1:32" ht="30">
      <c r="A38" s="307"/>
      <c r="B38" s="1051"/>
      <c r="C38" s="308">
        <v>3</v>
      </c>
      <c r="D38" s="310" t="s">
        <v>887</v>
      </c>
      <c r="E38" s="346" t="s">
        <v>888</v>
      </c>
      <c r="F38" s="492">
        <v>36</v>
      </c>
      <c r="G38" s="492">
        <v>387</v>
      </c>
      <c r="H38" s="505">
        <v>5</v>
      </c>
      <c r="I38" s="505">
        <v>4</v>
      </c>
      <c r="J38" s="536">
        <f t="shared" si="13"/>
        <v>108</v>
      </c>
      <c r="K38" s="309">
        <v>350</v>
      </c>
      <c r="L38" s="301"/>
    </row>
    <row r="39" spans="1:32">
      <c r="A39" s="319"/>
      <c r="B39" s="300"/>
      <c r="C39" s="301"/>
      <c r="D39" s="311"/>
      <c r="E39" s="348"/>
      <c r="F39" s="311"/>
      <c r="G39" s="311"/>
      <c r="H39" s="311"/>
      <c r="I39" s="311"/>
      <c r="J39" s="300"/>
      <c r="K39" s="300"/>
      <c r="L39" s="301"/>
    </row>
    <row r="40" spans="1:32">
      <c r="A40" s="1005"/>
      <c r="B40" s="1006"/>
      <c r="C40" s="1061"/>
      <c r="D40" s="308" t="s">
        <v>314</v>
      </c>
      <c r="E40" s="349"/>
      <c r="F40" s="311"/>
      <c r="G40" s="311"/>
      <c r="H40" s="311"/>
      <c r="I40" s="311"/>
      <c r="J40" s="300"/>
      <c r="K40" s="300"/>
      <c r="L40" s="301"/>
    </row>
    <row r="41" spans="1:32" ht="219.75">
      <c r="A41" s="1008"/>
      <c r="B41" s="1009"/>
      <c r="C41" s="1062"/>
      <c r="D41" s="309" t="s">
        <v>883</v>
      </c>
      <c r="E41" s="350"/>
      <c r="F41" s="310" t="s">
        <v>892</v>
      </c>
      <c r="G41" s="310" t="s">
        <v>893</v>
      </c>
      <c r="H41" s="320" t="s">
        <v>894</v>
      </c>
      <c r="I41" s="320" t="s">
        <v>895</v>
      </c>
      <c r="J41" s="300"/>
      <c r="K41" s="300"/>
      <c r="L41" s="301"/>
    </row>
    <row r="42" spans="1:32" ht="146.25">
      <c r="A42" s="1005"/>
      <c r="B42" s="1007"/>
      <c r="C42" s="301"/>
      <c r="D42" s="309" t="s">
        <v>885</v>
      </c>
      <c r="E42" s="350"/>
      <c r="F42" s="310" t="s">
        <v>896</v>
      </c>
      <c r="G42" s="310" t="s">
        <v>897</v>
      </c>
      <c r="H42" s="320" t="s">
        <v>898</v>
      </c>
      <c r="I42" s="320" t="s">
        <v>899</v>
      </c>
      <c r="J42" s="300"/>
      <c r="K42" s="300"/>
      <c r="L42" s="301"/>
    </row>
    <row r="43" spans="1:32" ht="190.5">
      <c r="A43" s="1008"/>
      <c r="B43" s="1010"/>
      <c r="C43" s="301"/>
      <c r="D43" s="309" t="s">
        <v>887</v>
      </c>
      <c r="E43" s="350"/>
      <c r="F43" s="310" t="s">
        <v>900</v>
      </c>
      <c r="G43" s="310" t="s">
        <v>901</v>
      </c>
      <c r="H43" s="320" t="s">
        <v>898</v>
      </c>
      <c r="I43" s="320" t="s">
        <v>899</v>
      </c>
      <c r="J43" s="300"/>
      <c r="K43" s="300"/>
      <c r="L43" s="301"/>
    </row>
    <row r="44" spans="1:32">
      <c r="A44" s="1005"/>
      <c r="B44" s="1007"/>
      <c r="C44" s="300"/>
      <c r="D44" s="300"/>
      <c r="E44" s="351"/>
      <c r="F44" s="300"/>
      <c r="G44" s="300"/>
      <c r="H44" s="592">
        <v>45918</v>
      </c>
      <c r="I44" s="592">
        <v>45959</v>
      </c>
      <c r="J44" s="300"/>
      <c r="K44" s="300"/>
      <c r="L44" s="301"/>
    </row>
    <row r="45" spans="1:32">
      <c r="A45" s="1059"/>
      <c r="B45" s="1060"/>
      <c r="C45" s="313"/>
      <c r="D45" s="313"/>
      <c r="E45" s="347"/>
      <c r="F45" s="313"/>
      <c r="G45" s="313"/>
      <c r="H45" s="313"/>
      <c r="I45" s="313"/>
      <c r="J45" s="313"/>
      <c r="K45" s="313"/>
      <c r="L45" s="311"/>
    </row>
    <row r="47" spans="1:32">
      <c r="B47" s="232" t="s">
        <v>175</v>
      </c>
      <c r="C47" s="232"/>
      <c r="D47" s="232"/>
      <c r="E47" s="631"/>
      <c r="F47" s="232"/>
      <c r="G47" s="232"/>
      <c r="H47" s="232"/>
      <c r="I47" s="232"/>
      <c r="J47" s="232"/>
      <c r="K47" s="232"/>
      <c r="L47" s="232"/>
    </row>
    <row r="48" spans="1:32">
      <c r="A48" s="232"/>
      <c r="B48" s="873" t="s">
        <v>902</v>
      </c>
      <c r="C48" s="874"/>
      <c r="D48" s="874"/>
      <c r="E48" s="874"/>
      <c r="F48" s="874"/>
      <c r="G48" s="874"/>
      <c r="H48" s="874"/>
      <c r="I48" s="874"/>
      <c r="J48" s="874"/>
      <c r="K48" s="874"/>
      <c r="L48" s="875"/>
      <c r="M48" s="232"/>
    </row>
    <row r="49" spans="1:17">
      <c r="A49" s="232"/>
      <c r="B49" s="876"/>
      <c r="C49" s="877"/>
      <c r="D49" s="877"/>
      <c r="E49" s="877"/>
      <c r="F49" s="877"/>
      <c r="G49" s="877"/>
      <c r="H49" s="877"/>
      <c r="I49" s="877"/>
      <c r="J49" s="877"/>
      <c r="K49" s="877"/>
      <c r="L49" s="878"/>
      <c r="M49" s="232"/>
    </row>
    <row r="50" spans="1:17">
      <c r="A50" s="232"/>
      <c r="B50" s="876"/>
      <c r="C50" s="877"/>
      <c r="D50" s="877"/>
      <c r="E50" s="877"/>
      <c r="F50" s="877"/>
      <c r="G50" s="877"/>
      <c r="H50" s="877"/>
      <c r="I50" s="877"/>
      <c r="J50" s="877"/>
      <c r="K50" s="877"/>
      <c r="L50" s="878"/>
      <c r="M50" s="232"/>
    </row>
    <row r="51" spans="1:17">
      <c r="A51" s="232"/>
      <c r="B51" s="876"/>
      <c r="C51" s="877"/>
      <c r="D51" s="877"/>
      <c r="E51" s="877"/>
      <c r="F51" s="877"/>
      <c r="G51" s="877"/>
      <c r="H51" s="877"/>
      <c r="I51" s="877"/>
      <c r="J51" s="877"/>
      <c r="K51" s="877"/>
      <c r="L51" s="878"/>
      <c r="M51" s="232"/>
    </row>
    <row r="52" spans="1:17">
      <c r="A52" s="232"/>
      <c r="B52" s="876"/>
      <c r="C52" s="877"/>
      <c r="D52" s="877"/>
      <c r="E52" s="877"/>
      <c r="F52" s="877"/>
      <c r="G52" s="877"/>
      <c r="H52" s="877"/>
      <c r="I52" s="877"/>
      <c r="J52" s="877"/>
      <c r="K52" s="877"/>
      <c r="L52" s="878"/>
      <c r="M52" s="232"/>
    </row>
    <row r="53" spans="1:17">
      <c r="A53" s="232"/>
      <c r="B53" s="876"/>
      <c r="C53" s="877"/>
      <c r="D53" s="877"/>
      <c r="E53" s="877"/>
      <c r="F53" s="877"/>
      <c r="G53" s="877"/>
      <c r="H53" s="877"/>
      <c r="I53" s="877"/>
      <c r="J53" s="877"/>
      <c r="K53" s="877"/>
      <c r="L53" s="878"/>
      <c r="M53" s="232"/>
    </row>
    <row r="54" spans="1:17">
      <c r="A54" s="232"/>
      <c r="B54" s="876"/>
      <c r="C54" s="877"/>
      <c r="D54" s="877"/>
      <c r="E54" s="877"/>
      <c r="F54" s="877"/>
      <c r="G54" s="877"/>
      <c r="H54" s="877"/>
      <c r="I54" s="877"/>
      <c r="J54" s="877"/>
      <c r="K54" s="877"/>
      <c r="L54" s="878"/>
      <c r="M54" s="232"/>
    </row>
    <row r="55" spans="1:17">
      <c r="A55" s="232"/>
      <c r="B55" s="876"/>
      <c r="C55" s="877"/>
      <c r="D55" s="877"/>
      <c r="E55" s="877"/>
      <c r="F55" s="877"/>
      <c r="G55" s="877"/>
      <c r="H55" s="877"/>
      <c r="I55" s="877"/>
      <c r="J55" s="877"/>
      <c r="K55" s="877"/>
      <c r="L55" s="878"/>
      <c r="M55" s="232"/>
    </row>
    <row r="56" spans="1:17">
      <c r="A56" s="232"/>
      <c r="B56" s="876"/>
      <c r="C56" s="877"/>
      <c r="D56" s="877"/>
      <c r="E56" s="877"/>
      <c r="F56" s="877"/>
      <c r="G56" s="877"/>
      <c r="H56" s="877"/>
      <c r="I56" s="877"/>
      <c r="J56" s="877"/>
      <c r="K56" s="877"/>
      <c r="L56" s="878"/>
      <c r="M56" s="232"/>
    </row>
    <row r="57" spans="1:17">
      <c r="A57" s="232"/>
      <c r="B57" s="876"/>
      <c r="C57" s="877"/>
      <c r="D57" s="877"/>
      <c r="E57" s="877"/>
      <c r="F57" s="877"/>
      <c r="G57" s="877"/>
      <c r="H57" s="877"/>
      <c r="I57" s="877"/>
      <c r="J57" s="877"/>
      <c r="K57" s="877"/>
      <c r="L57" s="878"/>
      <c r="M57" s="232"/>
    </row>
    <row r="58" spans="1:17">
      <c r="A58" s="232"/>
      <c r="B58" s="876"/>
      <c r="C58" s="877"/>
      <c r="D58" s="877"/>
      <c r="E58" s="877"/>
      <c r="F58" s="877"/>
      <c r="G58" s="877"/>
      <c r="H58" s="877"/>
      <c r="I58" s="877"/>
      <c r="J58" s="877"/>
      <c r="K58" s="877"/>
      <c r="L58" s="878"/>
      <c r="M58" s="232"/>
    </row>
    <row r="59" spans="1:17">
      <c r="A59" s="232"/>
      <c r="B59" s="876"/>
      <c r="C59" s="877"/>
      <c r="D59" s="877"/>
      <c r="E59" s="877"/>
      <c r="F59" s="877"/>
      <c r="G59" s="877"/>
      <c r="H59" s="877"/>
      <c r="I59" s="877"/>
      <c r="J59" s="877"/>
      <c r="K59" s="877"/>
      <c r="L59" s="878"/>
      <c r="M59" s="232"/>
    </row>
    <row r="60" spans="1:17">
      <c r="A60" s="232"/>
      <c r="B60" s="876"/>
      <c r="C60" s="877"/>
      <c r="D60" s="877"/>
      <c r="E60" s="877"/>
      <c r="F60" s="877"/>
      <c r="G60" s="877"/>
      <c r="H60" s="877"/>
      <c r="I60" s="877"/>
      <c r="J60" s="877"/>
      <c r="K60" s="877"/>
      <c r="L60" s="878"/>
      <c r="M60" s="232"/>
    </row>
    <row r="61" spans="1:17">
      <c r="A61" s="232"/>
      <c r="B61" s="876"/>
      <c r="C61" s="877"/>
      <c r="D61" s="877"/>
      <c r="E61" s="877"/>
      <c r="F61" s="877"/>
      <c r="G61" s="877"/>
      <c r="H61" s="877"/>
      <c r="I61" s="877"/>
      <c r="J61" s="877"/>
      <c r="K61" s="877"/>
      <c r="L61" s="878"/>
      <c r="M61" s="232"/>
    </row>
    <row r="62" spans="1:17">
      <c r="A62" s="232"/>
      <c r="B62" s="879"/>
      <c r="C62" s="880"/>
      <c r="D62" s="880"/>
      <c r="E62" s="880"/>
      <c r="F62" s="880"/>
      <c r="G62" s="880"/>
      <c r="H62" s="880"/>
      <c r="I62" s="880"/>
      <c r="J62" s="880"/>
      <c r="K62" s="880"/>
      <c r="L62" s="881"/>
      <c r="M62" s="232"/>
    </row>
    <row r="63" spans="1:17">
      <c r="B63" s="232"/>
      <c r="C63" s="232"/>
      <c r="D63" s="232"/>
      <c r="E63" s="631"/>
      <c r="F63" s="232"/>
      <c r="G63" s="232"/>
      <c r="H63" s="232"/>
      <c r="I63" s="232"/>
      <c r="J63" s="232"/>
      <c r="K63" s="232"/>
      <c r="L63" s="232"/>
    </row>
    <row r="64" spans="1:17">
      <c r="B64" s="889" t="s">
        <v>70</v>
      </c>
      <c r="C64" s="890"/>
      <c r="D64" s="1177"/>
      <c r="E64" s="1177"/>
      <c r="F64" s="1177"/>
      <c r="G64" s="1177"/>
      <c r="H64" s="1177"/>
      <c r="I64" s="1177"/>
      <c r="J64" s="1177"/>
      <c r="K64" s="1177"/>
      <c r="L64" s="1177"/>
      <c r="M64" s="1177"/>
      <c r="N64" s="1177"/>
      <c r="O64" s="1177"/>
      <c r="P64" s="1177"/>
      <c r="Q64" s="1178"/>
    </row>
    <row r="65" spans="2:17">
      <c r="B65" s="889" t="s">
        <v>107</v>
      </c>
      <c r="C65" s="890"/>
      <c r="D65" s="1177"/>
      <c r="E65" s="1177"/>
      <c r="F65" s="1177"/>
      <c r="G65" s="1177"/>
      <c r="H65" s="1177"/>
      <c r="I65" s="1177"/>
      <c r="J65" s="1177"/>
      <c r="K65" s="1177"/>
      <c r="L65" s="1177"/>
      <c r="M65" s="1177"/>
      <c r="N65" s="1177"/>
      <c r="O65" s="1177"/>
      <c r="P65" s="1177"/>
      <c r="Q65" s="1178"/>
    </row>
    <row r="66" spans="2:17">
      <c r="B66" s="1179"/>
      <c r="C66" s="1180"/>
      <c r="D66" s="1177"/>
      <c r="E66" s="1177"/>
      <c r="F66" s="1177"/>
      <c r="G66" s="1178"/>
      <c r="H66" s="844" t="s">
        <v>78</v>
      </c>
      <c r="I66" s="1177"/>
      <c r="J66" s="1177"/>
      <c r="K66" s="1177"/>
      <c r="L66" s="1177"/>
      <c r="M66" s="1177"/>
      <c r="N66" s="1177"/>
      <c r="O66" s="1177"/>
      <c r="P66" s="1177"/>
      <c r="Q66" s="1178"/>
    </row>
    <row r="67" spans="2:17">
      <c r="B67" s="14" t="s">
        <v>82</v>
      </c>
      <c r="C67" s="14"/>
      <c r="D67" s="14" t="s">
        <v>83</v>
      </c>
      <c r="E67" s="14" t="s">
        <v>84</v>
      </c>
      <c r="F67" s="14" t="s">
        <v>85</v>
      </c>
      <c r="G67" s="14" t="s">
        <v>86</v>
      </c>
      <c r="H67" s="14" t="s">
        <v>4</v>
      </c>
      <c r="I67" s="14" t="s">
        <v>5</v>
      </c>
      <c r="J67" s="14" t="s">
        <v>6</v>
      </c>
      <c r="K67" s="14" t="s">
        <v>7</v>
      </c>
      <c r="L67" s="14" t="s">
        <v>8</v>
      </c>
      <c r="M67" s="14" t="s">
        <v>9</v>
      </c>
      <c r="N67" s="14" t="s">
        <v>10</v>
      </c>
      <c r="O67" s="14" t="s">
        <v>11</v>
      </c>
      <c r="P67" s="14" t="s">
        <v>12</v>
      </c>
      <c r="Q67" s="14" t="s">
        <v>13</v>
      </c>
    </row>
    <row r="68" spans="2:17" ht="15" customHeight="1">
      <c r="B68" s="886" t="s">
        <v>903</v>
      </c>
      <c r="C68" s="281"/>
      <c r="D68" s="886" t="s">
        <v>904</v>
      </c>
      <c r="E68" s="883" t="s">
        <v>29</v>
      </c>
      <c r="F68" s="32">
        <v>1</v>
      </c>
      <c r="G68" s="305" t="s">
        <v>883</v>
      </c>
      <c r="H68" s="35">
        <f>J7</f>
        <v>5.66</v>
      </c>
      <c r="I68" s="14" t="s">
        <v>905</v>
      </c>
      <c r="J68" s="35">
        <f>J13</f>
        <v>46.25</v>
      </c>
      <c r="K68" s="35">
        <f>J16</f>
        <v>8.125</v>
      </c>
      <c r="L68" s="35">
        <f>J19</f>
        <v>28.094999999999999</v>
      </c>
      <c r="M68" s="35">
        <f>J22</f>
        <v>12.5</v>
      </c>
      <c r="N68" s="33">
        <f>J26</f>
        <v>17526.754094941043</v>
      </c>
      <c r="O68" s="28">
        <f>J30</f>
        <v>0.84649999999999992</v>
      </c>
      <c r="P68" s="28">
        <f>J33</f>
        <v>0.28149999999999997</v>
      </c>
      <c r="Q68" s="14" t="s">
        <v>905</v>
      </c>
    </row>
    <row r="69" spans="2:17" ht="15" customHeight="1">
      <c r="B69" s="1196"/>
      <c r="C69" s="289"/>
      <c r="D69" s="1196"/>
      <c r="E69" s="1196"/>
      <c r="F69" s="32">
        <v>2</v>
      </c>
      <c r="G69" s="310" t="s">
        <v>885</v>
      </c>
      <c r="H69" s="35">
        <f>J8</f>
        <v>4.5749999999999993</v>
      </c>
      <c r="I69" s="14" t="s">
        <v>905</v>
      </c>
      <c r="J69" s="35">
        <f>J14</f>
        <v>50</v>
      </c>
      <c r="K69" s="35">
        <f>J17</f>
        <v>8.0075000000000003</v>
      </c>
      <c r="L69" s="35">
        <f>J20</f>
        <v>28.527499999999996</v>
      </c>
      <c r="M69" s="35">
        <f>J23</f>
        <v>7.5</v>
      </c>
      <c r="N69" s="33">
        <f>J27</f>
        <v>37927.057338022831</v>
      </c>
      <c r="O69" s="28">
        <f>J31</f>
        <v>0.60575000000000001</v>
      </c>
      <c r="P69" s="28">
        <f>J34</f>
        <v>0.1305</v>
      </c>
      <c r="Q69" s="14" t="s">
        <v>905</v>
      </c>
    </row>
    <row r="70" spans="2:17" ht="15" customHeight="1">
      <c r="B70" s="1197"/>
      <c r="C70" s="290"/>
      <c r="D70" s="1197"/>
      <c r="E70" s="1197"/>
      <c r="F70" s="32">
        <v>3</v>
      </c>
      <c r="G70" s="310" t="s">
        <v>887</v>
      </c>
      <c r="H70" s="35">
        <f>J9</f>
        <v>5.2475000000000005</v>
      </c>
      <c r="I70" s="14" t="s">
        <v>905</v>
      </c>
      <c r="J70" s="35">
        <f>J15</f>
        <v>66.25</v>
      </c>
      <c r="K70" s="35">
        <f>J18</f>
        <v>7.9674999999999994</v>
      </c>
      <c r="L70" s="35">
        <f>J21</f>
        <v>28.650000000000002</v>
      </c>
      <c r="M70" s="35">
        <f>J24</f>
        <v>12.5</v>
      </c>
      <c r="N70" s="33">
        <f>J28</f>
        <v>38641.312484685455</v>
      </c>
      <c r="O70" s="28">
        <f>J32</f>
        <v>0.98850000000000005</v>
      </c>
      <c r="P70" s="28">
        <f>J35</f>
        <v>0.14324999999999999</v>
      </c>
      <c r="Q70" s="14" t="s">
        <v>905</v>
      </c>
    </row>
    <row r="71" spans="2:17">
      <c r="B71" s="1179"/>
      <c r="C71" s="1180"/>
      <c r="D71" s="1177"/>
      <c r="E71" s="1177"/>
      <c r="F71" s="1177"/>
      <c r="G71" s="1177"/>
      <c r="H71" s="1177"/>
      <c r="I71" s="1177"/>
      <c r="J71" s="1177"/>
      <c r="K71" s="1177"/>
      <c r="L71" s="1177"/>
      <c r="M71" s="1177"/>
      <c r="N71" s="1177"/>
      <c r="O71" s="1177"/>
      <c r="P71" s="1177"/>
      <c r="Q71" s="1178"/>
    </row>
    <row r="72" spans="2:17">
      <c r="B72" s="14" t="s">
        <v>93</v>
      </c>
      <c r="C72" s="291"/>
      <c r="D72" s="1167"/>
      <c r="E72" s="1160"/>
      <c r="F72" s="1160"/>
      <c r="G72" s="1181"/>
      <c r="H72" s="35">
        <f>AVERAGE(H68:H70)</f>
        <v>5.1608333333333336</v>
      </c>
      <c r="I72" s="14" t="s">
        <v>905</v>
      </c>
      <c r="J72" s="35">
        <f>AVERAGE(J68:J70)</f>
        <v>54.166666666666664</v>
      </c>
      <c r="K72" s="35">
        <f>AVERAGE(K68:K70)</f>
        <v>8.0333333333333332</v>
      </c>
      <c r="L72" s="35">
        <f>AVERAGE(L68:L70)</f>
        <v>28.424166666666665</v>
      </c>
      <c r="M72" s="35">
        <f>AVERAGE(M68:M70)</f>
        <v>10.833333333333334</v>
      </c>
      <c r="N72" s="33">
        <f>AVERAGE(N68:N70)</f>
        <v>31365.041305883107</v>
      </c>
      <c r="O72" s="28">
        <f>AVERAGE(O68:O70)</f>
        <v>0.81358333333333333</v>
      </c>
      <c r="P72" s="28">
        <f>AVERAGE(P68:P70)</f>
        <v>0.18508333333333335</v>
      </c>
      <c r="Q72" s="14" t="s">
        <v>905</v>
      </c>
    </row>
    <row r="73" spans="2:17">
      <c r="B73" s="14" t="s">
        <v>94</v>
      </c>
      <c r="C73" s="293"/>
      <c r="D73" s="1182"/>
      <c r="E73" s="1176"/>
      <c r="F73" s="1176"/>
      <c r="G73" s="1183"/>
      <c r="H73" s="35">
        <f>MIN(H68:H70)</f>
        <v>4.5749999999999993</v>
      </c>
      <c r="I73" s="14" t="s">
        <v>905</v>
      </c>
      <c r="J73" s="35">
        <f>MIN(J68:J70)</f>
        <v>46.25</v>
      </c>
      <c r="K73" s="35">
        <f>MIN(K68:K70)</f>
        <v>7.9674999999999994</v>
      </c>
      <c r="L73" s="35">
        <f>MIN(L68:L70)</f>
        <v>28.094999999999999</v>
      </c>
      <c r="M73" s="35">
        <f>MIN(M68:M70)</f>
        <v>7.5</v>
      </c>
      <c r="N73" s="33">
        <f>MIN(N68:N70)</f>
        <v>17526.754094941043</v>
      </c>
      <c r="O73" s="28">
        <f>MIN(O68:O70)</f>
        <v>0.60575000000000001</v>
      </c>
      <c r="P73" s="28">
        <f>MIN(P68:P70)</f>
        <v>0.1305</v>
      </c>
      <c r="Q73" s="14" t="s">
        <v>905</v>
      </c>
    </row>
    <row r="74" spans="2:17">
      <c r="B74" s="14" t="s">
        <v>95</v>
      </c>
      <c r="C74" s="293"/>
      <c r="D74" s="1182"/>
      <c r="E74" s="1176"/>
      <c r="F74" s="1176"/>
      <c r="G74" s="1183"/>
      <c r="H74" s="35">
        <f>MAX(H68:H70)</f>
        <v>5.66</v>
      </c>
      <c r="I74" s="14" t="s">
        <v>905</v>
      </c>
      <c r="J74" s="35">
        <f>MAX(J68:J70)</f>
        <v>66.25</v>
      </c>
      <c r="K74" s="35">
        <f>MAX(K68:K70)</f>
        <v>8.125</v>
      </c>
      <c r="L74" s="35">
        <f>MAX(L68:L70)</f>
        <v>28.650000000000002</v>
      </c>
      <c r="M74" s="35">
        <f>MAX(M68:M70)</f>
        <v>12.5</v>
      </c>
      <c r="N74" s="33">
        <f>MAX(N68:N70)</f>
        <v>38641.312484685455</v>
      </c>
      <c r="O74" s="28">
        <f>MAX(O68:O70)</f>
        <v>0.98850000000000005</v>
      </c>
      <c r="P74" s="28">
        <f>MAX(P68:P70)</f>
        <v>0.28149999999999997</v>
      </c>
      <c r="Q74" s="14" t="s">
        <v>905</v>
      </c>
    </row>
    <row r="75" spans="2:17">
      <c r="B75" s="14" t="s">
        <v>96</v>
      </c>
      <c r="C75" s="292"/>
      <c r="D75" s="1184"/>
      <c r="E75" s="1159"/>
      <c r="F75" s="1159"/>
      <c r="G75" s="1185"/>
      <c r="H75" s="118" t="s">
        <v>906</v>
      </c>
      <c r="I75" s="118" t="s">
        <v>905</v>
      </c>
      <c r="J75" s="118" t="s">
        <v>907</v>
      </c>
      <c r="K75" s="118" t="s">
        <v>908</v>
      </c>
      <c r="L75" s="29" t="s">
        <v>909</v>
      </c>
      <c r="M75" s="118" t="s">
        <v>699</v>
      </c>
      <c r="N75" s="118" t="s">
        <v>700</v>
      </c>
      <c r="O75" s="118" t="s">
        <v>910</v>
      </c>
      <c r="P75" s="118" t="s">
        <v>911</v>
      </c>
      <c r="Q75" s="118" t="s">
        <v>905</v>
      </c>
    </row>
  </sheetData>
  <mergeCells count="46">
    <mergeCell ref="B22:B24"/>
    <mergeCell ref="A44:B45"/>
    <mergeCell ref="B30:B32"/>
    <mergeCell ref="B33:B35"/>
    <mergeCell ref="B7:B9"/>
    <mergeCell ref="B10:B12"/>
    <mergeCell ref="B13:B15"/>
    <mergeCell ref="B16:B18"/>
    <mergeCell ref="B19:B21"/>
    <mergeCell ref="B36:B38"/>
    <mergeCell ref="A40:C41"/>
    <mergeCell ref="A42:B43"/>
    <mergeCell ref="A1:K1"/>
    <mergeCell ref="A2:K2"/>
    <mergeCell ref="A3:K3"/>
    <mergeCell ref="A5:K5"/>
    <mergeCell ref="A6:K6"/>
    <mergeCell ref="P16:AD16"/>
    <mergeCell ref="Q17:T20"/>
    <mergeCell ref="P23:AE23"/>
    <mergeCell ref="P24:U24"/>
    <mergeCell ref="V24:AE24"/>
    <mergeCell ref="P22:AE22"/>
    <mergeCell ref="P7:AD7"/>
    <mergeCell ref="P8:AD8"/>
    <mergeCell ref="P9:T9"/>
    <mergeCell ref="U9:AD9"/>
    <mergeCell ref="P11:P15"/>
    <mergeCell ref="Q11:Q15"/>
    <mergeCell ref="R11:R15"/>
    <mergeCell ref="B48:L62"/>
    <mergeCell ref="B26:B28"/>
    <mergeCell ref="R26:R28"/>
    <mergeCell ref="S26:S28"/>
    <mergeCell ref="P29:AE29"/>
    <mergeCell ref="R30:U33"/>
    <mergeCell ref="P26:Q28"/>
    <mergeCell ref="B71:Q71"/>
    <mergeCell ref="D72:G75"/>
    <mergeCell ref="B64:Q64"/>
    <mergeCell ref="B65:Q65"/>
    <mergeCell ref="B66:G66"/>
    <mergeCell ref="H66:Q66"/>
    <mergeCell ref="B68:B70"/>
    <mergeCell ref="D68:D70"/>
    <mergeCell ref="E68:E7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1:T84"/>
  <sheetViews>
    <sheetView workbookViewId="0">
      <pane xSplit="2" ySplit="6" topLeftCell="C7" activePane="bottomRight" state="frozen"/>
      <selection pane="bottomRight" activeCell="I13" sqref="I13:I15"/>
      <selection pane="bottomLeft" activeCell="A7" sqref="A7"/>
      <selection pane="topRight" activeCell="C1" sqref="C1"/>
    </sheetView>
  </sheetViews>
  <sheetFormatPr defaultColWidth="14.42578125" defaultRowHeight="15" customHeight="1"/>
  <cols>
    <col min="1" max="1" width="9.140625" customWidth="1"/>
    <col min="2" max="2" width="23.5703125" customWidth="1"/>
    <col min="3" max="3" width="9.140625" customWidth="1"/>
    <col min="4" max="5" width="24" customWidth="1"/>
    <col min="6" max="6" width="14.140625" customWidth="1"/>
    <col min="7" max="7" width="13.140625" customWidth="1"/>
    <col min="8" max="8" width="13" customWidth="1"/>
    <col min="9" max="9" width="13.140625" customWidth="1"/>
    <col min="10" max="10" width="18.7109375" customWidth="1"/>
    <col min="11" max="11" width="9.140625" customWidth="1"/>
    <col min="12" max="12" width="7.28515625" hidden="1" customWidth="1"/>
    <col min="13" max="15" width="9.140625" customWidth="1"/>
    <col min="16" max="16" width="19.85546875" bestFit="1" customWidth="1"/>
    <col min="17" max="18" width="9.140625" customWidth="1"/>
    <col min="19" max="19" width="13.28515625" bestFit="1" customWidth="1"/>
    <col min="20" max="24" width="9.140625" customWidth="1"/>
  </cols>
  <sheetData>
    <row r="1" spans="1:12">
      <c r="A1" s="138"/>
      <c r="B1" s="93"/>
      <c r="C1" s="868" t="s">
        <v>40</v>
      </c>
      <c r="D1" s="1158"/>
      <c r="E1" s="1158"/>
      <c r="F1" s="1158"/>
      <c r="G1" s="1158"/>
      <c r="H1" s="1158"/>
      <c r="I1" s="1158"/>
      <c r="J1" s="1158"/>
      <c r="K1" s="1158"/>
    </row>
    <row r="2" spans="1:12">
      <c r="A2" s="138"/>
      <c r="B2" s="93"/>
      <c r="C2" s="868" t="s">
        <v>41</v>
      </c>
      <c r="D2" s="1158"/>
      <c r="E2" s="1158"/>
      <c r="F2" s="1158"/>
      <c r="G2" s="1158"/>
      <c r="H2" s="1158"/>
      <c r="I2" s="1158"/>
      <c r="J2" s="1158"/>
      <c r="K2" s="1158"/>
    </row>
    <row r="3" spans="1:12">
      <c r="A3" s="139"/>
      <c r="B3" s="86"/>
      <c r="C3" s="869" t="s">
        <v>42</v>
      </c>
      <c r="D3" s="1159"/>
      <c r="E3" s="1159"/>
      <c r="F3" s="1159"/>
      <c r="G3" s="1159"/>
      <c r="H3" s="1159"/>
      <c r="I3" s="1159"/>
      <c r="J3" s="1159"/>
      <c r="K3" s="1159"/>
    </row>
    <row r="4" spans="1:12">
      <c r="A4" s="140"/>
      <c r="B4" s="141"/>
      <c r="C4" s="870" t="s">
        <v>912</v>
      </c>
      <c r="D4" s="1160"/>
      <c r="E4" s="1160"/>
      <c r="F4" s="1160"/>
      <c r="G4" s="1160"/>
      <c r="H4" s="1160"/>
      <c r="I4" s="1160"/>
      <c r="J4" s="1160"/>
      <c r="K4" s="1160"/>
    </row>
    <row r="5" spans="1:12">
      <c r="A5" s="2"/>
      <c r="B5" s="142"/>
      <c r="C5" s="871" t="s">
        <v>255</v>
      </c>
      <c r="D5" s="1159"/>
      <c r="E5" s="1159"/>
      <c r="F5" s="1159"/>
      <c r="G5" s="1159"/>
      <c r="H5" s="1159"/>
      <c r="I5" s="1159"/>
      <c r="J5" s="1159"/>
      <c r="K5" s="1159"/>
    </row>
    <row r="6" spans="1:12">
      <c r="A6" s="3" t="s">
        <v>45</v>
      </c>
      <c r="B6" s="4" t="s">
        <v>46</v>
      </c>
      <c r="C6" s="4" t="s">
        <v>47</v>
      </c>
      <c r="D6" s="4" t="s">
        <v>48</v>
      </c>
      <c r="E6" s="4" t="s">
        <v>49</v>
      </c>
      <c r="F6" s="5" t="s">
        <v>392</v>
      </c>
      <c r="G6" s="4" t="s">
        <v>913</v>
      </c>
      <c r="H6" s="4" t="s">
        <v>394</v>
      </c>
      <c r="I6" s="4" t="s">
        <v>395</v>
      </c>
      <c r="J6" s="159" t="s">
        <v>62</v>
      </c>
      <c r="K6" s="55" t="s">
        <v>63</v>
      </c>
      <c r="L6" s="253" t="s">
        <v>64</v>
      </c>
    </row>
    <row r="7" spans="1:12">
      <c r="A7" s="144" t="s">
        <v>65</v>
      </c>
      <c r="B7" s="6" t="s">
        <v>66</v>
      </c>
      <c r="C7" s="145">
        <v>1</v>
      </c>
      <c r="D7" s="160" t="s">
        <v>648</v>
      </c>
      <c r="E7" s="160" t="s">
        <v>914</v>
      </c>
      <c r="F7" s="646">
        <v>5.09</v>
      </c>
      <c r="G7" s="646">
        <v>5.28</v>
      </c>
      <c r="H7" s="646">
        <v>7.46</v>
      </c>
      <c r="I7" s="646">
        <v>6.58</v>
      </c>
      <c r="J7" s="154">
        <f t="shared" ref="J7:J24" si="0">IFERROR(AVERAGE(F7:I7), 0)</f>
        <v>6.1025000000000009</v>
      </c>
      <c r="K7" s="8">
        <v>5</v>
      </c>
      <c r="L7" s="248" t="s">
        <v>915</v>
      </c>
    </row>
    <row r="8" spans="1:12">
      <c r="A8" s="9"/>
      <c r="B8" s="10" t="s">
        <v>66</v>
      </c>
      <c r="C8" s="11">
        <v>2</v>
      </c>
      <c r="D8" s="56" t="s">
        <v>651</v>
      </c>
      <c r="E8" s="56" t="s">
        <v>916</v>
      </c>
      <c r="F8" s="647">
        <v>4.9400000000000004</v>
      </c>
      <c r="G8" s="647">
        <v>5.9</v>
      </c>
      <c r="H8" s="647">
        <v>6.85</v>
      </c>
      <c r="I8" s="647">
        <v>6.6</v>
      </c>
      <c r="J8" s="13">
        <f t="shared" si="0"/>
        <v>6.0724999999999998</v>
      </c>
      <c r="K8" s="14">
        <v>5</v>
      </c>
      <c r="L8" s="248" t="s">
        <v>917</v>
      </c>
    </row>
    <row r="9" spans="1:12">
      <c r="A9" s="9"/>
      <c r="B9" s="10" t="s">
        <v>66</v>
      </c>
      <c r="C9" s="11">
        <v>3</v>
      </c>
      <c r="D9" s="56" t="s">
        <v>653</v>
      </c>
      <c r="E9" s="56" t="s">
        <v>918</v>
      </c>
      <c r="F9" s="647">
        <v>5.5</v>
      </c>
      <c r="G9" s="647">
        <v>5.81</v>
      </c>
      <c r="H9" s="647">
        <v>6.35</v>
      </c>
      <c r="I9" s="647">
        <v>7.15</v>
      </c>
      <c r="J9" s="13">
        <f t="shared" si="0"/>
        <v>6.2024999999999988</v>
      </c>
      <c r="K9" s="14">
        <v>5</v>
      </c>
      <c r="L9" s="248" t="s">
        <v>919</v>
      </c>
    </row>
    <row r="10" spans="1:12">
      <c r="A10" s="9"/>
      <c r="B10" s="149" t="s">
        <v>91</v>
      </c>
      <c r="C10" s="15">
        <v>1</v>
      </c>
      <c r="D10" s="160" t="s">
        <v>648</v>
      </c>
      <c r="E10" s="160" t="s">
        <v>914</v>
      </c>
      <c r="F10" s="212">
        <v>2</v>
      </c>
      <c r="G10" s="212">
        <v>3</v>
      </c>
      <c r="H10" s="212">
        <v>2</v>
      </c>
      <c r="I10" s="212">
        <v>2</v>
      </c>
      <c r="J10" s="163">
        <f t="shared" si="0"/>
        <v>2.25</v>
      </c>
      <c r="K10" s="8">
        <v>7</v>
      </c>
      <c r="L10" s="248" t="s">
        <v>915</v>
      </c>
    </row>
    <row r="11" spans="1:12">
      <c r="A11" s="9"/>
      <c r="B11" s="150" t="s">
        <v>91</v>
      </c>
      <c r="C11" s="11">
        <v>2</v>
      </c>
      <c r="D11" s="56" t="s">
        <v>651</v>
      </c>
      <c r="E11" s="56" t="s">
        <v>916</v>
      </c>
      <c r="F11" s="18">
        <v>5</v>
      </c>
      <c r="G11" s="18">
        <v>3</v>
      </c>
      <c r="H11" s="18">
        <v>2</v>
      </c>
      <c r="I11" s="18">
        <v>4</v>
      </c>
      <c r="J11" s="16">
        <f t="shared" si="0"/>
        <v>3.5</v>
      </c>
      <c r="K11" s="14">
        <v>7</v>
      </c>
      <c r="L11" s="248" t="s">
        <v>917</v>
      </c>
    </row>
    <row r="12" spans="1:12">
      <c r="A12" s="9"/>
      <c r="B12" s="150" t="s">
        <v>91</v>
      </c>
      <c r="C12" s="11">
        <v>3</v>
      </c>
      <c r="D12" s="56" t="s">
        <v>653</v>
      </c>
      <c r="E12" s="56" t="s">
        <v>918</v>
      </c>
      <c r="F12" s="18">
        <v>2</v>
      </c>
      <c r="G12" s="18">
        <v>3</v>
      </c>
      <c r="H12" s="18">
        <v>2</v>
      </c>
      <c r="I12" s="18">
        <v>4</v>
      </c>
      <c r="J12" s="16">
        <f t="shared" si="0"/>
        <v>2.75</v>
      </c>
      <c r="K12" s="14">
        <v>7</v>
      </c>
      <c r="L12" s="248" t="s">
        <v>919</v>
      </c>
    </row>
    <row r="13" spans="1:12">
      <c r="A13" s="9"/>
      <c r="B13" s="149" t="s">
        <v>92</v>
      </c>
      <c r="C13" s="15">
        <v>1</v>
      </c>
      <c r="D13" s="160" t="s">
        <v>648</v>
      </c>
      <c r="E13" s="160" t="s">
        <v>914</v>
      </c>
      <c r="F13" s="212">
        <v>4</v>
      </c>
      <c r="G13" s="212">
        <v>39</v>
      </c>
      <c r="H13" s="212">
        <v>67</v>
      </c>
      <c r="I13" s="212">
        <v>18</v>
      </c>
      <c r="J13" s="154">
        <f t="shared" si="0"/>
        <v>32</v>
      </c>
      <c r="K13" s="8">
        <v>80</v>
      </c>
      <c r="L13" s="248" t="s">
        <v>915</v>
      </c>
    </row>
    <row r="14" spans="1:12">
      <c r="A14" s="9"/>
      <c r="B14" s="150" t="s">
        <v>92</v>
      </c>
      <c r="C14" s="11">
        <v>2</v>
      </c>
      <c r="D14" s="56" t="s">
        <v>651</v>
      </c>
      <c r="E14" s="56" t="s">
        <v>916</v>
      </c>
      <c r="F14" s="18">
        <v>5</v>
      </c>
      <c r="G14" s="18">
        <v>32</v>
      </c>
      <c r="H14" s="18">
        <v>233</v>
      </c>
      <c r="I14" s="18">
        <v>21</v>
      </c>
      <c r="J14" s="13">
        <f t="shared" si="0"/>
        <v>72.75</v>
      </c>
      <c r="K14" s="14">
        <v>80</v>
      </c>
      <c r="L14" s="248" t="s">
        <v>917</v>
      </c>
    </row>
    <row r="15" spans="1:12">
      <c r="A15" s="9"/>
      <c r="B15" s="150" t="s">
        <v>92</v>
      </c>
      <c r="C15" s="11">
        <v>3</v>
      </c>
      <c r="D15" s="56" t="s">
        <v>653</v>
      </c>
      <c r="E15" s="56" t="s">
        <v>918</v>
      </c>
      <c r="F15" s="18">
        <v>48</v>
      </c>
      <c r="G15" s="18">
        <v>34</v>
      </c>
      <c r="H15" s="18">
        <v>247</v>
      </c>
      <c r="I15" s="18">
        <v>15</v>
      </c>
      <c r="J15" s="13">
        <f t="shared" si="0"/>
        <v>86</v>
      </c>
      <c r="K15" s="14">
        <v>80</v>
      </c>
      <c r="L15" s="248" t="s">
        <v>919</v>
      </c>
    </row>
    <row r="16" spans="1:12">
      <c r="A16" s="9"/>
      <c r="B16" s="149" t="s">
        <v>7</v>
      </c>
      <c r="C16" s="15">
        <v>1</v>
      </c>
      <c r="D16" s="160" t="s">
        <v>648</v>
      </c>
      <c r="E16" s="160" t="s">
        <v>914</v>
      </c>
      <c r="F16" s="212">
        <v>7.23</v>
      </c>
      <c r="G16" s="212">
        <v>7.38</v>
      </c>
      <c r="H16" s="212">
        <v>7.46</v>
      </c>
      <c r="I16" s="212">
        <v>7.77</v>
      </c>
      <c r="J16" s="154">
        <f t="shared" si="0"/>
        <v>7.46</v>
      </c>
      <c r="K16" s="17" t="s">
        <v>106</v>
      </c>
      <c r="L16" s="248" t="s">
        <v>915</v>
      </c>
    </row>
    <row r="17" spans="1:12">
      <c r="A17" s="9"/>
      <c r="B17" s="150" t="s">
        <v>7</v>
      </c>
      <c r="C17" s="11">
        <v>2</v>
      </c>
      <c r="D17" s="56" t="s">
        <v>651</v>
      </c>
      <c r="E17" s="56" t="s">
        <v>916</v>
      </c>
      <c r="F17" s="18">
        <v>7.23</v>
      </c>
      <c r="G17" s="18">
        <v>7.29</v>
      </c>
      <c r="H17" s="18">
        <v>7.53</v>
      </c>
      <c r="I17" s="18">
        <v>7.69</v>
      </c>
      <c r="J17" s="13">
        <f t="shared" si="0"/>
        <v>7.4350000000000005</v>
      </c>
      <c r="K17" s="18" t="s">
        <v>106</v>
      </c>
      <c r="L17" s="248" t="s">
        <v>917</v>
      </c>
    </row>
    <row r="18" spans="1:12">
      <c r="A18" s="9"/>
      <c r="B18" s="150" t="s">
        <v>7</v>
      </c>
      <c r="C18" s="11">
        <v>3</v>
      </c>
      <c r="D18" s="56" t="s">
        <v>653</v>
      </c>
      <c r="E18" s="56" t="s">
        <v>918</v>
      </c>
      <c r="F18" s="18">
        <v>7.37</v>
      </c>
      <c r="G18" s="18">
        <v>7.18</v>
      </c>
      <c r="H18" s="18">
        <v>7.53</v>
      </c>
      <c r="I18" s="18">
        <v>7.85</v>
      </c>
      <c r="J18" s="13">
        <f t="shared" si="0"/>
        <v>7.4824999999999999</v>
      </c>
      <c r="K18" s="18" t="s">
        <v>106</v>
      </c>
      <c r="L18" s="248" t="s">
        <v>919</v>
      </c>
    </row>
    <row r="19" spans="1:12">
      <c r="A19" s="9"/>
      <c r="B19" s="149" t="s">
        <v>108</v>
      </c>
      <c r="C19" s="15">
        <v>1</v>
      </c>
      <c r="D19" s="160" t="s">
        <v>648</v>
      </c>
      <c r="E19" s="160" t="s">
        <v>914</v>
      </c>
      <c r="F19" s="212">
        <v>26.5</v>
      </c>
      <c r="G19" s="212">
        <v>27.5</v>
      </c>
      <c r="H19" s="212">
        <v>25.7</v>
      </c>
      <c r="I19" s="212">
        <v>30.1</v>
      </c>
      <c r="J19" s="154">
        <f t="shared" si="0"/>
        <v>27.450000000000003</v>
      </c>
      <c r="K19" s="17" t="s">
        <v>109</v>
      </c>
      <c r="L19" s="248" t="s">
        <v>915</v>
      </c>
    </row>
    <row r="20" spans="1:12">
      <c r="A20" s="9"/>
      <c r="B20" s="150" t="s">
        <v>108</v>
      </c>
      <c r="C20" s="11">
        <v>2</v>
      </c>
      <c r="D20" s="56" t="s">
        <v>651</v>
      </c>
      <c r="E20" s="56" t="s">
        <v>916</v>
      </c>
      <c r="F20" s="18">
        <v>29.1</v>
      </c>
      <c r="G20" s="18">
        <v>28.1</v>
      </c>
      <c r="H20" s="18">
        <v>26.1</v>
      </c>
      <c r="I20" s="18">
        <v>30</v>
      </c>
      <c r="J20" s="13">
        <f t="shared" si="0"/>
        <v>28.325000000000003</v>
      </c>
      <c r="K20" s="18" t="s">
        <v>109</v>
      </c>
      <c r="L20" s="248" t="s">
        <v>917</v>
      </c>
    </row>
    <row r="21" spans="1:12" ht="15.75" customHeight="1">
      <c r="A21" s="9"/>
      <c r="B21" s="150" t="s">
        <v>108</v>
      </c>
      <c r="C21" s="11">
        <v>3</v>
      </c>
      <c r="D21" s="56" t="s">
        <v>653</v>
      </c>
      <c r="E21" s="56" t="s">
        <v>918</v>
      </c>
      <c r="F21" s="18">
        <v>27</v>
      </c>
      <c r="G21" s="18">
        <v>28.9</v>
      </c>
      <c r="H21" s="18">
        <v>26.7</v>
      </c>
      <c r="I21" s="18">
        <v>27.4</v>
      </c>
      <c r="J21" s="13">
        <f t="shared" si="0"/>
        <v>27.5</v>
      </c>
      <c r="K21" s="18" t="s">
        <v>109</v>
      </c>
      <c r="L21" s="248" t="s">
        <v>919</v>
      </c>
    </row>
    <row r="22" spans="1:12" ht="15.75" customHeight="1">
      <c r="A22" s="9"/>
      <c r="B22" s="149" t="s">
        <v>110</v>
      </c>
      <c r="C22" s="15">
        <v>1</v>
      </c>
      <c r="D22" s="160" t="s">
        <v>648</v>
      </c>
      <c r="E22" s="160" t="s">
        <v>914</v>
      </c>
      <c r="F22" s="212">
        <v>5</v>
      </c>
      <c r="G22" s="212">
        <v>5</v>
      </c>
      <c r="H22" s="212">
        <v>5</v>
      </c>
      <c r="I22" s="212">
        <v>5</v>
      </c>
      <c r="J22" s="154">
        <f t="shared" si="0"/>
        <v>5</v>
      </c>
      <c r="K22" s="8">
        <v>75</v>
      </c>
      <c r="L22" s="248" t="s">
        <v>915</v>
      </c>
    </row>
    <row r="23" spans="1:12" ht="15.75" customHeight="1">
      <c r="A23" s="9"/>
      <c r="B23" s="150" t="s">
        <v>110</v>
      </c>
      <c r="C23" s="11">
        <v>2</v>
      </c>
      <c r="D23" s="56" t="s">
        <v>651</v>
      </c>
      <c r="E23" s="56" t="s">
        <v>916</v>
      </c>
      <c r="F23" s="18">
        <v>5</v>
      </c>
      <c r="G23" s="18">
        <v>5</v>
      </c>
      <c r="H23" s="18">
        <v>5</v>
      </c>
      <c r="I23" s="18">
        <v>5</v>
      </c>
      <c r="J23" s="13">
        <f t="shared" si="0"/>
        <v>5</v>
      </c>
      <c r="K23" s="14">
        <v>75</v>
      </c>
      <c r="L23" s="248" t="s">
        <v>917</v>
      </c>
    </row>
    <row r="24" spans="1:12" ht="15.75" customHeight="1">
      <c r="A24" s="9"/>
      <c r="B24" s="150" t="s">
        <v>110</v>
      </c>
      <c r="C24" s="11">
        <v>3</v>
      </c>
      <c r="D24" s="56" t="s">
        <v>653</v>
      </c>
      <c r="E24" s="56" t="s">
        <v>918</v>
      </c>
      <c r="F24" s="18">
        <v>10</v>
      </c>
      <c r="G24" s="18">
        <v>5</v>
      </c>
      <c r="H24" s="18">
        <v>5</v>
      </c>
      <c r="I24" s="18">
        <v>5</v>
      </c>
      <c r="J24" s="13">
        <f t="shared" si="0"/>
        <v>6.25</v>
      </c>
      <c r="K24" s="14">
        <v>75</v>
      </c>
      <c r="L24" s="248" t="s">
        <v>919</v>
      </c>
    </row>
    <row r="25" spans="1:12" ht="15.75" customHeight="1">
      <c r="A25" s="9"/>
      <c r="B25" s="149" t="s">
        <v>111</v>
      </c>
      <c r="C25" s="15">
        <v>1</v>
      </c>
      <c r="D25" s="160" t="s">
        <v>648</v>
      </c>
      <c r="E25" s="160" t="s">
        <v>914</v>
      </c>
      <c r="F25" s="212">
        <v>17000</v>
      </c>
      <c r="G25" s="212">
        <v>46000</v>
      </c>
      <c r="H25" s="212">
        <v>2300</v>
      </c>
      <c r="I25" s="212">
        <v>9200</v>
      </c>
      <c r="J25" s="164">
        <f>IFERROR(GEOMEAN(F25:I25), 0)</f>
        <v>11341.76394472253</v>
      </c>
      <c r="K25" s="8">
        <v>200</v>
      </c>
      <c r="L25" s="248" t="s">
        <v>915</v>
      </c>
    </row>
    <row r="26" spans="1:12" ht="15.75" customHeight="1">
      <c r="A26" s="9"/>
      <c r="B26" s="150" t="s">
        <v>111</v>
      </c>
      <c r="C26" s="11">
        <v>2</v>
      </c>
      <c r="D26" s="56" t="s">
        <v>651</v>
      </c>
      <c r="E26" s="56" t="s">
        <v>916</v>
      </c>
      <c r="F26" s="18">
        <v>5400</v>
      </c>
      <c r="G26" s="18">
        <v>2300</v>
      </c>
      <c r="H26" s="18">
        <v>2300</v>
      </c>
      <c r="I26" s="18">
        <v>330</v>
      </c>
      <c r="J26" s="19">
        <f>IFERROR(GEOMEAN(F26:I26), 0)</f>
        <v>1752.2289158833112</v>
      </c>
      <c r="K26" s="14">
        <v>200</v>
      </c>
      <c r="L26" s="248" t="s">
        <v>917</v>
      </c>
    </row>
    <row r="27" spans="1:12" ht="15.75" customHeight="1">
      <c r="A27" s="9"/>
      <c r="B27" s="150" t="s">
        <v>111</v>
      </c>
      <c r="C27" s="11">
        <v>3</v>
      </c>
      <c r="D27" s="56" t="s">
        <v>653</v>
      </c>
      <c r="E27" s="56" t="s">
        <v>918</v>
      </c>
      <c r="F27" s="18">
        <v>16000</v>
      </c>
      <c r="G27" s="18">
        <v>7900</v>
      </c>
      <c r="H27" s="18">
        <v>35000</v>
      </c>
      <c r="I27" s="18">
        <v>79</v>
      </c>
      <c r="J27" s="19">
        <f>IFERROR(GEOMEAN(F27:I27), 0)</f>
        <v>4323.7497747435373</v>
      </c>
      <c r="K27" s="14">
        <v>200</v>
      </c>
      <c r="L27" s="248" t="s">
        <v>919</v>
      </c>
    </row>
    <row r="28" spans="1:12" ht="15.75" customHeight="1">
      <c r="A28" s="20"/>
      <c r="B28" s="151" t="s">
        <v>113</v>
      </c>
      <c r="C28" s="21">
        <v>1</v>
      </c>
      <c r="D28" s="160" t="s">
        <v>648</v>
      </c>
      <c r="E28" s="160" t="s">
        <v>914</v>
      </c>
      <c r="F28" s="214">
        <v>9.6000000000000002E-2</v>
      </c>
      <c r="G28" s="214">
        <v>1.099</v>
      </c>
      <c r="H28" s="214">
        <v>0.24099999999999999</v>
      </c>
      <c r="I28" s="214">
        <v>0.41099999999999998</v>
      </c>
      <c r="J28" s="178">
        <f t="shared" ref="J28:J36" si="1">IFERROR(AVERAGE(F28:I28), 0)</f>
        <v>0.46174999999999999</v>
      </c>
      <c r="K28" s="23">
        <v>7</v>
      </c>
      <c r="L28" s="248" t="s">
        <v>915</v>
      </c>
    </row>
    <row r="29" spans="1:12" ht="15.75" customHeight="1">
      <c r="A29" s="20"/>
      <c r="B29" s="153" t="s">
        <v>114</v>
      </c>
      <c r="C29" s="25">
        <v>2</v>
      </c>
      <c r="D29" s="56" t="s">
        <v>651</v>
      </c>
      <c r="E29" s="56" t="s">
        <v>916</v>
      </c>
      <c r="F29" s="127">
        <v>0.41799999999999998</v>
      </c>
      <c r="G29" s="127">
        <v>0.23400000000000001</v>
      </c>
      <c r="H29" s="127">
        <v>0.24299999999999999</v>
      </c>
      <c r="I29" s="127">
        <v>0.29099999999999998</v>
      </c>
      <c r="J29" s="27">
        <f t="shared" si="1"/>
        <v>0.29649999999999999</v>
      </c>
      <c r="K29" s="28">
        <v>7</v>
      </c>
      <c r="L29" s="248" t="s">
        <v>917</v>
      </c>
    </row>
    <row r="30" spans="1:12" ht="15.75" customHeight="1">
      <c r="A30" s="20"/>
      <c r="B30" s="153" t="s">
        <v>114</v>
      </c>
      <c r="C30" s="25">
        <v>3</v>
      </c>
      <c r="D30" s="56" t="s">
        <v>653</v>
      </c>
      <c r="E30" s="56" t="s">
        <v>918</v>
      </c>
      <c r="F30" s="127">
        <v>0.90100000000000002</v>
      </c>
      <c r="G30" s="127">
        <v>0.17100000000000001</v>
      </c>
      <c r="H30" s="127">
        <v>1.26</v>
      </c>
      <c r="I30" s="127">
        <v>0.59399999999999997</v>
      </c>
      <c r="J30" s="27">
        <f t="shared" si="1"/>
        <v>0.73149999999999993</v>
      </c>
      <c r="K30" s="28">
        <v>7</v>
      </c>
      <c r="L30" s="248" t="s">
        <v>919</v>
      </c>
    </row>
    <row r="31" spans="1:12" ht="15.75" customHeight="1">
      <c r="A31" s="20"/>
      <c r="B31" s="151" t="s">
        <v>115</v>
      </c>
      <c r="C31" s="21">
        <v>1</v>
      </c>
      <c r="D31" s="160" t="s">
        <v>648</v>
      </c>
      <c r="E31" s="160" t="s">
        <v>914</v>
      </c>
      <c r="F31" s="214">
        <v>9.2999999999999999E-2</v>
      </c>
      <c r="G31" s="214">
        <v>2.5000000000000001E-2</v>
      </c>
      <c r="H31" s="214">
        <v>4.9000000000000002E-2</v>
      </c>
      <c r="I31" s="214">
        <v>4.4999999999999998E-2</v>
      </c>
      <c r="J31" s="178">
        <f t="shared" si="1"/>
        <v>5.2999999999999992E-2</v>
      </c>
      <c r="K31" s="23">
        <v>2.5000000000000001E-2</v>
      </c>
      <c r="L31" s="248" t="s">
        <v>915</v>
      </c>
    </row>
    <row r="32" spans="1:12" ht="15.75" customHeight="1">
      <c r="A32" s="20"/>
      <c r="B32" s="153" t="s">
        <v>116</v>
      </c>
      <c r="C32" s="25">
        <v>2</v>
      </c>
      <c r="D32" s="56" t="s">
        <v>651</v>
      </c>
      <c r="E32" s="56" t="s">
        <v>916</v>
      </c>
      <c r="F32" s="127">
        <v>0.04</v>
      </c>
      <c r="G32" s="127">
        <v>2.1999999999999999E-2</v>
      </c>
      <c r="H32" s="127">
        <v>8.6999999999999994E-2</v>
      </c>
      <c r="I32" s="127">
        <v>7.0000000000000007E-2</v>
      </c>
      <c r="J32" s="27">
        <f t="shared" si="1"/>
        <v>5.475E-2</v>
      </c>
      <c r="K32" s="28">
        <v>2.5000000000000001E-2</v>
      </c>
      <c r="L32" s="248" t="s">
        <v>917</v>
      </c>
    </row>
    <row r="33" spans="1:20" ht="15.75" customHeight="1">
      <c r="A33" s="20"/>
      <c r="B33" s="153" t="s">
        <v>116</v>
      </c>
      <c r="C33" s="25">
        <v>3</v>
      </c>
      <c r="D33" s="56" t="s">
        <v>653</v>
      </c>
      <c r="E33" s="56" t="s">
        <v>918</v>
      </c>
      <c r="F33" s="127">
        <v>7.0999999999999994E-2</v>
      </c>
      <c r="G33" s="127">
        <v>2.5000000000000001E-2</v>
      </c>
      <c r="H33" s="127">
        <v>9.5000000000000001E-2</v>
      </c>
      <c r="I33" s="127">
        <v>7.3999999999999996E-2</v>
      </c>
      <c r="J33" s="27">
        <f t="shared" si="1"/>
        <v>6.6250000000000003E-2</v>
      </c>
      <c r="K33" s="28">
        <v>2.5000000000000001E-2</v>
      </c>
      <c r="L33" s="248" t="s">
        <v>919</v>
      </c>
    </row>
    <row r="34" spans="1:20" ht="15.75" customHeight="1">
      <c r="A34" s="9"/>
      <c r="B34" s="149" t="s">
        <v>117</v>
      </c>
      <c r="C34" s="15">
        <v>1</v>
      </c>
      <c r="D34" s="160" t="s">
        <v>648</v>
      </c>
      <c r="E34" s="160" t="s">
        <v>914</v>
      </c>
      <c r="F34" s="212">
        <v>30</v>
      </c>
      <c r="G34" s="212">
        <v>7</v>
      </c>
      <c r="H34" s="212">
        <v>5</v>
      </c>
      <c r="I34" s="212">
        <v>3</v>
      </c>
      <c r="J34" s="154">
        <f>IFERROR(AVERAGE(F34:I34), 0)</f>
        <v>11.25</v>
      </c>
      <c r="K34" s="8">
        <v>350</v>
      </c>
      <c r="L34" s="248" t="s">
        <v>915</v>
      </c>
    </row>
    <row r="35" spans="1:20" ht="15.75" customHeight="1">
      <c r="A35" s="9"/>
      <c r="B35" s="150" t="s">
        <v>117</v>
      </c>
      <c r="C35" s="11">
        <v>2</v>
      </c>
      <c r="D35" s="56" t="s">
        <v>651</v>
      </c>
      <c r="E35" s="56" t="s">
        <v>916</v>
      </c>
      <c r="F35" s="18">
        <v>22</v>
      </c>
      <c r="G35" s="18">
        <v>6</v>
      </c>
      <c r="H35" s="18">
        <v>5</v>
      </c>
      <c r="I35" s="18">
        <v>4</v>
      </c>
      <c r="J35" s="13">
        <f t="shared" si="1"/>
        <v>9.25</v>
      </c>
      <c r="K35" s="14">
        <v>350</v>
      </c>
      <c r="L35" s="248" t="s">
        <v>917</v>
      </c>
    </row>
    <row r="36" spans="1:20" ht="15.75" customHeight="1">
      <c r="A36" s="9"/>
      <c r="B36" s="10" t="s">
        <v>117</v>
      </c>
      <c r="C36" s="11">
        <v>3</v>
      </c>
      <c r="D36" s="56" t="s">
        <v>653</v>
      </c>
      <c r="E36" s="56" t="s">
        <v>918</v>
      </c>
      <c r="F36" s="18">
        <v>37</v>
      </c>
      <c r="G36" s="18">
        <v>3</v>
      </c>
      <c r="H36" s="18">
        <v>5</v>
      </c>
      <c r="I36" s="18">
        <v>5</v>
      </c>
      <c r="J36" s="13">
        <f t="shared" si="1"/>
        <v>12.5</v>
      </c>
      <c r="K36" s="14">
        <v>350</v>
      </c>
      <c r="L36" s="248" t="s">
        <v>919</v>
      </c>
    </row>
    <row r="37" spans="1:20" ht="40.5" customHeight="1">
      <c r="A37" s="9"/>
      <c r="B37" s="6" t="s">
        <v>120</v>
      </c>
      <c r="C37" s="15">
        <v>1</v>
      </c>
      <c r="D37" s="160" t="s">
        <v>653</v>
      </c>
      <c r="E37" s="160" t="s">
        <v>914</v>
      </c>
      <c r="F37" s="167" t="s">
        <v>920</v>
      </c>
      <c r="G37" s="162" t="s">
        <v>921</v>
      </c>
      <c r="H37" s="162" t="s">
        <v>922</v>
      </c>
      <c r="I37" s="162" t="s">
        <v>923</v>
      </c>
      <c r="J37" s="1"/>
      <c r="K37" s="1"/>
      <c r="L37" s="248" t="s">
        <v>915</v>
      </c>
    </row>
    <row r="38" spans="1:20" ht="82.5" customHeight="1">
      <c r="A38" s="9"/>
      <c r="B38" s="10" t="s">
        <v>117</v>
      </c>
      <c r="C38" s="11">
        <v>2</v>
      </c>
      <c r="D38" s="56" t="s">
        <v>651</v>
      </c>
      <c r="E38" s="56" t="s">
        <v>916</v>
      </c>
      <c r="F38" s="31" t="s">
        <v>924</v>
      </c>
      <c r="G38" s="12" t="s">
        <v>925</v>
      </c>
      <c r="H38" s="12" t="s">
        <v>926</v>
      </c>
      <c r="I38" s="12" t="s">
        <v>927</v>
      </c>
      <c r="J38" s="1"/>
      <c r="K38" s="1"/>
      <c r="L38" s="248" t="s">
        <v>917</v>
      </c>
    </row>
    <row r="39" spans="1:20" ht="49.5" customHeight="1">
      <c r="A39" s="9"/>
      <c r="B39" s="10" t="s">
        <v>117</v>
      </c>
      <c r="C39" s="11">
        <v>3</v>
      </c>
      <c r="D39" s="56" t="s">
        <v>648</v>
      </c>
      <c r="E39" s="56" t="s">
        <v>918</v>
      </c>
      <c r="F39" s="31" t="s">
        <v>928</v>
      </c>
      <c r="G39" s="12" t="s">
        <v>929</v>
      </c>
      <c r="H39" s="12" t="s">
        <v>930</v>
      </c>
      <c r="I39" s="12" t="s">
        <v>931</v>
      </c>
      <c r="J39" s="1"/>
      <c r="K39" s="1"/>
      <c r="L39" s="248" t="s">
        <v>919</v>
      </c>
    </row>
    <row r="40" spans="1:20" ht="15.75" customHeight="1">
      <c r="A40" s="1"/>
      <c r="B40" s="1"/>
      <c r="C40" s="1" t="s">
        <v>173</v>
      </c>
      <c r="D40" s="1"/>
      <c r="E40" s="1"/>
      <c r="F40" s="1">
        <v>28</v>
      </c>
      <c r="G40" s="1">
        <v>29</v>
      </c>
      <c r="H40" s="519">
        <v>45910</v>
      </c>
      <c r="I40" s="519">
        <v>45953</v>
      </c>
      <c r="J40" s="1"/>
      <c r="K40" s="1"/>
    </row>
    <row r="41" spans="1:20" ht="15.75" customHeight="1">
      <c r="A41" s="1"/>
      <c r="B41" s="1"/>
      <c r="C41" s="1"/>
      <c r="D41" s="243"/>
      <c r="E41" s="243"/>
      <c r="F41" s="243"/>
      <c r="G41" s="243"/>
      <c r="H41" s="243"/>
      <c r="I41" s="243"/>
      <c r="J41" s="243"/>
      <c r="K41" s="243"/>
      <c r="L41" s="232"/>
      <c r="M41" s="232"/>
      <c r="N41" s="232"/>
      <c r="O41" s="232"/>
      <c r="P41" s="232"/>
      <c r="Q41" s="232"/>
      <c r="R41" s="232"/>
      <c r="S41" s="232"/>
    </row>
    <row r="42" spans="1:20" ht="15.75" customHeight="1">
      <c r="A42" s="1"/>
      <c r="B42" s="1"/>
      <c r="C42" s="243"/>
      <c r="D42" s="232"/>
      <c r="E42" s="843" t="s">
        <v>70</v>
      </c>
      <c r="F42" s="843"/>
      <c r="G42" s="843"/>
      <c r="H42" s="843"/>
      <c r="I42" s="843"/>
      <c r="J42" s="843"/>
      <c r="K42" s="843"/>
      <c r="L42" s="843"/>
      <c r="M42" s="843"/>
      <c r="N42" s="843"/>
      <c r="O42" s="843"/>
      <c r="P42" s="843"/>
      <c r="Q42" s="843"/>
      <c r="R42" s="843"/>
      <c r="S42" s="843"/>
      <c r="T42" s="232"/>
    </row>
    <row r="43" spans="1:20" ht="15.75" customHeight="1">
      <c r="A43" s="1"/>
      <c r="B43" s="1"/>
      <c r="C43" s="243"/>
      <c r="D43" s="232"/>
      <c r="E43" s="843" t="s">
        <v>74</v>
      </c>
      <c r="F43" s="843"/>
      <c r="G43" s="843"/>
      <c r="H43" s="843"/>
      <c r="I43" s="843"/>
      <c r="J43" s="843"/>
      <c r="K43" s="843"/>
      <c r="L43" s="843"/>
      <c r="M43" s="843"/>
      <c r="N43" s="843"/>
      <c r="O43" s="843"/>
      <c r="P43" s="843"/>
      <c r="Q43" s="843"/>
      <c r="R43" s="843"/>
      <c r="S43" s="843"/>
      <c r="T43" s="232"/>
    </row>
    <row r="44" spans="1:20" ht="15.75" customHeight="1">
      <c r="A44" s="1"/>
      <c r="B44" s="1"/>
      <c r="C44" s="243"/>
      <c r="D44" s="243"/>
      <c r="E44" s="844"/>
      <c r="F44" s="845"/>
      <c r="G44" s="845"/>
      <c r="H44" s="845"/>
      <c r="I44" s="846"/>
      <c r="J44" s="478" t="s">
        <v>78</v>
      </c>
      <c r="K44" s="273"/>
      <c r="L44" s="273"/>
      <c r="M44" s="273"/>
      <c r="N44" s="273"/>
      <c r="O44" s="273"/>
      <c r="P44" s="273"/>
      <c r="Q44" s="273"/>
      <c r="R44" s="273"/>
      <c r="S44" s="273"/>
      <c r="T44" s="232"/>
    </row>
    <row r="45" spans="1:20" ht="15.75" customHeight="1">
      <c r="A45" s="1"/>
      <c r="B45" s="1"/>
      <c r="C45" s="243"/>
      <c r="D45" s="232"/>
      <c r="E45" s="14" t="s">
        <v>82</v>
      </c>
      <c r="F45" s="14" t="s">
        <v>83</v>
      </c>
      <c r="G45" s="14" t="s">
        <v>84</v>
      </c>
      <c r="H45" s="14" t="s">
        <v>85</v>
      </c>
      <c r="I45" s="14" t="s">
        <v>86</v>
      </c>
      <c r="J45" s="14" t="s">
        <v>4</v>
      </c>
      <c r="K45" s="14" t="s">
        <v>5</v>
      </c>
      <c r="L45" s="14" t="s">
        <v>6</v>
      </c>
      <c r="M45" s="14" t="s">
        <v>7</v>
      </c>
      <c r="N45" s="14" t="s">
        <v>8</v>
      </c>
      <c r="O45" s="14" t="s">
        <v>9</v>
      </c>
      <c r="P45" s="14" t="s">
        <v>10</v>
      </c>
      <c r="Q45" s="14" t="s">
        <v>11</v>
      </c>
      <c r="R45" s="14" t="s">
        <v>12</v>
      </c>
      <c r="S45" s="14" t="s">
        <v>13</v>
      </c>
      <c r="T45" s="232"/>
    </row>
    <row r="46" spans="1:20" ht="15.75" customHeight="1">
      <c r="C46" s="232"/>
      <c r="D46" s="232"/>
      <c r="E46" s="883" t="s">
        <v>932</v>
      </c>
      <c r="F46" s="65" t="s">
        <v>23</v>
      </c>
      <c r="G46" s="883" t="s">
        <v>22</v>
      </c>
      <c r="H46" s="32">
        <v>1</v>
      </c>
      <c r="I46" s="14" t="s">
        <v>648</v>
      </c>
      <c r="J46" s="33">
        <v>5.19</v>
      </c>
      <c r="K46" s="47">
        <v>2</v>
      </c>
      <c r="L46" s="33">
        <f>AVERAGE(F13:G13)</f>
        <v>21.5</v>
      </c>
      <c r="M46" s="33">
        <f>AVERAGE(F16:G16)</f>
        <v>7.3049999999999997</v>
      </c>
      <c r="N46" s="33">
        <f>AVERAGE(F19:G19)</f>
        <v>27</v>
      </c>
      <c r="O46" s="33">
        <f>AVERAGE(F22:G22)</f>
        <v>5</v>
      </c>
      <c r="P46" s="33">
        <f>GEOMEAN(F25:G25)</f>
        <v>27964.262908219127</v>
      </c>
      <c r="Q46" s="34">
        <f>AVERAGE(F28:G28)</f>
        <v>0.59750000000000003</v>
      </c>
      <c r="R46" s="34">
        <f>AVERAGE(F31:G31)</f>
        <v>5.8999999999999997E-2</v>
      </c>
      <c r="S46" s="33">
        <f>AVERAGE(F34:G34)</f>
        <v>18.5</v>
      </c>
      <c r="T46" s="232"/>
    </row>
    <row r="47" spans="1:20" ht="15.75" customHeight="1">
      <c r="C47" s="232"/>
      <c r="D47" s="232"/>
      <c r="E47" s="884"/>
      <c r="F47" s="1063"/>
      <c r="G47" s="884"/>
      <c r="H47" s="32">
        <v>2</v>
      </c>
      <c r="I47" s="14" t="s">
        <v>651</v>
      </c>
      <c r="J47" s="33">
        <f>AVERAGE(F8:G8)</f>
        <v>5.42</v>
      </c>
      <c r="K47" s="47">
        <v>4</v>
      </c>
      <c r="L47" s="33">
        <f>AVERAGE(F14:G14)</f>
        <v>18.5</v>
      </c>
      <c r="M47" s="33">
        <f>AVERAGE(F17:G17)</f>
        <v>7.26</v>
      </c>
      <c r="N47" s="33">
        <f>AVERAGE(F20:G20)</f>
        <v>28.6</v>
      </c>
      <c r="O47" s="33">
        <f>AVERAGE(F23:G23)</f>
        <v>5</v>
      </c>
      <c r="P47" s="33">
        <f>GEOMEAN(F26:G26)</f>
        <v>3524.2020373412192</v>
      </c>
      <c r="Q47" s="34">
        <f>AVERAGE(F29:G29)</f>
        <v>0.32600000000000001</v>
      </c>
      <c r="R47" s="34">
        <f>AVERAGE(F32:G32)</f>
        <v>3.1E-2</v>
      </c>
      <c r="S47" s="33">
        <f>AVERAGE(F35:G35)</f>
        <v>14</v>
      </c>
      <c r="T47" s="232"/>
    </row>
    <row r="48" spans="1:20" ht="15.75" customHeight="1">
      <c r="C48" s="232"/>
      <c r="D48" s="232"/>
      <c r="E48" s="885"/>
      <c r="F48" s="1064"/>
      <c r="G48" s="885"/>
      <c r="H48" s="32">
        <v>3</v>
      </c>
      <c r="I48" s="14" t="s">
        <v>653</v>
      </c>
      <c r="J48" s="33">
        <v>5.66</v>
      </c>
      <c r="K48" s="47">
        <v>3</v>
      </c>
      <c r="L48" s="33">
        <f>AVERAGE(F15:G15)</f>
        <v>41</v>
      </c>
      <c r="M48" s="33">
        <f>AVERAGE(F18:G18)</f>
        <v>7.2750000000000004</v>
      </c>
      <c r="N48" s="33">
        <f>AVERAGE(F21:G21)</f>
        <v>27.95</v>
      </c>
      <c r="O48" s="33">
        <f>AVERAGE(F24:G24)</f>
        <v>7.5</v>
      </c>
      <c r="P48" s="33">
        <f>GEOMEAN(F27:G27)</f>
        <v>11242.775458044158</v>
      </c>
      <c r="Q48" s="34">
        <f>AVERAGE(F30:G30)</f>
        <v>0.53600000000000003</v>
      </c>
      <c r="R48" s="34">
        <f>AVERAGE(F33:G33)</f>
        <v>4.8000000000000001E-2</v>
      </c>
      <c r="S48" s="33">
        <f>AVERAGE(F36:G36)</f>
        <v>20</v>
      </c>
      <c r="T48" s="232"/>
    </row>
    <row r="49" spans="3:20" ht="15.75" customHeight="1">
      <c r="C49" s="232"/>
      <c r="D49" s="243"/>
      <c r="E49" s="848"/>
      <c r="F49" s="848"/>
      <c r="G49" s="848"/>
      <c r="H49" s="848"/>
      <c r="I49" s="848"/>
      <c r="J49" s="848"/>
      <c r="K49" s="848"/>
      <c r="L49" s="848"/>
      <c r="M49" s="848"/>
      <c r="N49" s="848"/>
      <c r="O49" s="848"/>
      <c r="P49" s="848"/>
      <c r="Q49" s="848"/>
      <c r="R49" s="848"/>
      <c r="S49" s="848"/>
      <c r="T49" s="232"/>
    </row>
    <row r="50" spans="3:20" ht="15.75" customHeight="1">
      <c r="C50" s="232"/>
      <c r="D50" s="232"/>
      <c r="E50" s="14" t="s">
        <v>93</v>
      </c>
      <c r="F50" s="961"/>
      <c r="G50" s="962"/>
      <c r="H50" s="962"/>
      <c r="I50" s="963"/>
      <c r="J50" s="33">
        <f t="shared" ref="J50:S50" si="2">AVERAGE(J46:J48)</f>
        <v>5.4233333333333329</v>
      </c>
      <c r="K50" s="33">
        <f t="shared" si="2"/>
        <v>3</v>
      </c>
      <c r="L50" s="33">
        <f t="shared" si="2"/>
        <v>27</v>
      </c>
      <c r="M50" s="33">
        <f t="shared" si="2"/>
        <v>7.28</v>
      </c>
      <c r="N50" s="33">
        <f t="shared" si="2"/>
        <v>27.849999999999998</v>
      </c>
      <c r="O50" s="33">
        <f t="shared" si="2"/>
        <v>5.833333333333333</v>
      </c>
      <c r="P50" s="33">
        <f t="shared" si="2"/>
        <v>14243.746801201502</v>
      </c>
      <c r="Q50" s="34">
        <f t="shared" si="2"/>
        <v>0.48649999999999999</v>
      </c>
      <c r="R50" s="34">
        <f t="shared" si="2"/>
        <v>4.6000000000000006E-2</v>
      </c>
      <c r="S50" s="33">
        <f t="shared" si="2"/>
        <v>17.5</v>
      </c>
      <c r="T50" s="232"/>
    </row>
    <row r="51" spans="3:20" ht="15.75" customHeight="1">
      <c r="C51" s="232"/>
      <c r="D51" s="232"/>
      <c r="E51" s="14" t="s">
        <v>94</v>
      </c>
      <c r="F51" s="964"/>
      <c r="G51" s="965"/>
      <c r="H51" s="965"/>
      <c r="I51" s="966"/>
      <c r="J51" s="33">
        <f t="shared" ref="J51:S51" si="3">MIN(J46:J48)</f>
        <v>5.19</v>
      </c>
      <c r="K51" s="33">
        <f t="shared" si="3"/>
        <v>2</v>
      </c>
      <c r="L51" s="33">
        <f t="shared" si="3"/>
        <v>18.5</v>
      </c>
      <c r="M51" s="33">
        <f t="shared" si="3"/>
        <v>7.26</v>
      </c>
      <c r="N51" s="33">
        <f t="shared" si="3"/>
        <v>27</v>
      </c>
      <c r="O51" s="33">
        <f t="shared" si="3"/>
        <v>5</v>
      </c>
      <c r="P51" s="33">
        <f t="shared" si="3"/>
        <v>3524.2020373412192</v>
      </c>
      <c r="Q51" s="34">
        <f t="shared" si="3"/>
        <v>0.32600000000000001</v>
      </c>
      <c r="R51" s="34">
        <f t="shared" si="3"/>
        <v>3.1E-2</v>
      </c>
      <c r="S51" s="33">
        <f t="shared" si="3"/>
        <v>14</v>
      </c>
      <c r="T51" s="232"/>
    </row>
    <row r="52" spans="3:20" ht="15.75" customHeight="1">
      <c r="C52" s="232"/>
      <c r="D52" s="232"/>
      <c r="E52" s="14" t="s">
        <v>95</v>
      </c>
      <c r="F52" s="964"/>
      <c r="G52" s="965"/>
      <c r="H52" s="965"/>
      <c r="I52" s="966"/>
      <c r="J52" s="33">
        <f t="shared" ref="J52:S52" si="4">MAX(J46:J48)</f>
        <v>5.66</v>
      </c>
      <c r="K52" s="33">
        <f t="shared" si="4"/>
        <v>4</v>
      </c>
      <c r="L52" s="33">
        <f t="shared" si="4"/>
        <v>41</v>
      </c>
      <c r="M52" s="33">
        <f t="shared" si="4"/>
        <v>7.3049999999999997</v>
      </c>
      <c r="N52" s="33">
        <f t="shared" si="4"/>
        <v>28.6</v>
      </c>
      <c r="O52" s="33">
        <f t="shared" si="4"/>
        <v>7.5</v>
      </c>
      <c r="P52" s="33">
        <f t="shared" si="4"/>
        <v>27964.262908219127</v>
      </c>
      <c r="Q52" s="34">
        <f t="shared" si="4"/>
        <v>0.59750000000000003</v>
      </c>
      <c r="R52" s="34">
        <f t="shared" si="4"/>
        <v>5.8999999999999997E-2</v>
      </c>
      <c r="S52" s="33">
        <f t="shared" si="4"/>
        <v>20</v>
      </c>
      <c r="T52" s="232"/>
    </row>
    <row r="53" spans="3:20" ht="15.75" customHeight="1">
      <c r="C53" s="232"/>
      <c r="D53" s="232"/>
      <c r="E53" s="14" t="s">
        <v>96</v>
      </c>
      <c r="F53" s="967"/>
      <c r="G53" s="968"/>
      <c r="H53" s="968"/>
      <c r="I53" s="969"/>
      <c r="J53" s="661" t="s">
        <v>97</v>
      </c>
      <c r="K53" s="661" t="s">
        <v>97</v>
      </c>
      <c r="L53" s="661" t="s">
        <v>697</v>
      </c>
      <c r="M53" s="661" t="s">
        <v>100</v>
      </c>
      <c r="N53" s="661" t="s">
        <v>698</v>
      </c>
      <c r="O53" s="661" t="s">
        <v>699</v>
      </c>
      <c r="P53" s="661" t="s">
        <v>700</v>
      </c>
      <c r="Q53" s="661" t="s">
        <v>98</v>
      </c>
      <c r="R53" s="661" t="s">
        <v>104</v>
      </c>
      <c r="S53" s="662" t="s">
        <v>701</v>
      </c>
      <c r="T53" s="232"/>
    </row>
    <row r="54" spans="3:20" ht="15.75" customHeight="1">
      <c r="D54" s="243"/>
      <c r="E54" s="243"/>
      <c r="F54" s="243"/>
      <c r="G54" s="243"/>
      <c r="H54" s="243"/>
      <c r="I54" s="243"/>
      <c r="J54" s="243"/>
      <c r="K54" s="243"/>
      <c r="L54" s="232"/>
      <c r="M54" s="232"/>
      <c r="N54" s="232"/>
      <c r="O54" s="232"/>
      <c r="P54" s="232"/>
      <c r="Q54" s="232"/>
      <c r="R54" s="232"/>
      <c r="S54" s="232"/>
    </row>
    <row r="55" spans="3:20" ht="15.75" customHeight="1">
      <c r="D55" s="243"/>
      <c r="E55" s="243"/>
      <c r="F55" s="243"/>
      <c r="G55" s="243"/>
      <c r="H55" s="243"/>
      <c r="I55" s="243"/>
      <c r="J55" s="243"/>
      <c r="K55" s="243"/>
      <c r="L55" s="232"/>
      <c r="M55" s="232"/>
      <c r="N55" s="232"/>
      <c r="O55" s="232"/>
      <c r="P55" s="232"/>
      <c r="Q55" s="232"/>
      <c r="R55" s="232"/>
      <c r="S55" s="232"/>
    </row>
    <row r="56" spans="3:20" ht="15.75" customHeight="1">
      <c r="C56" s="232"/>
      <c r="D56" s="232"/>
      <c r="E56" s="970" t="s">
        <v>70</v>
      </c>
      <c r="F56" s="970"/>
      <c r="G56" s="970"/>
      <c r="H56" s="970"/>
      <c r="I56" s="970"/>
      <c r="J56" s="970"/>
      <c r="K56" s="970"/>
      <c r="L56" s="970"/>
      <c r="M56" s="970"/>
      <c r="N56" s="970"/>
      <c r="O56" s="970"/>
      <c r="P56" s="970"/>
      <c r="Q56" s="970"/>
      <c r="R56" s="970"/>
      <c r="S56" s="970"/>
      <c r="T56" s="232"/>
    </row>
    <row r="57" spans="3:20" ht="15.75" customHeight="1">
      <c r="C57" s="232"/>
      <c r="D57" s="232"/>
      <c r="E57" s="970" t="s">
        <v>107</v>
      </c>
      <c r="F57" s="970"/>
      <c r="G57" s="970"/>
      <c r="H57" s="970"/>
      <c r="I57" s="970"/>
      <c r="J57" s="970"/>
      <c r="K57" s="970"/>
      <c r="L57" s="970"/>
      <c r="M57" s="970"/>
      <c r="N57" s="970"/>
      <c r="O57" s="970"/>
      <c r="P57" s="970"/>
      <c r="Q57" s="970"/>
      <c r="R57" s="970"/>
      <c r="S57" s="970"/>
      <c r="T57" s="232"/>
    </row>
    <row r="58" spans="3:20" ht="15.75" customHeight="1">
      <c r="C58" s="232"/>
      <c r="D58" s="243"/>
      <c r="E58" s="848"/>
      <c r="F58" s="848"/>
      <c r="G58" s="848"/>
      <c r="H58" s="848"/>
      <c r="I58" s="848"/>
      <c r="J58" s="478" t="s">
        <v>78</v>
      </c>
      <c r="K58" s="273"/>
      <c r="L58" s="273"/>
      <c r="M58" s="273"/>
      <c r="N58" s="273"/>
      <c r="O58" s="273"/>
      <c r="P58" s="273"/>
      <c r="Q58" s="273"/>
      <c r="R58" s="273"/>
      <c r="S58" s="273"/>
      <c r="T58" s="232"/>
    </row>
    <row r="59" spans="3:20" ht="15.75" customHeight="1">
      <c r="C59" s="232"/>
      <c r="D59" s="232"/>
      <c r="E59" s="14" t="s">
        <v>82</v>
      </c>
      <c r="F59" s="14" t="s">
        <v>83</v>
      </c>
      <c r="G59" s="14" t="s">
        <v>84</v>
      </c>
      <c r="H59" s="14" t="s">
        <v>85</v>
      </c>
      <c r="I59" s="14" t="s">
        <v>86</v>
      </c>
      <c r="J59" s="14" t="s">
        <v>4</v>
      </c>
      <c r="K59" s="14" t="s">
        <v>5</v>
      </c>
      <c r="L59" s="14" t="s">
        <v>6</v>
      </c>
      <c r="M59" s="14" t="s">
        <v>7</v>
      </c>
      <c r="N59" s="14" t="s">
        <v>8</v>
      </c>
      <c r="O59" s="14" t="s">
        <v>9</v>
      </c>
      <c r="P59" s="14" t="s">
        <v>10</v>
      </c>
      <c r="Q59" s="14" t="s">
        <v>11</v>
      </c>
      <c r="R59" s="14" t="s">
        <v>12</v>
      </c>
      <c r="S59" s="14" t="s">
        <v>13</v>
      </c>
      <c r="T59" s="232"/>
    </row>
    <row r="60" spans="3:20" ht="15.75" customHeight="1">
      <c r="C60" s="232"/>
      <c r="D60" s="232"/>
      <c r="E60" s="883" t="s">
        <v>932</v>
      </c>
      <c r="F60" s="883" t="s">
        <v>23</v>
      </c>
      <c r="G60" s="883" t="s">
        <v>22</v>
      </c>
      <c r="H60" s="32">
        <v>1</v>
      </c>
      <c r="I60" s="14" t="s">
        <v>648</v>
      </c>
      <c r="J60" s="35">
        <f>J7</f>
        <v>6.1025000000000009</v>
      </c>
      <c r="K60" s="59">
        <f>J10</f>
        <v>2.25</v>
      </c>
      <c r="L60" s="35">
        <f>J13</f>
        <v>32</v>
      </c>
      <c r="M60" s="35">
        <f>J16</f>
        <v>7.46</v>
      </c>
      <c r="N60" s="35">
        <f>J19</f>
        <v>27.450000000000003</v>
      </c>
      <c r="O60" s="35">
        <f>J22</f>
        <v>5</v>
      </c>
      <c r="P60" s="36">
        <f>J25</f>
        <v>11341.76394472253</v>
      </c>
      <c r="Q60" s="34">
        <f>J28</f>
        <v>0.46174999999999999</v>
      </c>
      <c r="R60" s="34">
        <f>J31</f>
        <v>5.2999999999999992E-2</v>
      </c>
      <c r="S60" s="35">
        <f>J34</f>
        <v>11.25</v>
      </c>
      <c r="T60" s="232"/>
    </row>
    <row r="61" spans="3:20" ht="15.75" customHeight="1">
      <c r="C61" s="232"/>
      <c r="D61" s="232"/>
      <c r="E61" s="884"/>
      <c r="F61" s="884"/>
      <c r="G61" s="884"/>
      <c r="H61" s="32">
        <v>2</v>
      </c>
      <c r="I61" s="14" t="s">
        <v>651</v>
      </c>
      <c r="J61" s="35">
        <f>J8</f>
        <v>6.0724999999999998</v>
      </c>
      <c r="K61" s="59">
        <f>J11</f>
        <v>3.5</v>
      </c>
      <c r="L61" s="35">
        <f>J14</f>
        <v>72.75</v>
      </c>
      <c r="M61" s="35">
        <f>J17</f>
        <v>7.4350000000000005</v>
      </c>
      <c r="N61" s="35">
        <f>J20</f>
        <v>28.325000000000003</v>
      </c>
      <c r="O61" s="35">
        <f>J23</f>
        <v>5</v>
      </c>
      <c r="P61" s="36">
        <f>J26</f>
        <v>1752.2289158833112</v>
      </c>
      <c r="Q61" s="34">
        <f>J29</f>
        <v>0.29649999999999999</v>
      </c>
      <c r="R61" s="34">
        <f>J32</f>
        <v>5.475E-2</v>
      </c>
      <c r="S61" s="35">
        <f>J35</f>
        <v>9.25</v>
      </c>
      <c r="T61" s="232"/>
    </row>
    <row r="62" spans="3:20" ht="15.75" customHeight="1">
      <c r="C62" s="232"/>
      <c r="D62" s="232"/>
      <c r="E62" s="885"/>
      <c r="F62" s="885"/>
      <c r="G62" s="885"/>
      <c r="H62" s="32">
        <v>3</v>
      </c>
      <c r="I62" s="14" t="s">
        <v>653</v>
      </c>
      <c r="J62" s="35">
        <f>J9</f>
        <v>6.2024999999999988</v>
      </c>
      <c r="K62" s="59">
        <f>J12</f>
        <v>2.75</v>
      </c>
      <c r="L62" s="35">
        <f>J15</f>
        <v>86</v>
      </c>
      <c r="M62" s="35">
        <f>J18</f>
        <v>7.4824999999999999</v>
      </c>
      <c r="N62" s="35">
        <f>J21</f>
        <v>27.5</v>
      </c>
      <c r="O62" s="35">
        <f>J24</f>
        <v>6.25</v>
      </c>
      <c r="P62" s="36">
        <f>J27</f>
        <v>4323.7497747435373</v>
      </c>
      <c r="Q62" s="34">
        <f>J30</f>
        <v>0.73149999999999993</v>
      </c>
      <c r="R62" s="34">
        <f>J33</f>
        <v>6.6250000000000003E-2</v>
      </c>
      <c r="S62" s="35">
        <f>J36</f>
        <v>12.5</v>
      </c>
      <c r="T62" s="232"/>
    </row>
    <row r="63" spans="3:20" ht="15.75" customHeight="1">
      <c r="C63" s="232"/>
      <c r="D63" s="243"/>
      <c r="E63" s="848"/>
      <c r="F63" s="848"/>
      <c r="G63" s="848"/>
      <c r="H63" s="848"/>
      <c r="I63" s="848"/>
      <c r="J63" s="848"/>
      <c r="K63" s="848"/>
      <c r="L63" s="848"/>
      <c r="M63" s="848"/>
      <c r="N63" s="848"/>
      <c r="O63" s="848"/>
      <c r="P63" s="848"/>
      <c r="Q63" s="848"/>
      <c r="R63" s="848"/>
      <c r="S63" s="848"/>
      <c r="T63" s="232"/>
    </row>
    <row r="64" spans="3:20" ht="15.75" customHeight="1">
      <c r="C64" s="232"/>
      <c r="D64" s="232"/>
      <c r="E64" s="14" t="s">
        <v>93</v>
      </c>
      <c r="F64" s="961"/>
      <c r="G64" s="962"/>
      <c r="H64" s="962"/>
      <c r="I64" s="963"/>
      <c r="J64" s="35">
        <f t="shared" ref="J64:S64" si="5">AVERAGE(J60:J62)</f>
        <v>6.1258333333333326</v>
      </c>
      <c r="K64" s="59">
        <f t="shared" si="5"/>
        <v>2.8333333333333335</v>
      </c>
      <c r="L64" s="35">
        <f t="shared" si="5"/>
        <v>63.583333333333336</v>
      </c>
      <c r="M64" s="35">
        <f t="shared" si="5"/>
        <v>7.4591666666666656</v>
      </c>
      <c r="N64" s="35">
        <f t="shared" si="5"/>
        <v>27.758333333333336</v>
      </c>
      <c r="O64" s="35">
        <f t="shared" si="5"/>
        <v>5.416666666666667</v>
      </c>
      <c r="P64" s="36">
        <f t="shared" si="5"/>
        <v>5805.9142117831261</v>
      </c>
      <c r="Q64" s="34">
        <f t="shared" si="5"/>
        <v>0.49658333333333332</v>
      </c>
      <c r="R64" s="34">
        <f t="shared" si="5"/>
        <v>5.7999999999999996E-2</v>
      </c>
      <c r="S64" s="35">
        <f t="shared" si="5"/>
        <v>11</v>
      </c>
      <c r="T64" s="232"/>
    </row>
    <row r="65" spans="3:20" ht="15.75" customHeight="1">
      <c r="C65" s="232"/>
      <c r="D65" s="232"/>
      <c r="E65" s="14" t="s">
        <v>94</v>
      </c>
      <c r="F65" s="964"/>
      <c r="G65" s="965"/>
      <c r="H65" s="965"/>
      <c r="I65" s="966"/>
      <c r="J65" s="35">
        <f t="shared" ref="J65:S65" si="6">MIN(J60:J62)</f>
        <v>6.0724999999999998</v>
      </c>
      <c r="K65" s="59">
        <f t="shared" si="6"/>
        <v>2.25</v>
      </c>
      <c r="L65" s="35">
        <f t="shared" si="6"/>
        <v>32</v>
      </c>
      <c r="M65" s="35">
        <f t="shared" si="6"/>
        <v>7.4350000000000005</v>
      </c>
      <c r="N65" s="35">
        <f t="shared" si="6"/>
        <v>27.450000000000003</v>
      </c>
      <c r="O65" s="35">
        <f t="shared" si="6"/>
        <v>5</v>
      </c>
      <c r="P65" s="36">
        <f t="shared" si="6"/>
        <v>1752.2289158833112</v>
      </c>
      <c r="Q65" s="34">
        <f t="shared" si="6"/>
        <v>0.29649999999999999</v>
      </c>
      <c r="R65" s="34">
        <f t="shared" si="6"/>
        <v>5.2999999999999992E-2</v>
      </c>
      <c r="S65" s="35">
        <f t="shared" si="6"/>
        <v>9.25</v>
      </c>
      <c r="T65" s="232"/>
    </row>
    <row r="66" spans="3:20" ht="15.75" customHeight="1">
      <c r="C66" s="232"/>
      <c r="D66" s="232"/>
      <c r="E66" s="14" t="s">
        <v>95</v>
      </c>
      <c r="F66" s="964"/>
      <c r="G66" s="965"/>
      <c r="H66" s="965"/>
      <c r="I66" s="966"/>
      <c r="J66" s="35">
        <f t="shared" ref="J66:S66" si="7">MAX(J60:J62)</f>
        <v>6.2024999999999988</v>
      </c>
      <c r="K66" s="59">
        <f t="shared" si="7"/>
        <v>3.5</v>
      </c>
      <c r="L66" s="35">
        <f t="shared" si="7"/>
        <v>86</v>
      </c>
      <c r="M66" s="35">
        <f t="shared" si="7"/>
        <v>7.4824999999999999</v>
      </c>
      <c r="N66" s="35">
        <f t="shared" si="7"/>
        <v>28.325000000000003</v>
      </c>
      <c r="O66" s="35">
        <f t="shared" si="7"/>
        <v>6.25</v>
      </c>
      <c r="P66" s="36">
        <f t="shared" si="7"/>
        <v>11341.76394472253</v>
      </c>
      <c r="Q66" s="34">
        <f t="shared" si="7"/>
        <v>0.73149999999999993</v>
      </c>
      <c r="R66" s="34">
        <f t="shared" si="7"/>
        <v>6.6250000000000003E-2</v>
      </c>
      <c r="S66" s="35">
        <f t="shared" si="7"/>
        <v>12.5</v>
      </c>
      <c r="T66" s="232"/>
    </row>
    <row r="67" spans="3:20" ht="15.75" customHeight="1">
      <c r="C67" s="232"/>
      <c r="D67" s="232"/>
      <c r="E67" s="14" t="s">
        <v>96</v>
      </c>
      <c r="F67" s="967"/>
      <c r="G67" s="968"/>
      <c r="H67" s="968"/>
      <c r="I67" s="969"/>
      <c r="J67" s="661" t="s">
        <v>97</v>
      </c>
      <c r="K67" s="661" t="s">
        <v>97</v>
      </c>
      <c r="L67" s="661" t="s">
        <v>697</v>
      </c>
      <c r="M67" s="661" t="s">
        <v>100</v>
      </c>
      <c r="N67" s="661" t="s">
        <v>698</v>
      </c>
      <c r="O67" s="661" t="s">
        <v>699</v>
      </c>
      <c r="P67" s="661" t="s">
        <v>700</v>
      </c>
      <c r="Q67" s="661" t="s">
        <v>98</v>
      </c>
      <c r="R67" s="661" t="s">
        <v>104</v>
      </c>
      <c r="S67" s="662" t="s">
        <v>701</v>
      </c>
      <c r="T67" s="232"/>
    </row>
    <row r="68" spans="3:20" ht="15" customHeight="1">
      <c r="D68" s="232"/>
      <c r="E68" s="232"/>
      <c r="F68" s="232"/>
      <c r="G68" s="232"/>
      <c r="H68" s="232"/>
      <c r="I68" s="232"/>
      <c r="J68" s="232"/>
      <c r="K68" s="232"/>
      <c r="L68" s="232"/>
      <c r="M68" s="232"/>
      <c r="N68" s="232"/>
      <c r="O68" s="232"/>
      <c r="P68" s="232"/>
      <c r="Q68" s="232"/>
      <c r="R68" s="232"/>
      <c r="S68" s="232"/>
    </row>
    <row r="70" spans="3:20" ht="15" customHeight="1">
      <c r="E70" t="s">
        <v>175</v>
      </c>
    </row>
    <row r="71" spans="3:20" ht="15" customHeight="1">
      <c r="E71" s="960" t="s">
        <v>933</v>
      </c>
      <c r="F71" s="960"/>
      <c r="G71" s="960"/>
      <c r="H71" s="960"/>
      <c r="I71" s="960"/>
      <c r="J71" s="960"/>
      <c r="K71" s="960"/>
      <c r="L71" s="960"/>
      <c r="M71" s="960"/>
      <c r="N71" s="960"/>
      <c r="O71" s="960"/>
      <c r="P71" s="960"/>
      <c r="Q71" s="960"/>
      <c r="R71" s="960"/>
      <c r="S71" s="960"/>
    </row>
    <row r="72" spans="3:20" ht="15" customHeight="1">
      <c r="E72" s="960"/>
      <c r="F72" s="960"/>
      <c r="G72" s="960"/>
      <c r="H72" s="960"/>
      <c r="I72" s="960"/>
      <c r="J72" s="960"/>
      <c r="K72" s="960"/>
      <c r="L72" s="960"/>
      <c r="M72" s="960"/>
      <c r="N72" s="960"/>
      <c r="O72" s="960"/>
      <c r="P72" s="960"/>
      <c r="Q72" s="960"/>
      <c r="R72" s="960"/>
      <c r="S72" s="960"/>
    </row>
    <row r="73" spans="3:20" ht="15" customHeight="1">
      <c r="E73" s="960"/>
      <c r="F73" s="960"/>
      <c r="G73" s="960"/>
      <c r="H73" s="960"/>
      <c r="I73" s="960"/>
      <c r="J73" s="960"/>
      <c r="K73" s="960"/>
      <c r="L73" s="960"/>
      <c r="M73" s="960"/>
      <c r="N73" s="960"/>
      <c r="O73" s="960"/>
      <c r="P73" s="960"/>
      <c r="Q73" s="960"/>
      <c r="R73" s="960"/>
      <c r="S73" s="960"/>
    </row>
    <row r="74" spans="3:20" ht="15" customHeight="1">
      <c r="E74" s="960"/>
      <c r="F74" s="960"/>
      <c r="G74" s="960"/>
      <c r="H74" s="960"/>
      <c r="I74" s="960"/>
      <c r="J74" s="960"/>
      <c r="K74" s="960"/>
      <c r="L74" s="960"/>
      <c r="M74" s="960"/>
      <c r="N74" s="960"/>
      <c r="O74" s="960"/>
      <c r="P74" s="960"/>
      <c r="Q74" s="960"/>
      <c r="R74" s="960"/>
      <c r="S74" s="960"/>
    </row>
    <row r="75" spans="3:20" ht="15" customHeight="1">
      <c r="E75" s="960"/>
      <c r="F75" s="960"/>
      <c r="G75" s="960"/>
      <c r="H75" s="960"/>
      <c r="I75" s="960"/>
      <c r="J75" s="960"/>
      <c r="K75" s="960"/>
      <c r="L75" s="960"/>
      <c r="M75" s="960"/>
      <c r="N75" s="960"/>
      <c r="O75" s="960"/>
      <c r="P75" s="960"/>
      <c r="Q75" s="960"/>
      <c r="R75" s="960"/>
      <c r="S75" s="960"/>
    </row>
    <row r="76" spans="3:20" ht="15" customHeight="1">
      <c r="E76" s="960"/>
      <c r="F76" s="960"/>
      <c r="G76" s="960"/>
      <c r="H76" s="960"/>
      <c r="I76" s="960"/>
      <c r="J76" s="960"/>
      <c r="K76" s="960"/>
      <c r="L76" s="960"/>
      <c r="M76" s="960"/>
      <c r="N76" s="960"/>
      <c r="O76" s="960"/>
      <c r="P76" s="960"/>
      <c r="Q76" s="960"/>
      <c r="R76" s="960"/>
      <c r="S76" s="960"/>
    </row>
    <row r="77" spans="3:20" ht="15" customHeight="1">
      <c r="E77" s="960"/>
      <c r="F77" s="960"/>
      <c r="G77" s="960"/>
      <c r="H77" s="960"/>
      <c r="I77" s="960"/>
      <c r="J77" s="960"/>
      <c r="K77" s="960"/>
      <c r="L77" s="960"/>
      <c r="M77" s="960"/>
      <c r="N77" s="960"/>
      <c r="O77" s="960"/>
      <c r="P77" s="960"/>
      <c r="Q77" s="960"/>
      <c r="R77" s="960"/>
      <c r="S77" s="960"/>
    </row>
    <row r="78" spans="3:20" ht="15" customHeight="1">
      <c r="E78" s="960"/>
      <c r="F78" s="960"/>
      <c r="G78" s="960"/>
      <c r="H78" s="960"/>
      <c r="I78" s="960"/>
      <c r="J78" s="960"/>
      <c r="K78" s="960"/>
      <c r="L78" s="960"/>
      <c r="M78" s="960"/>
      <c r="N78" s="960"/>
      <c r="O78" s="960"/>
      <c r="P78" s="960"/>
      <c r="Q78" s="960"/>
      <c r="R78" s="960"/>
      <c r="S78" s="960"/>
    </row>
    <row r="79" spans="3:20" ht="15" customHeight="1">
      <c r="E79" s="960"/>
      <c r="F79" s="960"/>
      <c r="G79" s="960"/>
      <c r="H79" s="960"/>
      <c r="I79" s="960"/>
      <c r="J79" s="960"/>
      <c r="K79" s="960"/>
      <c r="L79" s="960"/>
      <c r="M79" s="960"/>
      <c r="N79" s="960"/>
      <c r="O79" s="960"/>
      <c r="P79" s="960"/>
      <c r="Q79" s="960"/>
      <c r="R79" s="960"/>
      <c r="S79" s="960"/>
    </row>
    <row r="80" spans="3:20" ht="15" customHeight="1">
      <c r="E80" s="960"/>
      <c r="F80" s="960"/>
      <c r="G80" s="960"/>
      <c r="H80" s="960"/>
      <c r="I80" s="960"/>
      <c r="J80" s="960"/>
      <c r="K80" s="960"/>
      <c r="L80" s="960"/>
      <c r="M80" s="960"/>
      <c r="N80" s="960"/>
      <c r="O80" s="960"/>
      <c r="P80" s="960"/>
      <c r="Q80" s="960"/>
      <c r="R80" s="960"/>
      <c r="S80" s="960"/>
    </row>
    <row r="81" spans="5:19" ht="15" customHeight="1">
      <c r="E81" s="960"/>
      <c r="F81" s="960"/>
      <c r="G81" s="960"/>
      <c r="H81" s="960"/>
      <c r="I81" s="960"/>
      <c r="J81" s="960"/>
      <c r="K81" s="960"/>
      <c r="L81" s="960"/>
      <c r="M81" s="960"/>
      <c r="N81" s="960"/>
      <c r="O81" s="960"/>
      <c r="P81" s="960"/>
      <c r="Q81" s="960"/>
      <c r="R81" s="960"/>
      <c r="S81" s="960"/>
    </row>
    <row r="82" spans="5:19" ht="15" customHeight="1">
      <c r="E82" s="960"/>
      <c r="F82" s="960"/>
      <c r="G82" s="960"/>
      <c r="H82" s="960"/>
      <c r="I82" s="960"/>
      <c r="J82" s="960"/>
      <c r="K82" s="960"/>
      <c r="L82" s="960"/>
      <c r="M82" s="960"/>
      <c r="N82" s="960"/>
      <c r="O82" s="960"/>
      <c r="P82" s="960"/>
      <c r="Q82" s="960"/>
      <c r="R82" s="960"/>
      <c r="S82" s="960"/>
    </row>
    <row r="83" spans="5:19" ht="15" customHeight="1">
      <c r="E83" s="960"/>
      <c r="F83" s="960"/>
      <c r="G83" s="960"/>
      <c r="H83" s="960"/>
      <c r="I83" s="960"/>
      <c r="J83" s="960"/>
      <c r="K83" s="960"/>
      <c r="L83" s="960"/>
      <c r="M83" s="960"/>
      <c r="N83" s="960"/>
      <c r="O83" s="960"/>
      <c r="P83" s="960"/>
      <c r="Q83" s="960"/>
      <c r="R83" s="960"/>
      <c r="S83" s="960"/>
    </row>
    <row r="84" spans="5:19" ht="15" customHeight="1">
      <c r="E84" s="960"/>
      <c r="F84" s="960"/>
      <c r="G84" s="960"/>
      <c r="H84" s="960"/>
      <c r="I84" s="960"/>
      <c r="J84" s="960"/>
      <c r="K84" s="960"/>
      <c r="L84" s="960"/>
      <c r="M84" s="960"/>
      <c r="N84" s="960"/>
      <c r="O84" s="960"/>
      <c r="P84" s="960"/>
      <c r="Q84" s="960"/>
      <c r="R84" s="960"/>
      <c r="S84" s="960"/>
    </row>
  </sheetData>
  <mergeCells count="22">
    <mergeCell ref="E71:S84"/>
    <mergeCell ref="E56:S56"/>
    <mergeCell ref="E57:S57"/>
    <mergeCell ref="E58:I58"/>
    <mergeCell ref="E63:S63"/>
    <mergeCell ref="F64:I67"/>
    <mergeCell ref="G60:G62"/>
    <mergeCell ref="E60:E62"/>
    <mergeCell ref="F60:F62"/>
    <mergeCell ref="C1:K1"/>
    <mergeCell ref="C2:K2"/>
    <mergeCell ref="C3:K3"/>
    <mergeCell ref="C4:K4"/>
    <mergeCell ref="C5:K5"/>
    <mergeCell ref="E42:S42"/>
    <mergeCell ref="E43:S43"/>
    <mergeCell ref="E44:I44"/>
    <mergeCell ref="E49:S49"/>
    <mergeCell ref="F50:I53"/>
    <mergeCell ref="G46:G48"/>
    <mergeCell ref="F47:F48"/>
    <mergeCell ref="E46:E48"/>
  </mergeCells>
  <phoneticPr fontId="18" type="noConversion"/>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05496"/>
    <pageSetUpPr fitToPage="1"/>
  </sheetPr>
  <dimension ref="A1:W114"/>
  <sheetViews>
    <sheetView workbookViewId="0">
      <pane xSplit="2" ySplit="6" topLeftCell="D29" activePane="bottomRight" state="frozen"/>
      <selection pane="bottomRight" activeCell="H42" sqref="H37:H42"/>
      <selection pane="bottomLeft" activeCell="A7" sqref="A7"/>
      <selection pane="topRight" activeCell="C1" sqref="C1"/>
    </sheetView>
  </sheetViews>
  <sheetFormatPr defaultColWidth="14.42578125" defaultRowHeight="15" customHeight="1"/>
  <cols>
    <col min="1" max="1" width="9.140625" customWidth="1"/>
    <col min="2" max="2" width="29.42578125" customWidth="1"/>
    <col min="3" max="3" width="9.140625" style="1" customWidth="1"/>
    <col min="4" max="4" width="35" customWidth="1"/>
    <col min="5" max="5" width="19.140625" customWidth="1"/>
    <col min="6" max="6" width="9.140625" customWidth="1"/>
    <col min="7" max="7" width="12.5703125" customWidth="1"/>
    <col min="8" max="9" width="11.140625" customWidth="1"/>
    <col min="10" max="10" width="11.85546875" customWidth="1"/>
    <col min="11" max="13" width="10.85546875" customWidth="1"/>
    <col min="14" max="14" width="11.140625" customWidth="1"/>
    <col min="15" max="15" width="8.7109375" customWidth="1"/>
    <col min="17" max="17" width="10.7109375" customWidth="1"/>
    <col min="18" max="18" width="19.42578125" customWidth="1"/>
    <col min="19" max="19" width="13.140625" bestFit="1" customWidth="1"/>
    <col min="20" max="20" width="7.28515625" hidden="1" customWidth="1"/>
    <col min="21" max="23" width="9.140625" customWidth="1"/>
    <col min="24" max="27" width="8.7109375" customWidth="1"/>
  </cols>
  <sheetData>
    <row r="1" spans="1:20">
      <c r="A1" s="60"/>
      <c r="B1" s="168"/>
      <c r="C1" s="892" t="s">
        <v>40</v>
      </c>
      <c r="D1" s="1160"/>
      <c r="E1" s="1160"/>
      <c r="F1" s="1160"/>
      <c r="G1" s="1160"/>
      <c r="H1" s="1160"/>
      <c r="I1" s="1160"/>
      <c r="J1" s="1160"/>
      <c r="K1" s="1160"/>
      <c r="L1" s="1160"/>
      <c r="M1" s="1160"/>
      <c r="N1" s="1160"/>
      <c r="O1" s="1160"/>
      <c r="P1" s="1160"/>
      <c r="Q1" s="1160"/>
      <c r="R1" s="1160"/>
      <c r="S1" s="1160"/>
    </row>
    <row r="2" spans="1:20">
      <c r="A2" s="138"/>
      <c r="B2" s="93"/>
      <c r="C2" s="868" t="s">
        <v>41</v>
      </c>
      <c r="D2" s="1158"/>
      <c r="E2" s="1158"/>
      <c r="F2" s="1158"/>
      <c r="G2" s="1158"/>
      <c r="H2" s="1158"/>
      <c r="I2" s="1158"/>
      <c r="J2" s="1158"/>
      <c r="K2" s="1158"/>
      <c r="L2" s="1158"/>
      <c r="M2" s="1158"/>
      <c r="N2" s="1158"/>
      <c r="O2" s="1158"/>
      <c r="P2" s="1158"/>
      <c r="Q2" s="1158"/>
      <c r="R2" s="1158"/>
      <c r="S2" s="1158"/>
    </row>
    <row r="3" spans="1:20">
      <c r="A3" s="139"/>
      <c r="B3" s="86"/>
      <c r="C3" s="869" t="s">
        <v>42</v>
      </c>
      <c r="D3" s="1159"/>
      <c r="E3" s="1159"/>
      <c r="F3" s="1159"/>
      <c r="G3" s="1159"/>
      <c r="H3" s="1159"/>
      <c r="I3" s="1159"/>
      <c r="J3" s="1159"/>
      <c r="K3" s="1159"/>
      <c r="L3" s="1159"/>
      <c r="M3" s="1159"/>
      <c r="N3" s="1159"/>
      <c r="O3" s="1159"/>
      <c r="P3" s="1159"/>
      <c r="Q3" s="1159"/>
      <c r="R3" s="1159"/>
      <c r="S3" s="1159"/>
    </row>
    <row r="4" spans="1:20">
      <c r="A4" s="140"/>
      <c r="B4" s="141"/>
      <c r="C4" s="870" t="s">
        <v>934</v>
      </c>
      <c r="D4" s="1160"/>
      <c r="E4" s="1160"/>
      <c r="F4" s="1160"/>
      <c r="G4" s="1160"/>
      <c r="H4" s="1160"/>
      <c r="I4" s="1160"/>
      <c r="J4" s="1160"/>
      <c r="K4" s="1160"/>
      <c r="L4" s="1160"/>
      <c r="M4" s="1160"/>
      <c r="N4" s="1160"/>
      <c r="O4" s="1160"/>
      <c r="P4" s="1160"/>
      <c r="Q4" s="1160"/>
      <c r="R4" s="1160"/>
      <c r="S4" s="1160"/>
    </row>
    <row r="5" spans="1:20">
      <c r="A5" s="2"/>
      <c r="B5" s="142"/>
      <c r="C5" s="871" t="s">
        <v>935</v>
      </c>
      <c r="D5" s="1159"/>
      <c r="E5" s="1159"/>
      <c r="F5" s="1159"/>
      <c r="G5" s="1159"/>
      <c r="H5" s="1159"/>
      <c r="I5" s="1159"/>
      <c r="J5" s="1159"/>
      <c r="K5" s="1159"/>
      <c r="L5" s="1159"/>
      <c r="M5" s="1159"/>
      <c r="N5" s="1159"/>
      <c r="O5" s="1159"/>
      <c r="P5" s="1159"/>
      <c r="Q5" s="1159"/>
      <c r="R5" s="1159"/>
      <c r="S5" s="1159"/>
    </row>
    <row r="6" spans="1:20">
      <c r="A6" s="3" t="s">
        <v>45</v>
      </c>
      <c r="B6" s="424" t="s">
        <v>46</v>
      </c>
      <c r="C6" s="4" t="s">
        <v>47</v>
      </c>
      <c r="D6" s="4" t="s">
        <v>48</v>
      </c>
      <c r="E6" s="424" t="s">
        <v>49</v>
      </c>
      <c r="F6" s="5" t="s">
        <v>50</v>
      </c>
      <c r="G6" s="5" t="s">
        <v>51</v>
      </c>
      <c r="H6" s="4" t="s">
        <v>52</v>
      </c>
      <c r="I6" s="4" t="s">
        <v>53</v>
      </c>
      <c r="J6" s="4" t="s">
        <v>54</v>
      </c>
      <c r="K6" s="4" t="s">
        <v>55</v>
      </c>
      <c r="L6" s="4" t="s">
        <v>56</v>
      </c>
      <c r="M6" s="4" t="s">
        <v>57</v>
      </c>
      <c r="N6" s="4" t="s">
        <v>58</v>
      </c>
      <c r="O6" s="4" t="s">
        <v>59</v>
      </c>
      <c r="P6" s="4" t="s">
        <v>60</v>
      </c>
      <c r="Q6" s="4" t="s">
        <v>61</v>
      </c>
      <c r="R6" s="170" t="s">
        <v>62</v>
      </c>
      <c r="S6" s="179" t="s">
        <v>63</v>
      </c>
      <c r="T6" s="253" t="s">
        <v>64</v>
      </c>
    </row>
    <row r="7" spans="1:20">
      <c r="A7" s="419" t="s">
        <v>65</v>
      </c>
      <c r="B7" s="895" t="s">
        <v>66</v>
      </c>
      <c r="C7" s="421">
        <v>1</v>
      </c>
      <c r="D7" s="183" t="s">
        <v>936</v>
      </c>
      <c r="E7" s="123" t="s">
        <v>937</v>
      </c>
      <c r="F7" s="495">
        <v>7.6</v>
      </c>
      <c r="G7" s="210">
        <v>4.72</v>
      </c>
      <c r="H7" s="210">
        <v>4.26</v>
      </c>
      <c r="I7" s="210">
        <v>5.44</v>
      </c>
      <c r="J7" s="210">
        <v>4.9800000000000004</v>
      </c>
      <c r="K7" s="210">
        <v>6.17</v>
      </c>
      <c r="L7" s="210">
        <v>6.01</v>
      </c>
      <c r="M7" s="210">
        <v>6.51</v>
      </c>
      <c r="N7" s="210">
        <v>5.9</v>
      </c>
      <c r="O7" s="210">
        <v>6.67</v>
      </c>
      <c r="P7" s="210">
        <v>6.11</v>
      </c>
      <c r="Q7" s="210">
        <v>5.87</v>
      </c>
      <c r="R7" s="154">
        <f t="shared" ref="R7:R36" si="0">IFERROR(AVERAGE(F7:Q7), 0)</f>
        <v>5.8533333333333344</v>
      </c>
      <c r="S7" s="182">
        <v>6</v>
      </c>
      <c r="T7" s="250" t="s">
        <v>938</v>
      </c>
    </row>
    <row r="8" spans="1:20">
      <c r="A8" s="420"/>
      <c r="B8" s="896"/>
      <c r="C8" s="422">
        <v>2</v>
      </c>
      <c r="D8" s="185" t="s">
        <v>939</v>
      </c>
      <c r="E8" s="121" t="s">
        <v>800</v>
      </c>
      <c r="F8" s="496">
        <v>7.3</v>
      </c>
      <c r="G8" s="45">
        <v>5.21</v>
      </c>
      <c r="H8" s="45">
        <v>4.41</v>
      </c>
      <c r="I8" s="45">
        <v>5.35</v>
      </c>
      <c r="J8" s="45">
        <v>5.21</v>
      </c>
      <c r="K8" s="45">
        <v>6.08</v>
      </c>
      <c r="L8" s="45">
        <v>5.88</v>
      </c>
      <c r="M8" s="45">
        <v>6.32</v>
      </c>
      <c r="N8" s="45">
        <v>7.2</v>
      </c>
      <c r="O8" s="45">
        <v>6.23</v>
      </c>
      <c r="P8" s="45">
        <v>5.89</v>
      </c>
      <c r="Q8" s="45">
        <v>5.88</v>
      </c>
      <c r="R8" s="35">
        <f t="shared" si="0"/>
        <v>5.913333333333334</v>
      </c>
      <c r="S8" s="14">
        <v>6</v>
      </c>
      <c r="T8" s="250" t="s">
        <v>940</v>
      </c>
    </row>
    <row r="9" spans="1:20">
      <c r="A9" s="420"/>
      <c r="B9" s="896"/>
      <c r="C9" s="422">
        <v>3</v>
      </c>
      <c r="D9" s="185" t="s">
        <v>941</v>
      </c>
      <c r="E9" s="121" t="s">
        <v>800</v>
      </c>
      <c r="F9" s="496">
        <v>7</v>
      </c>
      <c r="G9" s="45">
        <v>5.04</v>
      </c>
      <c r="H9" s="45">
        <v>4.03</v>
      </c>
      <c r="I9" s="45">
        <v>5.19</v>
      </c>
      <c r="J9" s="45">
        <v>5.18</v>
      </c>
      <c r="K9" s="45">
        <v>5.67</v>
      </c>
      <c r="L9" s="45">
        <v>6.08</v>
      </c>
      <c r="M9" s="45">
        <v>6.49</v>
      </c>
      <c r="N9" s="45">
        <v>5.8</v>
      </c>
      <c r="O9" s="45">
        <v>6.2</v>
      </c>
      <c r="P9" s="45">
        <v>5.8</v>
      </c>
      <c r="Q9" s="45">
        <v>6.03</v>
      </c>
      <c r="R9" s="35">
        <f t="shared" si="0"/>
        <v>5.7091666666666656</v>
      </c>
      <c r="S9" s="14">
        <v>6</v>
      </c>
      <c r="T9" s="250" t="s">
        <v>942</v>
      </c>
    </row>
    <row r="10" spans="1:20">
      <c r="A10" s="420"/>
      <c r="B10" s="896"/>
      <c r="C10" s="422">
        <v>4</v>
      </c>
      <c r="D10" s="185" t="s">
        <v>943</v>
      </c>
      <c r="E10" s="121" t="s">
        <v>800</v>
      </c>
      <c r="F10" s="496">
        <v>7.4</v>
      </c>
      <c r="G10" s="45">
        <v>5.17</v>
      </c>
      <c r="H10" s="45">
        <v>4.21</v>
      </c>
      <c r="I10" s="45">
        <v>5.15</v>
      </c>
      <c r="J10" s="45">
        <v>5.23</v>
      </c>
      <c r="K10" s="45">
        <v>5.83</v>
      </c>
      <c r="L10" s="45">
        <v>6.15</v>
      </c>
      <c r="M10" s="45">
        <v>6.23</v>
      </c>
      <c r="N10" s="45">
        <v>6.2</v>
      </c>
      <c r="O10" s="45">
        <v>5.69</v>
      </c>
      <c r="P10" s="45">
        <v>5.89</v>
      </c>
      <c r="Q10" s="45">
        <v>6.09</v>
      </c>
      <c r="R10" s="35">
        <f t="shared" si="0"/>
        <v>5.7700000000000005</v>
      </c>
      <c r="S10" s="122">
        <v>6</v>
      </c>
      <c r="T10" s="250" t="s">
        <v>944</v>
      </c>
    </row>
    <row r="11" spans="1:20">
      <c r="A11" s="420"/>
      <c r="B11" s="896"/>
      <c r="C11" s="422">
        <v>5</v>
      </c>
      <c r="D11" s="185" t="s">
        <v>945</v>
      </c>
      <c r="E11" s="121" t="s">
        <v>800</v>
      </c>
      <c r="F11" s="496">
        <v>7.4</v>
      </c>
      <c r="G11" s="45">
        <v>5.28</v>
      </c>
      <c r="H11" s="45">
        <v>4.01</v>
      </c>
      <c r="I11" s="45">
        <v>5.2</v>
      </c>
      <c r="J11" s="45">
        <v>5.16</v>
      </c>
      <c r="K11" s="45">
        <v>5.55</v>
      </c>
      <c r="L11" s="45">
        <v>6.2</v>
      </c>
      <c r="M11" s="45">
        <v>6.09</v>
      </c>
      <c r="N11" s="45">
        <v>5.8</v>
      </c>
      <c r="O11" s="45">
        <v>5.73</v>
      </c>
      <c r="P11" s="45">
        <v>5.9</v>
      </c>
      <c r="Q11" s="45">
        <v>6.1</v>
      </c>
      <c r="R11" s="35">
        <f t="shared" si="0"/>
        <v>5.7016666666666671</v>
      </c>
      <c r="S11" s="14">
        <v>6</v>
      </c>
      <c r="T11" s="250" t="s">
        <v>946</v>
      </c>
    </row>
    <row r="12" spans="1:20">
      <c r="A12" s="420"/>
      <c r="B12" s="897"/>
      <c r="C12" s="423">
        <v>6</v>
      </c>
      <c r="D12" s="494" t="s">
        <v>947</v>
      </c>
      <c r="E12" s="502" t="s">
        <v>794</v>
      </c>
      <c r="F12" s="496">
        <v>7.3</v>
      </c>
      <c r="G12" s="45">
        <v>5.16</v>
      </c>
      <c r="H12" s="45">
        <v>4.5</v>
      </c>
      <c r="I12" s="45">
        <v>5.13</v>
      </c>
      <c r="J12" s="45">
        <v>5.19</v>
      </c>
      <c r="K12" s="45">
        <v>5.58</v>
      </c>
      <c r="L12" s="45">
        <v>5.75</v>
      </c>
      <c r="M12" s="45">
        <v>5.9</v>
      </c>
      <c r="N12" s="45">
        <v>6.1</v>
      </c>
      <c r="O12" s="45">
        <v>5.82</v>
      </c>
      <c r="P12" s="45">
        <v>5.93</v>
      </c>
      <c r="Q12" s="45">
        <v>6.01</v>
      </c>
      <c r="R12" s="35">
        <f t="shared" si="0"/>
        <v>5.6975000000000007</v>
      </c>
      <c r="S12" s="14">
        <v>6</v>
      </c>
      <c r="T12" s="250" t="s">
        <v>948</v>
      </c>
    </row>
    <row r="13" spans="1:20">
      <c r="A13" s="9"/>
      <c r="B13" s="895" t="s">
        <v>92</v>
      </c>
      <c r="C13" s="15">
        <v>1</v>
      </c>
      <c r="D13" s="95" t="s">
        <v>936</v>
      </c>
      <c r="E13" s="123" t="s">
        <v>800</v>
      </c>
      <c r="F13" s="495">
        <v>23</v>
      </c>
      <c r="G13" s="210">
        <v>26</v>
      </c>
      <c r="H13" s="210">
        <v>65</v>
      </c>
      <c r="I13" s="210">
        <v>22</v>
      </c>
      <c r="J13" s="210">
        <v>48</v>
      </c>
      <c r="K13" s="210">
        <v>47</v>
      </c>
      <c r="L13" s="210">
        <v>3</v>
      </c>
      <c r="M13" s="210">
        <v>46</v>
      </c>
      <c r="N13" s="210">
        <v>38</v>
      </c>
      <c r="O13" s="210">
        <v>21</v>
      </c>
      <c r="P13" s="210">
        <v>26</v>
      </c>
      <c r="Q13" s="210">
        <v>28</v>
      </c>
      <c r="R13" s="48">
        <f t="shared" si="0"/>
        <v>32.75</v>
      </c>
      <c r="S13" s="8">
        <v>50</v>
      </c>
      <c r="T13" s="250" t="s">
        <v>938</v>
      </c>
    </row>
    <row r="14" spans="1:20">
      <c r="A14" s="9"/>
      <c r="B14" s="896"/>
      <c r="C14" s="11">
        <v>2</v>
      </c>
      <c r="D14" s="185" t="s">
        <v>939</v>
      </c>
      <c r="E14" s="121" t="s">
        <v>800</v>
      </c>
      <c r="F14" s="496">
        <v>27</v>
      </c>
      <c r="G14" s="45">
        <v>39</v>
      </c>
      <c r="H14" s="45">
        <v>25</v>
      </c>
      <c r="I14" s="45">
        <v>9</v>
      </c>
      <c r="J14" s="45">
        <v>23</v>
      </c>
      <c r="K14" s="45">
        <v>36</v>
      </c>
      <c r="L14" s="45">
        <v>22</v>
      </c>
      <c r="M14" s="45">
        <v>73</v>
      </c>
      <c r="N14" s="45">
        <v>52</v>
      </c>
      <c r="O14" s="45">
        <v>15</v>
      </c>
      <c r="P14" s="45">
        <v>41</v>
      </c>
      <c r="Q14" s="45">
        <v>32</v>
      </c>
      <c r="R14" s="35">
        <f t="shared" si="0"/>
        <v>32.833333333333336</v>
      </c>
      <c r="S14" s="14">
        <v>50</v>
      </c>
      <c r="T14" s="250" t="s">
        <v>940</v>
      </c>
    </row>
    <row r="15" spans="1:20">
      <c r="A15" s="9"/>
      <c r="B15" s="896"/>
      <c r="C15" s="11">
        <v>3</v>
      </c>
      <c r="D15" s="185" t="s">
        <v>941</v>
      </c>
      <c r="E15" s="121" t="s">
        <v>800</v>
      </c>
      <c r="F15" s="496">
        <v>30</v>
      </c>
      <c r="G15" s="45">
        <v>33</v>
      </c>
      <c r="H15" s="45">
        <v>27</v>
      </c>
      <c r="I15" s="45">
        <v>11</v>
      </c>
      <c r="J15" s="45">
        <v>34</v>
      </c>
      <c r="K15" s="45">
        <v>30</v>
      </c>
      <c r="L15" s="45">
        <v>12</v>
      </c>
      <c r="M15" s="45">
        <v>68</v>
      </c>
      <c r="N15" s="45">
        <v>52</v>
      </c>
      <c r="O15" s="45">
        <v>12</v>
      </c>
      <c r="P15" s="45">
        <v>39</v>
      </c>
      <c r="Q15" s="45">
        <v>34</v>
      </c>
      <c r="R15" s="35">
        <f t="shared" si="0"/>
        <v>31.833333333333332</v>
      </c>
      <c r="S15" s="14">
        <v>50</v>
      </c>
      <c r="T15" s="250" t="s">
        <v>942</v>
      </c>
    </row>
    <row r="16" spans="1:20">
      <c r="A16" s="9"/>
      <c r="B16" s="896"/>
      <c r="C16" s="11">
        <v>4</v>
      </c>
      <c r="D16" s="185" t="s">
        <v>943</v>
      </c>
      <c r="E16" s="121" t="s">
        <v>800</v>
      </c>
      <c r="F16" s="496">
        <v>28</v>
      </c>
      <c r="G16" s="45">
        <v>32</v>
      </c>
      <c r="H16" s="45">
        <v>26</v>
      </c>
      <c r="I16" s="45">
        <v>10</v>
      </c>
      <c r="J16" s="45">
        <v>51</v>
      </c>
      <c r="K16" s="45">
        <v>24</v>
      </c>
      <c r="L16" s="45">
        <v>21</v>
      </c>
      <c r="M16" s="45">
        <v>38</v>
      </c>
      <c r="N16" s="45">
        <v>50</v>
      </c>
      <c r="O16" s="45">
        <v>13</v>
      </c>
      <c r="P16" s="45">
        <v>35</v>
      </c>
      <c r="Q16" s="45">
        <v>37</v>
      </c>
      <c r="R16" s="35">
        <f t="shared" si="0"/>
        <v>30.416666666666668</v>
      </c>
      <c r="S16" s="14">
        <v>50</v>
      </c>
      <c r="T16" s="250" t="s">
        <v>944</v>
      </c>
    </row>
    <row r="17" spans="1:20">
      <c r="A17" s="9"/>
      <c r="B17" s="896"/>
      <c r="C17" s="11">
        <v>5</v>
      </c>
      <c r="D17" s="185" t="s">
        <v>945</v>
      </c>
      <c r="E17" s="121" t="s">
        <v>800</v>
      </c>
      <c r="F17" s="496">
        <v>17</v>
      </c>
      <c r="G17" s="45">
        <v>22</v>
      </c>
      <c r="H17" s="45">
        <v>14</v>
      </c>
      <c r="I17" s="45">
        <v>10</v>
      </c>
      <c r="J17" s="45">
        <v>27</v>
      </c>
      <c r="K17" s="45">
        <v>23</v>
      </c>
      <c r="L17" s="45">
        <v>8</v>
      </c>
      <c r="M17" s="45">
        <v>56</v>
      </c>
      <c r="N17" s="45">
        <v>58</v>
      </c>
      <c r="O17" s="45">
        <v>22</v>
      </c>
      <c r="P17" s="45">
        <v>40</v>
      </c>
      <c r="Q17" s="45">
        <v>29</v>
      </c>
      <c r="R17" s="35">
        <f t="shared" si="0"/>
        <v>27.166666666666668</v>
      </c>
      <c r="S17" s="14">
        <v>50</v>
      </c>
      <c r="T17" s="250" t="s">
        <v>946</v>
      </c>
    </row>
    <row r="18" spans="1:20">
      <c r="A18" s="9"/>
      <c r="B18" s="897"/>
      <c r="C18" s="11">
        <v>6</v>
      </c>
      <c r="D18" s="494" t="s">
        <v>947</v>
      </c>
      <c r="E18" s="121" t="s">
        <v>794</v>
      </c>
      <c r="F18" s="496">
        <v>17</v>
      </c>
      <c r="G18" s="45">
        <v>21</v>
      </c>
      <c r="H18" s="45">
        <v>10</v>
      </c>
      <c r="I18" s="45">
        <v>9</v>
      </c>
      <c r="J18" s="45">
        <v>26</v>
      </c>
      <c r="K18" s="45">
        <v>26</v>
      </c>
      <c r="L18" s="45">
        <v>8</v>
      </c>
      <c r="M18" s="45">
        <v>58</v>
      </c>
      <c r="N18" s="45">
        <v>55</v>
      </c>
      <c r="O18" s="45">
        <v>21</v>
      </c>
      <c r="P18" s="45">
        <v>41</v>
      </c>
      <c r="Q18" s="45">
        <v>35</v>
      </c>
      <c r="R18" s="35">
        <f t="shared" si="0"/>
        <v>27.25</v>
      </c>
      <c r="S18" s="14">
        <v>50</v>
      </c>
      <c r="T18" s="250" t="s">
        <v>948</v>
      </c>
    </row>
    <row r="19" spans="1:20">
      <c r="A19" s="9"/>
      <c r="B19" s="895" t="s">
        <v>7</v>
      </c>
      <c r="C19" s="15">
        <v>1</v>
      </c>
      <c r="D19" s="95" t="s">
        <v>936</v>
      </c>
      <c r="E19" s="123" t="s">
        <v>800</v>
      </c>
      <c r="F19" s="495">
        <v>7.1</v>
      </c>
      <c r="G19" s="210">
        <v>7.15</v>
      </c>
      <c r="H19" s="210">
        <v>7.03</v>
      </c>
      <c r="I19" s="210">
        <v>7.18</v>
      </c>
      <c r="J19" s="210">
        <v>7.3</v>
      </c>
      <c r="K19" s="210">
        <v>7.2</v>
      </c>
      <c r="L19" s="210">
        <v>7.18</v>
      </c>
      <c r="M19" s="210">
        <v>7.21</v>
      </c>
      <c r="N19" s="210">
        <v>8.8000000000000007</v>
      </c>
      <c r="O19" s="210">
        <v>7.35</v>
      </c>
      <c r="P19" s="210">
        <v>7.76</v>
      </c>
      <c r="Q19" s="210">
        <v>7.77</v>
      </c>
      <c r="R19" s="48">
        <f t="shared" si="0"/>
        <v>7.4191666666666665</v>
      </c>
      <c r="S19" s="114" t="s">
        <v>908</v>
      </c>
      <c r="T19" s="250" t="s">
        <v>938</v>
      </c>
    </row>
    <row r="20" spans="1:20">
      <c r="A20" s="9"/>
      <c r="B20" s="896"/>
      <c r="C20" s="11">
        <v>2</v>
      </c>
      <c r="D20" s="185" t="s">
        <v>939</v>
      </c>
      <c r="E20" s="121" t="s">
        <v>800</v>
      </c>
      <c r="F20" s="496">
        <v>7</v>
      </c>
      <c r="G20" s="45">
        <v>7.2</v>
      </c>
      <c r="H20" s="45">
        <v>7.11</v>
      </c>
      <c r="I20" s="45">
        <v>7.2</v>
      </c>
      <c r="J20" s="45">
        <v>7.28</v>
      </c>
      <c r="K20" s="45">
        <v>7.2</v>
      </c>
      <c r="L20" s="45">
        <v>7.11</v>
      </c>
      <c r="M20" s="45">
        <v>7.18</v>
      </c>
      <c r="N20" s="45">
        <v>8.5</v>
      </c>
      <c r="O20" s="45">
        <v>7.18</v>
      </c>
      <c r="P20" s="45">
        <v>7.7</v>
      </c>
      <c r="Q20" s="45">
        <v>7.69</v>
      </c>
      <c r="R20" s="35">
        <f t="shared" si="0"/>
        <v>7.3625000000000007</v>
      </c>
      <c r="S20" s="115" t="s">
        <v>908</v>
      </c>
      <c r="T20" s="250" t="s">
        <v>940</v>
      </c>
    </row>
    <row r="21" spans="1:20" ht="15.75" customHeight="1">
      <c r="A21" s="9"/>
      <c r="B21" s="896"/>
      <c r="C21" s="11">
        <v>3</v>
      </c>
      <c r="D21" s="185" t="s">
        <v>941</v>
      </c>
      <c r="E21" s="121" t="s">
        <v>800</v>
      </c>
      <c r="F21" s="496">
        <v>7.2</v>
      </c>
      <c r="G21" s="45">
        <v>7.18</v>
      </c>
      <c r="H21" s="45">
        <v>7.1</v>
      </c>
      <c r="I21" s="45">
        <v>7.18</v>
      </c>
      <c r="J21" s="45">
        <v>7.28</v>
      </c>
      <c r="K21" s="45">
        <v>7.19</v>
      </c>
      <c r="L21" s="45">
        <v>7.15</v>
      </c>
      <c r="M21" s="45">
        <v>7.2</v>
      </c>
      <c r="N21" s="45">
        <v>8.5</v>
      </c>
      <c r="O21" s="45">
        <v>7.21</v>
      </c>
      <c r="P21" s="45">
        <v>7.7</v>
      </c>
      <c r="Q21" s="45">
        <v>7.73</v>
      </c>
      <c r="R21" s="35">
        <f t="shared" si="0"/>
        <v>7.3849999999999989</v>
      </c>
      <c r="S21" s="115" t="s">
        <v>908</v>
      </c>
      <c r="T21" s="250" t="s">
        <v>942</v>
      </c>
    </row>
    <row r="22" spans="1:20" ht="15.75" customHeight="1">
      <c r="A22" s="9"/>
      <c r="B22" s="896"/>
      <c r="C22" s="11">
        <v>4</v>
      </c>
      <c r="D22" s="185" t="s">
        <v>943</v>
      </c>
      <c r="E22" s="121" t="s">
        <v>800</v>
      </c>
      <c r="F22" s="496">
        <v>7.1</v>
      </c>
      <c r="G22" s="45">
        <v>7.3</v>
      </c>
      <c r="H22" s="45">
        <v>7.11</v>
      </c>
      <c r="I22" s="45">
        <v>7.21</v>
      </c>
      <c r="J22" s="45">
        <v>7.25</v>
      </c>
      <c r="K22" s="45">
        <v>7.2</v>
      </c>
      <c r="L22" s="45">
        <v>7.11</v>
      </c>
      <c r="M22" s="45">
        <v>7.18</v>
      </c>
      <c r="N22" s="45">
        <v>8.5</v>
      </c>
      <c r="O22" s="45">
        <v>7.21</v>
      </c>
      <c r="P22" s="45">
        <v>7.58</v>
      </c>
      <c r="Q22" s="45">
        <v>7.7</v>
      </c>
      <c r="R22" s="35">
        <f t="shared" si="0"/>
        <v>7.3708333333333336</v>
      </c>
      <c r="S22" s="115" t="s">
        <v>908</v>
      </c>
      <c r="T22" s="250" t="s">
        <v>944</v>
      </c>
    </row>
    <row r="23" spans="1:20" ht="15.75" customHeight="1">
      <c r="A23" s="9"/>
      <c r="B23" s="896"/>
      <c r="C23" s="11">
        <v>5</v>
      </c>
      <c r="D23" s="185" t="s">
        <v>945</v>
      </c>
      <c r="E23" s="121" t="s">
        <v>800</v>
      </c>
      <c r="F23" s="496">
        <v>7.1</v>
      </c>
      <c r="G23" s="45">
        <v>7.28</v>
      </c>
      <c r="H23" s="45">
        <v>7.12</v>
      </c>
      <c r="I23" s="45">
        <v>7.18</v>
      </c>
      <c r="J23" s="45">
        <v>7.2</v>
      </c>
      <c r="K23" s="45">
        <v>7.19</v>
      </c>
      <c r="L23" s="45">
        <v>7.15</v>
      </c>
      <c r="M23" s="45">
        <v>7.18</v>
      </c>
      <c r="N23" s="45">
        <v>8.5</v>
      </c>
      <c r="O23" s="45">
        <v>7.25</v>
      </c>
      <c r="P23" s="45">
        <v>7.62</v>
      </c>
      <c r="Q23" s="45">
        <v>7.73</v>
      </c>
      <c r="R23" s="35">
        <f t="shared" si="0"/>
        <v>7.3750000000000009</v>
      </c>
      <c r="S23" s="115" t="s">
        <v>908</v>
      </c>
      <c r="T23" s="250" t="s">
        <v>946</v>
      </c>
    </row>
    <row r="24" spans="1:20" ht="15.75" customHeight="1">
      <c r="A24" s="9"/>
      <c r="B24" s="897"/>
      <c r="C24" s="11">
        <v>6</v>
      </c>
      <c r="D24" s="494" t="s">
        <v>947</v>
      </c>
      <c r="E24" s="121" t="s">
        <v>794</v>
      </c>
      <c r="F24" s="496">
        <v>7.1</v>
      </c>
      <c r="G24" s="45">
        <v>7.19</v>
      </c>
      <c r="H24" s="45">
        <v>7.15</v>
      </c>
      <c r="I24" s="45">
        <v>7.13</v>
      </c>
      <c r="J24" s="45">
        <v>7.23</v>
      </c>
      <c r="K24" s="45">
        <v>7.19</v>
      </c>
      <c r="L24" s="45">
        <v>7.11</v>
      </c>
      <c r="M24" s="45">
        <v>7.18</v>
      </c>
      <c r="N24" s="45">
        <v>8.5</v>
      </c>
      <c r="O24" s="45">
        <v>7.28</v>
      </c>
      <c r="P24" s="45">
        <v>7.71</v>
      </c>
      <c r="Q24" s="45">
        <v>7.7</v>
      </c>
      <c r="R24" s="35">
        <f t="shared" si="0"/>
        <v>7.3724999999999996</v>
      </c>
      <c r="S24" s="115" t="s">
        <v>908</v>
      </c>
      <c r="T24" s="250" t="s">
        <v>948</v>
      </c>
    </row>
    <row r="25" spans="1:20" ht="15.75" customHeight="1">
      <c r="A25" s="9"/>
      <c r="B25" s="895" t="s">
        <v>108</v>
      </c>
      <c r="C25" s="15">
        <v>1</v>
      </c>
      <c r="D25" s="95" t="s">
        <v>936</v>
      </c>
      <c r="E25" s="123" t="s">
        <v>800</v>
      </c>
      <c r="F25" s="495">
        <v>25.5</v>
      </c>
      <c r="G25" s="210">
        <v>25.8</v>
      </c>
      <c r="H25" s="210">
        <v>26.6</v>
      </c>
      <c r="I25" s="210">
        <v>25.3</v>
      </c>
      <c r="J25" s="210">
        <v>28.1</v>
      </c>
      <c r="K25" s="210">
        <v>27.1</v>
      </c>
      <c r="L25" s="210">
        <v>27.1</v>
      </c>
      <c r="M25" s="210">
        <v>27.9</v>
      </c>
      <c r="N25" s="210">
        <v>29.1</v>
      </c>
      <c r="O25" s="210">
        <v>27.2</v>
      </c>
      <c r="P25" s="210">
        <v>25.8</v>
      </c>
      <c r="Q25" s="210">
        <v>27.2</v>
      </c>
      <c r="R25" s="48">
        <f t="shared" si="0"/>
        <v>26.891666666666666</v>
      </c>
      <c r="S25" s="17" t="s">
        <v>777</v>
      </c>
      <c r="T25" s="250" t="s">
        <v>938</v>
      </c>
    </row>
    <row r="26" spans="1:20" ht="15.75" customHeight="1">
      <c r="A26" s="9"/>
      <c r="B26" s="896"/>
      <c r="C26" s="11">
        <v>2</v>
      </c>
      <c r="D26" s="185" t="s">
        <v>939</v>
      </c>
      <c r="E26" s="121" t="s">
        <v>800</v>
      </c>
      <c r="F26" s="496">
        <v>25.5</v>
      </c>
      <c r="G26" s="45">
        <v>26.5</v>
      </c>
      <c r="H26" s="45">
        <v>26.9</v>
      </c>
      <c r="I26" s="45">
        <v>25.4</v>
      </c>
      <c r="J26" s="45">
        <v>28.6</v>
      </c>
      <c r="K26" s="45">
        <v>27.2</v>
      </c>
      <c r="L26" s="45">
        <v>29</v>
      </c>
      <c r="M26" s="45">
        <v>28.1</v>
      </c>
      <c r="N26" s="45">
        <v>30.3</v>
      </c>
      <c r="O26" s="45">
        <v>27.2</v>
      </c>
      <c r="P26" s="45">
        <v>26</v>
      </c>
      <c r="Q26" s="45">
        <v>27.2</v>
      </c>
      <c r="R26" s="35">
        <f t="shared" si="0"/>
        <v>27.324999999999999</v>
      </c>
      <c r="S26" s="18" t="s">
        <v>777</v>
      </c>
      <c r="T26" s="250" t="s">
        <v>940</v>
      </c>
    </row>
    <row r="27" spans="1:20" ht="15.75" customHeight="1">
      <c r="A27" s="9"/>
      <c r="B27" s="896"/>
      <c r="C27" s="11">
        <v>3</v>
      </c>
      <c r="D27" s="185" t="s">
        <v>941</v>
      </c>
      <c r="E27" s="121" t="s">
        <v>800</v>
      </c>
      <c r="F27" s="496">
        <v>26</v>
      </c>
      <c r="G27" s="45">
        <v>27.2</v>
      </c>
      <c r="H27" s="45">
        <v>27.1</v>
      </c>
      <c r="I27" s="45">
        <v>25.4</v>
      </c>
      <c r="J27" s="45">
        <v>28.5</v>
      </c>
      <c r="K27" s="45">
        <v>27.9</v>
      </c>
      <c r="L27" s="45">
        <v>29.1</v>
      </c>
      <c r="M27" s="45">
        <v>28.2</v>
      </c>
      <c r="N27" s="45">
        <v>30.3</v>
      </c>
      <c r="O27" s="45">
        <v>27.8</v>
      </c>
      <c r="P27" s="45">
        <v>26.1</v>
      </c>
      <c r="Q27" s="45">
        <v>27</v>
      </c>
      <c r="R27" s="35">
        <f t="shared" si="0"/>
        <v>27.55</v>
      </c>
      <c r="S27" s="18" t="s">
        <v>777</v>
      </c>
      <c r="T27" s="250" t="s">
        <v>942</v>
      </c>
    </row>
    <row r="28" spans="1:20" ht="15.75" customHeight="1">
      <c r="A28" s="9"/>
      <c r="B28" s="896"/>
      <c r="C28" s="11">
        <v>4</v>
      </c>
      <c r="D28" s="185" t="s">
        <v>943</v>
      </c>
      <c r="E28" s="121" t="s">
        <v>800</v>
      </c>
      <c r="F28" s="496">
        <v>26.1</v>
      </c>
      <c r="G28" s="45">
        <v>27.3</v>
      </c>
      <c r="H28" s="45">
        <v>27.5</v>
      </c>
      <c r="I28" s="45">
        <v>25.5</v>
      </c>
      <c r="J28" s="45">
        <v>28.8</v>
      </c>
      <c r="K28" s="45">
        <v>27.9</v>
      </c>
      <c r="L28" s="45">
        <v>29.1</v>
      </c>
      <c r="M28" s="45">
        <v>28.5</v>
      </c>
      <c r="N28" s="45">
        <v>30.1</v>
      </c>
      <c r="O28" s="45">
        <v>27.8</v>
      </c>
      <c r="P28" s="45">
        <v>26.3</v>
      </c>
      <c r="Q28" s="45">
        <v>27.5</v>
      </c>
      <c r="R28" s="35">
        <f t="shared" si="0"/>
        <v>27.700000000000003</v>
      </c>
      <c r="S28" s="18" t="s">
        <v>777</v>
      </c>
      <c r="T28" s="250" t="s">
        <v>944</v>
      </c>
    </row>
    <row r="29" spans="1:20" ht="15.75" customHeight="1">
      <c r="A29" s="9"/>
      <c r="B29" s="896"/>
      <c r="C29" s="11">
        <v>5</v>
      </c>
      <c r="D29" s="185" t="s">
        <v>945</v>
      </c>
      <c r="E29" s="121" t="s">
        <v>800</v>
      </c>
      <c r="F29" s="496">
        <v>26.1</v>
      </c>
      <c r="G29" s="45">
        <v>27.5</v>
      </c>
      <c r="H29" s="45">
        <v>28.1</v>
      </c>
      <c r="I29" s="45">
        <v>25.7</v>
      </c>
      <c r="J29" s="45">
        <v>29</v>
      </c>
      <c r="K29" s="45">
        <v>28</v>
      </c>
      <c r="L29" s="45">
        <v>29.5</v>
      </c>
      <c r="M29" s="45">
        <v>28.8</v>
      </c>
      <c r="N29" s="45">
        <v>31.1</v>
      </c>
      <c r="O29" s="45">
        <v>27.8</v>
      </c>
      <c r="P29" s="45">
        <v>26.3</v>
      </c>
      <c r="Q29" s="45">
        <v>27.5</v>
      </c>
      <c r="R29" s="35">
        <f t="shared" si="0"/>
        <v>27.950000000000003</v>
      </c>
      <c r="S29" s="18" t="s">
        <v>777</v>
      </c>
      <c r="T29" s="250" t="s">
        <v>946</v>
      </c>
    </row>
    <row r="30" spans="1:20" ht="15.75" customHeight="1">
      <c r="A30" s="9"/>
      <c r="B30" s="897"/>
      <c r="C30" s="11">
        <v>6</v>
      </c>
      <c r="D30" s="494" t="s">
        <v>947</v>
      </c>
      <c r="E30" s="121" t="s">
        <v>794</v>
      </c>
      <c r="F30" s="496">
        <v>26.2</v>
      </c>
      <c r="G30" s="45">
        <v>27.5</v>
      </c>
      <c r="H30" s="45">
        <v>28.3</v>
      </c>
      <c r="I30" s="45">
        <v>25.6</v>
      </c>
      <c r="J30" s="45">
        <v>29</v>
      </c>
      <c r="K30" s="45">
        <v>28.2</v>
      </c>
      <c r="L30" s="45">
        <v>29.5</v>
      </c>
      <c r="M30" s="45">
        <v>28.8</v>
      </c>
      <c r="N30" s="45">
        <v>31</v>
      </c>
      <c r="O30" s="45">
        <v>27.9</v>
      </c>
      <c r="P30" s="45">
        <v>26.3</v>
      </c>
      <c r="Q30" s="45">
        <v>27.6</v>
      </c>
      <c r="R30" s="35">
        <f t="shared" si="0"/>
        <v>27.991666666666671</v>
      </c>
      <c r="S30" s="18" t="s">
        <v>777</v>
      </c>
      <c r="T30" s="250" t="s">
        <v>948</v>
      </c>
    </row>
    <row r="31" spans="1:20" ht="15.75" customHeight="1">
      <c r="A31" s="9"/>
      <c r="B31" s="895" t="s">
        <v>110</v>
      </c>
      <c r="C31" s="15">
        <v>1</v>
      </c>
      <c r="D31" s="95" t="s">
        <v>936</v>
      </c>
      <c r="E31" s="123" t="s">
        <v>800</v>
      </c>
      <c r="F31" s="495">
        <v>5</v>
      </c>
      <c r="G31" s="210">
        <v>5</v>
      </c>
      <c r="H31" s="210">
        <v>5</v>
      </c>
      <c r="I31" s="210">
        <v>5</v>
      </c>
      <c r="J31" s="210">
        <v>5</v>
      </c>
      <c r="K31" s="210">
        <v>5</v>
      </c>
      <c r="L31" s="210">
        <v>5</v>
      </c>
      <c r="M31" s="210">
        <v>5</v>
      </c>
      <c r="N31" s="210">
        <v>5</v>
      </c>
      <c r="O31" s="210">
        <v>5</v>
      </c>
      <c r="P31" s="210">
        <v>5</v>
      </c>
      <c r="Q31" s="210">
        <v>5</v>
      </c>
      <c r="R31" s="48">
        <f t="shared" si="0"/>
        <v>5</v>
      </c>
      <c r="S31" s="116">
        <v>50</v>
      </c>
      <c r="T31" s="250" t="s">
        <v>938</v>
      </c>
    </row>
    <row r="32" spans="1:20" ht="15.75" customHeight="1">
      <c r="A32" s="9"/>
      <c r="B32" s="896"/>
      <c r="C32" s="11">
        <v>2</v>
      </c>
      <c r="D32" s="185" t="s">
        <v>939</v>
      </c>
      <c r="E32" s="121" t="s">
        <v>800</v>
      </c>
      <c r="F32" s="496">
        <v>5</v>
      </c>
      <c r="G32" s="45">
        <v>5</v>
      </c>
      <c r="H32" s="45">
        <v>5</v>
      </c>
      <c r="I32" s="45">
        <v>5</v>
      </c>
      <c r="J32" s="45">
        <v>5</v>
      </c>
      <c r="K32" s="45">
        <v>5</v>
      </c>
      <c r="L32" s="45">
        <v>5</v>
      </c>
      <c r="M32" s="45">
        <v>5</v>
      </c>
      <c r="N32" s="45">
        <v>5</v>
      </c>
      <c r="O32" s="45">
        <v>5</v>
      </c>
      <c r="P32" s="45">
        <v>5</v>
      </c>
      <c r="Q32" s="45">
        <v>5</v>
      </c>
      <c r="R32" s="35">
        <f t="shared" si="0"/>
        <v>5</v>
      </c>
      <c r="S32" s="117">
        <v>50</v>
      </c>
      <c r="T32" s="250" t="s">
        <v>940</v>
      </c>
    </row>
    <row r="33" spans="1:20" ht="15.75" customHeight="1">
      <c r="A33" s="9"/>
      <c r="B33" s="896"/>
      <c r="C33" s="11">
        <v>3</v>
      </c>
      <c r="D33" s="185" t="s">
        <v>941</v>
      </c>
      <c r="E33" s="121" t="s">
        <v>800</v>
      </c>
      <c r="F33" s="496">
        <v>5</v>
      </c>
      <c r="G33" s="45">
        <v>5</v>
      </c>
      <c r="H33" s="45">
        <v>5</v>
      </c>
      <c r="I33" s="45">
        <v>5</v>
      </c>
      <c r="J33" s="45">
        <v>5</v>
      </c>
      <c r="K33" s="45">
        <v>5</v>
      </c>
      <c r="L33" s="45">
        <v>5</v>
      </c>
      <c r="M33" s="45">
        <v>5</v>
      </c>
      <c r="N33" s="45">
        <v>5</v>
      </c>
      <c r="O33" s="45">
        <v>5</v>
      </c>
      <c r="P33" s="45">
        <v>5</v>
      </c>
      <c r="Q33" s="45">
        <v>5</v>
      </c>
      <c r="R33" s="35">
        <f t="shared" si="0"/>
        <v>5</v>
      </c>
      <c r="S33" s="117">
        <v>50</v>
      </c>
      <c r="T33" s="250" t="s">
        <v>942</v>
      </c>
    </row>
    <row r="34" spans="1:20" ht="15.75" customHeight="1">
      <c r="A34" s="9"/>
      <c r="B34" s="896"/>
      <c r="C34" s="11">
        <v>4</v>
      </c>
      <c r="D34" s="185" t="s">
        <v>943</v>
      </c>
      <c r="E34" s="121" t="s">
        <v>800</v>
      </c>
      <c r="F34" s="496">
        <v>5</v>
      </c>
      <c r="G34" s="45">
        <v>5</v>
      </c>
      <c r="H34" s="45">
        <v>5</v>
      </c>
      <c r="I34" s="45">
        <v>5</v>
      </c>
      <c r="J34" s="45">
        <v>5</v>
      </c>
      <c r="K34" s="45">
        <v>5</v>
      </c>
      <c r="L34" s="45">
        <v>5</v>
      </c>
      <c r="M34" s="45">
        <v>5</v>
      </c>
      <c r="N34" s="45">
        <v>5</v>
      </c>
      <c r="O34" s="45">
        <v>5</v>
      </c>
      <c r="P34" s="45">
        <v>5</v>
      </c>
      <c r="Q34" s="45">
        <v>5</v>
      </c>
      <c r="R34" s="35">
        <f t="shared" si="0"/>
        <v>5</v>
      </c>
      <c r="S34" s="117">
        <v>50</v>
      </c>
      <c r="T34" s="250" t="s">
        <v>944</v>
      </c>
    </row>
    <row r="35" spans="1:20" ht="15.75" customHeight="1">
      <c r="A35" s="9"/>
      <c r="B35" s="896"/>
      <c r="C35" s="11">
        <v>5</v>
      </c>
      <c r="D35" s="185" t="s">
        <v>945</v>
      </c>
      <c r="E35" s="121" t="s">
        <v>800</v>
      </c>
      <c r="F35" s="496">
        <v>5</v>
      </c>
      <c r="G35" s="45">
        <v>5</v>
      </c>
      <c r="H35" s="45">
        <v>5</v>
      </c>
      <c r="I35" s="45">
        <v>5</v>
      </c>
      <c r="J35" s="45">
        <v>5</v>
      </c>
      <c r="K35" s="45">
        <v>5</v>
      </c>
      <c r="L35" s="45">
        <v>5</v>
      </c>
      <c r="M35" s="45">
        <v>5</v>
      </c>
      <c r="N35" s="45">
        <v>5</v>
      </c>
      <c r="O35" s="45">
        <v>5</v>
      </c>
      <c r="P35" s="45">
        <v>5</v>
      </c>
      <c r="Q35" s="45">
        <v>5</v>
      </c>
      <c r="R35" s="35">
        <f t="shared" si="0"/>
        <v>5</v>
      </c>
      <c r="S35" s="117">
        <v>50</v>
      </c>
      <c r="T35" s="250" t="s">
        <v>946</v>
      </c>
    </row>
    <row r="36" spans="1:20" ht="15.75" customHeight="1">
      <c r="A36" s="9"/>
      <c r="B36" s="897"/>
      <c r="C36" s="11">
        <v>6</v>
      </c>
      <c r="D36" s="494" t="s">
        <v>947</v>
      </c>
      <c r="E36" s="121" t="s">
        <v>794</v>
      </c>
      <c r="F36" s="496">
        <v>5</v>
      </c>
      <c r="G36" s="45">
        <v>5</v>
      </c>
      <c r="H36" s="45">
        <v>5</v>
      </c>
      <c r="I36" s="45">
        <v>5</v>
      </c>
      <c r="J36" s="45">
        <v>5</v>
      </c>
      <c r="K36" s="45">
        <v>5</v>
      </c>
      <c r="L36" s="45">
        <v>5</v>
      </c>
      <c r="M36" s="45">
        <v>5</v>
      </c>
      <c r="N36" s="45">
        <v>5</v>
      </c>
      <c r="O36" s="45">
        <v>5</v>
      </c>
      <c r="P36" s="45">
        <v>5</v>
      </c>
      <c r="Q36" s="45">
        <v>5</v>
      </c>
      <c r="R36" s="35">
        <f t="shared" si="0"/>
        <v>5</v>
      </c>
      <c r="S36" s="117">
        <v>50</v>
      </c>
      <c r="T36" s="250" t="s">
        <v>948</v>
      </c>
    </row>
    <row r="37" spans="1:20" ht="15.75" customHeight="1">
      <c r="A37" s="9"/>
      <c r="B37" s="895" t="s">
        <v>111</v>
      </c>
      <c r="C37" s="15">
        <v>1</v>
      </c>
      <c r="D37" s="95" t="s">
        <v>936</v>
      </c>
      <c r="E37" s="123" t="s">
        <v>800</v>
      </c>
      <c r="F37" s="495">
        <v>3500</v>
      </c>
      <c r="G37" s="210">
        <v>1700</v>
      </c>
      <c r="H37" s="210">
        <v>13000</v>
      </c>
      <c r="I37" s="210">
        <v>3500</v>
      </c>
      <c r="J37" s="210">
        <v>3500</v>
      </c>
      <c r="K37" s="210">
        <v>210</v>
      </c>
      <c r="L37" s="210">
        <v>540</v>
      </c>
      <c r="M37" s="210">
        <v>350</v>
      </c>
      <c r="N37" s="210">
        <v>3500</v>
      </c>
      <c r="O37" s="210">
        <v>1700</v>
      </c>
      <c r="P37" s="210">
        <v>330</v>
      </c>
      <c r="Q37" s="210">
        <v>350</v>
      </c>
      <c r="R37" s="223">
        <f t="shared" ref="R37:R42" si="1">IFERROR(GEOMEAN(F37:Q37), "")</f>
        <v>1311.2878523585068</v>
      </c>
      <c r="S37" s="8">
        <v>100</v>
      </c>
      <c r="T37" s="250" t="s">
        <v>938</v>
      </c>
    </row>
    <row r="38" spans="1:20" ht="15.75" customHeight="1">
      <c r="A38" s="9"/>
      <c r="B38" s="896"/>
      <c r="C38" s="11">
        <v>2</v>
      </c>
      <c r="D38" s="185" t="s">
        <v>939</v>
      </c>
      <c r="E38" s="121" t="s">
        <v>800</v>
      </c>
      <c r="F38" s="496">
        <v>920</v>
      </c>
      <c r="G38" s="45">
        <v>920</v>
      </c>
      <c r="H38" s="45">
        <v>17000</v>
      </c>
      <c r="I38" s="45">
        <v>4900</v>
      </c>
      <c r="J38" s="45">
        <v>240</v>
      </c>
      <c r="K38" s="45">
        <v>540</v>
      </c>
      <c r="L38" s="45">
        <v>110</v>
      </c>
      <c r="M38" s="45">
        <v>540</v>
      </c>
      <c r="N38" s="45">
        <v>1600</v>
      </c>
      <c r="O38" s="45">
        <v>5400</v>
      </c>
      <c r="P38" s="45">
        <v>430</v>
      </c>
      <c r="Q38" s="45">
        <v>1700</v>
      </c>
      <c r="R38" s="224">
        <f t="shared" si="1"/>
        <v>1108.1203618643103</v>
      </c>
      <c r="S38" s="14">
        <v>100</v>
      </c>
      <c r="T38" s="250" t="s">
        <v>940</v>
      </c>
    </row>
    <row r="39" spans="1:20" ht="15.75" customHeight="1">
      <c r="A39" s="9"/>
      <c r="B39" s="896"/>
      <c r="C39" s="11">
        <v>3</v>
      </c>
      <c r="D39" s="185" t="s">
        <v>941</v>
      </c>
      <c r="E39" s="121" t="s">
        <v>800</v>
      </c>
      <c r="F39" s="496">
        <v>3500</v>
      </c>
      <c r="G39" s="45">
        <v>310</v>
      </c>
      <c r="H39" s="45">
        <v>2200</v>
      </c>
      <c r="I39" s="45">
        <v>3500</v>
      </c>
      <c r="J39" s="45">
        <v>3500</v>
      </c>
      <c r="K39" s="45">
        <v>540</v>
      </c>
      <c r="L39" s="45">
        <v>350</v>
      </c>
      <c r="M39" s="45">
        <v>79</v>
      </c>
      <c r="N39" s="45">
        <v>1600</v>
      </c>
      <c r="O39" s="45">
        <v>350</v>
      </c>
      <c r="P39" s="45">
        <v>460</v>
      </c>
      <c r="Q39" s="45">
        <v>920</v>
      </c>
      <c r="R39" s="224">
        <f t="shared" si="1"/>
        <v>827.75330623850118</v>
      </c>
      <c r="S39" s="14">
        <v>100</v>
      </c>
      <c r="T39" s="250" t="s">
        <v>942</v>
      </c>
    </row>
    <row r="40" spans="1:20" ht="15.75" customHeight="1">
      <c r="A40" s="9"/>
      <c r="B40" s="896"/>
      <c r="C40" s="11">
        <v>4</v>
      </c>
      <c r="D40" s="185" t="s">
        <v>943</v>
      </c>
      <c r="E40" s="121" t="s">
        <v>800</v>
      </c>
      <c r="F40" s="496">
        <v>1600</v>
      </c>
      <c r="G40" s="45">
        <v>79</v>
      </c>
      <c r="H40" s="45">
        <v>11000</v>
      </c>
      <c r="I40" s="45">
        <v>16000</v>
      </c>
      <c r="J40" s="45">
        <v>540</v>
      </c>
      <c r="K40" s="45">
        <v>920</v>
      </c>
      <c r="L40" s="45">
        <v>140</v>
      </c>
      <c r="M40" s="45">
        <v>130</v>
      </c>
      <c r="N40" s="45">
        <v>920</v>
      </c>
      <c r="O40" s="45">
        <v>540</v>
      </c>
      <c r="P40" s="45">
        <v>170</v>
      </c>
      <c r="Q40" s="45">
        <v>350</v>
      </c>
      <c r="R40" s="224">
        <f t="shared" si="1"/>
        <v>652.40548825851545</v>
      </c>
      <c r="S40" s="14">
        <v>100</v>
      </c>
      <c r="T40" s="250" t="s">
        <v>944</v>
      </c>
    </row>
    <row r="41" spans="1:20" ht="15.75" customHeight="1">
      <c r="A41" s="9"/>
      <c r="B41" s="896"/>
      <c r="C41" s="11">
        <v>5</v>
      </c>
      <c r="D41" s="185" t="s">
        <v>945</v>
      </c>
      <c r="E41" s="121" t="s">
        <v>800</v>
      </c>
      <c r="F41" s="496">
        <v>460</v>
      </c>
      <c r="G41" s="45">
        <v>330</v>
      </c>
      <c r="H41" s="45">
        <v>13000</v>
      </c>
      <c r="I41" s="45">
        <v>5400</v>
      </c>
      <c r="J41" s="45">
        <v>240</v>
      </c>
      <c r="K41" s="45">
        <v>110</v>
      </c>
      <c r="L41" s="45">
        <v>350</v>
      </c>
      <c r="M41" s="45">
        <v>240</v>
      </c>
      <c r="N41" s="45">
        <v>1600</v>
      </c>
      <c r="O41" s="45">
        <v>110</v>
      </c>
      <c r="P41" s="45">
        <v>540</v>
      </c>
      <c r="Q41" s="45">
        <v>350</v>
      </c>
      <c r="R41" s="224">
        <f t="shared" si="1"/>
        <v>551.17420038184559</v>
      </c>
      <c r="S41" s="14">
        <v>100</v>
      </c>
      <c r="T41" s="250" t="s">
        <v>946</v>
      </c>
    </row>
    <row r="42" spans="1:20" ht="15.75" customHeight="1">
      <c r="A42" s="9"/>
      <c r="B42" s="897"/>
      <c r="C42" s="11">
        <v>6</v>
      </c>
      <c r="D42" s="494" t="s">
        <v>947</v>
      </c>
      <c r="E42" s="121" t="s">
        <v>794</v>
      </c>
      <c r="F42" s="496">
        <v>920</v>
      </c>
      <c r="G42" s="45">
        <v>46</v>
      </c>
      <c r="H42" s="45">
        <v>11000</v>
      </c>
      <c r="I42" s="45">
        <v>3500</v>
      </c>
      <c r="J42" s="45">
        <v>350</v>
      </c>
      <c r="K42" s="45">
        <v>220</v>
      </c>
      <c r="L42" s="45">
        <v>240</v>
      </c>
      <c r="M42" s="45">
        <v>220</v>
      </c>
      <c r="N42" s="45">
        <v>350</v>
      </c>
      <c r="O42" s="45">
        <v>49</v>
      </c>
      <c r="P42" s="45">
        <v>19</v>
      </c>
      <c r="Q42" s="45">
        <v>240</v>
      </c>
      <c r="R42" s="224">
        <f t="shared" si="1"/>
        <v>299.3619967656382</v>
      </c>
      <c r="S42" s="14">
        <v>100</v>
      </c>
      <c r="T42" s="250" t="s">
        <v>948</v>
      </c>
    </row>
    <row r="43" spans="1:20" ht="15.75" customHeight="1">
      <c r="A43" s="20"/>
      <c r="B43" s="982" t="s">
        <v>113</v>
      </c>
      <c r="C43" s="15">
        <v>1</v>
      </c>
      <c r="D43" s="96" t="s">
        <v>936</v>
      </c>
      <c r="E43" s="124" t="s">
        <v>800</v>
      </c>
      <c r="F43" s="498">
        <v>4.8000000000000001E-2</v>
      </c>
      <c r="G43" s="211">
        <v>0.435</v>
      </c>
      <c r="H43" s="211">
        <v>0.90500000000000003</v>
      </c>
      <c r="I43" s="211">
        <v>3.4000000000000002E-2</v>
      </c>
      <c r="J43" s="211">
        <v>4.2999999999999997E-2</v>
      </c>
      <c r="K43" s="211">
        <v>0.29199999999999998</v>
      </c>
      <c r="L43" s="211">
        <v>9.0999999999999998E-2</v>
      </c>
      <c r="M43" s="211">
        <v>4.2999999999999997E-2</v>
      </c>
      <c r="N43" s="211">
        <v>0.13600000000000001</v>
      </c>
      <c r="O43" s="211">
        <v>9.9000000000000005E-2</v>
      </c>
      <c r="P43" s="211">
        <v>0.17399999999999999</v>
      </c>
      <c r="Q43" s="211">
        <v>0.246</v>
      </c>
      <c r="R43" s="23">
        <f t="shared" ref="R43:R54" si="2">IFERROR(AVERAGE(F43:Q43), 0)</f>
        <v>0.21216666666666664</v>
      </c>
      <c r="S43" s="23">
        <v>10</v>
      </c>
      <c r="T43" s="250" t="s">
        <v>938</v>
      </c>
    </row>
    <row r="44" spans="1:20" ht="15.75" customHeight="1">
      <c r="A44" s="20"/>
      <c r="B44" s="983"/>
      <c r="C44" s="11">
        <v>2</v>
      </c>
      <c r="D44" s="186" t="s">
        <v>939</v>
      </c>
      <c r="E44" s="125" t="s">
        <v>800</v>
      </c>
      <c r="F44" s="499">
        <v>4.8000000000000001E-2</v>
      </c>
      <c r="G44" s="53">
        <v>0.63700000000000001</v>
      </c>
      <c r="H44" s="53">
        <v>0.191</v>
      </c>
      <c r="I44" s="53">
        <v>3.4000000000000002E-2</v>
      </c>
      <c r="J44" s="53">
        <v>4.2999999999999997E-2</v>
      </c>
      <c r="K44" s="53">
        <v>0.21299999999999999</v>
      </c>
      <c r="L44" s="53">
        <v>0.2</v>
      </c>
      <c r="M44" s="53">
        <v>7.1999999999999995E-2</v>
      </c>
      <c r="N44" s="53">
        <v>0.107</v>
      </c>
      <c r="O44" s="53">
        <v>0.11700000000000001</v>
      </c>
      <c r="P44" s="53">
        <v>9.4E-2</v>
      </c>
      <c r="Q44" s="53">
        <v>0.33300000000000002</v>
      </c>
      <c r="R44" s="28">
        <f t="shared" si="2"/>
        <v>0.17408333333333337</v>
      </c>
      <c r="S44" s="28">
        <v>10</v>
      </c>
      <c r="T44" s="250" t="s">
        <v>940</v>
      </c>
    </row>
    <row r="45" spans="1:20" ht="15.75" customHeight="1">
      <c r="A45" s="20"/>
      <c r="B45" s="983"/>
      <c r="C45" s="11">
        <v>3</v>
      </c>
      <c r="D45" s="186" t="s">
        <v>941</v>
      </c>
      <c r="E45" s="125" t="s">
        <v>800</v>
      </c>
      <c r="F45" s="499">
        <v>0.12</v>
      </c>
      <c r="G45" s="53">
        <v>0.20399999999999999</v>
      </c>
      <c r="H45" s="53">
        <v>0.16500000000000001</v>
      </c>
      <c r="I45" s="53">
        <v>3.4000000000000002E-2</v>
      </c>
      <c r="J45" s="53">
        <v>4.2999999999999997E-2</v>
      </c>
      <c r="K45" s="53">
        <v>0.10299999999999999</v>
      </c>
      <c r="L45" s="53">
        <v>0.13</v>
      </c>
      <c r="M45" s="53">
        <v>0.108</v>
      </c>
      <c r="N45" s="53">
        <v>0.05</v>
      </c>
      <c r="O45" s="53">
        <v>0.219</v>
      </c>
      <c r="P45" s="53">
        <v>0.121</v>
      </c>
      <c r="Q45" s="53">
        <v>0.223</v>
      </c>
      <c r="R45" s="28">
        <f t="shared" si="2"/>
        <v>0.12666666666666668</v>
      </c>
      <c r="S45" s="28">
        <v>10</v>
      </c>
      <c r="T45" s="250" t="s">
        <v>942</v>
      </c>
    </row>
    <row r="46" spans="1:20" ht="15.75" customHeight="1">
      <c r="A46" s="20"/>
      <c r="B46" s="983"/>
      <c r="C46" s="11">
        <v>4</v>
      </c>
      <c r="D46" s="186" t="s">
        <v>943</v>
      </c>
      <c r="E46" s="125" t="s">
        <v>800</v>
      </c>
      <c r="F46" s="499">
        <v>9.9000000000000005E-2</v>
      </c>
      <c r="G46" s="53">
        <v>0.129</v>
      </c>
      <c r="H46" s="53">
        <v>0.46400000000000002</v>
      </c>
      <c r="I46" s="53">
        <v>0.14599999999999999</v>
      </c>
      <c r="J46" s="53">
        <v>4.2999999999999997E-2</v>
      </c>
      <c r="K46" s="53">
        <v>0.115</v>
      </c>
      <c r="L46" s="53">
        <v>0.14299999999999999</v>
      </c>
      <c r="M46" s="53">
        <v>6.9000000000000006E-2</v>
      </c>
      <c r="N46" s="53">
        <v>0.10199999999999999</v>
      </c>
      <c r="O46" s="53">
        <v>0.13300000000000001</v>
      </c>
      <c r="P46" s="53">
        <v>0.153</v>
      </c>
      <c r="Q46" s="53">
        <v>0.28199999999999997</v>
      </c>
      <c r="R46" s="28">
        <f t="shared" si="2"/>
        <v>0.1565</v>
      </c>
      <c r="S46" s="28">
        <v>10</v>
      </c>
      <c r="T46" s="250" t="s">
        <v>944</v>
      </c>
    </row>
    <row r="47" spans="1:20" ht="15.75" customHeight="1">
      <c r="A47" s="20"/>
      <c r="B47" s="983"/>
      <c r="C47" s="11">
        <v>5</v>
      </c>
      <c r="D47" s="186" t="s">
        <v>945</v>
      </c>
      <c r="E47" s="125" t="s">
        <v>800</v>
      </c>
      <c r="F47" s="499">
        <v>4.8000000000000001E-2</v>
      </c>
      <c r="G47" s="53">
        <v>0.22700000000000001</v>
      </c>
      <c r="H47" s="53">
        <v>0.24199999999999999</v>
      </c>
      <c r="I47" s="53">
        <v>6.3E-2</v>
      </c>
      <c r="J47" s="53">
        <v>4.2999999999999997E-2</v>
      </c>
      <c r="K47" s="53">
        <v>0.20699999999999999</v>
      </c>
      <c r="L47" s="53">
        <v>7.0999999999999994E-2</v>
      </c>
      <c r="M47" s="53">
        <v>0.26700000000000002</v>
      </c>
      <c r="N47" s="53">
        <v>4.2999999999999997E-2</v>
      </c>
      <c r="O47" s="53">
        <v>0.14099999999999999</v>
      </c>
      <c r="P47" s="53">
        <v>0.09</v>
      </c>
      <c r="Q47" s="53">
        <v>7.5999999999999998E-2</v>
      </c>
      <c r="R47" s="28">
        <f t="shared" si="2"/>
        <v>0.12650000000000003</v>
      </c>
      <c r="S47" s="28">
        <v>10</v>
      </c>
      <c r="T47" s="250" t="s">
        <v>946</v>
      </c>
    </row>
    <row r="48" spans="1:20" ht="15.75" customHeight="1">
      <c r="A48" s="20"/>
      <c r="B48" s="984"/>
      <c r="C48" s="11">
        <v>6</v>
      </c>
      <c r="D48" s="497" t="s">
        <v>947</v>
      </c>
      <c r="E48" s="125" t="s">
        <v>794</v>
      </c>
      <c r="F48" s="499">
        <v>4.8000000000000001E-2</v>
      </c>
      <c r="G48" s="53">
        <v>0.23699999999999999</v>
      </c>
      <c r="H48" s="53">
        <v>0.23799999999999999</v>
      </c>
      <c r="I48" s="53">
        <v>5.5E-2</v>
      </c>
      <c r="J48" s="53">
        <v>4.2999999999999997E-2</v>
      </c>
      <c r="K48" s="53">
        <v>0.161</v>
      </c>
      <c r="L48" s="53">
        <v>8.8999999999999996E-2</v>
      </c>
      <c r="M48" s="53">
        <v>0.1</v>
      </c>
      <c r="N48" s="53">
        <v>4.2999999999999997E-2</v>
      </c>
      <c r="O48" s="53">
        <v>5.8999999999999997E-2</v>
      </c>
      <c r="P48" s="53">
        <v>7.9000000000000001E-2</v>
      </c>
      <c r="Q48" s="53">
        <v>0.28499999999999998</v>
      </c>
      <c r="R48" s="28">
        <f t="shared" si="2"/>
        <v>0.11974999999999998</v>
      </c>
      <c r="S48" s="28">
        <v>10</v>
      </c>
      <c r="T48" s="250" t="s">
        <v>948</v>
      </c>
    </row>
    <row r="49" spans="1:23" ht="15.75" customHeight="1">
      <c r="A49" s="20"/>
      <c r="B49" s="982" t="s">
        <v>115</v>
      </c>
      <c r="C49" s="15">
        <v>1</v>
      </c>
      <c r="D49" s="96" t="s">
        <v>936</v>
      </c>
      <c r="E49" s="124" t="s">
        <v>800</v>
      </c>
      <c r="F49" s="498">
        <v>0.03</v>
      </c>
      <c r="G49" s="211">
        <v>2.3E-2</v>
      </c>
      <c r="H49" s="211">
        <v>3.1E-2</v>
      </c>
      <c r="I49" s="211">
        <v>1.0999999999999999E-2</v>
      </c>
      <c r="J49" s="211">
        <v>5.1999999999999998E-2</v>
      </c>
      <c r="K49" s="211">
        <v>1.9E-2</v>
      </c>
      <c r="L49" s="211">
        <v>2.3E-2</v>
      </c>
      <c r="M49" s="211">
        <v>5.3999999999999999E-2</v>
      </c>
      <c r="N49" s="211">
        <v>0.19</v>
      </c>
      <c r="O49" s="211">
        <v>1.9E-2</v>
      </c>
      <c r="P49" s="211">
        <v>3.3000000000000002E-2</v>
      </c>
      <c r="Q49" s="211">
        <v>1.0999999999999999E-2</v>
      </c>
      <c r="R49" s="23">
        <f t="shared" si="2"/>
        <v>4.1333333333333333E-2</v>
      </c>
      <c r="S49" s="23">
        <v>0.2</v>
      </c>
      <c r="T49" s="250" t="s">
        <v>938</v>
      </c>
      <c r="U49" s="24"/>
      <c r="V49" s="24"/>
      <c r="W49" s="24"/>
    </row>
    <row r="50" spans="1:23" ht="15.75" customHeight="1">
      <c r="A50" s="20"/>
      <c r="B50" s="983"/>
      <c r="C50" s="11">
        <v>2</v>
      </c>
      <c r="D50" s="186" t="s">
        <v>939</v>
      </c>
      <c r="E50" s="125" t="s">
        <v>800</v>
      </c>
      <c r="F50" s="499">
        <v>3.5000000000000003E-2</v>
      </c>
      <c r="G50" s="53">
        <v>9.6000000000000002E-2</v>
      </c>
      <c r="H50" s="53">
        <v>4.2999999999999997E-2</v>
      </c>
      <c r="I50" s="53">
        <v>1.0999999999999999E-2</v>
      </c>
      <c r="J50" s="53">
        <v>2.3E-2</v>
      </c>
      <c r="K50" s="53">
        <v>1.0999999999999999E-2</v>
      </c>
      <c r="L50" s="53">
        <v>1.7999999999999999E-2</v>
      </c>
      <c r="M50" s="53">
        <v>3.4000000000000002E-2</v>
      </c>
      <c r="N50" s="53">
        <v>0.20100000000000001</v>
      </c>
      <c r="O50" s="53">
        <v>3.2000000000000001E-2</v>
      </c>
      <c r="P50" s="53">
        <v>3.1E-2</v>
      </c>
      <c r="Q50" s="53">
        <v>1.0999999999999999E-2</v>
      </c>
      <c r="R50" s="28">
        <f t="shared" si="2"/>
        <v>4.5500000000000006E-2</v>
      </c>
      <c r="S50" s="28">
        <v>0.2</v>
      </c>
      <c r="T50" s="250" t="s">
        <v>940</v>
      </c>
      <c r="U50" s="24"/>
      <c r="V50" s="24"/>
      <c r="W50" s="24" t="s">
        <v>949</v>
      </c>
    </row>
    <row r="51" spans="1:23" ht="15.75" customHeight="1">
      <c r="A51" s="20"/>
      <c r="B51" s="983"/>
      <c r="C51" s="11">
        <v>3</v>
      </c>
      <c r="D51" s="186" t="s">
        <v>941</v>
      </c>
      <c r="E51" s="125" t="s">
        <v>800</v>
      </c>
      <c r="F51" s="499">
        <v>4.4999999999999998E-2</v>
      </c>
      <c r="G51" s="53">
        <v>1.0999999999999999E-2</v>
      </c>
      <c r="H51" s="53">
        <v>0.03</v>
      </c>
      <c r="I51" s="53">
        <v>1.2E-2</v>
      </c>
      <c r="J51" s="53">
        <v>1.0999999999999999E-2</v>
      </c>
      <c r="K51" s="53">
        <v>1.0999999999999999E-2</v>
      </c>
      <c r="L51" s="53">
        <v>1.2999999999999999E-2</v>
      </c>
      <c r="M51" s="53">
        <v>2.3E-2</v>
      </c>
      <c r="N51" s="53">
        <v>0.27500000000000002</v>
      </c>
      <c r="O51" s="53">
        <v>2.5000000000000001E-2</v>
      </c>
      <c r="P51" s="53">
        <v>1.0999999999999999E-2</v>
      </c>
      <c r="Q51" s="53">
        <v>0.03</v>
      </c>
      <c r="R51" s="28">
        <f t="shared" si="2"/>
        <v>4.1416666666666664E-2</v>
      </c>
      <c r="S51" s="28">
        <v>0.2</v>
      </c>
      <c r="T51" s="250" t="s">
        <v>942</v>
      </c>
      <c r="U51" s="24"/>
      <c r="V51" s="24"/>
      <c r="W51" s="24"/>
    </row>
    <row r="52" spans="1:23" ht="15.75" customHeight="1">
      <c r="A52" s="20"/>
      <c r="B52" s="983"/>
      <c r="C52" s="11">
        <v>4</v>
      </c>
      <c r="D52" s="186" t="s">
        <v>943</v>
      </c>
      <c r="E52" s="125" t="s">
        <v>800</v>
      </c>
      <c r="F52" s="499">
        <v>3.7999999999999999E-2</v>
      </c>
      <c r="G52" s="53">
        <v>1.0999999999999999E-2</v>
      </c>
      <c r="H52" s="53">
        <v>4.5999999999999999E-2</v>
      </c>
      <c r="I52" s="53">
        <v>1.0999999999999999E-2</v>
      </c>
      <c r="J52" s="53">
        <v>4.9000000000000002E-2</v>
      </c>
      <c r="K52" s="53">
        <v>1.7000000000000001E-2</v>
      </c>
      <c r="L52" s="53">
        <v>1.2999999999999999E-2</v>
      </c>
      <c r="M52" s="53">
        <v>0.03</v>
      </c>
      <c r="N52" s="53">
        <v>0.18099999999999999</v>
      </c>
      <c r="O52" s="53">
        <v>2.1000000000000001E-2</v>
      </c>
      <c r="P52" s="53">
        <v>0.03</v>
      </c>
      <c r="Q52" s="53">
        <v>1.0999999999999999E-2</v>
      </c>
      <c r="R52" s="28">
        <f t="shared" si="2"/>
        <v>3.8166666666666675E-2</v>
      </c>
      <c r="S52" s="28">
        <v>0.2</v>
      </c>
      <c r="T52" s="250" t="s">
        <v>944</v>
      </c>
      <c r="U52" s="24"/>
      <c r="V52" s="24"/>
      <c r="W52" s="24"/>
    </row>
    <row r="53" spans="1:23" ht="15.75" customHeight="1">
      <c r="A53" s="20"/>
      <c r="B53" s="983"/>
      <c r="C53" s="11">
        <v>5</v>
      </c>
      <c r="D53" s="186" t="s">
        <v>945</v>
      </c>
      <c r="E53" s="125" t="s">
        <v>800</v>
      </c>
      <c r="F53" s="499">
        <v>0.04</v>
      </c>
      <c r="G53" s="53">
        <v>2.9000000000000001E-2</v>
      </c>
      <c r="H53" s="53">
        <v>1.4999999999999999E-2</v>
      </c>
      <c r="I53" s="53">
        <v>1.0999999999999999E-2</v>
      </c>
      <c r="J53" s="53">
        <v>1.0999999999999999E-2</v>
      </c>
      <c r="K53" s="53">
        <v>2.1000000000000001E-2</v>
      </c>
      <c r="L53" s="53">
        <v>2.5000000000000001E-2</v>
      </c>
      <c r="M53" s="53">
        <v>0.04</v>
      </c>
      <c r="N53" s="53">
        <v>0.186</v>
      </c>
      <c r="O53" s="53">
        <v>1.4E-2</v>
      </c>
      <c r="P53" s="53">
        <v>2.5999999999999999E-2</v>
      </c>
      <c r="Q53" s="53">
        <v>2.5000000000000001E-2</v>
      </c>
      <c r="R53" s="28">
        <f t="shared" si="2"/>
        <v>3.6916666666666674E-2</v>
      </c>
      <c r="S53" s="28">
        <v>0.2</v>
      </c>
      <c r="T53" s="250" t="s">
        <v>946</v>
      </c>
      <c r="U53" s="24"/>
      <c r="V53" s="24"/>
      <c r="W53" s="24"/>
    </row>
    <row r="54" spans="1:23" ht="15.75" customHeight="1">
      <c r="A54" s="20"/>
      <c r="B54" s="984"/>
      <c r="C54" s="11">
        <v>6</v>
      </c>
      <c r="D54" s="186" t="s">
        <v>947</v>
      </c>
      <c r="E54" s="125" t="s">
        <v>794</v>
      </c>
      <c r="F54" s="499">
        <v>0.04</v>
      </c>
      <c r="G54" s="53">
        <v>1.6E-2</v>
      </c>
      <c r="H54" s="53">
        <v>3.1E-2</v>
      </c>
      <c r="I54" s="53">
        <v>0.02</v>
      </c>
      <c r="J54" s="53">
        <v>3.1E-2</v>
      </c>
      <c r="K54" s="53">
        <v>1.0999999999999999E-2</v>
      </c>
      <c r="L54" s="53">
        <v>1.2999999999999999E-2</v>
      </c>
      <c r="M54" s="53">
        <v>3.4000000000000002E-2</v>
      </c>
      <c r="N54" s="53">
        <v>0.20499999999999999</v>
      </c>
      <c r="O54" s="53">
        <v>1.4E-2</v>
      </c>
      <c r="P54" s="53">
        <v>5.6000000000000001E-2</v>
      </c>
      <c r="Q54" s="53">
        <v>1.2999999999999999E-2</v>
      </c>
      <c r="R54" s="28">
        <f t="shared" si="2"/>
        <v>4.0333333333333339E-2</v>
      </c>
      <c r="S54" s="28">
        <v>0.2</v>
      </c>
      <c r="T54" s="250" t="s">
        <v>948</v>
      </c>
      <c r="U54" s="24"/>
      <c r="V54" s="24"/>
      <c r="W54" s="24"/>
    </row>
    <row r="55" spans="1:23" ht="45" customHeight="1">
      <c r="A55" s="20"/>
      <c r="B55" s="151" t="s">
        <v>950</v>
      </c>
      <c r="C55" s="15">
        <v>1</v>
      </c>
      <c r="D55" s="96" t="s">
        <v>936</v>
      </c>
      <c r="E55" s="124" t="s">
        <v>800</v>
      </c>
      <c r="F55" s="500" t="s">
        <v>951</v>
      </c>
      <c r="G55" s="226" t="s">
        <v>952</v>
      </c>
      <c r="H55" s="226" t="s">
        <v>953</v>
      </c>
      <c r="I55" s="259" t="s">
        <v>954</v>
      </c>
      <c r="J55" s="167" t="s">
        <v>952</v>
      </c>
      <c r="K55" s="210" t="s">
        <v>955</v>
      </c>
      <c r="L55" s="210" t="s">
        <v>956</v>
      </c>
      <c r="M55" s="162" t="s">
        <v>957</v>
      </c>
      <c r="N55" s="162" t="s">
        <v>958</v>
      </c>
      <c r="O55" s="162" t="s">
        <v>959</v>
      </c>
      <c r="P55" s="162" t="s">
        <v>960</v>
      </c>
      <c r="Q55" s="162" t="s">
        <v>961</v>
      </c>
      <c r="R55" s="1"/>
      <c r="S55" s="1"/>
      <c r="T55" s="250" t="s">
        <v>938</v>
      </c>
      <c r="U55" s="1"/>
      <c r="V55" s="1"/>
      <c r="W55" s="1"/>
    </row>
    <row r="56" spans="1:23" ht="54.75" customHeight="1">
      <c r="A56" s="20"/>
      <c r="B56" s="84" t="s">
        <v>116</v>
      </c>
      <c r="C56" s="11">
        <v>2</v>
      </c>
      <c r="D56" s="186" t="s">
        <v>939</v>
      </c>
      <c r="E56" s="125" t="s">
        <v>800</v>
      </c>
      <c r="F56" s="501" t="s">
        <v>962</v>
      </c>
      <c r="G56" s="225" t="s">
        <v>963</v>
      </c>
      <c r="H56" s="225" t="s">
        <v>964</v>
      </c>
      <c r="I56" s="619" t="s">
        <v>965</v>
      </c>
      <c r="J56" s="31" t="s">
        <v>966</v>
      </c>
      <c r="K56" s="12" t="s">
        <v>967</v>
      </c>
      <c r="L56" s="12" t="s">
        <v>968</v>
      </c>
      <c r="M56" s="12" t="s">
        <v>969</v>
      </c>
      <c r="N56" s="45" t="s">
        <v>970</v>
      </c>
      <c r="O56" s="12" t="s">
        <v>971</v>
      </c>
      <c r="P56" s="12" t="s">
        <v>972</v>
      </c>
      <c r="Q56" s="12" t="s">
        <v>973</v>
      </c>
      <c r="R56" s="1"/>
      <c r="S56" s="1"/>
      <c r="T56" s="250" t="s">
        <v>940</v>
      </c>
      <c r="U56" s="1"/>
      <c r="V56" s="1"/>
      <c r="W56" s="1"/>
    </row>
    <row r="57" spans="1:23" ht="49.5" customHeight="1">
      <c r="A57" s="20"/>
      <c r="B57" s="84" t="s">
        <v>116</v>
      </c>
      <c r="C57" s="11">
        <v>3</v>
      </c>
      <c r="D57" s="186" t="s">
        <v>941</v>
      </c>
      <c r="E57" s="125" t="s">
        <v>800</v>
      </c>
      <c r="F57" s="501" t="s">
        <v>962</v>
      </c>
      <c r="G57" s="225" t="s">
        <v>974</v>
      </c>
      <c r="H57" s="225" t="s">
        <v>975</v>
      </c>
      <c r="I57" s="260" t="s">
        <v>965</v>
      </c>
      <c r="J57" s="31" t="s">
        <v>976</v>
      </c>
      <c r="K57" s="12" t="s">
        <v>967</v>
      </c>
      <c r="L57" s="12" t="s">
        <v>968</v>
      </c>
      <c r="M57" s="12" t="s">
        <v>977</v>
      </c>
      <c r="N57" s="12" t="s">
        <v>978</v>
      </c>
      <c r="O57" s="12" t="s">
        <v>979</v>
      </c>
      <c r="P57" s="12" t="s">
        <v>980</v>
      </c>
      <c r="Q57" s="12" t="s">
        <v>981</v>
      </c>
      <c r="R57" s="1"/>
      <c r="S57" s="1"/>
      <c r="T57" s="250" t="s">
        <v>942</v>
      </c>
      <c r="U57" s="1"/>
      <c r="V57" s="1"/>
      <c r="W57" s="1"/>
    </row>
    <row r="58" spans="1:23" ht="43.5" customHeight="1">
      <c r="A58" s="20"/>
      <c r="B58" s="84" t="s">
        <v>116</v>
      </c>
      <c r="C58" s="11">
        <v>4</v>
      </c>
      <c r="D58" s="186" t="s">
        <v>943</v>
      </c>
      <c r="E58" s="125" t="s">
        <v>800</v>
      </c>
      <c r="F58" s="501" t="s">
        <v>982</v>
      </c>
      <c r="G58" s="225" t="s">
        <v>983</v>
      </c>
      <c r="H58" s="225" t="s">
        <v>964</v>
      </c>
      <c r="I58" s="260" t="s">
        <v>965</v>
      </c>
      <c r="J58" s="31" t="s">
        <v>976</v>
      </c>
      <c r="K58" s="45" t="s">
        <v>984</v>
      </c>
      <c r="L58" s="45" t="s">
        <v>968</v>
      </c>
      <c r="M58" s="45" t="s">
        <v>969</v>
      </c>
      <c r="N58" s="12" t="s">
        <v>985</v>
      </c>
      <c r="O58" s="12" t="s">
        <v>979</v>
      </c>
      <c r="P58" s="12" t="s">
        <v>986</v>
      </c>
      <c r="Q58" s="12" t="s">
        <v>987</v>
      </c>
      <c r="R58" s="1"/>
      <c r="S58" s="1"/>
      <c r="T58" s="250" t="s">
        <v>944</v>
      </c>
      <c r="U58" s="1"/>
      <c r="V58" s="1"/>
      <c r="W58" s="1"/>
    </row>
    <row r="59" spans="1:23" ht="39.75" customHeight="1">
      <c r="A59" s="20"/>
      <c r="B59" s="84" t="s">
        <v>116</v>
      </c>
      <c r="C59" s="11">
        <v>5</v>
      </c>
      <c r="D59" s="186" t="s">
        <v>945</v>
      </c>
      <c r="E59" s="125" t="s">
        <v>800</v>
      </c>
      <c r="F59" s="501" t="s">
        <v>982</v>
      </c>
      <c r="G59" s="225" t="s">
        <v>988</v>
      </c>
      <c r="H59" s="225" t="s">
        <v>964</v>
      </c>
      <c r="I59" s="260" t="s">
        <v>989</v>
      </c>
      <c r="J59" s="31" t="s">
        <v>976</v>
      </c>
      <c r="K59" s="45" t="s">
        <v>984</v>
      </c>
      <c r="L59" s="45" t="s">
        <v>968</v>
      </c>
      <c r="M59" s="45" t="s">
        <v>969</v>
      </c>
      <c r="N59" s="12" t="s">
        <v>990</v>
      </c>
      <c r="O59" s="12" t="s">
        <v>991</v>
      </c>
      <c r="P59" s="12" t="s">
        <v>986</v>
      </c>
      <c r="Q59" s="12" t="s">
        <v>992</v>
      </c>
      <c r="R59" s="1"/>
      <c r="S59" s="1"/>
      <c r="T59" s="250" t="s">
        <v>946</v>
      </c>
      <c r="U59" s="1"/>
      <c r="V59" s="1"/>
      <c r="W59" s="1"/>
    </row>
    <row r="60" spans="1:23" ht="50.25" customHeight="1">
      <c r="A60" s="20"/>
      <c r="B60" s="84" t="s">
        <v>116</v>
      </c>
      <c r="C60" s="11">
        <v>6</v>
      </c>
      <c r="D60" s="186" t="s">
        <v>947</v>
      </c>
      <c r="E60" s="125" t="s">
        <v>794</v>
      </c>
      <c r="F60" s="501" t="s">
        <v>982</v>
      </c>
      <c r="G60" s="225" t="s">
        <v>988</v>
      </c>
      <c r="H60" s="225" t="s">
        <v>975</v>
      </c>
      <c r="I60" s="260" t="s">
        <v>989</v>
      </c>
      <c r="J60" s="31" t="s">
        <v>993</v>
      </c>
      <c r="K60" s="45" t="s">
        <v>994</v>
      </c>
      <c r="L60" s="45" t="s">
        <v>995</v>
      </c>
      <c r="M60" s="45" t="s">
        <v>996</v>
      </c>
      <c r="N60" s="12" t="s">
        <v>997</v>
      </c>
      <c r="O60" s="12" t="s">
        <v>991</v>
      </c>
      <c r="P60" s="12" t="s">
        <v>998</v>
      </c>
      <c r="Q60" s="12" t="s">
        <v>999</v>
      </c>
      <c r="R60" s="1"/>
      <c r="S60" s="1"/>
      <c r="T60" s="250" t="s">
        <v>948</v>
      </c>
      <c r="U60" s="1"/>
      <c r="V60" s="1"/>
      <c r="W60" s="1"/>
    </row>
    <row r="61" spans="1:23" ht="15.75" customHeight="1">
      <c r="A61" s="1"/>
      <c r="B61" s="1"/>
      <c r="C61" s="1" t="s">
        <v>349</v>
      </c>
      <c r="D61" s="1"/>
      <c r="E61" s="243"/>
      <c r="F61" s="1">
        <v>10</v>
      </c>
      <c r="G61" s="1">
        <v>6</v>
      </c>
      <c r="H61" s="1">
        <v>5</v>
      </c>
      <c r="I61" s="1">
        <v>4</v>
      </c>
      <c r="J61" s="1">
        <v>14</v>
      </c>
      <c r="K61" s="1">
        <v>4</v>
      </c>
      <c r="L61" s="1">
        <v>11</v>
      </c>
      <c r="M61" s="1">
        <v>6</v>
      </c>
      <c r="N61" s="1">
        <v>12</v>
      </c>
      <c r="O61" s="1">
        <v>8</v>
      </c>
      <c r="P61" s="1">
        <v>7</v>
      </c>
      <c r="Q61" s="1"/>
      <c r="R61" s="1"/>
      <c r="S61" s="1"/>
      <c r="T61" s="1"/>
      <c r="U61" s="1"/>
      <c r="V61" s="1"/>
      <c r="W61" s="1"/>
    </row>
    <row r="62" spans="1:23" ht="15.75" customHeight="1">
      <c r="A62" s="1"/>
      <c r="B62" s="1"/>
      <c r="D62" s="1"/>
      <c r="E62" s="1"/>
      <c r="F62" s="1"/>
      <c r="G62" s="1"/>
      <c r="H62" s="1"/>
      <c r="I62" s="1"/>
      <c r="J62" s="1"/>
      <c r="K62" s="1"/>
      <c r="L62" s="1"/>
      <c r="M62" s="1"/>
      <c r="N62" s="1"/>
      <c r="O62" s="1"/>
      <c r="P62" s="1"/>
      <c r="Q62" s="1"/>
      <c r="R62" s="1"/>
      <c r="S62" s="1"/>
      <c r="T62" s="1"/>
      <c r="U62" s="1"/>
      <c r="V62" s="1"/>
      <c r="W62" s="1"/>
    </row>
    <row r="63" spans="1:23" ht="15.75" customHeight="1">
      <c r="A63" s="1"/>
      <c r="B63" s="1"/>
      <c r="D63" s="1" t="s">
        <v>1000</v>
      </c>
      <c r="E63" s="1"/>
      <c r="F63" s="1"/>
      <c r="G63" s="1"/>
      <c r="H63" s="1"/>
      <c r="I63" s="1"/>
      <c r="J63" s="1"/>
      <c r="K63" s="1"/>
      <c r="L63" s="1"/>
      <c r="M63" s="1"/>
      <c r="N63" s="1"/>
      <c r="O63" s="1"/>
      <c r="P63" s="1"/>
      <c r="Q63" s="1"/>
      <c r="R63" s="1"/>
      <c r="S63" s="1"/>
      <c r="T63" s="1"/>
      <c r="U63" s="1"/>
      <c r="V63" s="1"/>
      <c r="W63" s="1"/>
    </row>
    <row r="64" spans="1:23" ht="15.75" customHeight="1">
      <c r="A64" s="1"/>
      <c r="B64" s="1"/>
      <c r="D64" s="1" t="s">
        <v>1001</v>
      </c>
      <c r="E64" s="1"/>
      <c r="F64" s="1"/>
      <c r="G64" s="1"/>
      <c r="H64" s="1"/>
      <c r="I64" s="1"/>
      <c r="J64" s="1"/>
      <c r="K64" s="1"/>
      <c r="L64" s="1"/>
      <c r="M64" s="1"/>
      <c r="N64" s="1"/>
      <c r="O64" s="1"/>
      <c r="P64" s="1"/>
      <c r="Q64" s="1"/>
      <c r="R64" s="1"/>
      <c r="S64" s="1"/>
      <c r="T64" s="1"/>
      <c r="U64" s="1"/>
      <c r="V64" s="1"/>
      <c r="W64" s="1"/>
    </row>
    <row r="66" spans="3:20" ht="15" customHeight="1">
      <c r="D66" s="232"/>
      <c r="E66" s="232"/>
      <c r="F66" s="232"/>
      <c r="G66" s="232"/>
      <c r="H66" s="232"/>
      <c r="I66" s="232"/>
      <c r="J66" s="232"/>
      <c r="K66" s="232"/>
      <c r="L66" s="232"/>
      <c r="M66" s="232"/>
      <c r="N66" s="232"/>
      <c r="O66" s="232"/>
      <c r="P66" s="232"/>
      <c r="Q66" s="232"/>
      <c r="R66" s="232"/>
      <c r="S66" s="232"/>
    </row>
    <row r="67" spans="3:20" ht="15.75" customHeight="1">
      <c r="C67" s="243"/>
      <c r="D67" s="232"/>
      <c r="E67" s="843" t="s">
        <v>70</v>
      </c>
      <c r="F67" s="843"/>
      <c r="G67" s="843"/>
      <c r="H67" s="843"/>
      <c r="I67" s="843"/>
      <c r="J67" s="843"/>
      <c r="K67" s="843"/>
      <c r="L67" s="843"/>
      <c r="M67" s="843"/>
      <c r="N67" s="843"/>
      <c r="O67" s="843"/>
      <c r="P67" s="843"/>
      <c r="Q67" s="843"/>
      <c r="R67" s="843"/>
      <c r="S67" s="843"/>
      <c r="T67" s="232"/>
    </row>
    <row r="68" spans="3:20" ht="15.75" customHeight="1">
      <c r="C68" s="243"/>
      <c r="D68" s="232"/>
      <c r="E68" s="843" t="s">
        <v>74</v>
      </c>
      <c r="F68" s="843"/>
      <c r="G68" s="843"/>
      <c r="H68" s="843"/>
      <c r="I68" s="843"/>
      <c r="J68" s="843"/>
      <c r="K68" s="843"/>
      <c r="L68" s="843"/>
      <c r="M68" s="843"/>
      <c r="N68" s="843"/>
      <c r="O68" s="843"/>
      <c r="P68" s="843"/>
      <c r="Q68" s="843"/>
      <c r="R68" s="843"/>
      <c r="S68" s="843"/>
      <c r="T68" s="232"/>
    </row>
    <row r="69" spans="3:20" ht="15.75" customHeight="1">
      <c r="C69" s="243"/>
      <c r="D69" s="243"/>
      <c r="E69" s="848"/>
      <c r="F69" s="848"/>
      <c r="G69" s="848"/>
      <c r="H69" s="848"/>
      <c r="I69" s="848"/>
      <c r="J69" s="848" t="s">
        <v>78</v>
      </c>
      <c r="K69" s="848"/>
      <c r="L69" s="848"/>
      <c r="M69" s="848"/>
      <c r="N69" s="848"/>
      <c r="O69" s="848"/>
      <c r="P69" s="848"/>
      <c r="Q69" s="848"/>
      <c r="R69" s="848"/>
      <c r="S69" s="848"/>
      <c r="T69" s="232"/>
    </row>
    <row r="70" spans="3:20" ht="15.75" customHeight="1">
      <c r="C70" s="243"/>
      <c r="D70" s="232"/>
      <c r="E70" s="14" t="s">
        <v>82</v>
      </c>
      <c r="F70" s="14" t="s">
        <v>83</v>
      </c>
      <c r="G70" s="14" t="s">
        <v>84</v>
      </c>
      <c r="H70" s="14" t="s">
        <v>85</v>
      </c>
      <c r="I70" s="14" t="s">
        <v>86</v>
      </c>
      <c r="J70" s="14" t="s">
        <v>4</v>
      </c>
      <c r="K70" s="14" t="s">
        <v>5</v>
      </c>
      <c r="L70" s="14" t="s">
        <v>6</v>
      </c>
      <c r="M70" s="14" t="s">
        <v>7</v>
      </c>
      <c r="N70" s="14" t="s">
        <v>8</v>
      </c>
      <c r="O70" s="14" t="s">
        <v>9</v>
      </c>
      <c r="P70" s="14" t="s">
        <v>10</v>
      </c>
      <c r="Q70" s="14" t="s">
        <v>11</v>
      </c>
      <c r="R70" s="14" t="s">
        <v>12</v>
      </c>
      <c r="S70" s="14" t="s">
        <v>13</v>
      </c>
      <c r="T70" s="232"/>
    </row>
    <row r="71" spans="3:20" ht="15.75" customHeight="1">
      <c r="C71" s="243"/>
      <c r="D71" s="232"/>
      <c r="E71" s="1065" t="s">
        <v>688</v>
      </c>
      <c r="F71" s="1065" t="s">
        <v>1002</v>
      </c>
      <c r="G71" s="924" t="s">
        <v>29</v>
      </c>
      <c r="H71" s="32">
        <v>1</v>
      </c>
      <c r="I71" s="126" t="s">
        <v>936</v>
      </c>
      <c r="J71" s="33">
        <f t="shared" ref="J71:J76" si="3">AVERAGE(F7:K7)</f>
        <v>5.5283333333333333</v>
      </c>
      <c r="K71" s="14" t="s">
        <v>905</v>
      </c>
      <c r="L71" s="33">
        <f t="shared" ref="L71:L76" si="4">AVERAGE(F13:K13)</f>
        <v>38.5</v>
      </c>
      <c r="M71" s="33">
        <f t="shared" ref="M71:M76" si="5">AVERAGE(F19:K19)</f>
        <v>7.16</v>
      </c>
      <c r="N71" s="33">
        <f t="shared" ref="N71:N76" si="6">AVERAGE(F25:K25)</f>
        <v>26.400000000000002</v>
      </c>
      <c r="O71" s="33">
        <f t="shared" ref="O71:O76" si="7">AVERAGE(F31:K31)</f>
        <v>5</v>
      </c>
      <c r="P71" s="33">
        <f t="shared" ref="P71:P76" si="8">GEOMEAN(F37:K37)</f>
        <v>2416.2170814366905</v>
      </c>
      <c r="Q71" s="34">
        <f t="shared" ref="Q71:Q76" si="9">AVERAGE(F43:K43)</f>
        <v>0.29283333333333333</v>
      </c>
      <c r="R71" s="34">
        <f t="shared" ref="R71:R76" si="10">AVERAGE(F49:K49)</f>
        <v>2.7666666666666662E-2</v>
      </c>
      <c r="S71" s="14" t="s">
        <v>905</v>
      </c>
      <c r="T71" s="232"/>
    </row>
    <row r="72" spans="3:20" ht="15.75" customHeight="1">
      <c r="C72" s="243"/>
      <c r="D72" s="232"/>
      <c r="E72" s="1066"/>
      <c r="F72" s="1066"/>
      <c r="G72" s="1066"/>
      <c r="H72" s="32">
        <v>2</v>
      </c>
      <c r="I72" s="126" t="s">
        <v>939</v>
      </c>
      <c r="J72" s="33">
        <f t="shared" si="3"/>
        <v>5.5933333333333337</v>
      </c>
      <c r="K72" s="14" t="s">
        <v>905</v>
      </c>
      <c r="L72" s="33">
        <f t="shared" si="4"/>
        <v>26.5</v>
      </c>
      <c r="M72" s="33">
        <f t="shared" si="5"/>
        <v>7.165</v>
      </c>
      <c r="N72" s="33">
        <f t="shared" si="6"/>
        <v>26.683333333333334</v>
      </c>
      <c r="O72" s="33">
        <f t="shared" si="7"/>
        <v>5</v>
      </c>
      <c r="P72" s="33">
        <f t="shared" si="8"/>
        <v>1445.8978422173407</v>
      </c>
      <c r="Q72" s="34">
        <f t="shared" si="9"/>
        <v>0.19433333333333336</v>
      </c>
      <c r="R72" s="34">
        <f t="shared" si="10"/>
        <v>3.6499999999999998E-2</v>
      </c>
      <c r="S72" s="14" t="s">
        <v>905</v>
      </c>
      <c r="T72" s="232"/>
    </row>
    <row r="73" spans="3:20" ht="15.75" customHeight="1">
      <c r="C73" s="243"/>
      <c r="D73" s="232"/>
      <c r="E73" s="1066"/>
      <c r="F73" s="1066"/>
      <c r="G73" s="1066"/>
      <c r="H73" s="32">
        <v>3</v>
      </c>
      <c r="I73" s="126" t="s">
        <v>941</v>
      </c>
      <c r="J73" s="33">
        <f t="shared" si="3"/>
        <v>5.3516666666666666</v>
      </c>
      <c r="K73" s="14" t="s">
        <v>905</v>
      </c>
      <c r="L73" s="33">
        <f t="shared" si="4"/>
        <v>27.5</v>
      </c>
      <c r="M73" s="33">
        <f t="shared" si="5"/>
        <v>7.1883333333333326</v>
      </c>
      <c r="N73" s="33">
        <f t="shared" si="6"/>
        <v>27.016666666666669</v>
      </c>
      <c r="O73" s="33">
        <f t="shared" si="7"/>
        <v>5</v>
      </c>
      <c r="P73" s="33">
        <f t="shared" si="8"/>
        <v>1583.9095521089628</v>
      </c>
      <c r="Q73" s="34">
        <f t="shared" si="9"/>
        <v>0.1115</v>
      </c>
      <c r="R73" s="34">
        <f t="shared" si="10"/>
        <v>1.9999999999999997E-2</v>
      </c>
      <c r="S73" s="14" t="s">
        <v>905</v>
      </c>
      <c r="T73" s="232"/>
    </row>
    <row r="74" spans="3:20" ht="15.75" customHeight="1">
      <c r="C74" s="243"/>
      <c r="D74" s="232"/>
      <c r="E74" s="1066"/>
      <c r="F74" s="1066"/>
      <c r="G74" s="1066"/>
      <c r="H74" s="32">
        <v>4</v>
      </c>
      <c r="I74" s="126" t="s">
        <v>943</v>
      </c>
      <c r="J74" s="33">
        <f t="shared" si="3"/>
        <v>5.498333333333334</v>
      </c>
      <c r="K74" s="14" t="s">
        <v>905</v>
      </c>
      <c r="L74" s="33">
        <f t="shared" si="4"/>
        <v>28.5</v>
      </c>
      <c r="M74" s="33">
        <f t="shared" si="5"/>
        <v>7.1950000000000003</v>
      </c>
      <c r="N74" s="33">
        <f t="shared" si="6"/>
        <v>27.183333333333337</v>
      </c>
      <c r="O74" s="33">
        <f t="shared" si="7"/>
        <v>5</v>
      </c>
      <c r="P74" s="33">
        <f t="shared" si="8"/>
        <v>1492.4743918296167</v>
      </c>
      <c r="Q74" s="34">
        <f t="shared" si="9"/>
        <v>0.16600000000000001</v>
      </c>
      <c r="R74" s="34">
        <f t="shared" si="10"/>
        <v>2.8666666666666663E-2</v>
      </c>
      <c r="S74" s="14" t="s">
        <v>905</v>
      </c>
      <c r="T74" s="232"/>
    </row>
    <row r="75" spans="3:20" ht="15.75" customHeight="1">
      <c r="C75" s="243"/>
      <c r="D75" s="232"/>
      <c r="E75" s="1066"/>
      <c r="F75" s="1066"/>
      <c r="G75" s="1066"/>
      <c r="H75" s="32">
        <v>5</v>
      </c>
      <c r="I75" s="126" t="s">
        <v>945</v>
      </c>
      <c r="J75" s="33">
        <f t="shared" si="3"/>
        <v>5.4333333333333327</v>
      </c>
      <c r="K75" s="14" t="s">
        <v>905</v>
      </c>
      <c r="L75" s="33">
        <f t="shared" si="4"/>
        <v>18.833333333333332</v>
      </c>
      <c r="M75" s="33">
        <f t="shared" si="5"/>
        <v>7.1783333333333337</v>
      </c>
      <c r="N75" s="33">
        <f t="shared" si="6"/>
        <v>27.400000000000002</v>
      </c>
      <c r="O75" s="33">
        <f t="shared" si="7"/>
        <v>5</v>
      </c>
      <c r="P75" s="33">
        <f t="shared" si="8"/>
        <v>809.47256696424358</v>
      </c>
      <c r="Q75" s="34">
        <f t="shared" si="9"/>
        <v>0.13833333333333334</v>
      </c>
      <c r="R75" s="34">
        <f t="shared" si="10"/>
        <v>2.1166666666666667E-2</v>
      </c>
      <c r="S75" s="14" t="s">
        <v>905</v>
      </c>
      <c r="T75" s="232"/>
    </row>
    <row r="76" spans="3:20" ht="15.75" customHeight="1">
      <c r="C76" s="243"/>
      <c r="D76" s="232"/>
      <c r="E76" s="1066"/>
      <c r="F76" s="1066"/>
      <c r="G76" s="1066"/>
      <c r="H76" s="32">
        <v>6</v>
      </c>
      <c r="I76" s="126" t="s">
        <v>947</v>
      </c>
      <c r="J76" s="33">
        <f t="shared" si="3"/>
        <v>5.4766666666666666</v>
      </c>
      <c r="K76" s="14" t="s">
        <v>905</v>
      </c>
      <c r="L76" s="33">
        <f t="shared" si="4"/>
        <v>18.166666666666668</v>
      </c>
      <c r="M76" s="33">
        <f t="shared" si="5"/>
        <v>7.1649999999999991</v>
      </c>
      <c r="N76" s="33">
        <f t="shared" si="6"/>
        <v>27.466666666666665</v>
      </c>
      <c r="O76" s="33">
        <f t="shared" si="7"/>
        <v>5</v>
      </c>
      <c r="P76" s="33">
        <f t="shared" si="8"/>
        <v>707.5375915964039</v>
      </c>
      <c r="Q76" s="34">
        <f t="shared" si="9"/>
        <v>0.13033333333333333</v>
      </c>
      <c r="R76" s="34">
        <f t="shared" si="10"/>
        <v>2.4833333333333336E-2</v>
      </c>
      <c r="S76" s="14" t="s">
        <v>905</v>
      </c>
      <c r="T76" s="232"/>
    </row>
    <row r="77" spans="3:20" ht="15.75" customHeight="1">
      <c r="C77" s="243"/>
      <c r="D77" s="243"/>
      <c r="E77" s="848"/>
      <c r="F77" s="848"/>
      <c r="G77" s="848"/>
      <c r="H77" s="848"/>
      <c r="I77" s="848"/>
      <c r="J77" s="848"/>
      <c r="K77" s="848"/>
      <c r="L77" s="848"/>
      <c r="M77" s="848"/>
      <c r="N77" s="848"/>
      <c r="O77" s="848"/>
      <c r="P77" s="848"/>
      <c r="Q77" s="848"/>
      <c r="R77" s="848"/>
      <c r="S77" s="848"/>
      <c r="T77" s="232"/>
    </row>
    <row r="78" spans="3:20" ht="15.75" customHeight="1">
      <c r="C78" s="243"/>
      <c r="D78" s="232"/>
      <c r="E78" s="14" t="s">
        <v>93</v>
      </c>
      <c r="F78" s="1162"/>
      <c r="G78" s="1161"/>
      <c r="H78" s="1161"/>
      <c r="I78" s="1161"/>
      <c r="J78" s="33">
        <f>AVERAGE(J71:J76)</f>
        <v>5.4802777777777782</v>
      </c>
      <c r="K78" s="14" t="s">
        <v>905</v>
      </c>
      <c r="L78" s="33">
        <f t="shared" ref="L78:R78" si="11">AVERAGE(L71:L76)</f>
        <v>26.333333333333332</v>
      </c>
      <c r="M78" s="33">
        <f t="shared" si="11"/>
        <v>7.1752777777777768</v>
      </c>
      <c r="N78" s="33">
        <f t="shared" si="11"/>
        <v>27.025000000000002</v>
      </c>
      <c r="O78" s="33">
        <f t="shared" si="11"/>
        <v>5</v>
      </c>
      <c r="P78" s="33">
        <f t="shared" si="11"/>
        <v>1409.2515043588764</v>
      </c>
      <c r="Q78" s="34">
        <f t="shared" si="11"/>
        <v>0.17222222222222225</v>
      </c>
      <c r="R78" s="34">
        <f t="shared" si="11"/>
        <v>2.6472222222222227E-2</v>
      </c>
      <c r="S78" s="14" t="s">
        <v>905</v>
      </c>
      <c r="T78" s="232"/>
    </row>
    <row r="79" spans="3:20" ht="15.75" customHeight="1">
      <c r="C79" s="243"/>
      <c r="D79" s="232"/>
      <c r="E79" s="14" t="s">
        <v>94</v>
      </c>
      <c r="F79" s="1161"/>
      <c r="G79" s="1163"/>
      <c r="H79" s="1163"/>
      <c r="I79" s="1161"/>
      <c r="J79" s="33">
        <f>MIN(J71:J76)</f>
        <v>5.3516666666666666</v>
      </c>
      <c r="K79" s="14" t="s">
        <v>905</v>
      </c>
      <c r="L79" s="33">
        <f t="shared" ref="L79:R79" si="12">MIN(L71:L76)</f>
        <v>18.166666666666668</v>
      </c>
      <c r="M79" s="33">
        <f t="shared" si="12"/>
        <v>7.16</v>
      </c>
      <c r="N79" s="33">
        <f t="shared" si="12"/>
        <v>26.400000000000002</v>
      </c>
      <c r="O79" s="33">
        <f t="shared" si="12"/>
        <v>5</v>
      </c>
      <c r="P79" s="33">
        <f t="shared" si="12"/>
        <v>707.5375915964039</v>
      </c>
      <c r="Q79" s="34">
        <f t="shared" si="12"/>
        <v>0.1115</v>
      </c>
      <c r="R79" s="34">
        <f t="shared" si="12"/>
        <v>1.9999999999999997E-2</v>
      </c>
      <c r="S79" s="14" t="s">
        <v>905</v>
      </c>
      <c r="T79" s="232"/>
    </row>
    <row r="80" spans="3:20" ht="15.75" customHeight="1">
      <c r="C80" s="243"/>
      <c r="D80" s="232"/>
      <c r="E80" s="14" t="s">
        <v>95</v>
      </c>
      <c r="F80" s="1161"/>
      <c r="G80" s="1163"/>
      <c r="H80" s="1163"/>
      <c r="I80" s="1161"/>
      <c r="J80" s="33">
        <f>MAX(J71:J76)</f>
        <v>5.5933333333333337</v>
      </c>
      <c r="K80" s="14" t="s">
        <v>905</v>
      </c>
      <c r="L80" s="33">
        <f t="shared" ref="L80:R80" si="13">MAX(L71:L76)</f>
        <v>38.5</v>
      </c>
      <c r="M80" s="33">
        <f t="shared" si="13"/>
        <v>7.1950000000000003</v>
      </c>
      <c r="N80" s="33">
        <f t="shared" si="13"/>
        <v>27.466666666666665</v>
      </c>
      <c r="O80" s="33">
        <f t="shared" si="13"/>
        <v>5</v>
      </c>
      <c r="P80" s="33">
        <f t="shared" si="13"/>
        <v>2416.2170814366905</v>
      </c>
      <c r="Q80" s="34">
        <f t="shared" si="13"/>
        <v>0.29283333333333333</v>
      </c>
      <c r="R80" s="34">
        <f t="shared" si="13"/>
        <v>3.6499999999999998E-2</v>
      </c>
      <c r="S80" s="14" t="s">
        <v>905</v>
      </c>
      <c r="T80" s="232"/>
    </row>
    <row r="81" spans="3:20" ht="15.75" customHeight="1">
      <c r="C81" s="243"/>
      <c r="D81" s="232"/>
      <c r="E81" s="14" t="s">
        <v>96</v>
      </c>
      <c r="F81" s="1161"/>
      <c r="G81" s="1161"/>
      <c r="H81" s="1161"/>
      <c r="I81" s="1161"/>
      <c r="J81" s="118" t="s">
        <v>906</v>
      </c>
      <c r="K81" s="118" t="s">
        <v>905</v>
      </c>
      <c r="L81" s="118" t="s">
        <v>907</v>
      </c>
      <c r="M81" s="118" t="s">
        <v>908</v>
      </c>
      <c r="N81" s="29" t="s">
        <v>909</v>
      </c>
      <c r="O81" s="118" t="s">
        <v>699</v>
      </c>
      <c r="P81" s="118" t="s">
        <v>700</v>
      </c>
      <c r="Q81" s="118" t="s">
        <v>910</v>
      </c>
      <c r="R81" s="118" t="s">
        <v>911</v>
      </c>
      <c r="S81" s="118" t="s">
        <v>905</v>
      </c>
      <c r="T81" s="232"/>
    </row>
    <row r="82" spans="3:20" ht="15.75" customHeight="1">
      <c r="D82" s="243"/>
      <c r="E82" s="243"/>
      <c r="F82" s="243"/>
      <c r="G82" s="243"/>
      <c r="H82" s="243"/>
      <c r="I82" s="243"/>
      <c r="J82" s="243"/>
      <c r="K82" s="243"/>
      <c r="L82" s="243"/>
      <c r="M82" s="243"/>
      <c r="N82" s="243"/>
      <c r="O82" s="243"/>
      <c r="P82" s="243"/>
      <c r="Q82" s="243"/>
      <c r="R82" s="243"/>
      <c r="S82" s="243"/>
    </row>
    <row r="83" spans="3:20" ht="15.75" customHeight="1">
      <c r="D83" s="243"/>
      <c r="E83" s="243"/>
      <c r="F83" s="243"/>
      <c r="G83" s="243"/>
      <c r="H83" s="243"/>
      <c r="I83" s="243"/>
      <c r="J83" s="243"/>
      <c r="K83" s="243"/>
      <c r="L83" s="243"/>
      <c r="M83" s="243"/>
      <c r="N83" s="243"/>
      <c r="O83" s="243"/>
      <c r="P83" s="243"/>
      <c r="Q83" s="243"/>
      <c r="R83" s="243"/>
      <c r="S83" s="243"/>
    </row>
    <row r="84" spans="3:20" ht="15.75" customHeight="1">
      <c r="C84" s="243"/>
      <c r="D84" s="232"/>
      <c r="E84" s="970" t="s">
        <v>70</v>
      </c>
      <c r="F84" s="970"/>
      <c r="G84" s="970"/>
      <c r="H84" s="970"/>
      <c r="I84" s="970"/>
      <c r="J84" s="970"/>
      <c r="K84" s="970"/>
      <c r="L84" s="970"/>
      <c r="M84" s="970"/>
      <c r="N84" s="970"/>
      <c r="O84" s="970"/>
      <c r="P84" s="970"/>
      <c r="Q84" s="970"/>
      <c r="R84" s="970"/>
      <c r="S84" s="970"/>
      <c r="T84" s="232"/>
    </row>
    <row r="85" spans="3:20" ht="15.75" customHeight="1">
      <c r="C85" s="243"/>
      <c r="D85" s="232"/>
      <c r="E85" s="970" t="s">
        <v>107</v>
      </c>
      <c r="F85" s="970"/>
      <c r="G85" s="970"/>
      <c r="H85" s="970"/>
      <c r="I85" s="970"/>
      <c r="J85" s="970"/>
      <c r="K85" s="970"/>
      <c r="L85" s="970"/>
      <c r="M85" s="970"/>
      <c r="N85" s="970"/>
      <c r="O85" s="970"/>
      <c r="P85" s="970"/>
      <c r="Q85" s="970"/>
      <c r="R85" s="970"/>
      <c r="S85" s="970"/>
      <c r="T85" s="232"/>
    </row>
    <row r="86" spans="3:20" ht="15.75" customHeight="1">
      <c r="C86" s="243"/>
      <c r="D86" s="243"/>
      <c r="E86" s="14"/>
      <c r="F86" s="273"/>
      <c r="G86" s="273"/>
      <c r="H86" s="273"/>
      <c r="I86" s="273"/>
      <c r="J86" s="848" t="s">
        <v>78</v>
      </c>
      <c r="K86" s="1161"/>
      <c r="L86" s="1161"/>
      <c r="M86" s="1161"/>
      <c r="N86" s="1161"/>
      <c r="O86" s="1161"/>
      <c r="P86" s="1161"/>
      <c r="Q86" s="1161"/>
      <c r="R86" s="1161"/>
      <c r="S86" s="1161"/>
      <c r="T86" s="232"/>
    </row>
    <row r="87" spans="3:20" ht="15.75" customHeight="1">
      <c r="C87" s="243"/>
      <c r="D87" s="232"/>
      <c r="E87" s="14" t="s">
        <v>82</v>
      </c>
      <c r="F87" s="14" t="s">
        <v>83</v>
      </c>
      <c r="G87" s="14" t="s">
        <v>84</v>
      </c>
      <c r="H87" s="14" t="s">
        <v>85</v>
      </c>
      <c r="I87" s="14" t="s">
        <v>86</v>
      </c>
      <c r="J87" s="14" t="s">
        <v>4</v>
      </c>
      <c r="K87" s="14" t="s">
        <v>5</v>
      </c>
      <c r="L87" s="14" t="s">
        <v>6</v>
      </c>
      <c r="M87" s="14" t="s">
        <v>7</v>
      </c>
      <c r="N87" s="14" t="s">
        <v>8</v>
      </c>
      <c r="O87" s="14" t="s">
        <v>9</v>
      </c>
      <c r="P87" s="14" t="s">
        <v>10</v>
      </c>
      <c r="Q87" s="14" t="s">
        <v>11</v>
      </c>
      <c r="R87" s="14" t="s">
        <v>12</v>
      </c>
      <c r="S87" s="14" t="s">
        <v>13</v>
      </c>
      <c r="T87" s="232"/>
    </row>
    <row r="88" spans="3:20" ht="15.75" customHeight="1">
      <c r="C88" s="243"/>
      <c r="D88" s="232"/>
      <c r="E88" s="847" t="s">
        <v>688</v>
      </c>
      <c r="F88" s="847" t="s">
        <v>1002</v>
      </c>
      <c r="G88" s="855" t="s">
        <v>29</v>
      </c>
      <c r="H88" s="32">
        <v>1</v>
      </c>
      <c r="I88" s="126" t="s">
        <v>936</v>
      </c>
      <c r="J88" s="35">
        <f t="shared" ref="J88:J93" si="14">R7</f>
        <v>5.8533333333333344</v>
      </c>
      <c r="K88" s="14" t="s">
        <v>905</v>
      </c>
      <c r="L88" s="35">
        <f t="shared" ref="L88:L93" si="15">R13</f>
        <v>32.75</v>
      </c>
      <c r="M88" s="35">
        <f t="shared" ref="M88:M93" si="16">R19</f>
        <v>7.4191666666666665</v>
      </c>
      <c r="N88" s="35">
        <f t="shared" ref="N88:N93" si="17">R25</f>
        <v>26.891666666666666</v>
      </c>
      <c r="O88" s="35">
        <f t="shared" ref="O88:O93" si="18">R31</f>
        <v>5</v>
      </c>
      <c r="P88" s="36">
        <f t="shared" ref="P88:P93" si="19">R37</f>
        <v>1311.2878523585068</v>
      </c>
      <c r="Q88" s="28">
        <f t="shared" ref="Q88:Q93" si="20">R43</f>
        <v>0.21216666666666664</v>
      </c>
      <c r="R88" s="28">
        <f t="shared" ref="R88:R93" si="21">R49</f>
        <v>4.1333333333333333E-2</v>
      </c>
      <c r="S88" s="14" t="s">
        <v>905</v>
      </c>
      <c r="T88" s="232"/>
    </row>
    <row r="89" spans="3:20" ht="15.75" customHeight="1">
      <c r="C89" s="243"/>
      <c r="D89" s="232"/>
      <c r="E89" s="1161"/>
      <c r="F89" s="1161"/>
      <c r="G89" s="1161"/>
      <c r="H89" s="32">
        <v>2</v>
      </c>
      <c r="I89" s="126" t="s">
        <v>939</v>
      </c>
      <c r="J89" s="35">
        <f t="shared" si="14"/>
        <v>5.913333333333334</v>
      </c>
      <c r="K89" s="14" t="s">
        <v>905</v>
      </c>
      <c r="L89" s="35">
        <f t="shared" si="15"/>
        <v>32.833333333333336</v>
      </c>
      <c r="M89" s="35">
        <f t="shared" si="16"/>
        <v>7.3625000000000007</v>
      </c>
      <c r="N89" s="35">
        <f t="shared" si="17"/>
        <v>27.324999999999999</v>
      </c>
      <c r="O89" s="35">
        <f t="shared" si="18"/>
        <v>5</v>
      </c>
      <c r="P89" s="36">
        <f t="shared" si="19"/>
        <v>1108.1203618643103</v>
      </c>
      <c r="Q89" s="28">
        <f t="shared" si="20"/>
        <v>0.17408333333333337</v>
      </c>
      <c r="R89" s="28">
        <f t="shared" si="21"/>
        <v>4.5500000000000006E-2</v>
      </c>
      <c r="S89" s="14" t="s">
        <v>905</v>
      </c>
      <c r="T89" s="232"/>
    </row>
    <row r="90" spans="3:20" ht="15.75" customHeight="1">
      <c r="C90" s="243"/>
      <c r="D90" s="232"/>
      <c r="E90" s="1161"/>
      <c r="F90" s="1161"/>
      <c r="G90" s="1161"/>
      <c r="H90" s="32">
        <v>3</v>
      </c>
      <c r="I90" s="126" t="s">
        <v>941</v>
      </c>
      <c r="J90" s="35">
        <f t="shared" si="14"/>
        <v>5.7091666666666656</v>
      </c>
      <c r="K90" s="14" t="s">
        <v>905</v>
      </c>
      <c r="L90" s="35">
        <f t="shared" si="15"/>
        <v>31.833333333333332</v>
      </c>
      <c r="M90" s="35">
        <f t="shared" si="16"/>
        <v>7.3849999999999989</v>
      </c>
      <c r="N90" s="35">
        <f t="shared" si="17"/>
        <v>27.55</v>
      </c>
      <c r="O90" s="35">
        <f t="shared" si="18"/>
        <v>5</v>
      </c>
      <c r="P90" s="36">
        <f t="shared" si="19"/>
        <v>827.75330623850118</v>
      </c>
      <c r="Q90" s="28">
        <f t="shared" si="20"/>
        <v>0.12666666666666668</v>
      </c>
      <c r="R90" s="28">
        <f t="shared" si="21"/>
        <v>4.1416666666666664E-2</v>
      </c>
      <c r="S90" s="14" t="s">
        <v>905</v>
      </c>
      <c r="T90" s="232"/>
    </row>
    <row r="91" spans="3:20" ht="15.75" customHeight="1">
      <c r="C91" s="243"/>
      <c r="D91" s="232"/>
      <c r="E91" s="1161"/>
      <c r="F91" s="1161"/>
      <c r="G91" s="1161"/>
      <c r="H91" s="32">
        <v>4</v>
      </c>
      <c r="I91" s="126" t="s">
        <v>943</v>
      </c>
      <c r="J91" s="35">
        <f t="shared" si="14"/>
        <v>5.7700000000000005</v>
      </c>
      <c r="K91" s="14" t="s">
        <v>905</v>
      </c>
      <c r="L91" s="35">
        <f t="shared" si="15"/>
        <v>30.416666666666668</v>
      </c>
      <c r="M91" s="35">
        <f t="shared" si="16"/>
        <v>7.3708333333333336</v>
      </c>
      <c r="N91" s="35">
        <f t="shared" si="17"/>
        <v>27.700000000000003</v>
      </c>
      <c r="O91" s="35">
        <f t="shared" si="18"/>
        <v>5</v>
      </c>
      <c r="P91" s="36">
        <f t="shared" si="19"/>
        <v>652.40548825851545</v>
      </c>
      <c r="Q91" s="28">
        <f t="shared" si="20"/>
        <v>0.1565</v>
      </c>
      <c r="R91" s="28">
        <f t="shared" si="21"/>
        <v>3.8166666666666675E-2</v>
      </c>
      <c r="S91" s="14" t="s">
        <v>905</v>
      </c>
      <c r="T91" s="232"/>
    </row>
    <row r="92" spans="3:20" ht="15.75" customHeight="1">
      <c r="C92" s="243"/>
      <c r="D92" s="232"/>
      <c r="E92" s="1161"/>
      <c r="F92" s="1161"/>
      <c r="G92" s="1161"/>
      <c r="H92" s="32">
        <v>5</v>
      </c>
      <c r="I92" s="126" t="s">
        <v>945</v>
      </c>
      <c r="J92" s="35">
        <f t="shared" si="14"/>
        <v>5.7016666666666671</v>
      </c>
      <c r="K92" s="14" t="s">
        <v>905</v>
      </c>
      <c r="L92" s="35">
        <f t="shared" si="15"/>
        <v>27.166666666666668</v>
      </c>
      <c r="M92" s="35">
        <f t="shared" si="16"/>
        <v>7.3750000000000009</v>
      </c>
      <c r="N92" s="35">
        <f t="shared" si="17"/>
        <v>27.950000000000003</v>
      </c>
      <c r="O92" s="35">
        <f t="shared" si="18"/>
        <v>5</v>
      </c>
      <c r="P92" s="36">
        <f t="shared" si="19"/>
        <v>551.17420038184559</v>
      </c>
      <c r="Q92" s="28">
        <f t="shared" si="20"/>
        <v>0.12650000000000003</v>
      </c>
      <c r="R92" s="28">
        <f t="shared" si="21"/>
        <v>3.6916666666666674E-2</v>
      </c>
      <c r="S92" s="14" t="s">
        <v>905</v>
      </c>
      <c r="T92" s="232"/>
    </row>
    <row r="93" spans="3:20" ht="15.75" customHeight="1">
      <c r="C93" s="243"/>
      <c r="D93" s="232"/>
      <c r="E93" s="1161"/>
      <c r="F93" s="1161"/>
      <c r="G93" s="1161"/>
      <c r="H93" s="32">
        <v>6</v>
      </c>
      <c r="I93" s="126" t="s">
        <v>947</v>
      </c>
      <c r="J93" s="35">
        <f t="shared" si="14"/>
        <v>5.6975000000000007</v>
      </c>
      <c r="K93" s="14" t="s">
        <v>905</v>
      </c>
      <c r="L93" s="35">
        <f t="shared" si="15"/>
        <v>27.25</v>
      </c>
      <c r="M93" s="35">
        <f t="shared" si="16"/>
        <v>7.3724999999999996</v>
      </c>
      <c r="N93" s="35">
        <f t="shared" si="17"/>
        <v>27.991666666666671</v>
      </c>
      <c r="O93" s="35">
        <f t="shared" si="18"/>
        <v>5</v>
      </c>
      <c r="P93" s="36">
        <f t="shared" si="19"/>
        <v>299.3619967656382</v>
      </c>
      <c r="Q93" s="28">
        <f t="shared" si="20"/>
        <v>0.11974999999999998</v>
      </c>
      <c r="R93" s="28">
        <f t="shared" si="21"/>
        <v>4.0333333333333339E-2</v>
      </c>
      <c r="S93" s="14" t="s">
        <v>905</v>
      </c>
      <c r="T93" s="232"/>
    </row>
    <row r="94" spans="3:20" ht="15.75" customHeight="1">
      <c r="C94" s="243"/>
      <c r="D94" s="243"/>
      <c r="E94" s="848"/>
      <c r="F94" s="848"/>
      <c r="G94" s="848"/>
      <c r="H94" s="848"/>
      <c r="I94" s="848"/>
      <c r="J94" s="848"/>
      <c r="K94" s="848"/>
      <c r="L94" s="848"/>
      <c r="M94" s="848"/>
      <c r="N94" s="848"/>
      <c r="O94" s="848"/>
      <c r="P94" s="848"/>
      <c r="Q94" s="848"/>
      <c r="R94" s="848"/>
      <c r="S94" s="848"/>
      <c r="T94" s="232"/>
    </row>
    <row r="95" spans="3:20" ht="15.75" customHeight="1">
      <c r="C95" s="243"/>
      <c r="D95" s="232"/>
      <c r="E95" s="14" t="s">
        <v>93</v>
      </c>
      <c r="F95" s="1162"/>
      <c r="G95" s="1161"/>
      <c r="H95" s="1161"/>
      <c r="I95" s="1161"/>
      <c r="J95" s="35">
        <f>AVERAGE(J88:J93)</f>
        <v>5.7741666666666669</v>
      </c>
      <c r="K95" s="14" t="s">
        <v>905</v>
      </c>
      <c r="L95" s="35">
        <f t="shared" ref="L95:R95" si="22">AVERAGE(L88:L93)</f>
        <v>30.375</v>
      </c>
      <c r="M95" s="35">
        <f t="shared" si="22"/>
        <v>7.3808333333333342</v>
      </c>
      <c r="N95" s="35">
        <f t="shared" si="22"/>
        <v>27.56805555555556</v>
      </c>
      <c r="O95" s="35">
        <f t="shared" si="22"/>
        <v>5</v>
      </c>
      <c r="P95" s="36">
        <f t="shared" si="22"/>
        <v>791.68386764455283</v>
      </c>
      <c r="Q95" s="28">
        <f t="shared" si="22"/>
        <v>0.15261111111111111</v>
      </c>
      <c r="R95" s="28">
        <f t="shared" si="22"/>
        <v>4.0611111111111119E-2</v>
      </c>
      <c r="S95" s="14" t="s">
        <v>905</v>
      </c>
      <c r="T95" s="232"/>
    </row>
    <row r="96" spans="3:20" ht="15.75" customHeight="1">
      <c r="C96" s="243"/>
      <c r="D96" s="232"/>
      <c r="E96" s="14" t="s">
        <v>94</v>
      </c>
      <c r="F96" s="1161"/>
      <c r="G96" s="1163"/>
      <c r="H96" s="1163"/>
      <c r="I96" s="1161"/>
      <c r="J96" s="35">
        <f>MIN(J88:J93)</f>
        <v>5.6975000000000007</v>
      </c>
      <c r="K96" s="14" t="s">
        <v>905</v>
      </c>
      <c r="L96" s="35">
        <f t="shared" ref="L96:R96" si="23">MIN(L88:L93)</f>
        <v>27.166666666666668</v>
      </c>
      <c r="M96" s="35">
        <f t="shared" si="23"/>
        <v>7.3625000000000007</v>
      </c>
      <c r="N96" s="35">
        <f t="shared" si="23"/>
        <v>26.891666666666666</v>
      </c>
      <c r="O96" s="35">
        <f t="shared" si="23"/>
        <v>5</v>
      </c>
      <c r="P96" s="36">
        <f t="shared" si="23"/>
        <v>299.3619967656382</v>
      </c>
      <c r="Q96" s="28">
        <f t="shared" si="23"/>
        <v>0.11974999999999998</v>
      </c>
      <c r="R96" s="28">
        <f t="shared" si="23"/>
        <v>3.6916666666666674E-2</v>
      </c>
      <c r="S96" s="14" t="s">
        <v>905</v>
      </c>
      <c r="T96" s="232"/>
    </row>
    <row r="97" spans="3:20" ht="15.75" customHeight="1">
      <c r="C97" s="243"/>
      <c r="D97" s="232"/>
      <c r="E97" s="14" t="s">
        <v>95</v>
      </c>
      <c r="F97" s="1161"/>
      <c r="G97" s="1163"/>
      <c r="H97" s="1163"/>
      <c r="I97" s="1161"/>
      <c r="J97" s="35">
        <f>MAX(J88:J93)</f>
        <v>5.913333333333334</v>
      </c>
      <c r="K97" s="14" t="s">
        <v>905</v>
      </c>
      <c r="L97" s="35">
        <f t="shared" ref="L97:R97" si="24">MAX(L88:L93)</f>
        <v>32.833333333333336</v>
      </c>
      <c r="M97" s="35">
        <f t="shared" si="24"/>
        <v>7.4191666666666665</v>
      </c>
      <c r="N97" s="35">
        <f t="shared" si="24"/>
        <v>27.991666666666671</v>
      </c>
      <c r="O97" s="35">
        <f t="shared" si="24"/>
        <v>5</v>
      </c>
      <c r="P97" s="36">
        <f t="shared" si="24"/>
        <v>1311.2878523585068</v>
      </c>
      <c r="Q97" s="28">
        <f t="shared" si="24"/>
        <v>0.21216666666666664</v>
      </c>
      <c r="R97" s="28">
        <f t="shared" si="24"/>
        <v>4.5500000000000006E-2</v>
      </c>
      <c r="S97" s="14" t="s">
        <v>905</v>
      </c>
      <c r="T97" s="232"/>
    </row>
    <row r="98" spans="3:20" ht="15.75" customHeight="1">
      <c r="C98" s="243"/>
      <c r="D98" s="232"/>
      <c r="E98" s="14" t="s">
        <v>96</v>
      </c>
      <c r="F98" s="1161"/>
      <c r="G98" s="1161"/>
      <c r="H98" s="1161"/>
      <c r="I98" s="1161"/>
      <c r="J98" s="118" t="s">
        <v>906</v>
      </c>
      <c r="K98" s="118" t="s">
        <v>905</v>
      </c>
      <c r="L98" s="118" t="s">
        <v>907</v>
      </c>
      <c r="M98" s="118" t="s">
        <v>908</v>
      </c>
      <c r="N98" s="29" t="s">
        <v>909</v>
      </c>
      <c r="O98" s="118" t="s">
        <v>699</v>
      </c>
      <c r="P98" s="118" t="s">
        <v>700</v>
      </c>
      <c r="Q98" s="118" t="s">
        <v>910</v>
      </c>
      <c r="R98" s="118" t="s">
        <v>911</v>
      </c>
      <c r="S98" s="118" t="s">
        <v>905</v>
      </c>
      <c r="T98" s="232"/>
    </row>
    <row r="99" spans="3:20" ht="15" customHeight="1">
      <c r="D99" s="232"/>
      <c r="E99" s="232"/>
      <c r="F99" s="232"/>
      <c r="G99" s="232"/>
      <c r="H99" s="232"/>
      <c r="I99" s="232"/>
      <c r="J99" s="232"/>
      <c r="K99" s="232"/>
      <c r="L99" s="232"/>
      <c r="M99" s="232"/>
      <c r="N99" s="232"/>
      <c r="O99" s="232"/>
      <c r="P99" s="232"/>
      <c r="Q99" s="232"/>
      <c r="R99" s="232"/>
      <c r="S99" s="232"/>
    </row>
    <row r="101" spans="3:20" ht="15" customHeight="1">
      <c r="E101" s="232" t="s">
        <v>175</v>
      </c>
      <c r="F101" s="232"/>
      <c r="G101" s="232"/>
      <c r="H101" s="232"/>
      <c r="I101" s="232"/>
      <c r="J101" s="232"/>
      <c r="K101" s="232"/>
      <c r="L101" s="232"/>
      <c r="M101" s="232"/>
      <c r="N101" s="232"/>
      <c r="O101" s="232"/>
      <c r="P101" s="232"/>
      <c r="Q101" s="232"/>
      <c r="R101" s="232"/>
      <c r="S101" s="232"/>
    </row>
    <row r="102" spans="3:20" ht="15" customHeight="1">
      <c r="D102" s="232"/>
      <c r="E102" s="873" t="s">
        <v>1003</v>
      </c>
      <c r="F102" s="874"/>
      <c r="G102" s="874"/>
      <c r="H102" s="874"/>
      <c r="I102" s="874"/>
      <c r="J102" s="874"/>
      <c r="K102" s="874"/>
      <c r="L102" s="874"/>
      <c r="M102" s="874"/>
      <c r="N102" s="874"/>
      <c r="O102" s="874"/>
      <c r="P102" s="874"/>
      <c r="Q102" s="874"/>
      <c r="R102" s="874"/>
      <c r="S102" s="875"/>
      <c r="T102" s="232"/>
    </row>
    <row r="103" spans="3:20" ht="15" customHeight="1">
      <c r="D103" s="232"/>
      <c r="E103" s="876"/>
      <c r="F103" s="877"/>
      <c r="G103" s="877"/>
      <c r="H103" s="877"/>
      <c r="I103" s="877"/>
      <c r="J103" s="877"/>
      <c r="K103" s="877"/>
      <c r="L103" s="877"/>
      <c r="M103" s="877"/>
      <c r="N103" s="877"/>
      <c r="O103" s="877"/>
      <c r="P103" s="877"/>
      <c r="Q103" s="877"/>
      <c r="R103" s="877"/>
      <c r="S103" s="878"/>
      <c r="T103" s="232"/>
    </row>
    <row r="104" spans="3:20" ht="15" customHeight="1">
      <c r="D104" s="232"/>
      <c r="E104" s="876"/>
      <c r="F104" s="877"/>
      <c r="G104" s="877"/>
      <c r="H104" s="877"/>
      <c r="I104" s="877"/>
      <c r="J104" s="877"/>
      <c r="K104" s="877"/>
      <c r="L104" s="877"/>
      <c r="M104" s="877"/>
      <c r="N104" s="877"/>
      <c r="O104" s="877"/>
      <c r="P104" s="877"/>
      <c r="Q104" s="877"/>
      <c r="R104" s="877"/>
      <c r="S104" s="878"/>
      <c r="T104" s="232"/>
    </row>
    <row r="105" spans="3:20" ht="15" customHeight="1">
      <c r="D105" s="232"/>
      <c r="E105" s="876"/>
      <c r="F105" s="877"/>
      <c r="G105" s="877"/>
      <c r="H105" s="877"/>
      <c r="I105" s="877"/>
      <c r="J105" s="877"/>
      <c r="K105" s="877"/>
      <c r="L105" s="877"/>
      <c r="M105" s="877"/>
      <c r="N105" s="877"/>
      <c r="O105" s="877"/>
      <c r="P105" s="877"/>
      <c r="Q105" s="877"/>
      <c r="R105" s="877"/>
      <c r="S105" s="878"/>
      <c r="T105" s="232"/>
    </row>
    <row r="106" spans="3:20" ht="15" customHeight="1">
      <c r="D106" s="232"/>
      <c r="E106" s="876"/>
      <c r="F106" s="877"/>
      <c r="G106" s="877"/>
      <c r="H106" s="877"/>
      <c r="I106" s="877"/>
      <c r="J106" s="877"/>
      <c r="K106" s="877"/>
      <c r="L106" s="877"/>
      <c r="M106" s="877"/>
      <c r="N106" s="877"/>
      <c r="O106" s="877"/>
      <c r="P106" s="877"/>
      <c r="Q106" s="877"/>
      <c r="R106" s="877"/>
      <c r="S106" s="878"/>
      <c r="T106" s="232"/>
    </row>
    <row r="107" spans="3:20" ht="15" customHeight="1">
      <c r="D107" s="232"/>
      <c r="E107" s="876"/>
      <c r="F107" s="877"/>
      <c r="G107" s="877"/>
      <c r="H107" s="877"/>
      <c r="I107" s="877"/>
      <c r="J107" s="877"/>
      <c r="K107" s="877"/>
      <c r="L107" s="877"/>
      <c r="M107" s="877"/>
      <c r="N107" s="877"/>
      <c r="O107" s="877"/>
      <c r="P107" s="877"/>
      <c r="Q107" s="877"/>
      <c r="R107" s="877"/>
      <c r="S107" s="878"/>
      <c r="T107" s="232"/>
    </row>
    <row r="108" spans="3:20" ht="15" customHeight="1">
      <c r="D108" s="232"/>
      <c r="E108" s="876"/>
      <c r="F108" s="877"/>
      <c r="G108" s="877"/>
      <c r="H108" s="877"/>
      <c r="I108" s="877"/>
      <c r="J108" s="877"/>
      <c r="K108" s="877"/>
      <c r="L108" s="877"/>
      <c r="M108" s="877"/>
      <c r="N108" s="877"/>
      <c r="O108" s="877"/>
      <c r="P108" s="877"/>
      <c r="Q108" s="877"/>
      <c r="R108" s="877"/>
      <c r="S108" s="878"/>
      <c r="T108" s="232"/>
    </row>
    <row r="109" spans="3:20" ht="15" customHeight="1">
      <c r="D109" s="232"/>
      <c r="E109" s="876"/>
      <c r="F109" s="877"/>
      <c r="G109" s="877"/>
      <c r="H109" s="877"/>
      <c r="I109" s="877"/>
      <c r="J109" s="877"/>
      <c r="K109" s="877"/>
      <c r="L109" s="877"/>
      <c r="M109" s="877"/>
      <c r="N109" s="877"/>
      <c r="O109" s="877"/>
      <c r="P109" s="877"/>
      <c r="Q109" s="877"/>
      <c r="R109" s="877"/>
      <c r="S109" s="878"/>
      <c r="T109" s="232"/>
    </row>
    <row r="110" spans="3:20" ht="15" customHeight="1">
      <c r="D110" s="232"/>
      <c r="E110" s="876"/>
      <c r="F110" s="877"/>
      <c r="G110" s="877"/>
      <c r="H110" s="877"/>
      <c r="I110" s="877"/>
      <c r="J110" s="877"/>
      <c r="K110" s="877"/>
      <c r="L110" s="877"/>
      <c r="M110" s="877"/>
      <c r="N110" s="877"/>
      <c r="O110" s="877"/>
      <c r="P110" s="877"/>
      <c r="Q110" s="877"/>
      <c r="R110" s="877"/>
      <c r="S110" s="878"/>
      <c r="T110" s="232"/>
    </row>
    <row r="111" spans="3:20" ht="15" customHeight="1">
      <c r="D111" s="232"/>
      <c r="E111" s="876"/>
      <c r="F111" s="877"/>
      <c r="G111" s="877"/>
      <c r="H111" s="877"/>
      <c r="I111" s="877"/>
      <c r="J111" s="877"/>
      <c r="K111" s="877"/>
      <c r="L111" s="877"/>
      <c r="M111" s="877"/>
      <c r="N111" s="877"/>
      <c r="O111" s="877"/>
      <c r="P111" s="877"/>
      <c r="Q111" s="877"/>
      <c r="R111" s="877"/>
      <c r="S111" s="878"/>
      <c r="T111" s="232"/>
    </row>
    <row r="112" spans="3:20" ht="15" customHeight="1">
      <c r="D112" s="232"/>
      <c r="E112" s="876"/>
      <c r="F112" s="877"/>
      <c r="G112" s="877"/>
      <c r="H112" s="877"/>
      <c r="I112" s="877"/>
      <c r="J112" s="877"/>
      <c r="K112" s="877"/>
      <c r="L112" s="877"/>
      <c r="M112" s="877"/>
      <c r="N112" s="877"/>
      <c r="O112" s="877"/>
      <c r="P112" s="877"/>
      <c r="Q112" s="877"/>
      <c r="R112" s="877"/>
      <c r="S112" s="878"/>
      <c r="T112" s="232"/>
    </row>
    <row r="113" spans="4:20" ht="15" customHeight="1">
      <c r="D113" s="232"/>
      <c r="E113" s="879"/>
      <c r="F113" s="880"/>
      <c r="G113" s="880"/>
      <c r="H113" s="880"/>
      <c r="I113" s="880"/>
      <c r="J113" s="880"/>
      <c r="K113" s="880"/>
      <c r="L113" s="880"/>
      <c r="M113" s="880"/>
      <c r="N113" s="880"/>
      <c r="O113" s="880"/>
      <c r="P113" s="880"/>
      <c r="Q113" s="880"/>
      <c r="R113" s="880"/>
      <c r="S113" s="881"/>
      <c r="T113" s="232"/>
    </row>
    <row r="114" spans="4:20" ht="15" customHeight="1">
      <c r="E114" s="232"/>
      <c r="F114" s="232"/>
      <c r="G114" s="232"/>
      <c r="H114" s="232"/>
      <c r="I114" s="232"/>
      <c r="J114" s="232"/>
      <c r="K114" s="232"/>
      <c r="L114" s="232"/>
      <c r="M114" s="232"/>
      <c r="N114" s="232"/>
      <c r="O114" s="232"/>
      <c r="P114" s="232"/>
      <c r="Q114" s="232"/>
      <c r="R114" s="232"/>
      <c r="S114" s="232"/>
    </row>
  </sheetData>
  <mergeCells count="31">
    <mergeCell ref="E102:S113"/>
    <mergeCell ref="G88:G93"/>
    <mergeCell ref="E67:S67"/>
    <mergeCell ref="E68:S68"/>
    <mergeCell ref="E69:I69"/>
    <mergeCell ref="F95:I98"/>
    <mergeCell ref="J86:S86"/>
    <mergeCell ref="E88:E93"/>
    <mergeCell ref="F88:F93"/>
    <mergeCell ref="E85:S85"/>
    <mergeCell ref="E94:S94"/>
    <mergeCell ref="C1:S1"/>
    <mergeCell ref="C2:S2"/>
    <mergeCell ref="C3:S3"/>
    <mergeCell ref="C4:S4"/>
    <mergeCell ref="C5:S5"/>
    <mergeCell ref="B37:B42"/>
    <mergeCell ref="B43:B48"/>
    <mergeCell ref="B49:B54"/>
    <mergeCell ref="E77:S77"/>
    <mergeCell ref="E84:S84"/>
    <mergeCell ref="J69:S69"/>
    <mergeCell ref="E71:E76"/>
    <mergeCell ref="F71:F76"/>
    <mergeCell ref="G71:G76"/>
    <mergeCell ref="F78:I81"/>
    <mergeCell ref="B7:B12"/>
    <mergeCell ref="B13:B18"/>
    <mergeCell ref="B19:B24"/>
    <mergeCell ref="B25:B30"/>
    <mergeCell ref="B31:B36"/>
  </mergeCells>
  <phoneticPr fontId="18" type="noConversion"/>
  <pageMargins left="0.7" right="0.7" top="0.75" bottom="0.75" header="0" footer="0"/>
  <pageSetup paperSize="9"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33C0B"/>
  </sheetPr>
  <dimension ref="A1:U83"/>
  <sheetViews>
    <sheetView workbookViewId="0">
      <pane xSplit="2" ySplit="6" topLeftCell="E11" activePane="bottomRight" state="frozen"/>
      <selection pane="bottomRight" activeCell="R22" sqref="R22:R24"/>
      <selection pane="bottomLeft" activeCell="A7" sqref="A7"/>
      <selection pane="topRight" activeCell="C1" sqref="C1"/>
    </sheetView>
  </sheetViews>
  <sheetFormatPr defaultColWidth="14.42578125" defaultRowHeight="15" customHeight="1"/>
  <cols>
    <col min="1" max="1" width="9.140625" customWidth="1"/>
    <col min="2" max="2" width="20.42578125" customWidth="1"/>
    <col min="3" max="3" width="9.140625" style="1" customWidth="1"/>
    <col min="4" max="5" width="24.28515625" customWidth="1"/>
    <col min="6" max="6" width="10.140625" customWidth="1"/>
    <col min="7" max="8" width="9.140625" customWidth="1"/>
    <col min="9" max="9" width="10.140625" customWidth="1"/>
    <col min="10" max="10" width="12" customWidth="1"/>
    <col min="11" max="11" width="11.140625" customWidth="1"/>
    <col min="12" max="12" width="9.140625" customWidth="1"/>
    <col min="13" max="13" width="10.140625" customWidth="1"/>
    <col min="14" max="14" width="11.140625" customWidth="1"/>
    <col min="15" max="15" width="9.140625" customWidth="1"/>
    <col min="16" max="16" width="10.85546875" customWidth="1"/>
    <col min="17" max="17" width="10.7109375" customWidth="1"/>
    <col min="18" max="18" width="19.85546875" bestFit="1" customWidth="1"/>
    <col min="19" max="19" width="11.42578125" bestFit="1" customWidth="1"/>
    <col min="20" max="20" width="14.85546875" bestFit="1" customWidth="1"/>
    <col min="21" max="21" width="12.5703125" customWidth="1"/>
    <col min="22" max="27" width="8.7109375" customWidth="1"/>
  </cols>
  <sheetData>
    <row r="1" spans="1:20">
      <c r="A1" s="60"/>
      <c r="B1" s="168"/>
      <c r="C1" s="892" t="s">
        <v>40</v>
      </c>
      <c r="D1" s="1160"/>
      <c r="E1" s="1160"/>
      <c r="F1" s="1160"/>
      <c r="G1" s="1160"/>
      <c r="H1" s="1160"/>
      <c r="I1" s="1160"/>
      <c r="J1" s="1160"/>
      <c r="K1" s="1160"/>
      <c r="L1" s="1160"/>
      <c r="M1" s="1160"/>
      <c r="N1" s="1160"/>
      <c r="O1" s="1160"/>
      <c r="P1" s="1160"/>
      <c r="Q1" s="1160"/>
      <c r="R1" s="1160"/>
      <c r="S1" s="1160"/>
    </row>
    <row r="2" spans="1:20">
      <c r="A2" s="138"/>
      <c r="B2" s="93"/>
      <c r="C2" s="907" t="s">
        <v>41</v>
      </c>
      <c r="D2" s="1158"/>
      <c r="E2" s="1158"/>
      <c r="F2" s="1158"/>
      <c r="G2" s="1158"/>
      <c r="H2" s="1158"/>
      <c r="I2" s="1158"/>
      <c r="J2" s="1158"/>
      <c r="K2" s="1158"/>
      <c r="L2" s="1158"/>
      <c r="M2" s="1158"/>
      <c r="N2" s="1158"/>
      <c r="O2" s="1158"/>
      <c r="P2" s="1158"/>
      <c r="Q2" s="1158"/>
      <c r="R2" s="1158"/>
      <c r="S2" s="1183"/>
    </row>
    <row r="3" spans="1:20">
      <c r="A3" s="139"/>
      <c r="B3" s="86"/>
      <c r="C3" s="869" t="s">
        <v>42</v>
      </c>
      <c r="D3" s="1159"/>
      <c r="E3" s="1159"/>
      <c r="F3" s="1159"/>
      <c r="G3" s="1159"/>
      <c r="H3" s="1159"/>
      <c r="I3" s="1159"/>
      <c r="J3" s="1159"/>
      <c r="K3" s="1159"/>
      <c r="L3" s="1159"/>
      <c r="M3" s="1159"/>
      <c r="N3" s="1159"/>
      <c r="O3" s="1159"/>
      <c r="P3" s="1159"/>
      <c r="Q3" s="1159"/>
      <c r="R3" s="1159"/>
      <c r="S3" s="1159"/>
    </row>
    <row r="4" spans="1:20">
      <c r="A4" s="140"/>
      <c r="B4" s="141"/>
      <c r="C4" s="870" t="s">
        <v>1004</v>
      </c>
      <c r="D4" s="1160"/>
      <c r="E4" s="1160"/>
      <c r="F4" s="1160"/>
      <c r="G4" s="1160"/>
      <c r="H4" s="1160"/>
      <c r="I4" s="1160"/>
      <c r="J4" s="1160"/>
      <c r="K4" s="1160"/>
      <c r="L4" s="1160"/>
      <c r="M4" s="1160"/>
      <c r="N4" s="1160"/>
      <c r="O4" s="1160"/>
      <c r="P4" s="1160"/>
      <c r="Q4" s="1160"/>
      <c r="R4" s="1160"/>
      <c r="S4" s="1160"/>
    </row>
    <row r="5" spans="1:20">
      <c r="A5" s="2"/>
      <c r="B5" s="142"/>
      <c r="C5" s="871" t="s">
        <v>1005</v>
      </c>
      <c r="D5" s="1159"/>
      <c r="E5" s="1159"/>
      <c r="F5" s="1159"/>
      <c r="G5" s="1159"/>
      <c r="H5" s="1159"/>
      <c r="I5" s="1159"/>
      <c r="J5" s="1159"/>
      <c r="K5" s="1159"/>
      <c r="L5" s="1159"/>
      <c r="M5" s="1159"/>
      <c r="N5" s="1159"/>
      <c r="O5" s="1159"/>
      <c r="P5" s="1159"/>
      <c r="Q5" s="1159"/>
      <c r="R5" s="1159"/>
      <c r="S5" s="1159"/>
    </row>
    <row r="6" spans="1:20">
      <c r="A6" s="113" t="s">
        <v>45</v>
      </c>
      <c r="B6" s="4" t="s">
        <v>46</v>
      </c>
      <c r="C6" s="4" t="s">
        <v>47</v>
      </c>
      <c r="D6" s="4" t="s">
        <v>48</v>
      </c>
      <c r="E6" s="4" t="s">
        <v>49</v>
      </c>
      <c r="F6" s="4" t="s">
        <v>352</v>
      </c>
      <c r="G6" s="4" t="s">
        <v>51</v>
      </c>
      <c r="H6" s="4" t="s">
        <v>52</v>
      </c>
      <c r="I6" s="4" t="s">
        <v>53</v>
      </c>
      <c r="J6" s="4" t="s">
        <v>54</v>
      </c>
      <c r="K6" s="4" t="s">
        <v>55</v>
      </c>
      <c r="L6" s="4" t="s">
        <v>56</v>
      </c>
      <c r="M6" s="4" t="s">
        <v>1006</v>
      </c>
      <c r="N6" s="4" t="s">
        <v>58</v>
      </c>
      <c r="O6" s="4" t="s">
        <v>59</v>
      </c>
      <c r="P6" s="4" t="s">
        <v>60</v>
      </c>
      <c r="Q6" s="4" t="s">
        <v>61</v>
      </c>
      <c r="R6" s="170" t="s">
        <v>62</v>
      </c>
      <c r="S6" s="179" t="s">
        <v>63</v>
      </c>
      <c r="T6" s="253" t="s">
        <v>64</v>
      </c>
    </row>
    <row r="7" spans="1:20">
      <c r="A7" s="39" t="s">
        <v>65</v>
      </c>
      <c r="B7" s="149" t="s">
        <v>66</v>
      </c>
      <c r="C7" s="15">
        <v>1</v>
      </c>
      <c r="D7" s="95" t="s">
        <v>1007</v>
      </c>
      <c r="E7" s="183" t="s">
        <v>1008</v>
      </c>
      <c r="F7" s="162">
        <v>7.1</v>
      </c>
      <c r="G7" s="162">
        <v>5.03</v>
      </c>
      <c r="H7" s="162">
        <v>4.58</v>
      </c>
      <c r="I7" s="162">
        <v>5.15</v>
      </c>
      <c r="J7" s="162">
        <v>4.5999999999999996</v>
      </c>
      <c r="K7" s="162">
        <v>6.31</v>
      </c>
      <c r="L7" s="162">
        <v>6.15</v>
      </c>
      <c r="M7" s="162">
        <v>6.15</v>
      </c>
      <c r="N7" s="162">
        <v>7.05</v>
      </c>
      <c r="O7" s="162">
        <v>6.4</v>
      </c>
      <c r="P7" s="162">
        <v>6.21</v>
      </c>
      <c r="Q7" s="162">
        <v>5.39</v>
      </c>
      <c r="R7" s="48">
        <f t="shared" ref="R7:R21" si="0">IFERROR(AVERAGE(F7:Q7), 0)</f>
        <v>5.8433333333333328</v>
      </c>
      <c r="S7" s="8">
        <v>6</v>
      </c>
      <c r="T7" s="242" t="s">
        <v>1009</v>
      </c>
    </row>
    <row r="8" spans="1:20">
      <c r="A8" s="9"/>
      <c r="B8" s="10" t="s">
        <v>66</v>
      </c>
      <c r="C8" s="11">
        <v>2</v>
      </c>
      <c r="D8" s="185" t="s">
        <v>1010</v>
      </c>
      <c r="E8" s="185" t="s">
        <v>1008</v>
      </c>
      <c r="F8" s="205">
        <v>7.6</v>
      </c>
      <c r="G8" s="205">
        <v>5.0599999999999996</v>
      </c>
      <c r="H8" s="205">
        <v>4.51</v>
      </c>
      <c r="I8" s="205">
        <v>5.18</v>
      </c>
      <c r="J8" s="205">
        <v>4.9000000000000004</v>
      </c>
      <c r="K8" s="205">
        <v>6.09</v>
      </c>
      <c r="L8" s="205">
        <v>6.09</v>
      </c>
      <c r="M8" s="205">
        <v>6.25</v>
      </c>
      <c r="N8" s="205">
        <v>7.1</v>
      </c>
      <c r="O8" s="205">
        <v>6.32</v>
      </c>
      <c r="P8" s="205">
        <v>5.99</v>
      </c>
      <c r="Q8" s="205">
        <v>5.65</v>
      </c>
      <c r="R8" s="35">
        <f t="shared" si="0"/>
        <v>5.8950000000000005</v>
      </c>
      <c r="S8" s="14">
        <v>6</v>
      </c>
      <c r="T8" s="242" t="s">
        <v>1011</v>
      </c>
    </row>
    <row r="9" spans="1:20">
      <c r="A9" s="9"/>
      <c r="B9" s="10" t="s">
        <v>66</v>
      </c>
      <c r="C9" s="11">
        <v>3</v>
      </c>
      <c r="D9" s="185" t="s">
        <v>1012</v>
      </c>
      <c r="E9" s="185" t="s">
        <v>1008</v>
      </c>
      <c r="F9" s="12">
        <v>7.1</v>
      </c>
      <c r="G9" s="12">
        <v>5.0999999999999996</v>
      </c>
      <c r="H9" s="12">
        <v>4.7300000000000004</v>
      </c>
      <c r="I9" s="12">
        <v>5.2</v>
      </c>
      <c r="J9" s="12">
        <v>5.07</v>
      </c>
      <c r="K9" s="12">
        <v>6.01</v>
      </c>
      <c r="L9" s="12">
        <v>6.1</v>
      </c>
      <c r="M9" s="12">
        <v>6.31</v>
      </c>
      <c r="N9" s="12">
        <v>7.01</v>
      </c>
      <c r="O9" s="12">
        <v>6.41</v>
      </c>
      <c r="P9" s="12">
        <v>6.1</v>
      </c>
      <c r="Q9" s="12">
        <v>5.7</v>
      </c>
      <c r="R9" s="35">
        <f t="shared" si="0"/>
        <v>5.9033333333333333</v>
      </c>
      <c r="S9" s="14">
        <v>6</v>
      </c>
      <c r="T9" s="242" t="s">
        <v>1013</v>
      </c>
    </row>
    <row r="10" spans="1:20">
      <c r="A10" s="9"/>
      <c r="B10" s="149" t="s">
        <v>92</v>
      </c>
      <c r="C10" s="15">
        <v>1</v>
      </c>
      <c r="D10" s="95" t="s">
        <v>1007</v>
      </c>
      <c r="E10" s="183" t="s">
        <v>1008</v>
      </c>
      <c r="F10" s="162">
        <v>19</v>
      </c>
      <c r="G10" s="162">
        <v>8</v>
      </c>
      <c r="H10" s="162">
        <v>9</v>
      </c>
      <c r="I10" s="162">
        <v>12</v>
      </c>
      <c r="J10" s="162">
        <v>84</v>
      </c>
      <c r="K10" s="162">
        <v>54</v>
      </c>
      <c r="L10" s="162">
        <v>91</v>
      </c>
      <c r="M10" s="162">
        <v>21</v>
      </c>
      <c r="N10" s="162">
        <v>226</v>
      </c>
      <c r="O10" s="162">
        <v>48</v>
      </c>
      <c r="P10" s="162">
        <v>54</v>
      </c>
      <c r="Q10" s="162">
        <v>21</v>
      </c>
      <c r="R10" s="48">
        <f t="shared" si="0"/>
        <v>53.916666666666664</v>
      </c>
      <c r="S10" s="8">
        <v>50</v>
      </c>
      <c r="T10" s="242" t="s">
        <v>1009</v>
      </c>
    </row>
    <row r="11" spans="1:20">
      <c r="A11" s="9"/>
      <c r="B11" s="10" t="s">
        <v>92</v>
      </c>
      <c r="C11" s="11">
        <v>2</v>
      </c>
      <c r="D11" s="185" t="s">
        <v>1010</v>
      </c>
      <c r="E11" s="185" t="s">
        <v>1008</v>
      </c>
      <c r="F11" s="205">
        <v>14</v>
      </c>
      <c r="G11" s="205">
        <v>10</v>
      </c>
      <c r="H11" s="205">
        <v>25</v>
      </c>
      <c r="I11" s="205">
        <v>12</v>
      </c>
      <c r="J11" s="205">
        <v>86</v>
      </c>
      <c r="K11" s="205">
        <v>39</v>
      </c>
      <c r="L11" s="205">
        <v>77</v>
      </c>
      <c r="M11" s="205">
        <v>27</v>
      </c>
      <c r="N11" s="205">
        <v>80</v>
      </c>
      <c r="O11" s="205">
        <v>12</v>
      </c>
      <c r="P11" s="205">
        <v>57</v>
      </c>
      <c r="Q11" s="205">
        <v>40</v>
      </c>
      <c r="R11" s="35">
        <f t="shared" si="0"/>
        <v>39.916666666666664</v>
      </c>
      <c r="S11" s="14">
        <v>50</v>
      </c>
      <c r="T11" s="242" t="s">
        <v>1011</v>
      </c>
    </row>
    <row r="12" spans="1:20">
      <c r="A12" s="9"/>
      <c r="B12" s="10" t="s">
        <v>92</v>
      </c>
      <c r="C12" s="11">
        <v>3</v>
      </c>
      <c r="D12" s="185" t="s">
        <v>1012</v>
      </c>
      <c r="E12" s="185" t="s">
        <v>1008</v>
      </c>
      <c r="F12" s="12">
        <v>13</v>
      </c>
      <c r="G12" s="12">
        <v>16</v>
      </c>
      <c r="H12" s="12">
        <v>18</v>
      </c>
      <c r="I12" s="12">
        <v>8</v>
      </c>
      <c r="J12" s="12">
        <v>136</v>
      </c>
      <c r="K12" s="12">
        <v>27</v>
      </c>
      <c r="L12" s="12">
        <v>109</v>
      </c>
      <c r="M12" s="12">
        <v>16</v>
      </c>
      <c r="N12" s="12">
        <v>54</v>
      </c>
      <c r="O12" s="12">
        <v>7</v>
      </c>
      <c r="P12" s="12">
        <v>67</v>
      </c>
      <c r="Q12" s="12">
        <v>24</v>
      </c>
      <c r="R12" s="35">
        <f t="shared" si="0"/>
        <v>41.25</v>
      </c>
      <c r="S12" s="14">
        <v>50</v>
      </c>
      <c r="T12" s="242" t="s">
        <v>1013</v>
      </c>
    </row>
    <row r="13" spans="1:20">
      <c r="A13" s="9"/>
      <c r="B13" s="149" t="s">
        <v>7</v>
      </c>
      <c r="C13" s="15">
        <v>1</v>
      </c>
      <c r="D13" s="95" t="s">
        <v>1007</v>
      </c>
      <c r="E13" s="183" t="s">
        <v>1008</v>
      </c>
      <c r="F13" s="162">
        <v>7.12</v>
      </c>
      <c r="G13" s="162">
        <v>7.38</v>
      </c>
      <c r="H13" s="162">
        <v>7.23</v>
      </c>
      <c r="I13" s="162">
        <v>7.05</v>
      </c>
      <c r="J13" s="162">
        <v>7.23</v>
      </c>
      <c r="K13" s="162">
        <v>7.3</v>
      </c>
      <c r="L13" s="162">
        <v>7.38</v>
      </c>
      <c r="M13" s="162">
        <v>7.28</v>
      </c>
      <c r="N13" s="162">
        <v>7.9</v>
      </c>
      <c r="O13" s="162">
        <v>7.85</v>
      </c>
      <c r="P13" s="162">
        <v>7.87</v>
      </c>
      <c r="Q13" s="162">
        <v>7.79</v>
      </c>
      <c r="R13" s="48">
        <f t="shared" si="0"/>
        <v>7.4483333333333341</v>
      </c>
      <c r="S13" s="114" t="s">
        <v>908</v>
      </c>
      <c r="T13" s="242" t="s">
        <v>1009</v>
      </c>
    </row>
    <row r="14" spans="1:20">
      <c r="A14" s="9"/>
      <c r="B14" s="10" t="s">
        <v>7</v>
      </c>
      <c r="C14" s="11">
        <v>2</v>
      </c>
      <c r="D14" s="185" t="s">
        <v>1010</v>
      </c>
      <c r="E14" s="185" t="s">
        <v>1008</v>
      </c>
      <c r="F14" s="205">
        <v>7.1</v>
      </c>
      <c r="G14" s="205">
        <v>7.3</v>
      </c>
      <c r="H14" s="205">
        <v>7.21</v>
      </c>
      <c r="I14" s="205">
        <v>7.11</v>
      </c>
      <c r="J14" s="205">
        <v>7.21</v>
      </c>
      <c r="K14" s="205">
        <v>7.29</v>
      </c>
      <c r="L14" s="205">
        <v>7.29</v>
      </c>
      <c r="M14" s="205">
        <v>7.2</v>
      </c>
      <c r="N14" s="205">
        <v>7.95</v>
      </c>
      <c r="O14" s="205">
        <v>7.89</v>
      </c>
      <c r="P14" s="205">
        <v>7.85</v>
      </c>
      <c r="Q14" s="205">
        <v>7.81</v>
      </c>
      <c r="R14" s="35">
        <f t="shared" si="0"/>
        <v>7.4341666666666661</v>
      </c>
      <c r="S14" s="115" t="s">
        <v>908</v>
      </c>
      <c r="T14" s="242" t="s">
        <v>1011</v>
      </c>
    </row>
    <row r="15" spans="1:20">
      <c r="A15" s="9"/>
      <c r="B15" s="10" t="s">
        <v>7</v>
      </c>
      <c r="C15" s="11">
        <v>3</v>
      </c>
      <c r="D15" s="185" t="s">
        <v>1012</v>
      </c>
      <c r="E15" s="185" t="s">
        <v>1008</v>
      </c>
      <c r="F15" s="12">
        <v>7.13</v>
      </c>
      <c r="G15" s="12">
        <v>7.35</v>
      </c>
      <c r="H15" s="12">
        <v>7.18</v>
      </c>
      <c r="I15" s="12">
        <v>7.09</v>
      </c>
      <c r="J15" s="12">
        <v>7.21</v>
      </c>
      <c r="K15" s="12">
        <v>7.3</v>
      </c>
      <c r="L15" s="12">
        <v>7.31</v>
      </c>
      <c r="M15" s="12">
        <v>7.25</v>
      </c>
      <c r="N15" s="12">
        <v>7.93</v>
      </c>
      <c r="O15" s="12">
        <v>7.85</v>
      </c>
      <c r="P15" s="12">
        <v>7.69</v>
      </c>
      <c r="Q15" s="12">
        <v>7.8</v>
      </c>
      <c r="R15" s="35">
        <f t="shared" si="0"/>
        <v>7.4241666666666655</v>
      </c>
      <c r="S15" s="115" t="s">
        <v>908</v>
      </c>
      <c r="T15" s="242" t="s">
        <v>1013</v>
      </c>
    </row>
    <row r="16" spans="1:20">
      <c r="A16" s="9"/>
      <c r="B16" s="149" t="s">
        <v>108</v>
      </c>
      <c r="C16" s="15">
        <v>1</v>
      </c>
      <c r="D16" s="95" t="s">
        <v>1007</v>
      </c>
      <c r="E16" s="183" t="s">
        <v>1008</v>
      </c>
      <c r="F16" s="162">
        <v>26.5</v>
      </c>
      <c r="G16" s="162">
        <v>26.7</v>
      </c>
      <c r="H16" s="162">
        <v>28.7</v>
      </c>
      <c r="I16" s="162">
        <v>30.1</v>
      </c>
      <c r="J16" s="162">
        <v>31</v>
      </c>
      <c r="K16" s="162">
        <v>27.1</v>
      </c>
      <c r="L16" s="162">
        <v>26.7</v>
      </c>
      <c r="M16" s="162">
        <v>30</v>
      </c>
      <c r="N16" s="162">
        <v>29</v>
      </c>
      <c r="O16" s="162">
        <v>30</v>
      </c>
      <c r="P16" s="162">
        <v>29.9</v>
      </c>
      <c r="Q16" s="162">
        <v>29.8</v>
      </c>
      <c r="R16" s="48">
        <f t="shared" si="0"/>
        <v>28.791666666666661</v>
      </c>
      <c r="S16" s="17" t="s">
        <v>777</v>
      </c>
      <c r="T16" s="242" t="s">
        <v>1009</v>
      </c>
    </row>
    <row r="17" spans="1:20">
      <c r="A17" s="9"/>
      <c r="B17" s="10" t="s">
        <v>108</v>
      </c>
      <c r="C17" s="11">
        <v>2</v>
      </c>
      <c r="D17" s="185" t="s">
        <v>1010</v>
      </c>
      <c r="E17" s="185" t="s">
        <v>1008</v>
      </c>
      <c r="F17" s="205">
        <v>26.5</v>
      </c>
      <c r="G17" s="205">
        <v>25.9</v>
      </c>
      <c r="H17" s="205">
        <v>28.6</v>
      </c>
      <c r="I17" s="205">
        <v>30.2</v>
      </c>
      <c r="J17" s="205">
        <v>31</v>
      </c>
      <c r="K17" s="205">
        <v>27.1</v>
      </c>
      <c r="L17" s="205">
        <v>27</v>
      </c>
      <c r="M17" s="205">
        <v>30.1</v>
      </c>
      <c r="N17" s="205">
        <v>29.2</v>
      </c>
      <c r="O17" s="205">
        <v>30</v>
      </c>
      <c r="P17" s="205">
        <v>30</v>
      </c>
      <c r="Q17" s="205">
        <v>29.7</v>
      </c>
      <c r="R17" s="35">
        <f t="shared" si="0"/>
        <v>28.774999999999995</v>
      </c>
      <c r="S17" s="18" t="s">
        <v>777</v>
      </c>
      <c r="T17" s="242" t="s">
        <v>1011</v>
      </c>
    </row>
    <row r="18" spans="1:20">
      <c r="A18" s="9"/>
      <c r="B18" s="10" t="s">
        <v>108</v>
      </c>
      <c r="C18" s="11">
        <v>3</v>
      </c>
      <c r="D18" s="185" t="s">
        <v>1012</v>
      </c>
      <c r="E18" s="185" t="s">
        <v>1008</v>
      </c>
      <c r="F18" s="12">
        <v>26.6</v>
      </c>
      <c r="G18" s="12">
        <v>26.1</v>
      </c>
      <c r="H18" s="12">
        <v>28.7</v>
      </c>
      <c r="I18" s="12">
        <v>30.8</v>
      </c>
      <c r="J18" s="12">
        <v>31.1</v>
      </c>
      <c r="K18" s="12">
        <v>27.2</v>
      </c>
      <c r="L18" s="12">
        <v>27.1</v>
      </c>
      <c r="M18" s="12">
        <v>30.1</v>
      </c>
      <c r="N18" s="12">
        <v>29.2</v>
      </c>
      <c r="O18" s="12">
        <v>30</v>
      </c>
      <c r="P18" s="12">
        <v>30</v>
      </c>
      <c r="Q18" s="12">
        <v>29.7</v>
      </c>
      <c r="R18" s="35">
        <f t="shared" si="0"/>
        <v>28.883333333333329</v>
      </c>
      <c r="S18" s="18" t="s">
        <v>777</v>
      </c>
      <c r="T18" s="242" t="s">
        <v>1013</v>
      </c>
    </row>
    <row r="19" spans="1:20">
      <c r="A19" s="9"/>
      <c r="B19" s="149" t="s">
        <v>110</v>
      </c>
      <c r="C19" s="15">
        <v>1</v>
      </c>
      <c r="D19" s="95" t="s">
        <v>1007</v>
      </c>
      <c r="E19" s="183" t="s">
        <v>1008</v>
      </c>
      <c r="F19" s="162">
        <v>5</v>
      </c>
      <c r="G19" s="162">
        <v>5</v>
      </c>
      <c r="H19" s="162">
        <v>5</v>
      </c>
      <c r="I19" s="162">
        <v>5</v>
      </c>
      <c r="J19" s="162">
        <v>5</v>
      </c>
      <c r="K19" s="162">
        <v>5</v>
      </c>
      <c r="L19" s="162">
        <v>5</v>
      </c>
      <c r="M19" s="162">
        <v>5</v>
      </c>
      <c r="N19" s="162">
        <v>5</v>
      </c>
      <c r="O19" s="162">
        <v>5</v>
      </c>
      <c r="P19" s="162">
        <v>5</v>
      </c>
      <c r="Q19" s="162">
        <v>5</v>
      </c>
      <c r="R19" s="48">
        <f t="shared" si="0"/>
        <v>5</v>
      </c>
      <c r="S19" s="116">
        <v>50</v>
      </c>
      <c r="T19" s="242" t="s">
        <v>1009</v>
      </c>
    </row>
    <row r="20" spans="1:20">
      <c r="A20" s="9"/>
      <c r="B20" s="10" t="s">
        <v>110</v>
      </c>
      <c r="C20" s="11">
        <v>2</v>
      </c>
      <c r="D20" s="185" t="s">
        <v>1010</v>
      </c>
      <c r="E20" s="185" t="s">
        <v>1008</v>
      </c>
      <c r="F20" s="205">
        <v>5</v>
      </c>
      <c r="G20" s="205">
        <v>5</v>
      </c>
      <c r="H20" s="205">
        <v>5</v>
      </c>
      <c r="I20" s="205">
        <v>5</v>
      </c>
      <c r="J20" s="205">
        <v>5</v>
      </c>
      <c r="K20" s="205">
        <v>5</v>
      </c>
      <c r="L20" s="205">
        <v>5</v>
      </c>
      <c r="M20" s="205">
        <v>5</v>
      </c>
      <c r="N20" s="205">
        <v>5</v>
      </c>
      <c r="O20" s="205">
        <v>5</v>
      </c>
      <c r="P20" s="205">
        <v>5</v>
      </c>
      <c r="Q20" s="205">
        <v>5</v>
      </c>
      <c r="R20" s="35">
        <f t="shared" si="0"/>
        <v>5</v>
      </c>
      <c r="S20" s="117">
        <v>50</v>
      </c>
      <c r="T20" s="242" t="s">
        <v>1011</v>
      </c>
    </row>
    <row r="21" spans="1:20" ht="15.75" customHeight="1">
      <c r="A21" s="9"/>
      <c r="B21" s="10" t="s">
        <v>110</v>
      </c>
      <c r="C21" s="11">
        <v>3</v>
      </c>
      <c r="D21" s="185" t="s">
        <v>1012</v>
      </c>
      <c r="E21" s="185" t="s">
        <v>1008</v>
      </c>
      <c r="F21" s="12">
        <v>5</v>
      </c>
      <c r="G21" s="12">
        <v>5</v>
      </c>
      <c r="H21" s="12">
        <v>5</v>
      </c>
      <c r="I21" s="12">
        <v>5</v>
      </c>
      <c r="J21" s="12">
        <v>5</v>
      </c>
      <c r="K21" s="12">
        <v>5</v>
      </c>
      <c r="L21" s="12">
        <v>5</v>
      </c>
      <c r="M21" s="12">
        <v>5</v>
      </c>
      <c r="N21" s="12">
        <v>5</v>
      </c>
      <c r="O21" s="12">
        <v>5</v>
      </c>
      <c r="P21" s="12">
        <v>10</v>
      </c>
      <c r="Q21" s="12">
        <v>5</v>
      </c>
      <c r="R21" s="35">
        <f t="shared" si="0"/>
        <v>5.416666666666667</v>
      </c>
      <c r="S21" s="117">
        <v>50</v>
      </c>
      <c r="T21" s="242" t="s">
        <v>1013</v>
      </c>
    </row>
    <row r="22" spans="1:20" ht="24.75" customHeight="1">
      <c r="A22" s="9"/>
      <c r="B22" s="149" t="s">
        <v>111</v>
      </c>
      <c r="C22" s="15">
        <v>1</v>
      </c>
      <c r="D22" s="95" t="s">
        <v>1007</v>
      </c>
      <c r="E22" s="183" t="s">
        <v>1008</v>
      </c>
      <c r="F22" s="162">
        <v>13</v>
      </c>
      <c r="G22" s="162">
        <v>1.8</v>
      </c>
      <c r="H22" s="162">
        <v>1600</v>
      </c>
      <c r="I22" s="162">
        <v>13</v>
      </c>
      <c r="J22" s="162">
        <v>33</v>
      </c>
      <c r="K22" s="162">
        <v>79</v>
      </c>
      <c r="L22" s="162">
        <v>1400</v>
      </c>
      <c r="M22" s="162">
        <v>23</v>
      </c>
      <c r="N22" s="162">
        <v>49</v>
      </c>
      <c r="O22" s="162">
        <v>79</v>
      </c>
      <c r="P22" s="162">
        <v>170</v>
      </c>
      <c r="Q22" s="162">
        <v>4.5</v>
      </c>
      <c r="R22" s="48">
        <f>IFERROR(GEOMEAN(F22:Q22), "")</f>
        <v>47.158870177414229</v>
      </c>
      <c r="S22" s="8">
        <v>100</v>
      </c>
      <c r="T22" s="242" t="s">
        <v>1009</v>
      </c>
    </row>
    <row r="23" spans="1:20" ht="15.75" customHeight="1">
      <c r="A23" s="9"/>
      <c r="B23" s="10" t="s">
        <v>111</v>
      </c>
      <c r="C23" s="11">
        <v>2</v>
      </c>
      <c r="D23" s="185" t="s">
        <v>1010</v>
      </c>
      <c r="E23" s="185" t="s">
        <v>1008</v>
      </c>
      <c r="F23" s="205">
        <v>7.8</v>
      </c>
      <c r="G23" s="205">
        <v>2</v>
      </c>
      <c r="H23" s="205">
        <v>110</v>
      </c>
      <c r="I23" s="205">
        <v>7.8</v>
      </c>
      <c r="J23" s="205">
        <v>920</v>
      </c>
      <c r="K23" s="205">
        <v>21</v>
      </c>
      <c r="L23" s="205">
        <v>9200</v>
      </c>
      <c r="M23" s="205">
        <v>240</v>
      </c>
      <c r="N23" s="205">
        <v>540</v>
      </c>
      <c r="O23" s="205">
        <v>350</v>
      </c>
      <c r="P23" s="205">
        <v>130</v>
      </c>
      <c r="Q23" s="205">
        <v>40</v>
      </c>
      <c r="R23" s="35">
        <f>IFERROR(GEOMEAN(F23:Q23), "")</f>
        <v>95.299422472460918</v>
      </c>
      <c r="S23" s="14">
        <v>100</v>
      </c>
      <c r="T23" s="242" t="s">
        <v>1011</v>
      </c>
    </row>
    <row r="24" spans="1:20" ht="15.75" customHeight="1">
      <c r="A24" s="9"/>
      <c r="B24" s="10" t="s">
        <v>111</v>
      </c>
      <c r="C24" s="11">
        <v>3</v>
      </c>
      <c r="D24" s="185" t="s">
        <v>1012</v>
      </c>
      <c r="E24" s="185" t="s">
        <v>1008</v>
      </c>
      <c r="F24" s="12">
        <v>14</v>
      </c>
      <c r="G24" s="12">
        <v>2</v>
      </c>
      <c r="H24" s="12">
        <v>130</v>
      </c>
      <c r="I24" s="12">
        <v>17</v>
      </c>
      <c r="J24" s="12">
        <v>240</v>
      </c>
      <c r="K24" s="12">
        <v>22</v>
      </c>
      <c r="L24" s="12">
        <v>1700</v>
      </c>
      <c r="M24" s="12">
        <v>79</v>
      </c>
      <c r="N24" s="12">
        <v>130</v>
      </c>
      <c r="O24" s="12">
        <v>49</v>
      </c>
      <c r="P24" s="12">
        <v>110</v>
      </c>
      <c r="Q24" s="12">
        <v>240</v>
      </c>
      <c r="R24" s="35">
        <f>IFERROR(GEOMEAN(F24:Q24), "")</f>
        <v>66.425316636821492</v>
      </c>
      <c r="S24" s="14">
        <v>10</v>
      </c>
      <c r="T24" s="242" t="s">
        <v>1013</v>
      </c>
    </row>
    <row r="25" spans="1:20" ht="15.75" customHeight="1">
      <c r="A25" s="20"/>
      <c r="B25" s="151" t="s">
        <v>113</v>
      </c>
      <c r="C25" s="15">
        <v>1</v>
      </c>
      <c r="D25" s="96" t="s">
        <v>1007</v>
      </c>
      <c r="E25" s="183" t="s">
        <v>1008</v>
      </c>
      <c r="F25" s="165">
        <v>4.8000000000000001E-2</v>
      </c>
      <c r="G25" s="165">
        <v>0.156</v>
      </c>
      <c r="H25" s="165">
        <v>8.7999999999999995E-2</v>
      </c>
      <c r="I25" s="165">
        <v>4.2999999999999997E-2</v>
      </c>
      <c r="J25" s="165">
        <v>4.2999999999999997E-2</v>
      </c>
      <c r="K25" s="165">
        <v>4.2999999999999997E-2</v>
      </c>
      <c r="L25" s="165">
        <v>0.621</v>
      </c>
      <c r="M25" s="165">
        <v>4.2999999999999997E-2</v>
      </c>
      <c r="N25" s="165">
        <v>8.8999999999999996E-2</v>
      </c>
      <c r="O25" s="165">
        <v>0.18099999999999999</v>
      </c>
      <c r="P25" s="165">
        <v>4.2999999999999997E-2</v>
      </c>
      <c r="Q25" s="165">
        <v>7.0999999999999994E-2</v>
      </c>
      <c r="R25" s="23">
        <f t="shared" ref="R25:R30" si="1">IFERROR(AVERAGE(F25:Q25), 0)</f>
        <v>0.12241666666666666</v>
      </c>
      <c r="S25" s="23">
        <v>10</v>
      </c>
      <c r="T25" s="242" t="s">
        <v>1009</v>
      </c>
    </row>
    <row r="26" spans="1:20" ht="15.75" customHeight="1">
      <c r="A26" s="20"/>
      <c r="B26" s="84" t="s">
        <v>114</v>
      </c>
      <c r="C26" s="11">
        <v>2</v>
      </c>
      <c r="D26" s="186" t="s">
        <v>1010</v>
      </c>
      <c r="E26" s="185" t="s">
        <v>1008</v>
      </c>
      <c r="F26" s="206">
        <v>4.8000000000000001E-2</v>
      </c>
      <c r="G26" s="206">
        <v>6.6000000000000003E-2</v>
      </c>
      <c r="H26" s="206">
        <v>0.313</v>
      </c>
      <c r="I26" s="206">
        <v>4.2999999999999997E-2</v>
      </c>
      <c r="J26" s="206">
        <v>0.127</v>
      </c>
      <c r="K26" s="206">
        <v>9.7000000000000003E-2</v>
      </c>
      <c r="L26" s="206">
        <v>0.49099999999999999</v>
      </c>
      <c r="M26" s="206">
        <v>2.5000000000000001E-2</v>
      </c>
      <c r="N26" s="206">
        <v>6.9000000000000006E-2</v>
      </c>
      <c r="O26" s="206">
        <v>0.26500000000000001</v>
      </c>
      <c r="P26" s="206">
        <v>4.2999999999999997E-2</v>
      </c>
      <c r="Q26" s="206">
        <v>8.6999999999999994E-2</v>
      </c>
      <c r="R26" s="28">
        <f t="shared" si="1"/>
        <v>0.13949999999999999</v>
      </c>
      <c r="S26" s="28">
        <v>10</v>
      </c>
      <c r="T26" s="242" t="s">
        <v>1011</v>
      </c>
    </row>
    <row r="27" spans="1:20" ht="15.75" customHeight="1">
      <c r="A27" s="20"/>
      <c r="B27" s="84" t="s">
        <v>114</v>
      </c>
      <c r="C27" s="11">
        <v>3</v>
      </c>
      <c r="D27" s="186" t="s">
        <v>1012</v>
      </c>
      <c r="E27" s="185" t="s">
        <v>1008</v>
      </c>
      <c r="F27" s="26">
        <v>4.8000000000000001E-2</v>
      </c>
      <c r="G27" s="26">
        <v>0.104</v>
      </c>
      <c r="H27" s="26">
        <v>8.4000000000000005E-2</v>
      </c>
      <c r="I27" s="26">
        <v>4.2999999999999997E-2</v>
      </c>
      <c r="J27" s="26">
        <v>9.6000000000000002E-2</v>
      </c>
      <c r="K27" s="26">
        <v>4.2999999999999997E-2</v>
      </c>
      <c r="L27" s="26">
        <v>0.504</v>
      </c>
      <c r="M27" s="26">
        <v>5.8000000000000003E-2</v>
      </c>
      <c r="N27" s="26">
        <v>4.2999999999999997E-2</v>
      </c>
      <c r="O27" s="26">
        <v>0.115</v>
      </c>
      <c r="P27" s="26">
        <v>4.2999999999999997E-2</v>
      </c>
      <c r="Q27" s="26">
        <v>0.126</v>
      </c>
      <c r="R27" s="28">
        <f t="shared" si="1"/>
        <v>0.10891666666666666</v>
      </c>
      <c r="S27" s="28">
        <v>10</v>
      </c>
      <c r="T27" s="242" t="s">
        <v>1013</v>
      </c>
    </row>
    <row r="28" spans="1:20" ht="15.75" customHeight="1">
      <c r="A28" s="20"/>
      <c r="B28" s="151" t="s">
        <v>115</v>
      </c>
      <c r="C28" s="15">
        <v>1</v>
      </c>
      <c r="D28" s="96" t="s">
        <v>1007</v>
      </c>
      <c r="E28" s="183" t="s">
        <v>1008</v>
      </c>
      <c r="F28" s="165">
        <v>1.4999999999999999E-2</v>
      </c>
      <c r="G28" s="165">
        <v>3.5999999999999997E-2</v>
      </c>
      <c r="H28" s="165">
        <v>3.3000000000000002E-2</v>
      </c>
      <c r="I28" s="165">
        <v>1.0999999999999999E-2</v>
      </c>
      <c r="J28" s="165">
        <v>1.2999999999999999E-2</v>
      </c>
      <c r="K28" s="165">
        <v>1.0999999999999999E-2</v>
      </c>
      <c r="L28" s="165">
        <v>0.03</v>
      </c>
      <c r="M28" s="165">
        <v>0.03</v>
      </c>
      <c r="N28" s="165">
        <v>3.3000000000000002E-2</v>
      </c>
      <c r="O28" s="165">
        <v>4.8000000000000001E-2</v>
      </c>
      <c r="P28" s="165">
        <v>1.2E-2</v>
      </c>
      <c r="Q28" s="165">
        <v>4.2000000000000003E-2</v>
      </c>
      <c r="R28" s="23">
        <f t="shared" si="1"/>
        <v>2.6166666666666661E-2</v>
      </c>
      <c r="S28" s="23">
        <v>0.2</v>
      </c>
      <c r="T28" s="242" t="s">
        <v>1009</v>
      </c>
    </row>
    <row r="29" spans="1:20" ht="15.75" customHeight="1">
      <c r="A29" s="20"/>
      <c r="B29" s="84" t="s">
        <v>116</v>
      </c>
      <c r="C29" s="11">
        <v>2</v>
      </c>
      <c r="D29" s="186" t="s">
        <v>1010</v>
      </c>
      <c r="E29" s="185" t="s">
        <v>1008</v>
      </c>
      <c r="F29" s="206">
        <v>1.0999999999999999E-2</v>
      </c>
      <c r="G29" s="206">
        <v>1.0999999999999999E-2</v>
      </c>
      <c r="H29" s="206">
        <v>2.4E-2</v>
      </c>
      <c r="I29" s="206">
        <v>1.0999999999999999E-2</v>
      </c>
      <c r="J29" s="206">
        <v>2.5000000000000001E-2</v>
      </c>
      <c r="K29" s="206">
        <v>1.0999999999999999E-2</v>
      </c>
      <c r="L29" s="206">
        <v>3.3000000000000002E-2</v>
      </c>
      <c r="M29" s="206">
        <v>2.5000000000000001E-2</v>
      </c>
      <c r="N29" s="206">
        <v>3.1E-2</v>
      </c>
      <c r="O29" s="206">
        <v>2.7E-2</v>
      </c>
      <c r="P29" s="206">
        <v>1.0999999999999999E-2</v>
      </c>
      <c r="Q29" s="206">
        <v>1.9E-2</v>
      </c>
      <c r="R29" s="28">
        <f t="shared" si="1"/>
        <v>1.9916666666666666E-2</v>
      </c>
      <c r="S29" s="28">
        <v>0.2</v>
      </c>
      <c r="T29" s="242" t="s">
        <v>1011</v>
      </c>
    </row>
    <row r="30" spans="1:20" ht="15.75" customHeight="1">
      <c r="A30" s="20"/>
      <c r="B30" s="84" t="s">
        <v>116</v>
      </c>
      <c r="C30" s="11">
        <v>3</v>
      </c>
      <c r="D30" s="186" t="s">
        <v>1012</v>
      </c>
      <c r="E30" s="185" t="s">
        <v>1008</v>
      </c>
      <c r="F30" s="26">
        <v>1.7000000000000001E-2</v>
      </c>
      <c r="G30" s="26">
        <v>1.7999999999999999E-2</v>
      </c>
      <c r="H30" s="26">
        <v>5.7000000000000002E-2</v>
      </c>
      <c r="I30" s="26">
        <v>1.0999999999999999E-2</v>
      </c>
      <c r="J30" s="26">
        <v>2.7E-2</v>
      </c>
      <c r="K30" s="26">
        <v>1.4999999999999999E-2</v>
      </c>
      <c r="L30" s="26">
        <v>2.8000000000000001E-2</v>
      </c>
      <c r="M30" s="26">
        <v>0.04</v>
      </c>
      <c r="N30" s="26">
        <v>5.8999999999999997E-2</v>
      </c>
      <c r="O30" s="26">
        <v>2.7E-2</v>
      </c>
      <c r="P30" s="26">
        <v>1.2E-2</v>
      </c>
      <c r="Q30" s="26">
        <v>5.7000000000000002E-2</v>
      </c>
      <c r="R30" s="28">
        <f t="shared" si="1"/>
        <v>3.0666666666666672E-2</v>
      </c>
      <c r="S30" s="28">
        <v>0.2</v>
      </c>
      <c r="T30" s="242" t="s">
        <v>1013</v>
      </c>
    </row>
    <row r="31" spans="1:20" ht="45" customHeight="1">
      <c r="A31" s="20"/>
      <c r="B31" s="151" t="s">
        <v>314</v>
      </c>
      <c r="C31" s="15">
        <v>1</v>
      </c>
      <c r="D31" s="96" t="s">
        <v>1007</v>
      </c>
      <c r="E31" s="183" t="s">
        <v>1008</v>
      </c>
      <c r="F31" s="229" t="s">
        <v>1014</v>
      </c>
      <c r="G31" s="229" t="s">
        <v>1015</v>
      </c>
      <c r="H31" s="229" t="s">
        <v>962</v>
      </c>
      <c r="I31" s="229" t="s">
        <v>966</v>
      </c>
      <c r="J31" s="229" t="s">
        <v>1016</v>
      </c>
      <c r="K31" s="229" t="s">
        <v>1015</v>
      </c>
      <c r="L31" s="229" t="s">
        <v>1017</v>
      </c>
      <c r="M31" s="229" t="s">
        <v>1018</v>
      </c>
      <c r="N31" s="229" t="s">
        <v>1019</v>
      </c>
      <c r="O31" s="229" t="s">
        <v>1020</v>
      </c>
      <c r="P31" s="229" t="s">
        <v>1021</v>
      </c>
      <c r="Q31" s="229" t="s">
        <v>1022</v>
      </c>
      <c r="R31" s="1"/>
      <c r="S31" s="1"/>
      <c r="T31" s="242" t="s">
        <v>1009</v>
      </c>
    </row>
    <row r="32" spans="1:20" ht="42" customHeight="1">
      <c r="A32" s="20"/>
      <c r="B32" s="84" t="s">
        <v>116</v>
      </c>
      <c r="C32" s="11">
        <v>2</v>
      </c>
      <c r="D32" s="186" t="s">
        <v>1010</v>
      </c>
      <c r="E32" s="185" t="s">
        <v>1008</v>
      </c>
      <c r="F32" s="238" t="s">
        <v>1023</v>
      </c>
      <c r="G32" s="239" t="s">
        <v>1024</v>
      </c>
      <c r="H32" s="239" t="s">
        <v>1025</v>
      </c>
      <c r="I32" s="238" t="s">
        <v>966</v>
      </c>
      <c r="J32" s="238" t="s">
        <v>1016</v>
      </c>
      <c r="K32" s="238" t="s">
        <v>1015</v>
      </c>
      <c r="L32" s="238" t="s">
        <v>1026</v>
      </c>
      <c r="M32" s="238" t="s">
        <v>1018</v>
      </c>
      <c r="N32" s="238" t="s">
        <v>1027</v>
      </c>
      <c r="O32" s="238" t="s">
        <v>1028</v>
      </c>
      <c r="P32" s="238" t="s">
        <v>1029</v>
      </c>
      <c r="Q32" s="681" t="s">
        <v>1022</v>
      </c>
      <c r="R32" s="1"/>
      <c r="S32" s="1"/>
      <c r="T32" s="242" t="s">
        <v>1011</v>
      </c>
    </row>
    <row r="33" spans="1:21" ht="54" customHeight="1">
      <c r="A33" s="20"/>
      <c r="B33" s="84" t="s">
        <v>116</v>
      </c>
      <c r="C33" s="11">
        <v>3</v>
      </c>
      <c r="D33" s="186" t="s">
        <v>1012</v>
      </c>
      <c r="E33" s="185" t="s">
        <v>1008</v>
      </c>
      <c r="F33" s="230" t="s">
        <v>1023</v>
      </c>
      <c r="G33" s="230" t="s">
        <v>1024</v>
      </c>
      <c r="H33" s="230" t="s">
        <v>962</v>
      </c>
      <c r="I33" s="230" t="s">
        <v>966</v>
      </c>
      <c r="J33" s="230" t="s">
        <v>1016</v>
      </c>
      <c r="K33" s="230" t="s">
        <v>1015</v>
      </c>
      <c r="L33" s="230" t="s">
        <v>1026</v>
      </c>
      <c r="M33" s="230" t="s">
        <v>1018</v>
      </c>
      <c r="N33" s="230" t="s">
        <v>1019</v>
      </c>
      <c r="O33" s="230" t="s">
        <v>1028</v>
      </c>
      <c r="P33" s="230" t="s">
        <v>1029</v>
      </c>
      <c r="Q33" s="681" t="s">
        <v>1022</v>
      </c>
      <c r="R33" s="1"/>
      <c r="S33" s="1"/>
      <c r="T33" s="242" t="s">
        <v>1013</v>
      </c>
    </row>
    <row r="34" spans="1:21" ht="15.75" customHeight="1">
      <c r="A34" s="1"/>
      <c r="B34" s="1"/>
      <c r="C34" s="1" t="s">
        <v>949</v>
      </c>
      <c r="D34" s="14" t="s">
        <v>173</v>
      </c>
      <c r="E34" s="14"/>
      <c r="F34" s="14">
        <v>15</v>
      </c>
      <c r="G34" s="14">
        <v>10</v>
      </c>
      <c r="H34" s="14">
        <v>10</v>
      </c>
      <c r="I34" s="14">
        <v>21</v>
      </c>
      <c r="J34" s="14">
        <v>26</v>
      </c>
      <c r="K34" s="14">
        <v>23</v>
      </c>
      <c r="L34" s="14">
        <v>21</v>
      </c>
      <c r="M34" s="14">
        <v>11</v>
      </c>
      <c r="N34" s="14">
        <v>10</v>
      </c>
      <c r="O34" s="14">
        <v>20</v>
      </c>
      <c r="P34" s="14">
        <v>17</v>
      </c>
      <c r="Q34" s="14">
        <v>2</v>
      </c>
      <c r="R34" s="1"/>
      <c r="S34" s="1"/>
    </row>
    <row r="35" spans="1:21" ht="15.75" customHeight="1">
      <c r="A35" s="1"/>
      <c r="B35" s="1"/>
      <c r="D35" s="1"/>
      <c r="E35" s="1"/>
      <c r="F35" s="1"/>
      <c r="G35" s="1"/>
      <c r="H35" s="1"/>
      <c r="I35" s="1"/>
      <c r="J35" s="1"/>
      <c r="K35" s="1"/>
      <c r="L35" s="1"/>
      <c r="M35" s="1"/>
      <c r="N35" s="1"/>
      <c r="O35" s="1"/>
      <c r="P35" s="1"/>
      <c r="Q35" s="1"/>
      <c r="R35" s="1"/>
      <c r="S35" s="1"/>
    </row>
    <row r="36" spans="1:21" ht="15.75" customHeight="1">
      <c r="A36" s="1"/>
      <c r="B36" s="1"/>
    </row>
    <row r="37" spans="1:21" ht="15.75" customHeight="1">
      <c r="A37" s="1"/>
      <c r="B37" s="1"/>
      <c r="G37" s="889" t="s">
        <v>70</v>
      </c>
      <c r="H37" s="1177"/>
      <c r="I37" s="1177"/>
      <c r="J37" s="1177"/>
      <c r="K37" s="1177"/>
      <c r="L37" s="1177"/>
      <c r="M37" s="1177"/>
      <c r="N37" s="1177"/>
      <c r="O37" s="1177"/>
      <c r="P37" s="1177"/>
      <c r="Q37" s="1177"/>
      <c r="R37" s="1177"/>
      <c r="S37" s="1177"/>
      <c r="T37" s="1177"/>
      <c r="U37" s="1178"/>
    </row>
    <row r="38" spans="1:21" ht="15.75" customHeight="1">
      <c r="A38" s="1"/>
      <c r="B38" s="1"/>
      <c r="G38" s="889" t="s">
        <v>74</v>
      </c>
      <c r="H38" s="890"/>
      <c r="I38" s="890"/>
      <c r="J38" s="890"/>
      <c r="K38" s="890"/>
      <c r="L38" s="890"/>
      <c r="M38" s="890"/>
      <c r="N38" s="890"/>
      <c r="O38" s="890"/>
      <c r="P38" s="890"/>
      <c r="Q38" s="890"/>
      <c r="R38" s="890"/>
      <c r="S38" s="890"/>
      <c r="T38" s="890"/>
      <c r="U38" s="891"/>
    </row>
    <row r="39" spans="1:21" ht="15.75" customHeight="1">
      <c r="A39" s="1"/>
      <c r="B39" s="1"/>
      <c r="G39" s="148"/>
      <c r="H39" s="468"/>
      <c r="I39" s="468"/>
      <c r="J39" s="468"/>
      <c r="K39" s="469"/>
      <c r="L39" s="461" t="s">
        <v>78</v>
      </c>
      <c r="M39" s="468"/>
      <c r="N39" s="468"/>
      <c r="O39" s="468"/>
      <c r="P39" s="468"/>
      <c r="Q39" s="468"/>
      <c r="R39" s="468"/>
      <c r="S39" s="468"/>
      <c r="T39" s="468"/>
      <c r="U39" s="469"/>
    </row>
    <row r="40" spans="1:21" ht="15.75" customHeight="1">
      <c r="A40" s="1"/>
      <c r="B40" s="1"/>
      <c r="G40" s="14" t="s">
        <v>82</v>
      </c>
      <c r="H40" s="14" t="s">
        <v>83</v>
      </c>
      <c r="I40" s="14" t="s">
        <v>84</v>
      </c>
      <c r="J40" s="14" t="s">
        <v>85</v>
      </c>
      <c r="K40" s="14" t="s">
        <v>86</v>
      </c>
      <c r="L40" s="14" t="s">
        <v>4</v>
      </c>
      <c r="M40" s="14" t="s">
        <v>5</v>
      </c>
      <c r="N40" s="14" t="s">
        <v>6</v>
      </c>
      <c r="O40" s="14" t="s">
        <v>7</v>
      </c>
      <c r="P40" s="14" t="s">
        <v>8</v>
      </c>
      <c r="Q40" s="14" t="s">
        <v>9</v>
      </c>
      <c r="R40" s="14" t="s">
        <v>10</v>
      </c>
      <c r="S40" s="14" t="s">
        <v>11</v>
      </c>
      <c r="T40" s="14" t="s">
        <v>12</v>
      </c>
      <c r="U40" s="14" t="s">
        <v>13</v>
      </c>
    </row>
    <row r="41" spans="1:21" ht="31.5" customHeight="1">
      <c r="A41" s="1"/>
      <c r="B41" s="1"/>
      <c r="G41" s="281" t="s">
        <v>1030</v>
      </c>
      <c r="H41" s="281" t="s">
        <v>1004</v>
      </c>
      <c r="I41" s="462" t="s">
        <v>29</v>
      </c>
      <c r="J41" s="32">
        <v>1</v>
      </c>
      <c r="K41" s="65" t="s">
        <v>830</v>
      </c>
      <c r="L41" s="33">
        <f>AVERAGE(F7:K7)</f>
        <v>5.4616666666666669</v>
      </c>
      <c r="M41" s="14" t="s">
        <v>905</v>
      </c>
      <c r="N41" s="33">
        <f>AVERAGE(F10:K10)</f>
        <v>31</v>
      </c>
      <c r="O41" s="33">
        <f>AVERAGE(F13:K13)</f>
        <v>7.2183333333333337</v>
      </c>
      <c r="P41" s="33">
        <f>AVERAGE(F16:K16)</f>
        <v>28.349999999999998</v>
      </c>
      <c r="Q41" s="33">
        <f>AVERAGE(F19:K19)</f>
        <v>5</v>
      </c>
      <c r="R41" s="33">
        <f>GEOMEAN(F22:K22)</f>
        <v>32.903091403780387</v>
      </c>
      <c r="S41" s="34">
        <f>AVERAGE(F25:K25)</f>
        <v>7.0166666666666669E-2</v>
      </c>
      <c r="T41" s="34">
        <f>AVERAGE(F28:K28)</f>
        <v>1.9833333333333331E-2</v>
      </c>
      <c r="U41" s="14" t="s">
        <v>905</v>
      </c>
    </row>
    <row r="42" spans="1:21" ht="30" customHeight="1">
      <c r="A42" s="1"/>
      <c r="B42" s="1"/>
      <c r="G42" s="289"/>
      <c r="H42" s="289"/>
      <c r="I42" s="289"/>
      <c r="J42" s="32">
        <v>2</v>
      </c>
      <c r="K42" s="65" t="s">
        <v>826</v>
      </c>
      <c r="L42" s="33">
        <f>AVERAGE(F8:K8)</f>
        <v>5.5566666666666675</v>
      </c>
      <c r="M42" s="14" t="s">
        <v>905</v>
      </c>
      <c r="N42" s="33">
        <f>AVERAGE(F11:K11)</f>
        <v>31</v>
      </c>
      <c r="O42" s="33">
        <f>AVERAGE(F14:K14)</f>
        <v>7.2033333333333331</v>
      </c>
      <c r="P42" s="33">
        <f>AVERAGE(F17:K17)</f>
        <v>28.216666666666665</v>
      </c>
      <c r="Q42" s="33">
        <f>AVERAGE(F20:K20)</f>
        <v>5</v>
      </c>
      <c r="R42" s="33">
        <f>GEOMEAN(F23:K23)</f>
        <v>25.240803046393168</v>
      </c>
      <c r="S42" s="34">
        <f>AVERAGE(F26:K26)</f>
        <v>0.11566666666666665</v>
      </c>
      <c r="T42" s="34">
        <f>AVERAGE(F29:K29)</f>
        <v>1.5499999999999998E-2</v>
      </c>
      <c r="U42" s="14" t="s">
        <v>905</v>
      </c>
    </row>
    <row r="43" spans="1:21" ht="15.75" customHeight="1">
      <c r="A43" s="1"/>
      <c r="B43" s="1"/>
      <c r="G43" s="290"/>
      <c r="H43" s="290"/>
      <c r="I43" s="290"/>
      <c r="J43" s="32">
        <v>3</v>
      </c>
      <c r="K43" s="65" t="s">
        <v>823</v>
      </c>
      <c r="L43" s="33">
        <f>AVERAGE(F9:K9)</f>
        <v>5.5350000000000001</v>
      </c>
      <c r="M43" s="14" t="s">
        <v>905</v>
      </c>
      <c r="N43" s="33">
        <f>AVERAGE(F12:K12)</f>
        <v>36.333333333333336</v>
      </c>
      <c r="O43" s="33">
        <f>AVERAGE(F15:K15)</f>
        <v>7.21</v>
      </c>
      <c r="P43" s="33">
        <f>AVERAGE(F18:K18)</f>
        <v>28.416666666666668</v>
      </c>
      <c r="Q43" s="33">
        <f>AVERAGE(F21:K21)</f>
        <v>5</v>
      </c>
      <c r="R43" s="33">
        <f>GEOMEAN(F24:K24)</f>
        <v>26.244040820349667</v>
      </c>
      <c r="S43" s="34">
        <f>AVERAGE(F27:K27)</f>
        <v>6.9666666666666668E-2</v>
      </c>
      <c r="T43" s="34">
        <f>AVERAGE(F30:K30)</f>
        <v>2.416666666666667E-2</v>
      </c>
      <c r="U43" s="14" t="s">
        <v>905</v>
      </c>
    </row>
    <row r="44" spans="1:21" ht="15.75" customHeight="1">
      <c r="A44" s="1"/>
      <c r="B44" s="1"/>
      <c r="G44" s="148"/>
      <c r="H44" s="468"/>
      <c r="I44" s="468"/>
      <c r="J44" s="468"/>
      <c r="K44" s="468"/>
      <c r="L44" s="468"/>
      <c r="M44" s="468"/>
      <c r="N44" s="468"/>
      <c r="O44" s="468"/>
      <c r="P44" s="468"/>
      <c r="Q44" s="468"/>
      <c r="R44" s="468"/>
      <c r="S44" s="468"/>
      <c r="T44" s="468"/>
      <c r="U44" s="469"/>
    </row>
    <row r="45" spans="1:21" ht="15.75" customHeight="1">
      <c r="A45" s="1"/>
      <c r="B45" s="1"/>
      <c r="G45" s="14" t="s">
        <v>93</v>
      </c>
      <c r="H45" s="291"/>
      <c r="I45" s="470"/>
      <c r="J45" s="470"/>
      <c r="K45" s="471"/>
      <c r="L45" s="33">
        <f>AVERAGE(L41:L43)</f>
        <v>5.5177777777777779</v>
      </c>
      <c r="M45" s="14" t="s">
        <v>905</v>
      </c>
      <c r="N45" s="33">
        <f t="shared" ref="N45:T45" si="2">AVERAGE(N41:N43)</f>
        <v>32.777777777777779</v>
      </c>
      <c r="O45" s="33">
        <f t="shared" si="2"/>
        <v>7.2105555555555556</v>
      </c>
      <c r="P45" s="33">
        <f t="shared" si="2"/>
        <v>28.327777777777779</v>
      </c>
      <c r="Q45" s="33">
        <f t="shared" si="2"/>
        <v>5</v>
      </c>
      <c r="R45" s="33">
        <f t="shared" si="2"/>
        <v>28.129311756841076</v>
      </c>
      <c r="S45" s="34">
        <f t="shared" si="2"/>
        <v>8.5166666666666668E-2</v>
      </c>
      <c r="T45" s="34">
        <f t="shared" si="2"/>
        <v>1.9833333333333331E-2</v>
      </c>
      <c r="U45" s="14" t="s">
        <v>905</v>
      </c>
    </row>
    <row r="46" spans="1:21" ht="15.75" customHeight="1">
      <c r="A46" s="1"/>
      <c r="B46" s="1"/>
      <c r="G46" s="14" t="s">
        <v>94</v>
      </c>
      <c r="H46" s="472"/>
      <c r="K46" s="473"/>
      <c r="L46" s="33">
        <f>MIN(L41:L43)</f>
        <v>5.4616666666666669</v>
      </c>
      <c r="M46" s="14" t="s">
        <v>905</v>
      </c>
      <c r="N46" s="33">
        <f t="shared" ref="N46:T46" si="3">MIN(N41:N43)</f>
        <v>31</v>
      </c>
      <c r="O46" s="33">
        <f t="shared" si="3"/>
        <v>7.2033333333333331</v>
      </c>
      <c r="P46" s="33">
        <f t="shared" si="3"/>
        <v>28.216666666666665</v>
      </c>
      <c r="Q46" s="33">
        <f t="shared" si="3"/>
        <v>5</v>
      </c>
      <c r="R46" s="33">
        <f t="shared" si="3"/>
        <v>25.240803046393168</v>
      </c>
      <c r="S46" s="34">
        <f t="shared" si="3"/>
        <v>6.9666666666666668E-2</v>
      </c>
      <c r="T46" s="34">
        <f t="shared" si="3"/>
        <v>1.5499999999999998E-2</v>
      </c>
      <c r="U46" s="14" t="s">
        <v>905</v>
      </c>
    </row>
    <row r="47" spans="1:21" ht="15.75" customHeight="1">
      <c r="A47" s="1"/>
      <c r="B47" s="1"/>
      <c r="G47" s="14" t="s">
        <v>95</v>
      </c>
      <c r="H47" s="472"/>
      <c r="K47" s="473"/>
      <c r="L47" s="33">
        <f>MAX(L41:L43)</f>
        <v>5.5566666666666675</v>
      </c>
      <c r="M47" s="14" t="s">
        <v>905</v>
      </c>
      <c r="N47" s="33">
        <f t="shared" ref="N47:T47" si="4">MAX(N41:N43)</f>
        <v>36.333333333333336</v>
      </c>
      <c r="O47" s="33">
        <f t="shared" si="4"/>
        <v>7.2183333333333337</v>
      </c>
      <c r="P47" s="33">
        <f t="shared" si="4"/>
        <v>28.416666666666668</v>
      </c>
      <c r="Q47" s="33">
        <f t="shared" si="4"/>
        <v>5</v>
      </c>
      <c r="R47" s="33">
        <f t="shared" si="4"/>
        <v>32.903091403780387</v>
      </c>
      <c r="S47" s="34">
        <f t="shared" si="4"/>
        <v>0.11566666666666665</v>
      </c>
      <c r="T47" s="34">
        <f t="shared" si="4"/>
        <v>2.416666666666667E-2</v>
      </c>
      <c r="U47" s="14" t="s">
        <v>905</v>
      </c>
    </row>
    <row r="48" spans="1:21" ht="15" customHeight="1">
      <c r="G48" s="14" t="s">
        <v>96</v>
      </c>
      <c r="H48" s="474"/>
      <c r="I48" s="466"/>
      <c r="J48" s="466"/>
      <c r="K48" s="467"/>
      <c r="L48" s="118" t="s">
        <v>906</v>
      </c>
      <c r="M48" s="118" t="s">
        <v>905</v>
      </c>
      <c r="N48" s="118" t="s">
        <v>907</v>
      </c>
      <c r="O48" s="118" t="s">
        <v>908</v>
      </c>
      <c r="P48" s="29" t="s">
        <v>909</v>
      </c>
      <c r="Q48" s="118" t="s">
        <v>699</v>
      </c>
      <c r="R48" s="118" t="s">
        <v>700</v>
      </c>
      <c r="S48" s="118" t="s">
        <v>910</v>
      </c>
      <c r="T48" s="118" t="s">
        <v>911</v>
      </c>
      <c r="U48" s="118" t="s">
        <v>905</v>
      </c>
    </row>
    <row r="50" spans="7:21" ht="15.75" customHeight="1"/>
    <row r="51" spans="7:21" ht="15.75" customHeight="1">
      <c r="G51" s="971" t="s">
        <v>70</v>
      </c>
      <c r="H51" s="1198"/>
      <c r="I51" s="1198"/>
      <c r="J51" s="1198"/>
      <c r="K51" s="1198"/>
      <c r="L51" s="1198"/>
      <c r="M51" s="1198"/>
      <c r="N51" s="1198"/>
      <c r="O51" s="1198"/>
      <c r="P51" s="1198"/>
      <c r="Q51" s="1198"/>
      <c r="R51" s="1198"/>
      <c r="S51" s="1198"/>
      <c r="T51" s="1198"/>
      <c r="U51" s="1199"/>
    </row>
    <row r="52" spans="7:21" ht="15.75" customHeight="1">
      <c r="G52" s="971" t="s">
        <v>107</v>
      </c>
      <c r="H52" s="972"/>
      <c r="I52" s="972"/>
      <c r="J52" s="972"/>
      <c r="K52" s="972"/>
      <c r="L52" s="972"/>
      <c r="M52" s="972"/>
      <c r="N52" s="972"/>
      <c r="O52" s="972"/>
      <c r="P52" s="972"/>
      <c r="Q52" s="972"/>
      <c r="R52" s="972"/>
      <c r="S52" s="972"/>
      <c r="T52" s="972"/>
      <c r="U52" s="1067"/>
    </row>
    <row r="53" spans="7:21" ht="15.75" customHeight="1">
      <c r="G53" s="148"/>
      <c r="H53" s="468"/>
      <c r="I53" s="468"/>
      <c r="J53" s="468"/>
      <c r="K53" s="469"/>
      <c r="L53" s="461" t="s">
        <v>78</v>
      </c>
      <c r="M53" s="468"/>
      <c r="N53" s="468"/>
      <c r="O53" s="468"/>
      <c r="P53" s="468"/>
      <c r="Q53" s="468"/>
      <c r="R53" s="468"/>
      <c r="S53" s="468"/>
      <c r="T53" s="468"/>
      <c r="U53" s="469"/>
    </row>
    <row r="54" spans="7:21" ht="15.75" customHeight="1">
      <c r="G54" s="14" t="s">
        <v>82</v>
      </c>
      <c r="H54" s="14" t="s">
        <v>83</v>
      </c>
      <c r="I54" s="14" t="s">
        <v>84</v>
      </c>
      <c r="J54" s="14" t="s">
        <v>85</v>
      </c>
      <c r="K54" s="14" t="s">
        <v>86</v>
      </c>
      <c r="L54" s="14" t="s">
        <v>4</v>
      </c>
      <c r="M54" s="14" t="s">
        <v>5</v>
      </c>
      <c r="N54" s="14" t="s">
        <v>6</v>
      </c>
      <c r="O54" s="14" t="s">
        <v>7</v>
      </c>
      <c r="P54" s="14" t="s">
        <v>8</v>
      </c>
      <c r="Q54" s="14" t="s">
        <v>9</v>
      </c>
      <c r="R54" s="14" t="s">
        <v>10</v>
      </c>
      <c r="S54" s="14" t="s">
        <v>11</v>
      </c>
      <c r="T54" s="14" t="s">
        <v>12</v>
      </c>
      <c r="U54" s="14" t="s">
        <v>13</v>
      </c>
    </row>
    <row r="55" spans="7:21" ht="28.5" customHeight="1">
      <c r="G55" s="281" t="s">
        <v>1030</v>
      </c>
      <c r="H55" s="281" t="s">
        <v>1004</v>
      </c>
      <c r="I55" s="462" t="s">
        <v>29</v>
      </c>
      <c r="J55" s="32">
        <v>1</v>
      </c>
      <c r="K55" s="65" t="s">
        <v>830</v>
      </c>
      <c r="L55" s="35">
        <f>R7</f>
        <v>5.8433333333333328</v>
      </c>
      <c r="M55" s="14" t="s">
        <v>905</v>
      </c>
      <c r="N55" s="35">
        <f>R10</f>
        <v>53.916666666666664</v>
      </c>
      <c r="O55" s="35">
        <f>R13</f>
        <v>7.4483333333333341</v>
      </c>
      <c r="P55" s="35">
        <f>R16</f>
        <v>28.791666666666661</v>
      </c>
      <c r="Q55" s="35">
        <f>R19</f>
        <v>5</v>
      </c>
      <c r="R55" s="35">
        <f>R22</f>
        <v>47.158870177414229</v>
      </c>
      <c r="S55" s="28">
        <f>R25</f>
        <v>0.12241666666666666</v>
      </c>
      <c r="T55" s="28">
        <f>R28</f>
        <v>2.6166666666666661E-2</v>
      </c>
      <c r="U55" s="14" t="s">
        <v>905</v>
      </c>
    </row>
    <row r="56" spans="7:21" ht="33" customHeight="1">
      <c r="G56" s="289"/>
      <c r="H56" s="289"/>
      <c r="I56" s="289"/>
      <c r="J56" s="32">
        <v>2</v>
      </c>
      <c r="K56" s="65" t="s">
        <v>826</v>
      </c>
      <c r="L56" s="35">
        <f>R8</f>
        <v>5.8950000000000005</v>
      </c>
      <c r="M56" s="14" t="s">
        <v>905</v>
      </c>
      <c r="N56" s="35">
        <f>R11</f>
        <v>39.916666666666664</v>
      </c>
      <c r="O56" s="35">
        <f>R14</f>
        <v>7.4341666666666661</v>
      </c>
      <c r="P56" s="35">
        <f>R17</f>
        <v>28.774999999999995</v>
      </c>
      <c r="Q56" s="35">
        <f>R20</f>
        <v>5</v>
      </c>
      <c r="R56" s="35">
        <f>R23</f>
        <v>95.299422472460918</v>
      </c>
      <c r="S56" s="28">
        <f>R26</f>
        <v>0.13949999999999999</v>
      </c>
      <c r="T56" s="28">
        <f>R29</f>
        <v>1.9916666666666666E-2</v>
      </c>
      <c r="U56" s="14" t="s">
        <v>905</v>
      </c>
    </row>
    <row r="57" spans="7:21" ht="15.75" customHeight="1">
      <c r="G57" s="290"/>
      <c r="H57" s="290"/>
      <c r="I57" s="290"/>
      <c r="J57" s="32">
        <v>3</v>
      </c>
      <c r="K57" s="65" t="s">
        <v>823</v>
      </c>
      <c r="L57" s="35">
        <f>R9</f>
        <v>5.9033333333333333</v>
      </c>
      <c r="M57" s="14" t="s">
        <v>905</v>
      </c>
      <c r="N57" s="35">
        <f>R12</f>
        <v>41.25</v>
      </c>
      <c r="O57" s="35">
        <f>R15</f>
        <v>7.4241666666666655</v>
      </c>
      <c r="P57" s="35">
        <f>R18</f>
        <v>28.883333333333329</v>
      </c>
      <c r="Q57" s="35">
        <f>R21</f>
        <v>5.416666666666667</v>
      </c>
      <c r="R57" s="35">
        <f>R24</f>
        <v>66.425316636821492</v>
      </c>
      <c r="S57" s="28">
        <f>R27</f>
        <v>0.10891666666666666</v>
      </c>
      <c r="T57" s="28">
        <f>R30</f>
        <v>3.0666666666666672E-2</v>
      </c>
      <c r="U57" s="14" t="s">
        <v>905</v>
      </c>
    </row>
    <row r="58" spans="7:21" ht="15.75" customHeight="1">
      <c r="G58" s="148"/>
      <c r="H58" s="468"/>
      <c r="I58" s="468"/>
      <c r="J58" s="468"/>
      <c r="K58" s="468"/>
      <c r="L58" s="468"/>
      <c r="M58" s="468"/>
      <c r="N58" s="468"/>
      <c r="O58" s="468"/>
      <c r="P58" s="468"/>
      <c r="Q58" s="468"/>
      <c r="R58" s="468"/>
      <c r="S58" s="468"/>
      <c r="T58" s="468"/>
      <c r="U58" s="469"/>
    </row>
    <row r="59" spans="7:21" ht="15.75" customHeight="1">
      <c r="G59" s="14" t="s">
        <v>93</v>
      </c>
      <c r="H59" s="291"/>
      <c r="I59" s="470"/>
      <c r="J59" s="470"/>
      <c r="K59" s="471"/>
      <c r="L59" s="35">
        <f>AVERAGE(L55:L57)</f>
        <v>5.8805555555555555</v>
      </c>
      <c r="M59" s="14" t="s">
        <v>905</v>
      </c>
      <c r="N59" s="35">
        <f t="shared" ref="N59:T59" si="5">AVERAGE(N55:N57)</f>
        <v>45.027777777777771</v>
      </c>
      <c r="O59" s="35">
        <f t="shared" si="5"/>
        <v>7.4355555555555553</v>
      </c>
      <c r="P59" s="35">
        <f t="shared" si="5"/>
        <v>28.816666666666663</v>
      </c>
      <c r="Q59" s="35">
        <f t="shared" si="5"/>
        <v>5.1388888888888893</v>
      </c>
      <c r="R59" s="35">
        <f t="shared" si="5"/>
        <v>69.627869762232208</v>
      </c>
      <c r="S59" s="28">
        <f t="shared" si="5"/>
        <v>0.1236111111111111</v>
      </c>
      <c r="T59" s="28">
        <f t="shared" si="5"/>
        <v>2.5583333333333333E-2</v>
      </c>
      <c r="U59" s="14" t="s">
        <v>905</v>
      </c>
    </row>
    <row r="60" spans="7:21" ht="15.75" customHeight="1">
      <c r="G60" s="14" t="s">
        <v>94</v>
      </c>
      <c r="H60" s="472"/>
      <c r="K60" s="473"/>
      <c r="L60" s="35">
        <f>MIN(L55:L57)</f>
        <v>5.8433333333333328</v>
      </c>
      <c r="M60" s="14" t="s">
        <v>905</v>
      </c>
      <c r="N60" s="35">
        <f t="shared" ref="N60:T60" si="6">MIN(N55:N57)</f>
        <v>39.916666666666664</v>
      </c>
      <c r="O60" s="35">
        <f t="shared" si="6"/>
        <v>7.4241666666666655</v>
      </c>
      <c r="P60" s="35">
        <f t="shared" si="6"/>
        <v>28.774999999999995</v>
      </c>
      <c r="Q60" s="35">
        <f t="shared" si="6"/>
        <v>5</v>
      </c>
      <c r="R60" s="35">
        <f t="shared" si="6"/>
        <v>47.158870177414229</v>
      </c>
      <c r="S60" s="28">
        <f t="shared" si="6"/>
        <v>0.10891666666666666</v>
      </c>
      <c r="T60" s="28">
        <f t="shared" si="6"/>
        <v>1.9916666666666666E-2</v>
      </c>
      <c r="U60" s="14" t="s">
        <v>905</v>
      </c>
    </row>
    <row r="61" spans="7:21" ht="15.75" customHeight="1">
      <c r="G61" s="14" t="s">
        <v>95</v>
      </c>
      <c r="H61" s="472"/>
      <c r="K61" s="473"/>
      <c r="L61" s="35">
        <f>MAX(L55:L57)</f>
        <v>5.9033333333333333</v>
      </c>
      <c r="M61" s="14" t="s">
        <v>905</v>
      </c>
      <c r="N61" s="35">
        <f t="shared" ref="N61:T61" si="7">MAX(N55:N57)</f>
        <v>53.916666666666664</v>
      </c>
      <c r="O61" s="35">
        <f t="shared" si="7"/>
        <v>7.4483333333333341</v>
      </c>
      <c r="P61" s="35">
        <f t="shared" si="7"/>
        <v>28.883333333333329</v>
      </c>
      <c r="Q61" s="35">
        <f t="shared" si="7"/>
        <v>5.416666666666667</v>
      </c>
      <c r="R61" s="35">
        <f t="shared" si="7"/>
        <v>95.299422472460918</v>
      </c>
      <c r="S61" s="28">
        <f t="shared" si="7"/>
        <v>0.13949999999999999</v>
      </c>
      <c r="T61" s="28">
        <f t="shared" si="7"/>
        <v>3.0666666666666672E-2</v>
      </c>
      <c r="U61" s="14" t="s">
        <v>905</v>
      </c>
    </row>
    <row r="62" spans="7:21" ht="15" customHeight="1">
      <c r="G62" s="14" t="s">
        <v>96</v>
      </c>
      <c r="H62" s="474"/>
      <c r="I62" s="466"/>
      <c r="J62" s="466"/>
      <c r="K62" s="467"/>
      <c r="L62" s="118" t="s">
        <v>906</v>
      </c>
      <c r="M62" s="118" t="s">
        <v>905</v>
      </c>
      <c r="N62" s="118" t="s">
        <v>907</v>
      </c>
      <c r="O62" s="118" t="s">
        <v>908</v>
      </c>
      <c r="P62" s="29" t="s">
        <v>909</v>
      </c>
      <c r="Q62" s="118" t="s">
        <v>699</v>
      </c>
      <c r="R62" s="118" t="s">
        <v>700</v>
      </c>
      <c r="S62" s="118" t="s">
        <v>910</v>
      </c>
      <c r="T62" s="118" t="s">
        <v>911</v>
      </c>
      <c r="U62" s="118" t="s">
        <v>905</v>
      </c>
    </row>
    <row r="65" spans="6:20" ht="15" customHeight="1">
      <c r="G65" s="232" t="s">
        <v>175</v>
      </c>
      <c r="H65" s="232"/>
      <c r="I65" s="232"/>
      <c r="J65" s="232"/>
      <c r="K65" s="232"/>
      <c r="L65" s="232"/>
      <c r="M65" s="232"/>
      <c r="N65" s="232"/>
      <c r="O65" s="232"/>
      <c r="P65" s="232"/>
      <c r="Q65" s="232"/>
      <c r="R65" s="232"/>
      <c r="S65" s="232"/>
    </row>
    <row r="66" spans="6:20" ht="15" customHeight="1">
      <c r="F66" s="232"/>
      <c r="G66" s="873" t="s">
        <v>1031</v>
      </c>
      <c r="H66" s="874"/>
      <c r="I66" s="874"/>
      <c r="J66" s="874"/>
      <c r="K66" s="874"/>
      <c r="L66" s="874"/>
      <c r="M66" s="874"/>
      <c r="N66" s="874"/>
      <c r="O66" s="874"/>
      <c r="P66" s="874"/>
      <c r="Q66" s="874"/>
      <c r="R66" s="874"/>
      <c r="S66" s="875"/>
      <c r="T66" s="232"/>
    </row>
    <row r="67" spans="6:20" ht="15" customHeight="1">
      <c r="F67" s="232"/>
      <c r="G67" s="876"/>
      <c r="H67" s="877"/>
      <c r="I67" s="877"/>
      <c r="J67" s="877"/>
      <c r="K67" s="877"/>
      <c r="L67" s="877"/>
      <c r="M67" s="877"/>
      <c r="N67" s="877"/>
      <c r="O67" s="877"/>
      <c r="P67" s="877"/>
      <c r="Q67" s="877"/>
      <c r="R67" s="877"/>
      <c r="S67" s="878"/>
      <c r="T67" s="232"/>
    </row>
    <row r="68" spans="6:20" ht="15" customHeight="1">
      <c r="F68" s="232"/>
      <c r="G68" s="876"/>
      <c r="H68" s="877"/>
      <c r="I68" s="877"/>
      <c r="J68" s="877"/>
      <c r="K68" s="877"/>
      <c r="L68" s="877"/>
      <c r="M68" s="877"/>
      <c r="N68" s="877"/>
      <c r="O68" s="877"/>
      <c r="P68" s="877"/>
      <c r="Q68" s="877"/>
      <c r="R68" s="877"/>
      <c r="S68" s="878"/>
      <c r="T68" s="232"/>
    </row>
    <row r="69" spans="6:20" ht="15" customHeight="1">
      <c r="F69" s="232"/>
      <c r="G69" s="876"/>
      <c r="H69" s="877"/>
      <c r="I69" s="877"/>
      <c r="J69" s="877"/>
      <c r="K69" s="877"/>
      <c r="L69" s="877"/>
      <c r="M69" s="877"/>
      <c r="N69" s="877"/>
      <c r="O69" s="877"/>
      <c r="P69" s="877"/>
      <c r="Q69" s="877"/>
      <c r="R69" s="877"/>
      <c r="S69" s="878"/>
      <c r="T69" s="232"/>
    </row>
    <row r="70" spans="6:20" ht="15" customHeight="1">
      <c r="F70" s="232"/>
      <c r="G70" s="876"/>
      <c r="H70" s="877"/>
      <c r="I70" s="877"/>
      <c r="J70" s="877"/>
      <c r="K70" s="877"/>
      <c r="L70" s="877"/>
      <c r="M70" s="877"/>
      <c r="N70" s="877"/>
      <c r="O70" s="877"/>
      <c r="P70" s="877"/>
      <c r="Q70" s="877"/>
      <c r="R70" s="877"/>
      <c r="S70" s="878"/>
      <c r="T70" s="232"/>
    </row>
    <row r="71" spans="6:20" ht="15" customHeight="1">
      <c r="F71" s="232"/>
      <c r="G71" s="876"/>
      <c r="H71" s="877"/>
      <c r="I71" s="877"/>
      <c r="J71" s="877"/>
      <c r="K71" s="877"/>
      <c r="L71" s="877"/>
      <c r="M71" s="877"/>
      <c r="N71" s="877"/>
      <c r="O71" s="877"/>
      <c r="P71" s="877"/>
      <c r="Q71" s="877"/>
      <c r="R71" s="877"/>
      <c r="S71" s="878"/>
      <c r="T71" s="232"/>
    </row>
    <row r="72" spans="6:20" ht="15" customHeight="1">
      <c r="F72" s="232"/>
      <c r="G72" s="876"/>
      <c r="H72" s="877"/>
      <c r="I72" s="877"/>
      <c r="J72" s="877"/>
      <c r="K72" s="877"/>
      <c r="L72" s="877"/>
      <c r="M72" s="877"/>
      <c r="N72" s="877"/>
      <c r="O72" s="877"/>
      <c r="P72" s="877"/>
      <c r="Q72" s="877"/>
      <c r="R72" s="877"/>
      <c r="S72" s="878"/>
      <c r="T72" s="232"/>
    </row>
    <row r="73" spans="6:20" ht="15" customHeight="1">
      <c r="F73" s="232"/>
      <c r="G73" s="876"/>
      <c r="H73" s="877"/>
      <c r="I73" s="877"/>
      <c r="J73" s="877"/>
      <c r="K73" s="877"/>
      <c r="L73" s="877"/>
      <c r="M73" s="877"/>
      <c r="N73" s="877"/>
      <c r="O73" s="877"/>
      <c r="P73" s="877"/>
      <c r="Q73" s="877"/>
      <c r="R73" s="877"/>
      <c r="S73" s="878"/>
      <c r="T73" s="232"/>
    </row>
    <row r="74" spans="6:20" ht="15" customHeight="1">
      <c r="F74" s="232"/>
      <c r="G74" s="876"/>
      <c r="H74" s="877"/>
      <c r="I74" s="877"/>
      <c r="J74" s="877"/>
      <c r="K74" s="877"/>
      <c r="L74" s="877"/>
      <c r="M74" s="877"/>
      <c r="N74" s="877"/>
      <c r="O74" s="877"/>
      <c r="P74" s="877"/>
      <c r="Q74" s="877"/>
      <c r="R74" s="877"/>
      <c r="S74" s="878"/>
      <c r="T74" s="232"/>
    </row>
    <row r="75" spans="6:20" ht="15" customHeight="1">
      <c r="F75" s="232"/>
      <c r="G75" s="876"/>
      <c r="H75" s="877"/>
      <c r="I75" s="877"/>
      <c r="J75" s="877"/>
      <c r="K75" s="877"/>
      <c r="L75" s="877"/>
      <c r="M75" s="877"/>
      <c r="N75" s="877"/>
      <c r="O75" s="877"/>
      <c r="P75" s="877"/>
      <c r="Q75" s="877"/>
      <c r="R75" s="877"/>
      <c r="S75" s="878"/>
      <c r="T75" s="232"/>
    </row>
    <row r="76" spans="6:20" ht="15" customHeight="1">
      <c r="F76" s="232"/>
      <c r="G76" s="876"/>
      <c r="H76" s="877"/>
      <c r="I76" s="877"/>
      <c r="J76" s="877"/>
      <c r="K76" s="877"/>
      <c r="L76" s="877"/>
      <c r="M76" s="877"/>
      <c r="N76" s="877"/>
      <c r="O76" s="877"/>
      <c r="P76" s="877"/>
      <c r="Q76" s="877"/>
      <c r="R76" s="877"/>
      <c r="S76" s="878"/>
      <c r="T76" s="232"/>
    </row>
    <row r="77" spans="6:20" ht="15" customHeight="1">
      <c r="F77" s="232"/>
      <c r="G77" s="876"/>
      <c r="H77" s="877"/>
      <c r="I77" s="877"/>
      <c r="J77" s="877"/>
      <c r="K77" s="877"/>
      <c r="L77" s="877"/>
      <c r="M77" s="877"/>
      <c r="N77" s="877"/>
      <c r="O77" s="877"/>
      <c r="P77" s="877"/>
      <c r="Q77" s="877"/>
      <c r="R77" s="877"/>
      <c r="S77" s="878"/>
      <c r="T77" s="232"/>
    </row>
    <row r="78" spans="6:20" ht="15" customHeight="1">
      <c r="F78" s="232"/>
      <c r="G78" s="876"/>
      <c r="H78" s="877"/>
      <c r="I78" s="877"/>
      <c r="J78" s="877"/>
      <c r="K78" s="877"/>
      <c r="L78" s="877"/>
      <c r="M78" s="877"/>
      <c r="N78" s="877"/>
      <c r="O78" s="877"/>
      <c r="P78" s="877"/>
      <c r="Q78" s="877"/>
      <c r="R78" s="877"/>
      <c r="S78" s="878"/>
      <c r="T78" s="232"/>
    </row>
    <row r="79" spans="6:20" ht="15" customHeight="1">
      <c r="F79" s="232"/>
      <c r="G79" s="876"/>
      <c r="H79" s="877"/>
      <c r="I79" s="877"/>
      <c r="J79" s="877"/>
      <c r="K79" s="877"/>
      <c r="L79" s="877"/>
      <c r="M79" s="877"/>
      <c r="N79" s="877"/>
      <c r="O79" s="877"/>
      <c r="P79" s="877"/>
      <c r="Q79" s="877"/>
      <c r="R79" s="877"/>
      <c r="S79" s="878"/>
      <c r="T79" s="232"/>
    </row>
    <row r="80" spans="6:20" ht="15" customHeight="1">
      <c r="F80" s="232"/>
      <c r="G80" s="876"/>
      <c r="H80" s="877"/>
      <c r="I80" s="877"/>
      <c r="J80" s="877"/>
      <c r="K80" s="877"/>
      <c r="L80" s="877"/>
      <c r="M80" s="877"/>
      <c r="N80" s="877"/>
      <c r="O80" s="877"/>
      <c r="P80" s="877"/>
      <c r="Q80" s="877"/>
      <c r="R80" s="877"/>
      <c r="S80" s="878"/>
      <c r="T80" s="232"/>
    </row>
    <row r="81" spans="6:20" ht="15" customHeight="1">
      <c r="F81" s="232"/>
      <c r="G81" s="876"/>
      <c r="H81" s="877"/>
      <c r="I81" s="877"/>
      <c r="J81" s="877"/>
      <c r="K81" s="877"/>
      <c r="L81" s="877"/>
      <c r="M81" s="877"/>
      <c r="N81" s="877"/>
      <c r="O81" s="877"/>
      <c r="P81" s="877"/>
      <c r="Q81" s="877"/>
      <c r="R81" s="877"/>
      <c r="S81" s="878"/>
      <c r="T81" s="232"/>
    </row>
    <row r="82" spans="6:20" ht="15" customHeight="1">
      <c r="F82" s="232"/>
      <c r="G82" s="879"/>
      <c r="H82" s="880"/>
      <c r="I82" s="880"/>
      <c r="J82" s="880"/>
      <c r="K82" s="880"/>
      <c r="L82" s="880"/>
      <c r="M82" s="880"/>
      <c r="N82" s="880"/>
      <c r="O82" s="880"/>
      <c r="P82" s="880"/>
      <c r="Q82" s="880"/>
      <c r="R82" s="880"/>
      <c r="S82" s="881"/>
      <c r="T82" s="232"/>
    </row>
    <row r="83" spans="6:20" ht="15" customHeight="1">
      <c r="G83" s="232"/>
      <c r="H83" s="232"/>
      <c r="I83" s="232"/>
      <c r="J83" s="232"/>
      <c r="K83" s="232"/>
      <c r="L83" s="232"/>
      <c r="M83" s="232"/>
      <c r="N83" s="232"/>
      <c r="O83" s="232"/>
      <c r="P83" s="232"/>
      <c r="Q83" s="232"/>
      <c r="R83" s="232"/>
      <c r="S83" s="232"/>
    </row>
  </sheetData>
  <mergeCells count="10">
    <mergeCell ref="G66:S82"/>
    <mergeCell ref="G38:U38"/>
    <mergeCell ref="G52:U52"/>
    <mergeCell ref="C1:S1"/>
    <mergeCell ref="C2:S2"/>
    <mergeCell ref="C3:S3"/>
    <mergeCell ref="C4:S4"/>
    <mergeCell ref="C5:S5"/>
    <mergeCell ref="G37:U37"/>
    <mergeCell ref="G51:U51"/>
  </mergeCells>
  <phoneticPr fontId="18" type="noConversion"/>
  <pageMargins left="0.7" right="0.7" top="0.75" bottom="0.75" header="0" footer="0"/>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33C0B"/>
  </sheetPr>
  <dimension ref="A1:AP53"/>
  <sheetViews>
    <sheetView workbookViewId="0">
      <pane xSplit="2" ySplit="6" topLeftCell="C7" activePane="bottomRight" state="frozen"/>
      <selection pane="bottomRight" activeCell="P6" sqref="P6"/>
      <selection pane="bottomLeft" activeCell="A7" sqref="A7"/>
      <selection pane="topRight" activeCell="C1" sqref="C1"/>
    </sheetView>
  </sheetViews>
  <sheetFormatPr defaultColWidth="14.42578125" defaultRowHeight="15" customHeight="1"/>
  <cols>
    <col min="1" max="1" width="9.140625" customWidth="1"/>
    <col min="2" max="2" width="29.42578125" customWidth="1"/>
    <col min="3" max="3" width="9.140625" customWidth="1"/>
    <col min="4" max="4" width="24.28515625" customWidth="1"/>
    <col min="5" max="5" width="28.140625" bestFit="1" customWidth="1"/>
    <col min="6" max="6" width="19.7109375" customWidth="1"/>
    <col min="7" max="7" width="20.140625" customWidth="1"/>
    <col min="8" max="8" width="20" customWidth="1"/>
    <col min="9" max="9" width="23.42578125" customWidth="1"/>
    <col min="10" max="10" width="21.7109375" customWidth="1"/>
    <col min="11" max="11" width="17.5703125" customWidth="1"/>
    <col min="12" max="12" width="8.140625" customWidth="1"/>
    <col min="13" max="13" width="9.7109375" customWidth="1"/>
    <col min="14" max="14" width="14" customWidth="1"/>
    <col min="15" max="15" width="11" customWidth="1"/>
    <col min="16" max="16" width="13" customWidth="1"/>
    <col min="17" max="17" width="13.140625" customWidth="1"/>
    <col min="18" max="18" width="17.7109375" customWidth="1"/>
    <col min="19" max="19" width="9.140625" customWidth="1"/>
    <col min="20" max="20" width="7.140625" hidden="1" customWidth="1"/>
    <col min="21" max="27" width="8.7109375" customWidth="1"/>
  </cols>
  <sheetData>
    <row r="1" spans="1:42">
      <c r="A1" s="60"/>
      <c r="B1" s="168"/>
      <c r="C1" s="892" t="s">
        <v>40</v>
      </c>
      <c r="D1" s="1068"/>
      <c r="E1" s="1068"/>
      <c r="F1" s="1068"/>
      <c r="G1" s="1068"/>
      <c r="H1" s="1068"/>
      <c r="I1" s="1068"/>
      <c r="J1" s="1068"/>
      <c r="K1" s="1068"/>
      <c r="L1" s="1068"/>
      <c r="M1" s="1068"/>
      <c r="N1" s="1068"/>
      <c r="O1" s="1068"/>
      <c r="P1" s="1068"/>
      <c r="Q1" s="1068"/>
      <c r="R1" s="1068"/>
      <c r="S1" s="1068"/>
    </row>
    <row r="2" spans="1:42">
      <c r="A2" s="138"/>
      <c r="B2" s="93"/>
      <c r="C2" s="868" t="s">
        <v>41</v>
      </c>
      <c r="D2" s="907"/>
      <c r="E2" s="907"/>
      <c r="F2" s="907"/>
      <c r="G2" s="907"/>
      <c r="H2" s="907"/>
      <c r="I2" s="907"/>
      <c r="J2" s="907"/>
      <c r="K2" s="907"/>
      <c r="L2" s="907"/>
      <c r="M2" s="907"/>
      <c r="N2" s="907"/>
      <c r="O2" s="907"/>
      <c r="P2" s="907"/>
      <c r="Q2" s="907"/>
      <c r="R2" s="907"/>
      <c r="S2" s="907"/>
    </row>
    <row r="3" spans="1:42">
      <c r="A3" s="139"/>
      <c r="B3" s="86"/>
      <c r="C3" s="869" t="s">
        <v>42</v>
      </c>
      <c r="D3" s="908"/>
      <c r="E3" s="908"/>
      <c r="F3" s="908"/>
      <c r="G3" s="908"/>
      <c r="H3" s="908"/>
      <c r="I3" s="908"/>
      <c r="J3" s="908"/>
      <c r="K3" s="908"/>
      <c r="L3" s="908"/>
      <c r="M3" s="908"/>
      <c r="N3" s="908"/>
      <c r="O3" s="908"/>
      <c r="P3" s="908"/>
      <c r="Q3" s="908"/>
      <c r="R3" s="908"/>
      <c r="S3" s="908"/>
    </row>
    <row r="4" spans="1:42">
      <c r="A4" s="140"/>
      <c r="B4" s="141"/>
      <c r="C4" s="870" t="s">
        <v>1032</v>
      </c>
      <c r="D4" s="1047"/>
      <c r="E4" s="1047"/>
      <c r="F4" s="1047"/>
      <c r="G4" s="1047"/>
      <c r="H4" s="1047"/>
      <c r="I4" s="1047"/>
      <c r="J4" s="1047"/>
      <c r="K4" s="1047"/>
      <c r="L4" s="1047"/>
      <c r="M4" s="1047"/>
      <c r="N4" s="1047"/>
      <c r="O4" s="1047"/>
      <c r="P4" s="1047"/>
      <c r="Q4" s="1047"/>
      <c r="R4" s="1047"/>
      <c r="S4" s="1047"/>
    </row>
    <row r="5" spans="1:42">
      <c r="A5" s="88"/>
      <c r="B5" s="89"/>
      <c r="C5" s="894" t="s">
        <v>1005</v>
      </c>
      <c r="D5" s="1069"/>
      <c r="E5" s="1069"/>
      <c r="F5" s="1069"/>
      <c r="G5" s="1069"/>
      <c r="H5" s="1069"/>
      <c r="I5" s="1069"/>
      <c r="J5" s="1069"/>
      <c r="K5" s="1069"/>
      <c r="L5" s="1069"/>
      <c r="M5" s="1069"/>
      <c r="N5" s="1069"/>
      <c r="O5" s="1069"/>
      <c r="P5" s="1069"/>
      <c r="Q5" s="1069"/>
      <c r="R5" s="1069"/>
      <c r="S5" s="1069"/>
    </row>
    <row r="6" spans="1:42">
      <c r="A6" s="113" t="s">
        <v>45</v>
      </c>
      <c r="B6" s="4" t="s">
        <v>46</v>
      </c>
      <c r="C6" s="4" t="s">
        <v>47</v>
      </c>
      <c r="D6" s="4" t="s">
        <v>48</v>
      </c>
      <c r="E6" s="4" t="s">
        <v>49</v>
      </c>
      <c r="F6" s="4" t="s">
        <v>352</v>
      </c>
      <c r="G6" s="4" t="s">
        <v>51</v>
      </c>
      <c r="H6" s="4" t="s">
        <v>52</v>
      </c>
      <c r="I6" s="4" t="s">
        <v>53</v>
      </c>
      <c r="J6" s="4" t="s">
        <v>54</v>
      </c>
      <c r="K6" s="4" t="s">
        <v>55</v>
      </c>
      <c r="L6" s="4" t="s">
        <v>56</v>
      </c>
      <c r="M6" s="4" t="s">
        <v>57</v>
      </c>
      <c r="N6" s="4" t="s">
        <v>58</v>
      </c>
      <c r="O6" s="4" t="s">
        <v>59</v>
      </c>
      <c r="P6" s="4" t="s">
        <v>60</v>
      </c>
      <c r="Q6" s="4" t="s">
        <v>61</v>
      </c>
      <c r="R6" s="170" t="s">
        <v>62</v>
      </c>
      <c r="S6" s="179" t="s">
        <v>63</v>
      </c>
      <c r="T6" s="253" t="s">
        <v>64</v>
      </c>
    </row>
    <row r="7" spans="1:42">
      <c r="A7" s="39" t="s">
        <v>65</v>
      </c>
      <c r="B7" s="149" t="s">
        <v>66</v>
      </c>
      <c r="C7" s="15">
        <v>1</v>
      </c>
      <c r="D7" s="95" t="s">
        <v>1033</v>
      </c>
      <c r="E7" s="95" t="s">
        <v>1034</v>
      </c>
      <c r="F7" s="7">
        <v>7.6</v>
      </c>
      <c r="G7" s="7">
        <v>4.59</v>
      </c>
      <c r="H7" s="7">
        <v>4.78</v>
      </c>
      <c r="I7" s="7">
        <v>4.28</v>
      </c>
      <c r="J7" s="7">
        <v>5.25</v>
      </c>
      <c r="K7" s="7">
        <v>6.01</v>
      </c>
      <c r="L7" s="7">
        <v>6.86</v>
      </c>
      <c r="M7" s="7">
        <v>5.85</v>
      </c>
      <c r="N7" s="7">
        <v>7.5</v>
      </c>
      <c r="O7" s="7">
        <v>6.39</v>
      </c>
      <c r="P7" s="7">
        <v>6.03</v>
      </c>
      <c r="Q7" s="7">
        <v>5.53</v>
      </c>
      <c r="R7" s="48">
        <f t="shared" ref="R7:R21" si="0">IFERROR(AVERAGE(F7:Q7), 0)</f>
        <v>5.8891666666666671</v>
      </c>
      <c r="S7" s="8">
        <v>6</v>
      </c>
      <c r="T7" s="242" t="s">
        <v>1035</v>
      </c>
      <c r="AB7" s="843" t="s">
        <v>70</v>
      </c>
      <c r="AC7" s="843"/>
      <c r="AD7" s="843"/>
      <c r="AE7" s="843"/>
      <c r="AF7" s="843"/>
      <c r="AG7" s="843"/>
      <c r="AH7" s="843"/>
      <c r="AI7" s="843"/>
      <c r="AJ7" s="843"/>
      <c r="AK7" s="843"/>
      <c r="AL7" s="843"/>
      <c r="AM7" s="843"/>
      <c r="AN7" s="843"/>
      <c r="AO7" s="843"/>
      <c r="AP7" s="843"/>
    </row>
    <row r="8" spans="1:42">
      <c r="A8" s="9"/>
      <c r="B8" s="10" t="s">
        <v>66</v>
      </c>
      <c r="C8" s="11">
        <v>2</v>
      </c>
      <c r="D8" s="185" t="s">
        <v>1036</v>
      </c>
      <c r="E8" s="185" t="s">
        <v>1034</v>
      </c>
      <c r="F8" s="12">
        <v>7.7</v>
      </c>
      <c r="G8" s="12">
        <v>4.1500000000000004</v>
      </c>
      <c r="H8" s="12">
        <v>4.0999999999999996</v>
      </c>
      <c r="I8" s="12">
        <v>4.01</v>
      </c>
      <c r="J8" s="12">
        <v>5.18</v>
      </c>
      <c r="K8" s="12">
        <v>5.98</v>
      </c>
      <c r="L8" s="12">
        <v>6.09</v>
      </c>
      <c r="M8" s="12">
        <v>5.81</v>
      </c>
      <c r="N8" s="12">
        <v>7.8</v>
      </c>
      <c r="O8" s="12">
        <v>6.56</v>
      </c>
      <c r="P8" s="12">
        <v>5.98</v>
      </c>
      <c r="Q8" s="12">
        <v>5.38</v>
      </c>
      <c r="R8" s="35">
        <f t="shared" si="0"/>
        <v>5.7283333333333326</v>
      </c>
      <c r="S8" s="14">
        <v>6</v>
      </c>
      <c r="T8" s="242" t="s">
        <v>1037</v>
      </c>
      <c r="AB8" s="843" t="s">
        <v>74</v>
      </c>
      <c r="AC8" s="843"/>
      <c r="AD8" s="843"/>
      <c r="AE8" s="843"/>
      <c r="AF8" s="843"/>
      <c r="AG8" s="843"/>
      <c r="AH8" s="843"/>
      <c r="AI8" s="843"/>
      <c r="AJ8" s="843"/>
      <c r="AK8" s="843"/>
      <c r="AL8" s="843"/>
      <c r="AM8" s="843"/>
      <c r="AN8" s="843"/>
      <c r="AO8" s="843"/>
      <c r="AP8" s="843"/>
    </row>
    <row r="9" spans="1:42">
      <c r="A9" s="9"/>
      <c r="B9" s="10" t="s">
        <v>66</v>
      </c>
      <c r="C9" s="11">
        <v>3</v>
      </c>
      <c r="D9" s="185" t="s">
        <v>1038</v>
      </c>
      <c r="E9" s="185" t="s">
        <v>1034</v>
      </c>
      <c r="F9" s="12">
        <v>7.9</v>
      </c>
      <c r="G9" s="12">
        <v>4.62</v>
      </c>
      <c r="H9" s="12">
        <v>4.43</v>
      </c>
      <c r="I9" s="12">
        <v>4.1399999999999997</v>
      </c>
      <c r="J9" s="12">
        <v>5.3</v>
      </c>
      <c r="K9" s="12">
        <v>6</v>
      </c>
      <c r="L9" s="12">
        <v>6.18</v>
      </c>
      <c r="M9" s="12">
        <v>5.79</v>
      </c>
      <c r="N9" s="12">
        <v>7.1</v>
      </c>
      <c r="O9" s="12">
        <v>6.28</v>
      </c>
      <c r="P9" s="12">
        <v>6.09</v>
      </c>
      <c r="Q9" s="12">
        <v>5.5</v>
      </c>
      <c r="R9" s="35">
        <f t="shared" si="0"/>
        <v>5.7774999999999999</v>
      </c>
      <c r="S9" s="14">
        <v>6</v>
      </c>
      <c r="T9" s="242" t="s">
        <v>1039</v>
      </c>
      <c r="AB9" s="848"/>
      <c r="AC9" s="848"/>
      <c r="AD9" s="848"/>
      <c r="AE9" s="848"/>
      <c r="AF9" s="848"/>
      <c r="AG9" s="848" t="s">
        <v>78</v>
      </c>
      <c r="AH9" s="1161"/>
      <c r="AI9" s="1161"/>
      <c r="AJ9" s="1161"/>
      <c r="AK9" s="1161"/>
      <c r="AL9" s="1161"/>
      <c r="AM9" s="1161"/>
      <c r="AN9" s="1161"/>
      <c r="AO9" s="1161"/>
      <c r="AP9" s="1161"/>
    </row>
    <row r="10" spans="1:42">
      <c r="A10" s="9"/>
      <c r="B10" s="149" t="s">
        <v>92</v>
      </c>
      <c r="C10" s="15">
        <v>1</v>
      </c>
      <c r="D10" s="95" t="s">
        <v>1033</v>
      </c>
      <c r="E10" s="95" t="s">
        <v>1034</v>
      </c>
      <c r="F10" s="7">
        <v>10</v>
      </c>
      <c r="G10" s="7">
        <v>8</v>
      </c>
      <c r="H10" s="7">
        <v>25</v>
      </c>
      <c r="I10" s="7">
        <v>11</v>
      </c>
      <c r="J10" s="7">
        <v>8</v>
      </c>
      <c r="K10" s="7">
        <v>85</v>
      </c>
      <c r="L10" s="7">
        <v>19</v>
      </c>
      <c r="M10" s="7">
        <v>21</v>
      </c>
      <c r="N10" s="7">
        <v>15</v>
      </c>
      <c r="O10" s="7">
        <v>6</v>
      </c>
      <c r="P10" s="7">
        <v>51</v>
      </c>
      <c r="Q10" s="7">
        <v>16</v>
      </c>
      <c r="R10" s="48">
        <f t="shared" si="0"/>
        <v>22.916666666666668</v>
      </c>
      <c r="S10" s="8">
        <v>50</v>
      </c>
      <c r="T10" s="242" t="s">
        <v>1035</v>
      </c>
      <c r="AB10" s="14" t="s">
        <v>82</v>
      </c>
      <c r="AC10" s="14" t="s">
        <v>83</v>
      </c>
      <c r="AD10" s="14" t="s">
        <v>84</v>
      </c>
      <c r="AE10" s="14" t="s">
        <v>85</v>
      </c>
      <c r="AF10" s="14" t="s">
        <v>86</v>
      </c>
      <c r="AG10" s="14" t="s">
        <v>4</v>
      </c>
      <c r="AH10" s="14" t="s">
        <v>5</v>
      </c>
      <c r="AI10" s="14" t="s">
        <v>6</v>
      </c>
      <c r="AJ10" s="14" t="s">
        <v>7</v>
      </c>
      <c r="AK10" s="14" t="s">
        <v>8</v>
      </c>
      <c r="AL10" s="14" t="s">
        <v>9</v>
      </c>
      <c r="AM10" s="14" t="s">
        <v>10</v>
      </c>
      <c r="AN10" s="14" t="s">
        <v>11</v>
      </c>
      <c r="AO10" s="14" t="s">
        <v>12</v>
      </c>
      <c r="AP10" s="14" t="s">
        <v>13</v>
      </c>
    </row>
    <row r="11" spans="1:42" ht="30">
      <c r="A11" s="9"/>
      <c r="B11" s="10" t="s">
        <v>92</v>
      </c>
      <c r="C11" s="11">
        <v>2</v>
      </c>
      <c r="D11" s="185" t="s">
        <v>1036</v>
      </c>
      <c r="E11" s="185" t="s">
        <v>1034</v>
      </c>
      <c r="F11" s="12">
        <v>12</v>
      </c>
      <c r="G11" s="12">
        <v>10</v>
      </c>
      <c r="H11" s="12">
        <v>22</v>
      </c>
      <c r="I11" s="12">
        <v>8</v>
      </c>
      <c r="J11" s="12">
        <v>9</v>
      </c>
      <c r="K11" s="12">
        <v>36</v>
      </c>
      <c r="L11" s="12">
        <v>18</v>
      </c>
      <c r="M11" s="12">
        <v>28</v>
      </c>
      <c r="N11" s="12">
        <v>16</v>
      </c>
      <c r="O11" s="12">
        <v>50</v>
      </c>
      <c r="P11" s="12">
        <v>54</v>
      </c>
      <c r="Q11" s="12">
        <v>19</v>
      </c>
      <c r="R11" s="35">
        <f t="shared" si="0"/>
        <v>23.5</v>
      </c>
      <c r="S11" s="14">
        <v>50</v>
      </c>
      <c r="T11" s="242" t="s">
        <v>1037</v>
      </c>
      <c r="AB11" s="847" t="s">
        <v>1040</v>
      </c>
      <c r="AC11" s="847" t="s">
        <v>1032</v>
      </c>
      <c r="AD11" s="855" t="s">
        <v>29</v>
      </c>
      <c r="AE11" s="32">
        <v>1</v>
      </c>
      <c r="AF11" s="65" t="s">
        <v>830</v>
      </c>
      <c r="AG11" s="33">
        <f>AVERAGE(F7:K7)</f>
        <v>5.418333333333333</v>
      </c>
      <c r="AH11" s="14" t="s">
        <v>905</v>
      </c>
      <c r="AI11" s="33">
        <f>AVERAGE(F10:K10)</f>
        <v>24.5</v>
      </c>
      <c r="AJ11" s="33">
        <f>AVERAGE(F13:K13)</f>
        <v>7.3050000000000006</v>
      </c>
      <c r="AK11" s="33">
        <f>AVERAGE(F16:K16)</f>
        <v>28.933333333333334</v>
      </c>
      <c r="AL11" s="33">
        <f>AVERAGE(F19:K19)</f>
        <v>5</v>
      </c>
      <c r="AM11" s="33">
        <f>GEOMEAN(F22:K22)</f>
        <v>308.46609274047336</v>
      </c>
      <c r="AN11" s="34">
        <f>AVERAGE(F25:K25)</f>
        <v>9.1500000000000026E-2</v>
      </c>
      <c r="AO11" s="34">
        <f>AVERAGE(F28:K28)</f>
        <v>2.1833333333333333E-2</v>
      </c>
      <c r="AP11" s="14" t="s">
        <v>905</v>
      </c>
    </row>
    <row r="12" spans="1:42" ht="30">
      <c r="A12" s="9"/>
      <c r="B12" s="10" t="s">
        <v>92</v>
      </c>
      <c r="C12" s="11">
        <v>3</v>
      </c>
      <c r="D12" s="185" t="s">
        <v>1038</v>
      </c>
      <c r="E12" s="185" t="s">
        <v>1034</v>
      </c>
      <c r="F12" s="12">
        <v>15</v>
      </c>
      <c r="G12" s="12">
        <v>8</v>
      </c>
      <c r="H12" s="12">
        <v>21</v>
      </c>
      <c r="I12" s="12">
        <v>11</v>
      </c>
      <c r="J12" s="12">
        <v>11</v>
      </c>
      <c r="K12" s="12">
        <v>51</v>
      </c>
      <c r="L12" s="12">
        <v>22</v>
      </c>
      <c r="M12" s="12">
        <v>28</v>
      </c>
      <c r="N12" s="12">
        <v>12</v>
      </c>
      <c r="O12" s="12">
        <v>22</v>
      </c>
      <c r="P12" s="12">
        <v>54</v>
      </c>
      <c r="Q12" s="12">
        <v>23</v>
      </c>
      <c r="R12" s="35">
        <f t="shared" si="0"/>
        <v>23.166666666666668</v>
      </c>
      <c r="S12" s="14">
        <v>50</v>
      </c>
      <c r="T12" s="242" t="s">
        <v>1039</v>
      </c>
      <c r="AB12" s="1161"/>
      <c r="AC12" s="1161"/>
      <c r="AD12" s="1161"/>
      <c r="AE12" s="32">
        <v>2</v>
      </c>
      <c r="AF12" s="65" t="s">
        <v>826</v>
      </c>
      <c r="AG12" s="33">
        <f>AVERAGE(F8:K8)</f>
        <v>5.1866666666666665</v>
      </c>
      <c r="AH12" s="14" t="s">
        <v>905</v>
      </c>
      <c r="AI12" s="33">
        <f>AVERAGE(F11:K11)</f>
        <v>16.166666666666668</v>
      </c>
      <c r="AJ12" s="33">
        <f>AVERAGE(F14:K14)</f>
        <v>7.2850000000000001</v>
      </c>
      <c r="AK12" s="33">
        <f>AVERAGE(F17:K17)</f>
        <v>29.083333333333332</v>
      </c>
      <c r="AL12" s="33">
        <f>AVERAGE(F20:K20)</f>
        <v>5</v>
      </c>
      <c r="AM12" s="33">
        <f>GEOMEAN(F23:K23)</f>
        <v>351.80023586557627</v>
      </c>
      <c r="AN12" s="34">
        <f>AVERAGE(F26:K26)</f>
        <v>0.12133333333333335</v>
      </c>
      <c r="AO12" s="34">
        <f>AVERAGE(F29:K29)</f>
        <v>4.0000000000000008E-2</v>
      </c>
      <c r="AP12" s="14" t="s">
        <v>905</v>
      </c>
    </row>
    <row r="13" spans="1:42">
      <c r="A13" s="9"/>
      <c r="B13" s="149" t="s">
        <v>7</v>
      </c>
      <c r="C13" s="15">
        <v>1</v>
      </c>
      <c r="D13" s="95" t="s">
        <v>1033</v>
      </c>
      <c r="E13" s="95" t="s">
        <v>1034</v>
      </c>
      <c r="F13" s="7">
        <v>7.21</v>
      </c>
      <c r="G13" s="7">
        <v>7.41</v>
      </c>
      <c r="H13" s="7">
        <v>7.3</v>
      </c>
      <c r="I13" s="7">
        <v>7.25</v>
      </c>
      <c r="J13" s="7">
        <v>7.31</v>
      </c>
      <c r="K13" s="7">
        <v>7.35</v>
      </c>
      <c r="L13" s="7">
        <v>7.35</v>
      </c>
      <c r="M13" s="7">
        <v>7.18</v>
      </c>
      <c r="N13" s="7">
        <v>7.92</v>
      </c>
      <c r="O13" s="7">
        <v>7.89</v>
      </c>
      <c r="P13" s="7">
        <v>7.83</v>
      </c>
      <c r="Q13" s="7">
        <v>7.85</v>
      </c>
      <c r="R13" s="48">
        <f t="shared" si="0"/>
        <v>7.4874999999999998</v>
      </c>
      <c r="S13" s="114" t="s">
        <v>908</v>
      </c>
      <c r="T13" s="242" t="s">
        <v>1035</v>
      </c>
      <c r="AB13" s="1161"/>
      <c r="AC13" s="1161"/>
      <c r="AD13" s="1161"/>
      <c r="AE13" s="32">
        <v>3</v>
      </c>
      <c r="AF13" s="65" t="s">
        <v>823</v>
      </c>
      <c r="AG13" s="33">
        <f>AVERAGE(F9:K9)</f>
        <v>5.3983333333333334</v>
      </c>
      <c r="AH13" s="14" t="s">
        <v>905</v>
      </c>
      <c r="AI13" s="33">
        <f>AVERAGE(F12:K12)</f>
        <v>19.5</v>
      </c>
      <c r="AJ13" s="33">
        <f>AVERAGE(F15:K15)</f>
        <v>7.3000000000000007</v>
      </c>
      <c r="AK13" s="33">
        <f>AVERAGE(F18:K18)</f>
        <v>29.133333333333329</v>
      </c>
      <c r="AL13" s="33">
        <f>AVERAGE(F21:K21)</f>
        <v>5</v>
      </c>
      <c r="AM13" s="33">
        <f>GEOMEAN(F24:K24)</f>
        <v>310.09229744159273</v>
      </c>
      <c r="AN13" s="34">
        <f>AVERAGE(F27:K27)</f>
        <v>0.10249999999999999</v>
      </c>
      <c r="AO13" s="34">
        <f>AVERAGE(F30:K30)</f>
        <v>2.6666666666666661E-2</v>
      </c>
      <c r="AP13" s="14" t="s">
        <v>905</v>
      </c>
    </row>
    <row r="14" spans="1:42">
      <c r="A14" s="9"/>
      <c r="B14" s="10" t="s">
        <v>7</v>
      </c>
      <c r="C14" s="11">
        <v>2</v>
      </c>
      <c r="D14" s="185" t="s">
        <v>1036</v>
      </c>
      <c r="E14" s="185" t="s">
        <v>1034</v>
      </c>
      <c r="F14" s="12">
        <v>7.18</v>
      </c>
      <c r="G14" s="12">
        <v>7.52</v>
      </c>
      <c r="H14" s="12">
        <v>7.25</v>
      </c>
      <c r="I14" s="12">
        <v>7.19</v>
      </c>
      <c r="J14" s="12">
        <v>7.29</v>
      </c>
      <c r="K14" s="12">
        <v>7.28</v>
      </c>
      <c r="L14" s="12">
        <v>7.28</v>
      </c>
      <c r="M14" s="12">
        <v>7.2</v>
      </c>
      <c r="N14" s="12">
        <v>7.9</v>
      </c>
      <c r="O14" s="12">
        <v>7.9</v>
      </c>
      <c r="P14" s="12">
        <v>7.81</v>
      </c>
      <c r="Q14" s="12">
        <v>7.77</v>
      </c>
      <c r="R14" s="35">
        <f t="shared" si="0"/>
        <v>7.4641666666666673</v>
      </c>
      <c r="S14" s="115" t="s">
        <v>908</v>
      </c>
      <c r="T14" s="242" t="s">
        <v>1037</v>
      </c>
      <c r="AB14" s="844"/>
      <c r="AC14" s="845"/>
      <c r="AD14" s="845"/>
      <c r="AE14" s="845"/>
      <c r="AF14" s="845"/>
      <c r="AG14" s="845"/>
      <c r="AH14" s="845"/>
      <c r="AI14" s="845"/>
      <c r="AJ14" s="845"/>
      <c r="AK14" s="845"/>
      <c r="AL14" s="845"/>
      <c r="AM14" s="845"/>
      <c r="AN14" s="845"/>
      <c r="AO14" s="845"/>
      <c r="AP14" s="846"/>
    </row>
    <row r="15" spans="1:42">
      <c r="A15" s="9"/>
      <c r="B15" s="10" t="s">
        <v>7</v>
      </c>
      <c r="C15" s="11">
        <v>3</v>
      </c>
      <c r="D15" s="185" t="s">
        <v>1038</v>
      </c>
      <c r="E15" s="185" t="s">
        <v>1034</v>
      </c>
      <c r="F15" s="12">
        <v>7.2</v>
      </c>
      <c r="G15" s="12">
        <v>7.53</v>
      </c>
      <c r="H15" s="12">
        <v>7.28</v>
      </c>
      <c r="I15" s="12">
        <v>7.21</v>
      </c>
      <c r="J15" s="12">
        <v>7.29</v>
      </c>
      <c r="K15" s="12">
        <v>7.29</v>
      </c>
      <c r="L15" s="12">
        <v>7.3</v>
      </c>
      <c r="M15" s="12">
        <v>7.2</v>
      </c>
      <c r="N15" s="12">
        <v>7.95</v>
      </c>
      <c r="O15" s="12">
        <v>7.9</v>
      </c>
      <c r="P15" s="12">
        <v>7.83</v>
      </c>
      <c r="Q15" s="12">
        <v>7.81</v>
      </c>
      <c r="R15" s="35">
        <f t="shared" si="0"/>
        <v>7.4825000000000008</v>
      </c>
      <c r="S15" s="115" t="s">
        <v>908</v>
      </c>
      <c r="T15" s="242" t="s">
        <v>1039</v>
      </c>
      <c r="AB15" s="14" t="s">
        <v>93</v>
      </c>
      <c r="AC15" s="1162"/>
      <c r="AD15" s="1161"/>
      <c r="AE15" s="1161"/>
      <c r="AF15" s="1161"/>
      <c r="AG15" s="33">
        <f>AVERAGE(AG11:AG13)</f>
        <v>5.3344444444444443</v>
      </c>
      <c r="AH15" s="14" t="s">
        <v>905</v>
      </c>
      <c r="AI15" s="33">
        <f t="shared" ref="AI15:AO15" si="1">AVERAGE(AI11:AI13)</f>
        <v>20.055555555555557</v>
      </c>
      <c r="AJ15" s="33">
        <f t="shared" si="1"/>
        <v>7.2966666666666669</v>
      </c>
      <c r="AK15" s="33">
        <f t="shared" si="1"/>
        <v>29.049999999999997</v>
      </c>
      <c r="AL15" s="33">
        <f t="shared" si="1"/>
        <v>5</v>
      </c>
      <c r="AM15" s="33">
        <f t="shared" si="1"/>
        <v>323.45287534921414</v>
      </c>
      <c r="AN15" s="34">
        <f t="shared" si="1"/>
        <v>0.10511111111111111</v>
      </c>
      <c r="AO15" s="34">
        <f t="shared" si="1"/>
        <v>2.9499999999999998E-2</v>
      </c>
      <c r="AP15" s="14" t="s">
        <v>905</v>
      </c>
    </row>
    <row r="16" spans="1:42">
      <c r="A16" s="9"/>
      <c r="B16" s="149" t="s">
        <v>108</v>
      </c>
      <c r="C16" s="15">
        <v>1</v>
      </c>
      <c r="D16" s="95" t="s">
        <v>1033</v>
      </c>
      <c r="E16" s="95" t="s">
        <v>1034</v>
      </c>
      <c r="F16" s="7">
        <v>27</v>
      </c>
      <c r="G16" s="7">
        <v>29.4</v>
      </c>
      <c r="H16" s="7">
        <v>30</v>
      </c>
      <c r="I16" s="7">
        <v>30.1</v>
      </c>
      <c r="J16" s="7">
        <v>30.1</v>
      </c>
      <c r="K16" s="7">
        <v>27</v>
      </c>
      <c r="L16" s="7">
        <v>28.1</v>
      </c>
      <c r="M16" s="7">
        <v>29.8</v>
      </c>
      <c r="N16" s="7">
        <v>29.3</v>
      </c>
      <c r="O16" s="7">
        <v>29.3</v>
      </c>
      <c r="P16" s="7">
        <v>29.8</v>
      </c>
      <c r="Q16" s="7">
        <v>30.1</v>
      </c>
      <c r="R16" s="48">
        <f t="shared" si="0"/>
        <v>29.166666666666671</v>
      </c>
      <c r="S16" s="17" t="s">
        <v>777</v>
      </c>
      <c r="T16" s="242" t="s">
        <v>1035</v>
      </c>
      <c r="AB16" s="14" t="s">
        <v>94</v>
      </c>
      <c r="AC16" s="1161"/>
      <c r="AD16" s="1163"/>
      <c r="AE16" s="1163"/>
      <c r="AF16" s="1161"/>
      <c r="AG16" s="33">
        <f>MIN(AG11:AG13)</f>
        <v>5.1866666666666665</v>
      </c>
      <c r="AH16" s="14" t="s">
        <v>905</v>
      </c>
      <c r="AI16" s="33">
        <f t="shared" ref="AI16:AO16" si="2">MIN(AI11:AI13)</f>
        <v>16.166666666666668</v>
      </c>
      <c r="AJ16" s="33">
        <f t="shared" si="2"/>
        <v>7.2850000000000001</v>
      </c>
      <c r="AK16" s="33">
        <f t="shared" si="2"/>
        <v>28.933333333333334</v>
      </c>
      <c r="AL16" s="33">
        <f t="shared" si="2"/>
        <v>5</v>
      </c>
      <c r="AM16" s="33">
        <f t="shared" si="2"/>
        <v>308.46609274047336</v>
      </c>
      <c r="AN16" s="34">
        <f t="shared" si="2"/>
        <v>9.1500000000000026E-2</v>
      </c>
      <c r="AO16" s="34">
        <f t="shared" si="2"/>
        <v>2.1833333333333333E-2</v>
      </c>
      <c r="AP16" s="14" t="s">
        <v>905</v>
      </c>
    </row>
    <row r="17" spans="1:42">
      <c r="A17" s="9"/>
      <c r="B17" s="10" t="s">
        <v>108</v>
      </c>
      <c r="C17" s="11">
        <v>2</v>
      </c>
      <c r="D17" s="185" t="s">
        <v>1036</v>
      </c>
      <c r="E17" s="185" t="s">
        <v>1034</v>
      </c>
      <c r="F17" s="12">
        <v>27.2</v>
      </c>
      <c r="G17" s="12">
        <v>29</v>
      </c>
      <c r="H17" s="12">
        <v>30.1</v>
      </c>
      <c r="I17" s="12">
        <v>31</v>
      </c>
      <c r="J17" s="12">
        <v>30.2</v>
      </c>
      <c r="K17" s="12">
        <v>27</v>
      </c>
      <c r="L17" s="12">
        <v>28.1</v>
      </c>
      <c r="M17" s="12">
        <v>29.8</v>
      </c>
      <c r="N17" s="12">
        <v>29.2</v>
      </c>
      <c r="O17" s="12">
        <v>29.3</v>
      </c>
      <c r="P17" s="12">
        <v>29.8</v>
      </c>
      <c r="Q17" s="12">
        <v>30.1</v>
      </c>
      <c r="R17" s="35">
        <f t="shared" si="0"/>
        <v>29.233333333333338</v>
      </c>
      <c r="S17" s="18" t="s">
        <v>777</v>
      </c>
      <c r="T17" s="242" t="s">
        <v>1037</v>
      </c>
      <c r="AB17" s="14" t="s">
        <v>95</v>
      </c>
      <c r="AC17" s="1161"/>
      <c r="AD17" s="1163"/>
      <c r="AE17" s="1163"/>
      <c r="AF17" s="1161"/>
      <c r="AG17" s="33">
        <f>MAX(AG11:AG13)</f>
        <v>5.418333333333333</v>
      </c>
      <c r="AH17" s="14" t="s">
        <v>905</v>
      </c>
      <c r="AI17" s="33">
        <f t="shared" ref="AI17:AO17" si="3">MAX(AI11:AI13)</f>
        <v>24.5</v>
      </c>
      <c r="AJ17" s="33">
        <f t="shared" si="3"/>
        <v>7.3050000000000006</v>
      </c>
      <c r="AK17" s="33">
        <f t="shared" si="3"/>
        <v>29.133333333333329</v>
      </c>
      <c r="AL17" s="33">
        <f t="shared" si="3"/>
        <v>5</v>
      </c>
      <c r="AM17" s="33">
        <f t="shared" si="3"/>
        <v>351.80023586557627</v>
      </c>
      <c r="AN17" s="34">
        <f t="shared" si="3"/>
        <v>0.12133333333333335</v>
      </c>
      <c r="AO17" s="34">
        <f t="shared" si="3"/>
        <v>4.0000000000000008E-2</v>
      </c>
      <c r="AP17" s="14" t="s">
        <v>905</v>
      </c>
    </row>
    <row r="18" spans="1:42">
      <c r="A18" s="9"/>
      <c r="B18" s="10" t="s">
        <v>108</v>
      </c>
      <c r="C18" s="11">
        <v>3</v>
      </c>
      <c r="D18" s="185" t="s">
        <v>1038</v>
      </c>
      <c r="E18" s="185" t="s">
        <v>1034</v>
      </c>
      <c r="F18" s="12">
        <v>27.2</v>
      </c>
      <c r="G18" s="12">
        <v>29.2</v>
      </c>
      <c r="H18" s="12">
        <v>30.1</v>
      </c>
      <c r="I18" s="12">
        <v>31.1</v>
      </c>
      <c r="J18" s="12">
        <v>30.2</v>
      </c>
      <c r="K18" s="12">
        <v>27</v>
      </c>
      <c r="L18" s="12">
        <v>28.2</v>
      </c>
      <c r="M18" s="12">
        <v>29.8</v>
      </c>
      <c r="N18" s="12">
        <v>29.4</v>
      </c>
      <c r="O18" s="12">
        <v>29.3</v>
      </c>
      <c r="P18" s="12">
        <v>29.8</v>
      </c>
      <c r="Q18" s="12">
        <v>30.1</v>
      </c>
      <c r="R18" s="35">
        <f t="shared" si="0"/>
        <v>29.283333333333335</v>
      </c>
      <c r="S18" s="18" t="s">
        <v>777</v>
      </c>
      <c r="T18" s="242" t="s">
        <v>1039</v>
      </c>
      <c r="AB18" s="14" t="s">
        <v>96</v>
      </c>
      <c r="AC18" s="1161"/>
      <c r="AD18" s="1161"/>
      <c r="AE18" s="1161"/>
      <c r="AF18" s="1161"/>
      <c r="AG18" s="118" t="s">
        <v>906</v>
      </c>
      <c r="AH18" s="118" t="s">
        <v>905</v>
      </c>
      <c r="AI18" s="118" t="s">
        <v>907</v>
      </c>
      <c r="AJ18" s="118" t="s">
        <v>908</v>
      </c>
      <c r="AK18" s="29" t="s">
        <v>909</v>
      </c>
      <c r="AL18" s="118" t="s">
        <v>699</v>
      </c>
      <c r="AM18" s="118" t="s">
        <v>700</v>
      </c>
      <c r="AN18" s="118" t="s">
        <v>910</v>
      </c>
      <c r="AO18" s="118" t="s">
        <v>911</v>
      </c>
      <c r="AP18" s="118" t="s">
        <v>905</v>
      </c>
    </row>
    <row r="19" spans="1:42">
      <c r="A19" s="9"/>
      <c r="B19" s="149" t="s">
        <v>110</v>
      </c>
      <c r="C19" s="15">
        <v>1</v>
      </c>
      <c r="D19" s="95" t="s">
        <v>1033</v>
      </c>
      <c r="E19" s="95" t="s">
        <v>1034</v>
      </c>
      <c r="F19" s="7">
        <v>5</v>
      </c>
      <c r="G19" s="7">
        <v>5</v>
      </c>
      <c r="H19" s="7">
        <v>5</v>
      </c>
      <c r="I19" s="7">
        <v>5</v>
      </c>
      <c r="J19" s="7">
        <v>5</v>
      </c>
      <c r="K19" s="7">
        <v>5</v>
      </c>
      <c r="L19" s="7">
        <v>5</v>
      </c>
      <c r="M19" s="7">
        <v>5</v>
      </c>
      <c r="N19" s="7">
        <v>5</v>
      </c>
      <c r="O19" s="7">
        <v>5</v>
      </c>
      <c r="P19" s="7">
        <v>5</v>
      </c>
      <c r="Q19" s="7">
        <v>5</v>
      </c>
      <c r="R19" s="48">
        <f t="shared" si="0"/>
        <v>5</v>
      </c>
      <c r="S19" s="116">
        <v>50</v>
      </c>
      <c r="T19" s="242" t="s">
        <v>1035</v>
      </c>
      <c r="AB19" s="243"/>
      <c r="AC19" s="241"/>
      <c r="AD19" s="241"/>
      <c r="AE19" s="241"/>
      <c r="AF19" s="241"/>
      <c r="AG19" s="475"/>
      <c r="AH19" s="475"/>
      <c r="AI19" s="475"/>
      <c r="AJ19" s="475"/>
      <c r="AK19" s="245"/>
      <c r="AL19" s="475"/>
      <c r="AM19" s="475"/>
      <c r="AN19" s="475"/>
      <c r="AO19" s="475"/>
      <c r="AP19" s="475"/>
    </row>
    <row r="20" spans="1:42">
      <c r="A20" s="9"/>
      <c r="B20" s="10" t="s">
        <v>110</v>
      </c>
      <c r="C20" s="11">
        <v>2</v>
      </c>
      <c r="D20" s="185" t="s">
        <v>1036</v>
      </c>
      <c r="E20" s="185" t="s">
        <v>1034</v>
      </c>
      <c r="F20" s="12">
        <v>5</v>
      </c>
      <c r="G20" s="12">
        <v>5</v>
      </c>
      <c r="H20" s="12">
        <v>5</v>
      </c>
      <c r="I20" s="12">
        <v>5</v>
      </c>
      <c r="J20" s="12">
        <v>5</v>
      </c>
      <c r="K20" s="12">
        <v>5</v>
      </c>
      <c r="L20" s="12">
        <v>5</v>
      </c>
      <c r="M20" s="12">
        <v>5</v>
      </c>
      <c r="N20" s="12">
        <v>5</v>
      </c>
      <c r="O20" s="12">
        <v>5</v>
      </c>
      <c r="P20" s="12">
        <v>5</v>
      </c>
      <c r="Q20" s="12">
        <v>5</v>
      </c>
      <c r="R20" s="35">
        <f t="shared" si="0"/>
        <v>5</v>
      </c>
      <c r="S20" s="117">
        <v>50</v>
      </c>
      <c r="T20" s="242" t="s">
        <v>1037</v>
      </c>
      <c r="AB20" s="232"/>
      <c r="AC20" s="232"/>
      <c r="AD20" s="232"/>
      <c r="AE20" s="232"/>
      <c r="AF20" s="232"/>
      <c r="AG20" s="232"/>
      <c r="AH20" s="232"/>
      <c r="AI20" s="232"/>
      <c r="AJ20" s="232"/>
      <c r="AK20" s="232"/>
      <c r="AL20" s="232"/>
      <c r="AM20" s="232"/>
      <c r="AN20" s="232"/>
      <c r="AO20" s="232"/>
      <c r="AP20" s="232"/>
    </row>
    <row r="21" spans="1:42" ht="15.75" customHeight="1">
      <c r="A21" s="9"/>
      <c r="B21" s="10" t="s">
        <v>110</v>
      </c>
      <c r="C21" s="11">
        <v>3</v>
      </c>
      <c r="D21" s="185" t="s">
        <v>1038</v>
      </c>
      <c r="E21" s="185" t="s">
        <v>1034</v>
      </c>
      <c r="F21" s="12">
        <v>5</v>
      </c>
      <c r="G21" s="12">
        <v>5</v>
      </c>
      <c r="H21" s="12">
        <v>5</v>
      </c>
      <c r="I21" s="12">
        <v>5</v>
      </c>
      <c r="J21" s="12">
        <v>5</v>
      </c>
      <c r="K21" s="12">
        <v>5</v>
      </c>
      <c r="L21" s="12">
        <v>5</v>
      </c>
      <c r="M21" s="12">
        <v>5</v>
      </c>
      <c r="N21" s="12">
        <v>5</v>
      </c>
      <c r="O21" s="12">
        <v>5</v>
      </c>
      <c r="P21" s="12">
        <v>5</v>
      </c>
      <c r="Q21" s="12">
        <v>5</v>
      </c>
      <c r="R21" s="35">
        <f t="shared" si="0"/>
        <v>5</v>
      </c>
      <c r="S21" s="117">
        <v>50</v>
      </c>
      <c r="T21" s="242" t="s">
        <v>1039</v>
      </c>
      <c r="AB21" s="232"/>
      <c r="AC21" s="232"/>
      <c r="AD21" s="232"/>
      <c r="AE21" s="232"/>
      <c r="AF21" s="232"/>
      <c r="AG21" s="232"/>
      <c r="AH21" s="232"/>
      <c r="AI21" s="232"/>
      <c r="AJ21" s="232"/>
      <c r="AK21" s="232"/>
      <c r="AL21" s="232"/>
      <c r="AM21" s="232"/>
      <c r="AN21" s="232"/>
      <c r="AO21" s="232"/>
      <c r="AP21" s="232"/>
    </row>
    <row r="22" spans="1:42" ht="15.75" customHeight="1">
      <c r="A22" s="9"/>
      <c r="B22" s="149" t="s">
        <v>111</v>
      </c>
      <c r="C22" s="15">
        <v>1</v>
      </c>
      <c r="D22" s="95" t="s">
        <v>1033</v>
      </c>
      <c r="E22" s="95" t="s">
        <v>1034</v>
      </c>
      <c r="F22" s="7">
        <v>460</v>
      </c>
      <c r="G22" s="7">
        <v>3500</v>
      </c>
      <c r="H22" s="7">
        <v>49</v>
      </c>
      <c r="I22" s="7">
        <v>130</v>
      </c>
      <c r="J22" s="7">
        <v>350</v>
      </c>
      <c r="K22" s="7">
        <v>240</v>
      </c>
      <c r="L22" s="7">
        <v>11</v>
      </c>
      <c r="M22" s="7">
        <v>46</v>
      </c>
      <c r="N22" s="7">
        <v>540</v>
      </c>
      <c r="O22" s="7">
        <v>1600</v>
      </c>
      <c r="P22" s="7">
        <v>1700</v>
      </c>
      <c r="Q22" s="7">
        <v>49</v>
      </c>
      <c r="R22" s="48">
        <f>IFERROR(GEOMEAN(F22:Q22), "")</f>
        <v>236.9806144883128</v>
      </c>
      <c r="S22" s="8">
        <v>100</v>
      </c>
      <c r="T22" s="242" t="s">
        <v>1035</v>
      </c>
      <c r="AB22" s="970" t="s">
        <v>70</v>
      </c>
      <c r="AC22" s="970"/>
      <c r="AD22" s="970"/>
      <c r="AE22" s="970"/>
      <c r="AF22" s="970"/>
      <c r="AG22" s="970"/>
      <c r="AH22" s="970"/>
      <c r="AI22" s="970"/>
      <c r="AJ22" s="970"/>
      <c r="AK22" s="970"/>
      <c r="AL22" s="970"/>
      <c r="AM22" s="970"/>
      <c r="AN22" s="970"/>
      <c r="AO22" s="970"/>
      <c r="AP22" s="970"/>
    </row>
    <row r="23" spans="1:42" ht="15.75" customHeight="1">
      <c r="A23" s="9"/>
      <c r="B23" s="10" t="s">
        <v>111</v>
      </c>
      <c r="C23" s="11">
        <v>2</v>
      </c>
      <c r="D23" s="185" t="s">
        <v>1036</v>
      </c>
      <c r="E23" s="185" t="s">
        <v>1034</v>
      </c>
      <c r="F23" s="12">
        <v>110</v>
      </c>
      <c r="G23" s="12">
        <v>2400</v>
      </c>
      <c r="H23" s="12">
        <v>110</v>
      </c>
      <c r="I23" s="12">
        <v>240</v>
      </c>
      <c r="J23" s="12">
        <v>170</v>
      </c>
      <c r="K23" s="12">
        <v>1600</v>
      </c>
      <c r="L23" s="12">
        <v>11</v>
      </c>
      <c r="M23" s="12">
        <v>33</v>
      </c>
      <c r="N23" s="12">
        <v>350</v>
      </c>
      <c r="O23" s="12">
        <v>2400</v>
      </c>
      <c r="P23" s="12">
        <v>540</v>
      </c>
      <c r="Q23" s="12">
        <v>70</v>
      </c>
      <c r="R23" s="35">
        <f>IFERROR(GEOMEAN(F23:Q23), "")</f>
        <v>229.94353610823919</v>
      </c>
      <c r="S23" s="14">
        <v>100</v>
      </c>
      <c r="T23" s="242" t="s">
        <v>1037</v>
      </c>
      <c r="AB23" s="970" t="s">
        <v>107</v>
      </c>
      <c r="AC23" s="970"/>
      <c r="AD23" s="970"/>
      <c r="AE23" s="970"/>
      <c r="AF23" s="970"/>
      <c r="AG23" s="970"/>
      <c r="AH23" s="970"/>
      <c r="AI23" s="970"/>
      <c r="AJ23" s="970"/>
      <c r="AK23" s="970"/>
      <c r="AL23" s="970"/>
      <c r="AM23" s="970"/>
      <c r="AN23" s="970"/>
      <c r="AO23" s="970"/>
      <c r="AP23" s="970"/>
    </row>
    <row r="24" spans="1:42" ht="15.75" customHeight="1">
      <c r="A24" s="9"/>
      <c r="B24" s="10" t="s">
        <v>111</v>
      </c>
      <c r="C24" s="11">
        <v>3</v>
      </c>
      <c r="D24" s="185" t="s">
        <v>1038</v>
      </c>
      <c r="E24" s="185" t="s">
        <v>1034</v>
      </c>
      <c r="F24" s="12">
        <v>490</v>
      </c>
      <c r="G24" s="12">
        <v>3500</v>
      </c>
      <c r="H24" s="12">
        <v>70</v>
      </c>
      <c r="I24" s="12">
        <v>23</v>
      </c>
      <c r="J24" s="12">
        <v>350</v>
      </c>
      <c r="K24" s="12">
        <v>920</v>
      </c>
      <c r="L24" s="12">
        <v>33</v>
      </c>
      <c r="M24" s="12">
        <v>13</v>
      </c>
      <c r="N24" s="12">
        <v>920</v>
      </c>
      <c r="O24" s="12">
        <v>2400</v>
      </c>
      <c r="P24" s="12">
        <v>920</v>
      </c>
      <c r="Q24" s="12">
        <v>6.8</v>
      </c>
      <c r="R24" s="35">
        <f>IFERROR(GEOMEAN(F24:Q24), "")</f>
        <v>204.24036649915047</v>
      </c>
      <c r="S24" s="14">
        <v>100</v>
      </c>
      <c r="T24" s="242" t="s">
        <v>1039</v>
      </c>
      <c r="AB24" s="848"/>
      <c r="AC24" s="848"/>
      <c r="AD24" s="848"/>
      <c r="AE24" s="848"/>
      <c r="AF24" s="848"/>
      <c r="AG24" s="848" t="s">
        <v>78</v>
      </c>
      <c r="AH24" s="1161"/>
      <c r="AI24" s="1161"/>
      <c r="AJ24" s="1161"/>
      <c r="AK24" s="1161"/>
      <c r="AL24" s="1161"/>
      <c r="AM24" s="1161"/>
      <c r="AN24" s="1161"/>
      <c r="AO24" s="1161"/>
      <c r="AP24" s="1161"/>
    </row>
    <row r="25" spans="1:42" ht="15.75" customHeight="1">
      <c r="A25" s="20"/>
      <c r="B25" s="151" t="s">
        <v>113</v>
      </c>
      <c r="C25" s="15">
        <v>1</v>
      </c>
      <c r="D25" s="96" t="s">
        <v>1033</v>
      </c>
      <c r="E25" s="95" t="s">
        <v>1034</v>
      </c>
      <c r="F25" s="22">
        <v>8.4000000000000005E-2</v>
      </c>
      <c r="G25" s="22">
        <v>0.27</v>
      </c>
      <c r="H25" s="22">
        <v>7.4999999999999997E-2</v>
      </c>
      <c r="I25" s="22">
        <v>3.4000000000000002E-2</v>
      </c>
      <c r="J25" s="22">
        <v>4.2999999999999997E-2</v>
      </c>
      <c r="K25" s="22">
        <v>4.2999999999999997E-2</v>
      </c>
      <c r="L25" s="22">
        <v>6.7000000000000004E-2</v>
      </c>
      <c r="M25" s="22">
        <v>4.2999999999999997E-2</v>
      </c>
      <c r="N25" s="22">
        <v>0.20200000000000001</v>
      </c>
      <c r="O25" s="22">
        <v>0.155</v>
      </c>
      <c r="P25" s="22">
        <v>4.2999999999999997E-2</v>
      </c>
      <c r="Q25" s="22">
        <v>9.1999999999999998E-2</v>
      </c>
      <c r="R25" s="70">
        <f>IFERROR(AVERAGE(F25:Q25), 0)</f>
        <v>9.5916666666666692E-2</v>
      </c>
      <c r="S25" s="23">
        <v>10</v>
      </c>
      <c r="T25" s="242" t="s">
        <v>1035</v>
      </c>
      <c r="AB25" s="14" t="s">
        <v>82</v>
      </c>
      <c r="AC25" s="14" t="s">
        <v>83</v>
      </c>
      <c r="AD25" s="14" t="s">
        <v>84</v>
      </c>
      <c r="AE25" s="14" t="s">
        <v>85</v>
      </c>
      <c r="AF25" s="14" t="s">
        <v>86</v>
      </c>
      <c r="AG25" s="14" t="s">
        <v>4</v>
      </c>
      <c r="AH25" s="14" t="s">
        <v>5</v>
      </c>
      <c r="AI25" s="14" t="s">
        <v>6</v>
      </c>
      <c r="AJ25" s="14" t="s">
        <v>7</v>
      </c>
      <c r="AK25" s="14" t="s">
        <v>8</v>
      </c>
      <c r="AL25" s="14" t="s">
        <v>9</v>
      </c>
      <c r="AM25" s="14" t="s">
        <v>10</v>
      </c>
      <c r="AN25" s="14" t="s">
        <v>11</v>
      </c>
      <c r="AO25" s="14" t="s">
        <v>12</v>
      </c>
      <c r="AP25" s="14" t="s">
        <v>13</v>
      </c>
    </row>
    <row r="26" spans="1:42" ht="15.75" customHeight="1">
      <c r="A26" s="20"/>
      <c r="B26" s="84" t="s">
        <v>114</v>
      </c>
      <c r="C26" s="11">
        <v>2</v>
      </c>
      <c r="D26" s="186" t="s">
        <v>1036</v>
      </c>
      <c r="E26" s="185" t="s">
        <v>1034</v>
      </c>
      <c r="F26" s="26">
        <v>0.12</v>
      </c>
      <c r="G26" s="26">
        <v>0.246</v>
      </c>
      <c r="H26" s="26">
        <v>0.24199999999999999</v>
      </c>
      <c r="I26" s="26">
        <v>3.4000000000000002E-2</v>
      </c>
      <c r="J26" s="26">
        <v>4.2999999999999997E-2</v>
      </c>
      <c r="K26" s="26">
        <v>4.2999999999999997E-2</v>
      </c>
      <c r="L26" s="26">
        <v>5.3999999999999999E-2</v>
      </c>
      <c r="M26" s="26">
        <v>4.2999999999999997E-2</v>
      </c>
      <c r="N26" s="26">
        <v>0.216</v>
      </c>
      <c r="O26" s="26">
        <v>0.22900000000000001</v>
      </c>
      <c r="P26" s="26">
        <v>8.6999999999999994E-2</v>
      </c>
      <c r="Q26" s="26">
        <v>4.9000000000000002E-2</v>
      </c>
      <c r="R26" s="34">
        <f>IFERROR(AVERAGE(F26:Q26), 0)</f>
        <v>0.11716666666666668</v>
      </c>
      <c r="S26" s="28">
        <v>10</v>
      </c>
      <c r="T26" s="242" t="s">
        <v>1037</v>
      </c>
      <c r="AB26" s="847" t="s">
        <v>1030</v>
      </c>
      <c r="AC26" s="847" t="s">
        <v>1004</v>
      </c>
      <c r="AD26" s="855" t="s">
        <v>29</v>
      </c>
      <c r="AE26" s="32">
        <v>1</v>
      </c>
      <c r="AF26" s="65" t="s">
        <v>830</v>
      </c>
      <c r="AG26" s="35">
        <f>R7</f>
        <v>5.8891666666666671</v>
      </c>
      <c r="AH26" s="14" t="s">
        <v>905</v>
      </c>
      <c r="AI26" s="35">
        <f>R10</f>
        <v>22.916666666666668</v>
      </c>
      <c r="AJ26" s="35">
        <f>R13</f>
        <v>7.4874999999999998</v>
      </c>
      <c r="AK26" s="35">
        <f>R16</f>
        <v>29.166666666666671</v>
      </c>
      <c r="AL26" s="35">
        <f>R19</f>
        <v>5</v>
      </c>
      <c r="AM26" s="35">
        <f>R22</f>
        <v>236.9806144883128</v>
      </c>
      <c r="AN26" s="34">
        <f>R25</f>
        <v>9.5916666666666692E-2</v>
      </c>
      <c r="AO26" s="34">
        <f>R28</f>
        <v>2.6250000000000006E-2</v>
      </c>
      <c r="AP26" s="14" t="s">
        <v>905</v>
      </c>
    </row>
    <row r="27" spans="1:42" ht="15.75" customHeight="1">
      <c r="A27" s="20"/>
      <c r="B27" s="84" t="s">
        <v>114</v>
      </c>
      <c r="C27" s="11">
        <v>3</v>
      </c>
      <c r="D27" s="186" t="s">
        <v>1038</v>
      </c>
      <c r="E27" s="185" t="s">
        <v>1034</v>
      </c>
      <c r="F27" s="26">
        <v>0.30199999999999999</v>
      </c>
      <c r="G27" s="26">
        <v>8.5999999999999993E-2</v>
      </c>
      <c r="H27" s="26">
        <v>7.4999999999999997E-2</v>
      </c>
      <c r="I27" s="26">
        <v>3.4000000000000002E-2</v>
      </c>
      <c r="J27" s="26">
        <v>4.2999999999999997E-2</v>
      </c>
      <c r="K27" s="26">
        <v>7.4999999999999997E-2</v>
      </c>
      <c r="L27" s="26">
        <v>6.5000000000000002E-2</v>
      </c>
      <c r="M27" s="26">
        <v>4.2999999999999997E-2</v>
      </c>
      <c r="N27" s="26">
        <v>0.34300000000000003</v>
      </c>
      <c r="O27" s="26">
        <v>0.245</v>
      </c>
      <c r="P27" s="26">
        <v>4.2999999999999997E-2</v>
      </c>
      <c r="Q27" s="26">
        <v>4.2999999999999997E-2</v>
      </c>
      <c r="R27" s="34">
        <f>IFERROR(AVERAGE(F27:Q27), 0)</f>
        <v>0.11641666666666665</v>
      </c>
      <c r="S27" s="28">
        <v>10</v>
      </c>
      <c r="T27" s="242" t="s">
        <v>1039</v>
      </c>
      <c r="AB27" s="1161"/>
      <c r="AC27" s="1161"/>
      <c r="AD27" s="1161"/>
      <c r="AE27" s="32">
        <v>2</v>
      </c>
      <c r="AF27" s="65" t="s">
        <v>826</v>
      </c>
      <c r="AG27" s="35">
        <f>R8</f>
        <v>5.7283333333333326</v>
      </c>
      <c r="AH27" s="14" t="s">
        <v>905</v>
      </c>
      <c r="AI27" s="35">
        <f>R11</f>
        <v>23.5</v>
      </c>
      <c r="AJ27" s="35">
        <f>R14</f>
        <v>7.4641666666666673</v>
      </c>
      <c r="AK27" s="35">
        <f>R17</f>
        <v>29.233333333333338</v>
      </c>
      <c r="AL27" s="35">
        <f>R20</f>
        <v>5</v>
      </c>
      <c r="AM27" s="35">
        <f>R23</f>
        <v>229.94353610823919</v>
      </c>
      <c r="AN27" s="34">
        <f>R26</f>
        <v>0.11716666666666668</v>
      </c>
      <c r="AO27" s="34">
        <f>R29</f>
        <v>3.3416666666666671E-2</v>
      </c>
      <c r="AP27" s="14" t="s">
        <v>905</v>
      </c>
    </row>
    <row r="28" spans="1:42" ht="15.75" customHeight="1">
      <c r="A28" s="20"/>
      <c r="B28" s="151" t="s">
        <v>115</v>
      </c>
      <c r="C28" s="15">
        <v>1</v>
      </c>
      <c r="D28" s="96" t="s">
        <v>1033</v>
      </c>
      <c r="E28" s="95" t="s">
        <v>1034</v>
      </c>
      <c r="F28" s="22">
        <v>2.3E-2</v>
      </c>
      <c r="G28" s="22">
        <v>1.0999999999999999E-2</v>
      </c>
      <c r="H28" s="22">
        <v>4.3999999999999997E-2</v>
      </c>
      <c r="I28" s="22">
        <v>1.0999999999999999E-2</v>
      </c>
      <c r="J28" s="22">
        <v>1.0999999999999999E-2</v>
      </c>
      <c r="K28" s="22">
        <v>3.1E-2</v>
      </c>
      <c r="L28" s="22">
        <v>5.6000000000000001E-2</v>
      </c>
      <c r="M28" s="22">
        <v>3.9E-2</v>
      </c>
      <c r="N28" s="22">
        <v>4.3999999999999997E-2</v>
      </c>
      <c r="O28" s="22">
        <v>2.3E-2</v>
      </c>
      <c r="P28" s="22">
        <v>1.0999999999999999E-2</v>
      </c>
      <c r="Q28" s="22">
        <v>1.0999999999999999E-2</v>
      </c>
      <c r="R28" s="70">
        <f t="shared" ref="R28" si="4">AVERAGE(F28:Q28)</f>
        <v>2.6250000000000006E-2</v>
      </c>
      <c r="S28" s="23">
        <v>0.2</v>
      </c>
      <c r="T28" s="242" t="s">
        <v>1035</v>
      </c>
      <c r="AB28" s="1161"/>
      <c r="AC28" s="1161"/>
      <c r="AD28" s="1161"/>
      <c r="AE28" s="32">
        <v>3</v>
      </c>
      <c r="AF28" s="65" t="s">
        <v>823</v>
      </c>
      <c r="AG28" s="35">
        <f>R9</f>
        <v>5.7774999999999999</v>
      </c>
      <c r="AH28" s="14" t="s">
        <v>905</v>
      </c>
      <c r="AI28" s="35">
        <f>R12</f>
        <v>23.166666666666668</v>
      </c>
      <c r="AJ28" s="35">
        <f>R15</f>
        <v>7.4825000000000008</v>
      </c>
      <c r="AK28" s="35">
        <f>R18</f>
        <v>29.283333333333335</v>
      </c>
      <c r="AL28" s="35">
        <f>R21</f>
        <v>5</v>
      </c>
      <c r="AM28" s="35">
        <f>R24</f>
        <v>204.24036649915047</v>
      </c>
      <c r="AN28" s="34">
        <f>R27</f>
        <v>0.11641666666666665</v>
      </c>
      <c r="AO28" s="34">
        <f>R30</f>
        <v>3.5666666666666666E-2</v>
      </c>
      <c r="AP28" s="14" t="s">
        <v>905</v>
      </c>
    </row>
    <row r="29" spans="1:42" ht="15.75" customHeight="1">
      <c r="A29" s="20"/>
      <c r="B29" s="84" t="s">
        <v>116</v>
      </c>
      <c r="C29" s="11">
        <v>2</v>
      </c>
      <c r="D29" s="186" t="s">
        <v>1036</v>
      </c>
      <c r="E29" s="185" t="s">
        <v>1034</v>
      </c>
      <c r="F29" s="26">
        <v>5.5E-2</v>
      </c>
      <c r="G29" s="26">
        <v>4.7E-2</v>
      </c>
      <c r="H29" s="26">
        <v>4.5999999999999999E-2</v>
      </c>
      <c r="I29" s="26">
        <v>1.0999999999999999E-2</v>
      </c>
      <c r="J29" s="26">
        <v>1.0999999999999999E-2</v>
      </c>
      <c r="K29" s="26">
        <v>7.0000000000000007E-2</v>
      </c>
      <c r="L29" s="26">
        <v>3.7999999999999999E-2</v>
      </c>
      <c r="M29" s="26">
        <v>4.3999999999999997E-2</v>
      </c>
      <c r="N29" s="26">
        <v>3.5000000000000003E-2</v>
      </c>
      <c r="O29" s="26">
        <v>1.9E-2</v>
      </c>
      <c r="P29" s="26">
        <v>1.4E-2</v>
      </c>
      <c r="Q29" s="26">
        <v>1.0999999999999999E-2</v>
      </c>
      <c r="R29" s="34">
        <f>IFERROR(AVERAGE(F29:Q29), 0)</f>
        <v>3.3416666666666671E-2</v>
      </c>
      <c r="S29" s="28">
        <v>0.2</v>
      </c>
      <c r="T29" s="242" t="s">
        <v>1037</v>
      </c>
      <c r="AB29" s="844"/>
      <c r="AC29" s="845"/>
      <c r="AD29" s="845"/>
      <c r="AE29" s="845"/>
      <c r="AF29" s="845"/>
      <c r="AG29" s="845"/>
      <c r="AH29" s="845"/>
      <c r="AI29" s="845"/>
      <c r="AJ29" s="845"/>
      <c r="AK29" s="845"/>
      <c r="AL29" s="845"/>
      <c r="AM29" s="845"/>
      <c r="AN29" s="845"/>
      <c r="AO29" s="845"/>
      <c r="AP29" s="846"/>
    </row>
    <row r="30" spans="1:42" ht="15.75" customHeight="1">
      <c r="A30" s="20"/>
      <c r="B30" s="84" t="s">
        <v>116</v>
      </c>
      <c r="C30" s="11">
        <v>3</v>
      </c>
      <c r="D30" s="186" t="s">
        <v>1038</v>
      </c>
      <c r="E30" s="185" t="s">
        <v>1034</v>
      </c>
      <c r="F30" s="26">
        <v>6.2E-2</v>
      </c>
      <c r="G30" s="26">
        <v>1.0999999999999999E-2</v>
      </c>
      <c r="H30" s="26">
        <v>0.03</v>
      </c>
      <c r="I30" s="26">
        <v>1.0999999999999999E-2</v>
      </c>
      <c r="J30" s="26">
        <v>1.0999999999999999E-2</v>
      </c>
      <c r="K30" s="26">
        <v>3.5000000000000003E-2</v>
      </c>
      <c r="L30" s="26">
        <v>4.8000000000000001E-2</v>
      </c>
      <c r="M30" s="26">
        <v>4.5999999999999999E-2</v>
      </c>
      <c r="N30" s="26">
        <v>0.129</v>
      </c>
      <c r="O30" s="26">
        <v>2.1000000000000001E-2</v>
      </c>
      <c r="P30" s="26">
        <v>1.0999999999999999E-2</v>
      </c>
      <c r="Q30" s="26">
        <v>1.2999999999999999E-2</v>
      </c>
      <c r="R30" s="34">
        <f>IFERROR(AVERAGE(F30:Q30), 0)</f>
        <v>3.5666666666666666E-2</v>
      </c>
      <c r="S30" s="28">
        <v>0.2</v>
      </c>
      <c r="T30" s="242" t="s">
        <v>1039</v>
      </c>
      <c r="AB30" s="14" t="s">
        <v>93</v>
      </c>
      <c r="AC30" s="1162"/>
      <c r="AD30" s="1161"/>
      <c r="AE30" s="1161"/>
      <c r="AF30" s="1161"/>
      <c r="AG30" s="35">
        <f>AVERAGE(AG26:AG28)</f>
        <v>5.7983333333333329</v>
      </c>
      <c r="AH30" s="14" t="s">
        <v>905</v>
      </c>
      <c r="AI30" s="35">
        <f t="shared" ref="AI30:AO30" si="5">AVERAGE(AI26:AI28)</f>
        <v>23.194444444444446</v>
      </c>
      <c r="AJ30" s="35">
        <f t="shared" si="5"/>
        <v>7.4780555555555566</v>
      </c>
      <c r="AK30" s="35">
        <f t="shared" si="5"/>
        <v>29.227777777777778</v>
      </c>
      <c r="AL30" s="35">
        <f t="shared" si="5"/>
        <v>5</v>
      </c>
      <c r="AM30" s="35">
        <f t="shared" si="5"/>
        <v>223.72150569856748</v>
      </c>
      <c r="AN30" s="34">
        <f t="shared" si="5"/>
        <v>0.10983333333333334</v>
      </c>
      <c r="AO30" s="34">
        <f t="shared" si="5"/>
        <v>3.177777777777778E-2</v>
      </c>
      <c r="AP30" s="14" t="s">
        <v>905</v>
      </c>
    </row>
    <row r="31" spans="1:42" ht="76.5" customHeight="1">
      <c r="A31" s="20"/>
      <c r="B31" s="151" t="s">
        <v>314</v>
      </c>
      <c r="C31" s="15">
        <v>1</v>
      </c>
      <c r="D31" s="96" t="s">
        <v>1033</v>
      </c>
      <c r="E31" s="95" t="s">
        <v>1034</v>
      </c>
      <c r="F31" s="30" t="s">
        <v>1041</v>
      </c>
      <c r="G31" s="7" t="s">
        <v>951</v>
      </c>
      <c r="H31" s="7" t="s">
        <v>1042</v>
      </c>
      <c r="I31" s="7" t="s">
        <v>1043</v>
      </c>
      <c r="J31" s="7" t="s">
        <v>1044</v>
      </c>
      <c r="K31" s="7" t="s">
        <v>952</v>
      </c>
      <c r="L31" s="7" t="s">
        <v>1045</v>
      </c>
      <c r="M31" s="7" t="s">
        <v>1046</v>
      </c>
      <c r="N31" s="7" t="s">
        <v>1047</v>
      </c>
      <c r="O31" s="7" t="s">
        <v>1048</v>
      </c>
      <c r="P31" s="7" t="s">
        <v>1049</v>
      </c>
      <c r="Q31" s="7" t="s">
        <v>1050</v>
      </c>
      <c r="R31" s="1"/>
      <c r="S31" s="1"/>
      <c r="T31" s="242" t="s">
        <v>1035</v>
      </c>
      <c r="AB31" s="14" t="s">
        <v>94</v>
      </c>
      <c r="AC31" s="1161"/>
      <c r="AD31" s="1163"/>
      <c r="AE31" s="1163"/>
      <c r="AF31" s="1161"/>
      <c r="AG31" s="35">
        <f>MIN(AG26:AG28)</f>
        <v>5.7283333333333326</v>
      </c>
      <c r="AH31" s="14" t="s">
        <v>905</v>
      </c>
      <c r="AI31" s="35">
        <f t="shared" ref="AI31:AO31" si="6">MIN(AI26:AI28)</f>
        <v>22.916666666666668</v>
      </c>
      <c r="AJ31" s="35">
        <f t="shared" si="6"/>
        <v>7.4641666666666673</v>
      </c>
      <c r="AK31" s="35">
        <f t="shared" si="6"/>
        <v>29.166666666666671</v>
      </c>
      <c r="AL31" s="35">
        <f t="shared" si="6"/>
        <v>5</v>
      </c>
      <c r="AM31" s="35">
        <f t="shared" si="6"/>
        <v>204.24036649915047</v>
      </c>
      <c r="AN31" s="34">
        <f t="shared" si="6"/>
        <v>9.5916666666666692E-2</v>
      </c>
      <c r="AO31" s="34">
        <f t="shared" si="6"/>
        <v>2.6250000000000006E-2</v>
      </c>
      <c r="AP31" s="14" t="s">
        <v>905</v>
      </c>
    </row>
    <row r="32" spans="1:42" ht="61.5" customHeight="1">
      <c r="A32" s="20"/>
      <c r="B32" s="84" t="s">
        <v>116</v>
      </c>
      <c r="C32" s="11">
        <v>2</v>
      </c>
      <c r="D32" s="186" t="s">
        <v>1036</v>
      </c>
      <c r="E32" s="185" t="s">
        <v>1034</v>
      </c>
      <c r="F32" s="31" t="s">
        <v>1051</v>
      </c>
      <c r="G32" s="12" t="s">
        <v>962</v>
      </c>
      <c r="H32" s="12" t="s">
        <v>1015</v>
      </c>
      <c r="I32" s="12" t="s">
        <v>1052</v>
      </c>
      <c r="J32" s="12" t="s">
        <v>966</v>
      </c>
      <c r="K32" s="12" t="s">
        <v>1053</v>
      </c>
      <c r="L32" s="12" t="s">
        <v>1045</v>
      </c>
      <c r="M32" s="12" t="s">
        <v>1046</v>
      </c>
      <c r="N32" s="12" t="s">
        <v>1047</v>
      </c>
      <c r="O32" s="12" t="s">
        <v>1020</v>
      </c>
      <c r="P32" s="12" t="s">
        <v>1054</v>
      </c>
      <c r="Q32" s="12" t="s">
        <v>1055</v>
      </c>
      <c r="R32" s="1"/>
      <c r="S32" s="1"/>
      <c r="T32" s="242" t="s">
        <v>1037</v>
      </c>
      <c r="AB32" s="14" t="s">
        <v>95</v>
      </c>
      <c r="AC32" s="1161"/>
      <c r="AD32" s="1163"/>
      <c r="AE32" s="1163"/>
      <c r="AF32" s="1161"/>
      <c r="AG32" s="35">
        <f>MAX(AG26:AG28)</f>
        <v>5.8891666666666671</v>
      </c>
      <c r="AH32" s="14" t="s">
        <v>905</v>
      </c>
      <c r="AI32" s="35">
        <f t="shared" ref="AI32:AO32" si="7">MAX(AI26:AI28)</f>
        <v>23.5</v>
      </c>
      <c r="AJ32" s="35">
        <f t="shared" si="7"/>
        <v>7.4874999999999998</v>
      </c>
      <c r="AK32" s="35">
        <f t="shared" si="7"/>
        <v>29.283333333333335</v>
      </c>
      <c r="AL32" s="35">
        <f t="shared" si="7"/>
        <v>5</v>
      </c>
      <c r="AM32" s="35">
        <f t="shared" si="7"/>
        <v>236.9806144883128</v>
      </c>
      <c r="AN32" s="34">
        <f t="shared" si="7"/>
        <v>0.11716666666666668</v>
      </c>
      <c r="AO32" s="34">
        <f t="shared" si="7"/>
        <v>3.5666666666666666E-2</v>
      </c>
      <c r="AP32" s="14" t="s">
        <v>905</v>
      </c>
    </row>
    <row r="33" spans="1:42" ht="90.75" customHeight="1">
      <c r="A33" s="20"/>
      <c r="B33" s="84" t="s">
        <v>116</v>
      </c>
      <c r="C33" s="11">
        <v>3</v>
      </c>
      <c r="D33" s="186" t="s">
        <v>1038</v>
      </c>
      <c r="E33" s="185" t="s">
        <v>1034</v>
      </c>
      <c r="F33" s="31" t="s">
        <v>1051</v>
      </c>
      <c r="G33" s="12" t="s">
        <v>962</v>
      </c>
      <c r="H33" s="12" t="s">
        <v>1015</v>
      </c>
      <c r="I33" s="12" t="s">
        <v>1052</v>
      </c>
      <c r="J33" s="12" t="s">
        <v>965</v>
      </c>
      <c r="K33" s="12" t="s">
        <v>1053</v>
      </c>
      <c r="L33" s="12" t="s">
        <v>1045</v>
      </c>
      <c r="M33" s="12" t="s">
        <v>1046</v>
      </c>
      <c r="N33" s="12" t="s">
        <v>1047</v>
      </c>
      <c r="O33" s="12" t="s">
        <v>1020</v>
      </c>
      <c r="P33" s="12" t="s">
        <v>1056</v>
      </c>
      <c r="Q33" s="12" t="s">
        <v>1057</v>
      </c>
      <c r="R33" s="1"/>
      <c r="S33" s="1"/>
      <c r="T33" s="242" t="s">
        <v>1039</v>
      </c>
      <c r="AB33" s="14" t="s">
        <v>96</v>
      </c>
      <c r="AC33" s="1161"/>
      <c r="AD33" s="1161"/>
      <c r="AE33" s="1161"/>
      <c r="AF33" s="1161"/>
      <c r="AG33" s="118" t="s">
        <v>906</v>
      </c>
      <c r="AH33" s="118" t="s">
        <v>905</v>
      </c>
      <c r="AI33" s="118" t="s">
        <v>907</v>
      </c>
      <c r="AJ33" s="118" t="s">
        <v>908</v>
      </c>
      <c r="AK33" s="29" t="s">
        <v>909</v>
      </c>
      <c r="AL33" s="118" t="s">
        <v>699</v>
      </c>
      <c r="AM33" s="118" t="s">
        <v>700</v>
      </c>
      <c r="AN33" s="118" t="s">
        <v>910</v>
      </c>
      <c r="AO33" s="118" t="s">
        <v>911</v>
      </c>
      <c r="AP33" s="118" t="s">
        <v>905</v>
      </c>
    </row>
    <row r="34" spans="1:42" ht="15.75" customHeight="1">
      <c r="A34" s="1"/>
      <c r="B34" s="1"/>
      <c r="C34" s="1" t="s">
        <v>173</v>
      </c>
      <c r="D34" s="1"/>
      <c r="E34" s="1"/>
      <c r="F34" s="1">
        <v>6</v>
      </c>
      <c r="G34" s="1">
        <v>3</v>
      </c>
      <c r="H34" s="1">
        <v>3</v>
      </c>
      <c r="I34" s="1">
        <v>7</v>
      </c>
      <c r="J34" s="1">
        <v>2</v>
      </c>
      <c r="K34" s="1">
        <v>2</v>
      </c>
      <c r="L34" s="1">
        <v>1</v>
      </c>
      <c r="M34" s="1">
        <v>11</v>
      </c>
      <c r="N34" s="1">
        <v>15</v>
      </c>
      <c r="O34" s="1">
        <v>20</v>
      </c>
      <c r="P34" s="1">
        <v>17</v>
      </c>
      <c r="Q34" s="1">
        <v>2</v>
      </c>
      <c r="R34" s="1"/>
      <c r="S34" s="1"/>
    </row>
    <row r="35" spans="1:42" ht="15.75" customHeight="1">
      <c r="A35" s="1"/>
      <c r="B35" s="1"/>
      <c r="C35" s="1"/>
      <c r="D35" s="243"/>
      <c r="E35" s="243"/>
      <c r="F35" s="243"/>
      <c r="G35" s="243"/>
      <c r="H35" s="243"/>
      <c r="I35" s="243"/>
      <c r="J35" s="243"/>
      <c r="K35" s="243"/>
      <c r="L35" s="243"/>
      <c r="M35" s="243"/>
      <c r="N35" s="243"/>
      <c r="O35" s="243"/>
      <c r="P35" s="243"/>
      <c r="Q35" s="243"/>
      <c r="R35" s="243"/>
      <c r="S35" s="243"/>
    </row>
    <row r="36" spans="1:42" ht="15" customHeight="1">
      <c r="D36" s="232"/>
      <c r="E36" s="232"/>
      <c r="F36" s="232"/>
      <c r="G36" s="232"/>
      <c r="H36" s="232"/>
      <c r="I36" s="232"/>
      <c r="J36" s="232"/>
      <c r="K36" s="232"/>
      <c r="L36" s="232"/>
      <c r="M36" s="232"/>
      <c r="N36" s="232"/>
      <c r="O36" s="232"/>
      <c r="P36" s="232"/>
      <c r="Q36" s="232"/>
      <c r="R36" s="232"/>
      <c r="S36" s="232"/>
    </row>
    <row r="38" spans="1:42" ht="15" customHeight="1">
      <c r="E38" s="232" t="s">
        <v>175</v>
      </c>
      <c r="F38" s="232"/>
      <c r="G38" s="232"/>
      <c r="H38" s="232"/>
      <c r="I38" s="232"/>
      <c r="J38" s="232"/>
      <c r="K38" s="232"/>
      <c r="L38" s="232"/>
      <c r="M38" s="232"/>
      <c r="N38" s="232"/>
      <c r="O38" s="232"/>
      <c r="P38" s="232"/>
      <c r="Q38" s="232"/>
      <c r="R38" s="232"/>
      <c r="S38" s="232"/>
    </row>
    <row r="39" spans="1:42" ht="15" customHeight="1">
      <c r="D39" s="232"/>
      <c r="E39" s="873" t="s">
        <v>1058</v>
      </c>
      <c r="F39" s="874"/>
      <c r="G39" s="874"/>
      <c r="H39" s="874"/>
      <c r="I39" s="874"/>
      <c r="J39" s="874"/>
      <c r="K39" s="874"/>
      <c r="L39" s="874"/>
      <c r="M39" s="874"/>
      <c r="N39" s="874"/>
      <c r="O39" s="874"/>
      <c r="P39" s="874"/>
      <c r="Q39" s="874"/>
      <c r="R39" s="874"/>
      <c r="S39" s="875"/>
      <c r="T39" s="232"/>
    </row>
    <row r="40" spans="1:42" ht="15" customHeight="1">
      <c r="D40" s="232"/>
      <c r="E40" s="876"/>
      <c r="F40" s="877"/>
      <c r="G40" s="877"/>
      <c r="H40" s="877"/>
      <c r="I40" s="877"/>
      <c r="J40" s="877"/>
      <c r="K40" s="877"/>
      <c r="L40" s="877"/>
      <c r="M40" s="877"/>
      <c r="N40" s="877"/>
      <c r="O40" s="877"/>
      <c r="P40" s="877"/>
      <c r="Q40" s="877"/>
      <c r="R40" s="877"/>
      <c r="S40" s="878"/>
      <c r="T40" s="232"/>
    </row>
    <row r="41" spans="1:42" ht="15" customHeight="1">
      <c r="D41" s="232"/>
      <c r="E41" s="876"/>
      <c r="F41" s="877"/>
      <c r="G41" s="877"/>
      <c r="H41" s="877"/>
      <c r="I41" s="877"/>
      <c r="J41" s="877"/>
      <c r="K41" s="877"/>
      <c r="L41" s="877"/>
      <c r="M41" s="877"/>
      <c r="N41" s="877"/>
      <c r="O41" s="877"/>
      <c r="P41" s="877"/>
      <c r="Q41" s="877"/>
      <c r="R41" s="877"/>
      <c r="S41" s="878"/>
      <c r="T41" s="232"/>
    </row>
    <row r="42" spans="1:42" ht="15" customHeight="1">
      <c r="D42" s="232"/>
      <c r="E42" s="876"/>
      <c r="F42" s="877"/>
      <c r="G42" s="877"/>
      <c r="H42" s="877"/>
      <c r="I42" s="877"/>
      <c r="J42" s="877"/>
      <c r="K42" s="877"/>
      <c r="L42" s="877"/>
      <c r="M42" s="877"/>
      <c r="N42" s="877"/>
      <c r="O42" s="877"/>
      <c r="P42" s="877"/>
      <c r="Q42" s="877"/>
      <c r="R42" s="877"/>
      <c r="S42" s="878"/>
      <c r="T42" s="232"/>
    </row>
    <row r="43" spans="1:42" ht="15" customHeight="1">
      <c r="D43" s="232"/>
      <c r="E43" s="876"/>
      <c r="F43" s="877"/>
      <c r="G43" s="877"/>
      <c r="H43" s="877"/>
      <c r="I43" s="877"/>
      <c r="J43" s="877"/>
      <c r="K43" s="877"/>
      <c r="L43" s="877"/>
      <c r="M43" s="877"/>
      <c r="N43" s="877"/>
      <c r="O43" s="877"/>
      <c r="P43" s="877"/>
      <c r="Q43" s="877"/>
      <c r="R43" s="877"/>
      <c r="S43" s="878"/>
      <c r="T43" s="232"/>
    </row>
    <row r="44" spans="1:42" ht="15" customHeight="1">
      <c r="D44" s="232"/>
      <c r="E44" s="876"/>
      <c r="F44" s="877"/>
      <c r="G44" s="877"/>
      <c r="H44" s="877"/>
      <c r="I44" s="877"/>
      <c r="J44" s="877"/>
      <c r="K44" s="877"/>
      <c r="L44" s="877"/>
      <c r="M44" s="877"/>
      <c r="N44" s="877"/>
      <c r="O44" s="877"/>
      <c r="P44" s="877"/>
      <c r="Q44" s="877"/>
      <c r="R44" s="877"/>
      <c r="S44" s="878"/>
      <c r="T44" s="232"/>
    </row>
    <row r="45" spans="1:42" ht="15" customHeight="1">
      <c r="D45" s="232"/>
      <c r="E45" s="876"/>
      <c r="F45" s="877"/>
      <c r="G45" s="877"/>
      <c r="H45" s="877"/>
      <c r="I45" s="877"/>
      <c r="J45" s="877"/>
      <c r="K45" s="877"/>
      <c r="L45" s="877"/>
      <c r="M45" s="877"/>
      <c r="N45" s="877"/>
      <c r="O45" s="877"/>
      <c r="P45" s="877"/>
      <c r="Q45" s="877"/>
      <c r="R45" s="877"/>
      <c r="S45" s="878"/>
      <c r="T45" s="232"/>
    </row>
    <row r="46" spans="1:42" ht="15" customHeight="1">
      <c r="D46" s="232"/>
      <c r="E46" s="876"/>
      <c r="F46" s="877"/>
      <c r="G46" s="877"/>
      <c r="H46" s="877"/>
      <c r="I46" s="877"/>
      <c r="J46" s="877"/>
      <c r="K46" s="877"/>
      <c r="L46" s="877"/>
      <c r="M46" s="877"/>
      <c r="N46" s="877"/>
      <c r="O46" s="877"/>
      <c r="P46" s="877"/>
      <c r="Q46" s="877"/>
      <c r="R46" s="877"/>
      <c r="S46" s="878"/>
      <c r="T46" s="232"/>
    </row>
    <row r="47" spans="1:42" ht="15" customHeight="1">
      <c r="D47" s="232"/>
      <c r="E47" s="876"/>
      <c r="F47" s="877"/>
      <c r="G47" s="877"/>
      <c r="H47" s="877"/>
      <c r="I47" s="877"/>
      <c r="J47" s="877"/>
      <c r="K47" s="877"/>
      <c r="L47" s="877"/>
      <c r="M47" s="877"/>
      <c r="N47" s="877"/>
      <c r="O47" s="877"/>
      <c r="P47" s="877"/>
      <c r="Q47" s="877"/>
      <c r="R47" s="877"/>
      <c r="S47" s="878"/>
      <c r="T47" s="232"/>
    </row>
    <row r="48" spans="1:42" ht="15" customHeight="1">
      <c r="D48" s="232"/>
      <c r="E48" s="876"/>
      <c r="F48" s="877"/>
      <c r="G48" s="877"/>
      <c r="H48" s="877"/>
      <c r="I48" s="877"/>
      <c r="J48" s="877"/>
      <c r="K48" s="877"/>
      <c r="L48" s="877"/>
      <c r="M48" s="877"/>
      <c r="N48" s="877"/>
      <c r="O48" s="877"/>
      <c r="P48" s="877"/>
      <c r="Q48" s="877"/>
      <c r="R48" s="877"/>
      <c r="S48" s="878"/>
      <c r="T48" s="232"/>
    </row>
    <row r="49" spans="4:20" ht="15" customHeight="1">
      <c r="D49" s="232"/>
      <c r="E49" s="876"/>
      <c r="F49" s="877"/>
      <c r="G49" s="877"/>
      <c r="H49" s="877"/>
      <c r="I49" s="877"/>
      <c r="J49" s="877"/>
      <c r="K49" s="877"/>
      <c r="L49" s="877"/>
      <c r="M49" s="877"/>
      <c r="N49" s="877"/>
      <c r="O49" s="877"/>
      <c r="P49" s="877"/>
      <c r="Q49" s="877"/>
      <c r="R49" s="877"/>
      <c r="S49" s="878"/>
      <c r="T49" s="232"/>
    </row>
    <row r="50" spans="4:20" ht="15" customHeight="1">
      <c r="D50" s="232"/>
      <c r="E50" s="876"/>
      <c r="F50" s="877"/>
      <c r="G50" s="877"/>
      <c r="H50" s="877"/>
      <c r="I50" s="877"/>
      <c r="J50" s="877"/>
      <c r="K50" s="877"/>
      <c r="L50" s="877"/>
      <c r="M50" s="877"/>
      <c r="N50" s="877"/>
      <c r="O50" s="877"/>
      <c r="P50" s="877"/>
      <c r="Q50" s="877"/>
      <c r="R50" s="877"/>
      <c r="S50" s="878"/>
      <c r="T50" s="232"/>
    </row>
    <row r="51" spans="4:20" ht="15" customHeight="1">
      <c r="D51" s="232"/>
      <c r="E51" s="876"/>
      <c r="F51" s="877"/>
      <c r="G51" s="877"/>
      <c r="H51" s="877"/>
      <c r="I51" s="877"/>
      <c r="J51" s="877"/>
      <c r="K51" s="877"/>
      <c r="L51" s="877"/>
      <c r="M51" s="877"/>
      <c r="N51" s="877"/>
      <c r="O51" s="877"/>
      <c r="P51" s="877"/>
      <c r="Q51" s="877"/>
      <c r="R51" s="877"/>
      <c r="S51" s="878"/>
      <c r="T51" s="232"/>
    </row>
    <row r="52" spans="4:20" ht="15" customHeight="1">
      <c r="D52" s="232"/>
      <c r="E52" s="879"/>
      <c r="F52" s="880"/>
      <c r="G52" s="880"/>
      <c r="H52" s="880"/>
      <c r="I52" s="880"/>
      <c r="J52" s="880"/>
      <c r="K52" s="880"/>
      <c r="L52" s="880"/>
      <c r="M52" s="880"/>
      <c r="N52" s="880"/>
      <c r="O52" s="880"/>
      <c r="P52" s="880"/>
      <c r="Q52" s="880"/>
      <c r="R52" s="880"/>
      <c r="S52" s="881"/>
      <c r="T52" s="232"/>
    </row>
    <row r="53" spans="4:20" ht="15" customHeight="1">
      <c r="E53" s="232"/>
      <c r="F53" s="232"/>
      <c r="G53" s="232"/>
      <c r="H53" s="232"/>
      <c r="I53" s="232"/>
      <c r="J53" s="232"/>
      <c r="K53" s="232"/>
      <c r="L53" s="232"/>
      <c r="M53" s="232"/>
      <c r="N53" s="232"/>
      <c r="O53" s="232"/>
      <c r="P53" s="232"/>
      <c r="Q53" s="232"/>
      <c r="R53" s="232"/>
      <c r="S53" s="232"/>
    </row>
  </sheetData>
  <mergeCells count="24">
    <mergeCell ref="E39:S52"/>
    <mergeCell ref="AG9:AP9"/>
    <mergeCell ref="AB11:AB13"/>
    <mergeCell ref="AC11:AC13"/>
    <mergeCell ref="AD11:AD13"/>
    <mergeCell ref="AC30:AF33"/>
    <mergeCell ref="AG24:AP24"/>
    <mergeCell ref="AB26:AB28"/>
    <mergeCell ref="AC26:AC28"/>
    <mergeCell ref="AB14:AP14"/>
    <mergeCell ref="AB22:AP22"/>
    <mergeCell ref="AB23:AP23"/>
    <mergeCell ref="AB24:AF24"/>
    <mergeCell ref="AB29:AP29"/>
    <mergeCell ref="AC15:AF18"/>
    <mergeCell ref="AD26:AD28"/>
    <mergeCell ref="AB7:AP7"/>
    <mergeCell ref="AB8:AP8"/>
    <mergeCell ref="AB9:AF9"/>
    <mergeCell ref="C1:S1"/>
    <mergeCell ref="C2:S2"/>
    <mergeCell ref="C3:S3"/>
    <mergeCell ref="C4:S4"/>
    <mergeCell ref="C5:S5"/>
  </mergeCells>
  <phoneticPr fontId="18" type="noConversion"/>
  <pageMargins left="0.7" right="0.7" top="0.75" bottom="0.75" header="0" footer="0"/>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E2ED-A8A5-4D24-9737-EAE2DF52E10E}">
  <sheetPr>
    <tabColor rgb="FF00B0F0"/>
  </sheetPr>
  <dimension ref="A1:AP1003"/>
  <sheetViews>
    <sheetView workbookViewId="0">
      <pane xSplit="5" ySplit="6" topLeftCell="F10" activePane="bottomRight" state="frozen"/>
      <selection pane="bottomRight" activeCell="R10" sqref="R10:R12"/>
      <selection pane="bottomLeft"/>
      <selection pane="topRight"/>
    </sheetView>
  </sheetViews>
  <sheetFormatPr defaultRowHeight="15"/>
  <cols>
    <col min="4" max="4" width="17.5703125" style="370" customWidth="1"/>
    <col min="5" max="5" width="18.28515625" customWidth="1"/>
    <col min="13" max="14" width="9.28515625" bestFit="1" customWidth="1"/>
    <col min="32" max="32" width="16.42578125" customWidth="1"/>
  </cols>
  <sheetData>
    <row r="1" spans="1:42" s="359" customFormat="1">
      <c r="A1" s="591"/>
      <c r="B1" s="587"/>
      <c r="C1" s="587"/>
      <c r="D1" s="587"/>
      <c r="E1" s="587"/>
      <c r="F1" s="1070" t="s">
        <v>40</v>
      </c>
      <c r="G1" s="1070"/>
      <c r="H1" s="1070"/>
      <c r="I1" s="1070"/>
      <c r="J1" s="1070"/>
      <c r="K1" s="1070"/>
      <c r="L1" s="1070"/>
      <c r="M1" s="1070"/>
      <c r="N1" s="1070"/>
      <c r="O1" s="1070"/>
      <c r="P1" s="1070"/>
      <c r="Q1" s="1070"/>
      <c r="R1" s="1070"/>
      <c r="S1" s="1070"/>
      <c r="T1" s="588"/>
      <c r="U1" s="357"/>
      <c r="V1" s="357"/>
      <c r="W1" s="357"/>
      <c r="X1" s="357"/>
      <c r="Y1" s="357"/>
      <c r="Z1" s="357"/>
      <c r="AA1" s="358"/>
    </row>
    <row r="2" spans="1:42" s="359" customFormat="1">
      <c r="A2" s="591"/>
      <c r="B2" s="587"/>
      <c r="C2" s="587"/>
      <c r="D2" s="587"/>
      <c r="E2" s="587"/>
      <c r="F2" s="1070" t="s">
        <v>41</v>
      </c>
      <c r="G2" s="1070"/>
      <c r="H2" s="1070"/>
      <c r="I2" s="1070"/>
      <c r="J2" s="1070"/>
      <c r="K2" s="1070"/>
      <c r="L2" s="1070"/>
      <c r="M2" s="1070"/>
      <c r="N2" s="1070"/>
      <c r="O2" s="1070"/>
      <c r="P2" s="1070"/>
      <c r="Q2" s="1070"/>
      <c r="R2" s="1070"/>
      <c r="S2" s="1070"/>
      <c r="T2" s="589"/>
      <c r="U2" s="360"/>
      <c r="V2" s="360"/>
      <c r="W2" s="360"/>
      <c r="X2" s="360"/>
      <c r="Y2" s="360"/>
      <c r="Z2" s="360"/>
      <c r="AA2" s="361"/>
    </row>
    <row r="3" spans="1:42" s="359" customFormat="1">
      <c r="A3" s="591"/>
      <c r="B3" s="587"/>
      <c r="C3" s="587"/>
      <c r="D3" s="587"/>
      <c r="E3" s="587"/>
      <c r="F3" s="1070" t="s">
        <v>42</v>
      </c>
      <c r="G3" s="1070"/>
      <c r="H3" s="1070"/>
      <c r="I3" s="1070"/>
      <c r="J3" s="1070"/>
      <c r="K3" s="1070"/>
      <c r="L3" s="1070"/>
      <c r="M3" s="1070"/>
      <c r="N3" s="1070"/>
      <c r="O3" s="1070"/>
      <c r="P3" s="1070"/>
      <c r="Q3" s="1070"/>
      <c r="R3" s="1070"/>
      <c r="S3" s="1070"/>
      <c r="T3" s="589"/>
      <c r="U3" s="360"/>
      <c r="V3" s="360"/>
      <c r="W3" s="360"/>
      <c r="X3" s="360"/>
      <c r="Y3" s="360"/>
      <c r="Z3" s="360"/>
      <c r="AA3" s="361"/>
    </row>
    <row r="4" spans="1:42" s="359" customFormat="1">
      <c r="A4" s="591"/>
      <c r="B4" s="587"/>
      <c r="C4" s="587"/>
      <c r="D4" s="587"/>
      <c r="E4" s="587"/>
      <c r="F4" s="1070" t="s">
        <v>1059</v>
      </c>
      <c r="G4" s="1070"/>
      <c r="H4" s="1070"/>
      <c r="I4" s="1070"/>
      <c r="J4" s="1070"/>
      <c r="K4" s="1070"/>
      <c r="L4" s="1070"/>
      <c r="M4" s="1070"/>
      <c r="N4" s="1070"/>
      <c r="O4" s="1070"/>
      <c r="P4" s="1070"/>
      <c r="Q4" s="1070"/>
      <c r="R4" s="1070"/>
      <c r="S4" s="1070"/>
      <c r="T4" s="589"/>
      <c r="U4" s="360"/>
      <c r="V4" s="360"/>
      <c r="W4" s="360"/>
      <c r="X4" s="360"/>
      <c r="Y4" s="360"/>
      <c r="Z4" s="360"/>
      <c r="AA4" s="361"/>
    </row>
    <row r="5" spans="1:42" s="359" customFormat="1">
      <c r="A5" s="591"/>
      <c r="B5" s="587"/>
      <c r="C5" s="587"/>
      <c r="D5" s="587"/>
      <c r="E5" s="587"/>
      <c r="F5" s="1070" t="s">
        <v>1005</v>
      </c>
      <c r="G5" s="1070"/>
      <c r="H5" s="1070"/>
      <c r="I5" s="1070"/>
      <c r="J5" s="1070"/>
      <c r="K5" s="1070"/>
      <c r="L5" s="1070"/>
      <c r="M5" s="1070"/>
      <c r="N5" s="1070"/>
      <c r="O5" s="1070"/>
      <c r="P5" s="1070"/>
      <c r="Q5" s="1070"/>
      <c r="R5" s="1070"/>
      <c r="S5" s="1070"/>
      <c r="T5" s="589"/>
      <c r="U5" s="360"/>
      <c r="V5" s="360"/>
      <c r="W5" s="360"/>
      <c r="X5" s="360"/>
      <c r="Y5" s="360"/>
      <c r="Z5" s="360"/>
      <c r="AA5" s="361"/>
    </row>
    <row r="6" spans="1:42" s="359" customFormat="1">
      <c r="A6" s="581" t="s">
        <v>45</v>
      </c>
      <c r="B6" s="581" t="s">
        <v>46</v>
      </c>
      <c r="C6" s="581" t="s">
        <v>47</v>
      </c>
      <c r="D6" s="582" t="s">
        <v>48</v>
      </c>
      <c r="E6" s="581" t="s">
        <v>49</v>
      </c>
      <c r="F6" s="590" t="s">
        <v>50</v>
      </c>
      <c r="G6" s="578" t="s">
        <v>51</v>
      </c>
      <c r="H6" s="578" t="s">
        <v>52</v>
      </c>
      <c r="I6" s="578" t="s">
        <v>53</v>
      </c>
      <c r="J6" s="578" t="s">
        <v>54</v>
      </c>
      <c r="K6" s="578" t="s">
        <v>55</v>
      </c>
      <c r="L6" s="578" t="s">
        <v>56</v>
      </c>
      <c r="M6" s="578" t="s">
        <v>57</v>
      </c>
      <c r="N6" s="578" t="s">
        <v>58</v>
      </c>
      <c r="O6" s="578" t="s">
        <v>59</v>
      </c>
      <c r="P6" s="578" t="s">
        <v>60</v>
      </c>
      <c r="Q6" s="578" t="s">
        <v>61</v>
      </c>
      <c r="R6" s="578" t="s">
        <v>62</v>
      </c>
      <c r="S6" s="578" t="s">
        <v>63</v>
      </c>
      <c r="T6" s="360"/>
      <c r="U6" s="360"/>
      <c r="V6" s="360"/>
      <c r="W6" s="360"/>
      <c r="X6" s="360"/>
      <c r="Y6" s="360"/>
      <c r="Z6" s="360"/>
      <c r="AA6" s="361"/>
    </row>
    <row r="7" spans="1:42">
      <c r="A7" s="550" t="s">
        <v>65</v>
      </c>
      <c r="B7" s="1050" t="s">
        <v>66</v>
      </c>
      <c r="C7" s="551">
        <v>1</v>
      </c>
      <c r="D7" s="583" t="s">
        <v>1060</v>
      </c>
      <c r="E7" s="553" t="s">
        <v>1061</v>
      </c>
      <c r="F7" s="556">
        <v>5.78</v>
      </c>
      <c r="G7" s="556">
        <v>5.01</v>
      </c>
      <c r="H7" s="556">
        <v>5.91</v>
      </c>
      <c r="I7" s="556">
        <v>5.01</v>
      </c>
      <c r="J7" s="556">
        <v>5.0199999999999996</v>
      </c>
      <c r="K7" s="558">
        <v>6</v>
      </c>
      <c r="L7" s="556">
        <v>5.5</v>
      </c>
      <c r="M7" s="648">
        <v>5.7</v>
      </c>
      <c r="N7" s="648">
        <v>6.15</v>
      </c>
      <c r="O7" s="648">
        <v>6.38</v>
      </c>
      <c r="P7" s="648">
        <v>4.58</v>
      </c>
      <c r="Q7" s="648">
        <v>5</v>
      </c>
      <c r="R7" s="557">
        <f>AVERAGE(F7:Q7)</f>
        <v>5.5033333333333339</v>
      </c>
      <c r="S7" s="814">
        <v>6</v>
      </c>
      <c r="T7" s="300"/>
      <c r="U7" s="300"/>
      <c r="V7" s="300"/>
      <c r="W7" s="300"/>
      <c r="X7" s="300"/>
      <c r="Y7" s="300"/>
      <c r="Z7" s="300"/>
      <c r="AA7" s="301"/>
      <c r="AB7" s="970" t="s">
        <v>70</v>
      </c>
      <c r="AC7" s="970"/>
      <c r="AD7" s="970"/>
      <c r="AE7" s="970"/>
      <c r="AF7" s="970"/>
      <c r="AG7" s="970"/>
      <c r="AH7" s="970"/>
      <c r="AI7" s="970"/>
      <c r="AJ7" s="970"/>
      <c r="AK7" s="970"/>
      <c r="AL7" s="970"/>
      <c r="AM7" s="970"/>
      <c r="AN7" s="970"/>
      <c r="AO7" s="970"/>
      <c r="AP7" s="970"/>
    </row>
    <row r="8" spans="1:42">
      <c r="A8" s="307"/>
      <c r="B8" s="1050"/>
      <c r="C8" s="308">
        <v>2</v>
      </c>
      <c r="D8" s="365" t="s">
        <v>1062</v>
      </c>
      <c r="E8" s="309" t="s">
        <v>1063</v>
      </c>
      <c r="F8" s="559">
        <v>5.61</v>
      </c>
      <c r="G8" s="559">
        <v>5.1100000000000003</v>
      </c>
      <c r="H8" s="559">
        <v>5.82</v>
      </c>
      <c r="I8" s="559">
        <v>5.13</v>
      </c>
      <c r="J8" s="559">
        <v>4.82</v>
      </c>
      <c r="K8" s="560">
        <v>5.97</v>
      </c>
      <c r="L8" s="559">
        <v>4.75</v>
      </c>
      <c r="M8" s="650">
        <v>5.9</v>
      </c>
      <c r="N8" s="650">
        <v>6.5</v>
      </c>
      <c r="O8" s="650">
        <v>6.15</v>
      </c>
      <c r="P8" s="650">
        <v>5.24</v>
      </c>
      <c r="Q8" s="650">
        <v>6.2</v>
      </c>
      <c r="R8" s="560">
        <f>AVERAGE(F8:Q8)</f>
        <v>5.6000000000000005</v>
      </c>
      <c r="S8" s="815">
        <v>6</v>
      </c>
      <c r="T8" s="300"/>
      <c r="U8" s="300"/>
      <c r="V8" s="300"/>
      <c r="W8" s="300"/>
      <c r="X8" s="300"/>
      <c r="Y8" s="300"/>
      <c r="Z8" s="300"/>
      <c r="AA8" s="301"/>
      <c r="AB8" s="970" t="s">
        <v>107</v>
      </c>
      <c r="AC8" s="970"/>
      <c r="AD8" s="970"/>
      <c r="AE8" s="970"/>
      <c r="AF8" s="970"/>
      <c r="AG8" s="970"/>
      <c r="AH8" s="970"/>
      <c r="AI8" s="970"/>
      <c r="AJ8" s="970"/>
      <c r="AK8" s="970"/>
      <c r="AL8" s="970"/>
      <c r="AM8" s="970"/>
      <c r="AN8" s="970"/>
      <c r="AO8" s="970"/>
      <c r="AP8" s="970"/>
    </row>
    <row r="9" spans="1:42">
      <c r="A9" s="307"/>
      <c r="B9" s="1051"/>
      <c r="C9" s="308">
        <v>3</v>
      </c>
      <c r="D9" s="365" t="s">
        <v>1064</v>
      </c>
      <c r="E9" s="309" t="s">
        <v>1065</v>
      </c>
      <c r="F9" s="559">
        <v>5.24</v>
      </c>
      <c r="G9" s="559">
        <v>4.87</v>
      </c>
      <c r="H9" s="559">
        <v>6.02</v>
      </c>
      <c r="I9" s="559">
        <v>4.8899999999999997</v>
      </c>
      <c r="J9" s="559">
        <v>5.08</v>
      </c>
      <c r="K9" s="560">
        <v>6.01</v>
      </c>
      <c r="L9" s="559">
        <v>5.76</v>
      </c>
      <c r="M9" s="650">
        <v>6.5</v>
      </c>
      <c r="N9" s="650">
        <v>6.25</v>
      </c>
      <c r="O9" s="650">
        <v>6.23</v>
      </c>
      <c r="P9" s="650">
        <v>5.26</v>
      </c>
      <c r="Q9" s="650">
        <v>5.0999999999999996</v>
      </c>
      <c r="R9" s="560">
        <f>AVERAGE(F9:Q9)</f>
        <v>5.6008333333333331</v>
      </c>
      <c r="S9" s="815">
        <v>6</v>
      </c>
      <c r="T9" s="300"/>
      <c r="U9" s="300"/>
      <c r="V9" s="300"/>
      <c r="W9" s="300"/>
      <c r="X9" s="300"/>
      <c r="Y9" s="300"/>
      <c r="Z9" s="300"/>
      <c r="AA9" s="301"/>
      <c r="AB9" s="14"/>
      <c r="AC9" s="273"/>
      <c r="AD9" s="273"/>
      <c r="AE9" s="273"/>
      <c r="AF9" s="273"/>
      <c r="AG9" s="848" t="s">
        <v>78</v>
      </c>
      <c r="AH9" s="1161"/>
      <c r="AI9" s="1161"/>
      <c r="AJ9" s="1161"/>
      <c r="AK9" s="1161"/>
      <c r="AL9" s="1161"/>
      <c r="AM9" s="1161"/>
      <c r="AN9" s="1161"/>
      <c r="AO9" s="1161"/>
      <c r="AP9" s="1161"/>
    </row>
    <row r="10" spans="1:42">
      <c r="A10" s="307"/>
      <c r="B10" s="1049" t="s">
        <v>92</v>
      </c>
      <c r="C10" s="303">
        <v>1</v>
      </c>
      <c r="D10" s="364" t="s">
        <v>1060</v>
      </c>
      <c r="E10" s="304" t="s">
        <v>1061</v>
      </c>
      <c r="F10" s="556">
        <v>14</v>
      </c>
      <c r="G10" s="556">
        <v>31</v>
      </c>
      <c r="H10" s="556">
        <v>35</v>
      </c>
      <c r="I10" s="556">
        <v>26</v>
      </c>
      <c r="J10" s="556">
        <v>87</v>
      </c>
      <c r="K10" s="558">
        <v>24</v>
      </c>
      <c r="L10" s="556">
        <v>75</v>
      </c>
      <c r="M10" s="648">
        <v>68</v>
      </c>
      <c r="N10" s="648">
        <v>30</v>
      </c>
      <c r="O10" s="648">
        <v>6</v>
      </c>
      <c r="P10" s="648">
        <v>47</v>
      </c>
      <c r="Q10" s="648">
        <v>24</v>
      </c>
      <c r="R10" s="557">
        <f t="shared" ref="R10:R21" si="0">AVERAGE(F10:Q10)</f>
        <v>38.916666666666664</v>
      </c>
      <c r="S10" s="814">
        <v>50</v>
      </c>
      <c r="T10" s="300"/>
      <c r="U10" s="300"/>
      <c r="V10" s="300"/>
      <c r="W10" s="300"/>
      <c r="X10" s="300"/>
      <c r="Y10" s="300"/>
      <c r="Z10" s="300"/>
      <c r="AA10" s="301"/>
      <c r="AB10" s="14" t="s">
        <v>82</v>
      </c>
      <c r="AC10" s="14" t="s">
        <v>83</v>
      </c>
      <c r="AD10" s="14" t="s">
        <v>84</v>
      </c>
      <c r="AE10" s="14" t="s">
        <v>85</v>
      </c>
      <c r="AF10" s="14" t="s">
        <v>86</v>
      </c>
      <c r="AG10" s="14" t="s">
        <v>4</v>
      </c>
      <c r="AH10" s="14" t="s">
        <v>5</v>
      </c>
      <c r="AI10" s="14" t="s">
        <v>6</v>
      </c>
      <c r="AJ10" s="14" t="s">
        <v>7</v>
      </c>
      <c r="AK10" s="14" t="s">
        <v>8</v>
      </c>
      <c r="AL10" s="14" t="s">
        <v>9</v>
      </c>
      <c r="AM10" s="14" t="s">
        <v>10</v>
      </c>
      <c r="AN10" s="14" t="s">
        <v>11</v>
      </c>
      <c r="AO10" s="14" t="s">
        <v>12</v>
      </c>
      <c r="AP10" s="14" t="s">
        <v>13</v>
      </c>
    </row>
    <row r="11" spans="1:42" ht="30">
      <c r="A11" s="307"/>
      <c r="B11" s="1050"/>
      <c r="C11" s="308">
        <v>2</v>
      </c>
      <c r="D11" s="365" t="s">
        <v>1062</v>
      </c>
      <c r="E11" s="309" t="s">
        <v>1063</v>
      </c>
      <c r="F11" s="559">
        <v>41</v>
      </c>
      <c r="G11" s="559">
        <v>63</v>
      </c>
      <c r="H11" s="559">
        <v>25</v>
      </c>
      <c r="I11" s="559">
        <v>33</v>
      </c>
      <c r="J11" s="559">
        <v>95</v>
      </c>
      <c r="K11" s="560">
        <v>42</v>
      </c>
      <c r="L11" s="559">
        <v>73</v>
      </c>
      <c r="M11" s="650">
        <v>66</v>
      </c>
      <c r="N11" s="650">
        <v>25</v>
      </c>
      <c r="O11" s="650">
        <v>24</v>
      </c>
      <c r="P11" s="650">
        <v>52</v>
      </c>
      <c r="Q11" s="650">
        <v>22</v>
      </c>
      <c r="R11" s="560">
        <f t="shared" si="0"/>
        <v>46.75</v>
      </c>
      <c r="S11" s="815">
        <v>50</v>
      </c>
      <c r="T11" s="300"/>
      <c r="U11" s="300"/>
      <c r="V11" s="300"/>
      <c r="W11" s="300"/>
      <c r="X11" s="300"/>
      <c r="Y11" s="300"/>
      <c r="Z11" s="300"/>
      <c r="AA11" s="301"/>
      <c r="AB11" s="847" t="s">
        <v>1066</v>
      </c>
      <c r="AC11" s="847" t="s">
        <v>1059</v>
      </c>
      <c r="AD11" s="855" t="s">
        <v>16</v>
      </c>
      <c r="AE11" s="32">
        <v>1</v>
      </c>
      <c r="AF11" s="65" t="s">
        <v>1060</v>
      </c>
      <c r="AG11" s="33">
        <f>R7</f>
        <v>5.5033333333333339</v>
      </c>
      <c r="AH11" s="33" t="s">
        <v>1067</v>
      </c>
      <c r="AI11" s="33">
        <f>R10</f>
        <v>38.916666666666664</v>
      </c>
      <c r="AJ11" s="33">
        <f>R13</f>
        <v>7.7383333333333333</v>
      </c>
      <c r="AK11" s="33">
        <f>R16</f>
        <v>28.950000000000003</v>
      </c>
      <c r="AL11" s="33">
        <f>R19</f>
        <v>103.75</v>
      </c>
      <c r="AM11" s="36">
        <f>R23</f>
        <v>417.20391050690193</v>
      </c>
      <c r="AN11" s="28">
        <f>R28</f>
        <v>0.3711666666666667</v>
      </c>
      <c r="AO11" s="28">
        <f>R31</f>
        <v>0.23183333333333334</v>
      </c>
      <c r="AP11" s="59" t="s">
        <v>1067</v>
      </c>
    </row>
    <row r="12" spans="1:42">
      <c r="A12" s="307"/>
      <c r="B12" s="1051"/>
      <c r="C12" s="308">
        <v>3</v>
      </c>
      <c r="D12" s="365" t="s">
        <v>1064</v>
      </c>
      <c r="E12" s="309" t="s">
        <v>1065</v>
      </c>
      <c r="F12" s="559">
        <v>42</v>
      </c>
      <c r="G12" s="559">
        <v>43</v>
      </c>
      <c r="H12" s="559">
        <v>27</v>
      </c>
      <c r="I12" s="559">
        <v>41</v>
      </c>
      <c r="J12" s="559">
        <v>84</v>
      </c>
      <c r="K12" s="560">
        <v>36</v>
      </c>
      <c r="L12" s="559">
        <v>68</v>
      </c>
      <c r="M12" s="650">
        <v>54</v>
      </c>
      <c r="N12" s="650">
        <v>28</v>
      </c>
      <c r="O12" s="650">
        <v>12</v>
      </c>
      <c r="P12" s="650">
        <v>80</v>
      </c>
      <c r="Q12" s="650">
        <v>17</v>
      </c>
      <c r="R12" s="560">
        <f t="shared" si="0"/>
        <v>44.333333333333336</v>
      </c>
      <c r="S12" s="815">
        <v>50</v>
      </c>
      <c r="T12" s="300"/>
      <c r="U12" s="300"/>
      <c r="V12" s="300"/>
      <c r="W12" s="300"/>
      <c r="X12" s="300"/>
      <c r="Y12" s="300"/>
      <c r="Z12" s="300"/>
      <c r="AA12" s="301"/>
      <c r="AB12" s="1161"/>
      <c r="AC12" s="1161"/>
      <c r="AD12" s="1161"/>
      <c r="AE12" s="32">
        <v>2</v>
      </c>
      <c r="AF12" s="65" t="s">
        <v>1062</v>
      </c>
      <c r="AG12" s="33">
        <f t="shared" ref="AG12:AG13" si="1">R8</f>
        <v>5.6000000000000005</v>
      </c>
      <c r="AH12" s="33" t="s">
        <v>1067</v>
      </c>
      <c r="AI12" s="33">
        <f t="shared" ref="AI12:AI13" si="2">R11</f>
        <v>46.75</v>
      </c>
      <c r="AJ12" s="33">
        <f t="shared" ref="AJ12:AJ13" si="3">R14</f>
        <v>7.7625000000000002</v>
      </c>
      <c r="AK12" s="33">
        <f t="shared" ref="AK12:AK13" si="4">R17</f>
        <v>29.227500000000003</v>
      </c>
      <c r="AL12" s="33">
        <f t="shared" ref="AL12:AL13" si="5">R20</f>
        <v>302.91666666666669</v>
      </c>
      <c r="AM12" s="36">
        <f t="shared" ref="AM12:AM13" si="6">R24</f>
        <v>452.10130235090247</v>
      </c>
      <c r="AN12" s="28">
        <f t="shared" ref="AN12:AN13" si="7">R29</f>
        <v>0.31658333333333327</v>
      </c>
      <c r="AO12" s="28">
        <f t="shared" ref="AO12:AO13" si="8">R32</f>
        <v>0.24833333333333332</v>
      </c>
      <c r="AP12" s="59" t="s">
        <v>1067</v>
      </c>
    </row>
    <row r="13" spans="1:42">
      <c r="A13" s="307"/>
      <c r="B13" s="1049" t="s">
        <v>7</v>
      </c>
      <c r="C13" s="303">
        <v>1</v>
      </c>
      <c r="D13" s="364" t="s">
        <v>1060</v>
      </c>
      <c r="E13" s="304" t="s">
        <v>1061</v>
      </c>
      <c r="F13" s="556">
        <v>7.61</v>
      </c>
      <c r="G13" s="556">
        <v>8.11</v>
      </c>
      <c r="H13" s="556">
        <v>7.9</v>
      </c>
      <c r="I13" s="556">
        <v>8.18</v>
      </c>
      <c r="J13" s="556">
        <v>8.15</v>
      </c>
      <c r="K13" s="558">
        <v>7.97</v>
      </c>
      <c r="L13" s="556">
        <v>7.51</v>
      </c>
      <c r="M13" s="648">
        <v>7.9</v>
      </c>
      <c r="N13" s="648">
        <v>7.58</v>
      </c>
      <c r="O13" s="648">
        <v>7.7</v>
      </c>
      <c r="P13" s="648">
        <v>7.25</v>
      </c>
      <c r="Q13" s="648">
        <v>7</v>
      </c>
      <c r="R13" s="557">
        <f t="shared" si="0"/>
        <v>7.7383333333333333</v>
      </c>
      <c r="S13" s="814" t="s">
        <v>908</v>
      </c>
      <c r="T13" s="300"/>
      <c r="U13" s="300"/>
      <c r="V13" s="300"/>
      <c r="W13" s="300"/>
      <c r="X13" s="300"/>
      <c r="Y13" s="300"/>
      <c r="Z13" s="300"/>
      <c r="AA13" s="301"/>
      <c r="AB13" s="1161"/>
      <c r="AC13" s="1161"/>
      <c r="AD13" s="1161"/>
      <c r="AE13" s="32">
        <v>3</v>
      </c>
      <c r="AF13" s="65" t="s">
        <v>1064</v>
      </c>
      <c r="AG13" s="33">
        <f t="shared" si="1"/>
        <v>5.6008333333333331</v>
      </c>
      <c r="AH13" s="33" t="s">
        <v>1067</v>
      </c>
      <c r="AI13" s="33">
        <f t="shared" si="2"/>
        <v>44.333333333333336</v>
      </c>
      <c r="AJ13" s="33">
        <f t="shared" si="3"/>
        <v>7.7224999999999993</v>
      </c>
      <c r="AK13" s="33">
        <f t="shared" si="4"/>
        <v>29.013333333333335</v>
      </c>
      <c r="AL13" s="33">
        <f t="shared" si="5"/>
        <v>56.25</v>
      </c>
      <c r="AM13" s="36">
        <f t="shared" si="6"/>
        <v>141.11811176182132</v>
      </c>
      <c r="AN13" s="28">
        <f t="shared" si="7"/>
        <v>0.35191666666666666</v>
      </c>
      <c r="AO13" s="28">
        <f t="shared" si="8"/>
        <v>0.29325000000000001</v>
      </c>
      <c r="AP13" s="59" t="s">
        <v>1067</v>
      </c>
    </row>
    <row r="14" spans="1:42">
      <c r="A14" s="307"/>
      <c r="B14" s="1050"/>
      <c r="C14" s="308">
        <v>2</v>
      </c>
      <c r="D14" s="365" t="s">
        <v>1062</v>
      </c>
      <c r="E14" s="309" t="s">
        <v>1063</v>
      </c>
      <c r="F14" s="559">
        <v>7.75</v>
      </c>
      <c r="G14" s="559">
        <v>8.1</v>
      </c>
      <c r="H14" s="559">
        <v>7.87</v>
      </c>
      <c r="I14" s="559">
        <v>8.15</v>
      </c>
      <c r="J14" s="559">
        <v>8.11</v>
      </c>
      <c r="K14" s="560">
        <v>7.95</v>
      </c>
      <c r="L14" s="559">
        <v>7.61</v>
      </c>
      <c r="M14" s="650">
        <v>7.92</v>
      </c>
      <c r="N14" s="650">
        <v>7.5</v>
      </c>
      <c r="O14" s="650">
        <v>7.8</v>
      </c>
      <c r="P14" s="650">
        <v>7.39</v>
      </c>
      <c r="Q14" s="650">
        <v>7</v>
      </c>
      <c r="R14" s="560">
        <f t="shared" si="0"/>
        <v>7.7625000000000002</v>
      </c>
      <c r="S14" s="815" t="s">
        <v>908</v>
      </c>
      <c r="T14" s="300"/>
      <c r="U14" s="300"/>
      <c r="V14" s="300"/>
      <c r="W14" s="300"/>
      <c r="X14" s="300"/>
      <c r="Y14" s="300"/>
      <c r="Z14" s="300"/>
      <c r="AA14" s="301"/>
      <c r="AB14" s="848"/>
      <c r="AC14" s="848"/>
      <c r="AD14" s="848"/>
      <c r="AE14" s="848"/>
      <c r="AF14" s="848"/>
      <c r="AG14" s="848"/>
      <c r="AH14" s="848"/>
      <c r="AI14" s="848"/>
      <c r="AJ14" s="848"/>
      <c r="AK14" s="848"/>
      <c r="AL14" s="848"/>
      <c r="AM14" s="848"/>
      <c r="AN14" s="848"/>
      <c r="AO14" s="848"/>
      <c r="AP14" s="848"/>
    </row>
    <row r="15" spans="1:42">
      <c r="A15" s="307"/>
      <c r="B15" s="1051"/>
      <c r="C15" s="308">
        <v>3</v>
      </c>
      <c r="D15" s="365" t="s">
        <v>1064</v>
      </c>
      <c r="E15" s="309" t="s">
        <v>1065</v>
      </c>
      <c r="F15" s="559">
        <v>7.63</v>
      </c>
      <c r="G15" s="559">
        <v>8.08</v>
      </c>
      <c r="H15" s="559">
        <v>7.95</v>
      </c>
      <c r="I15" s="559">
        <v>8.1199999999999992</v>
      </c>
      <c r="J15" s="559">
        <v>8.15</v>
      </c>
      <c r="K15" s="560">
        <v>7.82</v>
      </c>
      <c r="L15" s="559">
        <v>7.48</v>
      </c>
      <c r="M15" s="650">
        <v>7.87</v>
      </c>
      <c r="N15" s="650">
        <v>7.53</v>
      </c>
      <c r="O15" s="650">
        <v>7.66</v>
      </c>
      <c r="P15" s="650">
        <v>7.38</v>
      </c>
      <c r="Q15" s="650">
        <v>7</v>
      </c>
      <c r="R15" s="560">
        <f t="shared" si="0"/>
        <v>7.7224999999999993</v>
      </c>
      <c r="S15" s="815" t="s">
        <v>908</v>
      </c>
      <c r="T15" s="300"/>
      <c r="U15" s="300"/>
      <c r="V15" s="300"/>
      <c r="W15" s="300"/>
      <c r="X15" s="300"/>
      <c r="Y15" s="300"/>
      <c r="Z15" s="300"/>
      <c r="AA15" s="301"/>
      <c r="AB15" s="14" t="s">
        <v>93</v>
      </c>
      <c r="AC15" s="1162"/>
      <c r="AD15" s="1161"/>
      <c r="AE15" s="1161"/>
      <c r="AF15" s="1161"/>
      <c r="AG15" s="33">
        <f>AVERAGE(AG11:AG13)</f>
        <v>5.5680555555555564</v>
      </c>
      <c r="AH15" s="14" t="s">
        <v>1067</v>
      </c>
      <c r="AI15" s="33">
        <f t="shared" ref="AH15:AP15" si="9">AVERAGE(AI11:AI13)</f>
        <v>43.333333333333336</v>
      </c>
      <c r="AJ15" s="33">
        <f t="shared" si="9"/>
        <v>7.7411111111111106</v>
      </c>
      <c r="AK15" s="33">
        <f t="shared" si="9"/>
        <v>29.063611111111115</v>
      </c>
      <c r="AL15" s="33">
        <f t="shared" si="9"/>
        <v>154.30555555555557</v>
      </c>
      <c r="AM15" s="33">
        <f t="shared" si="9"/>
        <v>336.80777487320859</v>
      </c>
      <c r="AN15" s="33">
        <f t="shared" si="9"/>
        <v>0.34655555555555556</v>
      </c>
      <c r="AO15" s="33">
        <f t="shared" si="9"/>
        <v>0.25780555555555557</v>
      </c>
      <c r="AP15" s="33" t="s">
        <v>1067</v>
      </c>
    </row>
    <row r="16" spans="1:42">
      <c r="A16" s="307"/>
      <c r="B16" s="1049" t="s">
        <v>725</v>
      </c>
      <c r="C16" s="303">
        <v>1</v>
      </c>
      <c r="D16" s="364" t="s">
        <v>1060</v>
      </c>
      <c r="E16" s="304" t="s">
        <v>1061</v>
      </c>
      <c r="F16" s="556">
        <v>28.15</v>
      </c>
      <c r="G16" s="556">
        <v>27.81</v>
      </c>
      <c r="H16" s="556">
        <v>27.84</v>
      </c>
      <c r="I16" s="556">
        <v>28.48</v>
      </c>
      <c r="J16" s="556">
        <v>28.2</v>
      </c>
      <c r="K16" s="558">
        <v>28.21</v>
      </c>
      <c r="L16" s="556">
        <v>27.41</v>
      </c>
      <c r="M16" s="648">
        <v>32.700000000000003</v>
      </c>
      <c r="N16" s="648">
        <v>29.2</v>
      </c>
      <c r="O16" s="648">
        <v>30.3</v>
      </c>
      <c r="P16" s="648">
        <v>30.1</v>
      </c>
      <c r="Q16" s="648">
        <v>29</v>
      </c>
      <c r="R16" s="557">
        <f t="shared" si="0"/>
        <v>28.950000000000003</v>
      </c>
      <c r="S16" s="816" t="s">
        <v>777</v>
      </c>
      <c r="T16" s="300"/>
      <c r="U16" s="300"/>
      <c r="V16" s="300"/>
      <c r="W16" s="300"/>
      <c r="X16" s="300"/>
      <c r="Y16" s="300"/>
      <c r="Z16" s="300"/>
      <c r="AA16" s="301"/>
      <c r="AB16" s="14" t="s">
        <v>94</v>
      </c>
      <c r="AC16" s="1161"/>
      <c r="AD16" s="1163"/>
      <c r="AE16" s="1163"/>
      <c r="AF16" s="1161"/>
      <c r="AG16" s="33">
        <f>MIN(AG11:AG13)</f>
        <v>5.5033333333333339</v>
      </c>
      <c r="AH16" s="33" t="s">
        <v>1067</v>
      </c>
      <c r="AI16" s="33">
        <f t="shared" ref="AH16:AP16" si="10">MIN(AI11:AI13)</f>
        <v>38.916666666666664</v>
      </c>
      <c r="AJ16" s="33">
        <f t="shared" si="10"/>
        <v>7.7224999999999993</v>
      </c>
      <c r="AK16" s="33">
        <f t="shared" si="10"/>
        <v>28.950000000000003</v>
      </c>
      <c r="AL16" s="33">
        <f t="shared" si="10"/>
        <v>56.25</v>
      </c>
      <c r="AM16" s="33">
        <f t="shared" si="10"/>
        <v>141.11811176182132</v>
      </c>
      <c r="AN16" s="33">
        <f t="shared" si="10"/>
        <v>0.31658333333333327</v>
      </c>
      <c r="AO16" s="33">
        <f t="shared" si="10"/>
        <v>0.23183333333333334</v>
      </c>
      <c r="AP16" s="33" t="s">
        <v>1067</v>
      </c>
    </row>
    <row r="17" spans="1:42">
      <c r="A17" s="307"/>
      <c r="B17" s="1050"/>
      <c r="C17" s="308">
        <v>2</v>
      </c>
      <c r="D17" s="365" t="s">
        <v>1062</v>
      </c>
      <c r="E17" s="309" t="s">
        <v>1063</v>
      </c>
      <c r="F17" s="559">
        <v>28.26</v>
      </c>
      <c r="G17" s="559">
        <v>27.77</v>
      </c>
      <c r="H17" s="559">
        <v>27.82</v>
      </c>
      <c r="I17" s="559">
        <v>28.71</v>
      </c>
      <c r="J17" s="559">
        <v>28.17</v>
      </c>
      <c r="K17" s="560">
        <v>28.23</v>
      </c>
      <c r="L17" s="559">
        <v>27.57</v>
      </c>
      <c r="M17" s="650">
        <v>35.1</v>
      </c>
      <c r="N17" s="650">
        <v>28.8</v>
      </c>
      <c r="O17" s="650">
        <v>30.3</v>
      </c>
      <c r="P17" s="650">
        <v>30</v>
      </c>
      <c r="Q17" s="650">
        <v>30</v>
      </c>
      <c r="R17" s="560">
        <f t="shared" si="0"/>
        <v>29.227500000000003</v>
      </c>
      <c r="S17" s="817" t="s">
        <v>777</v>
      </c>
      <c r="T17" s="300"/>
      <c r="U17" s="300"/>
      <c r="V17" s="300"/>
      <c r="W17" s="300"/>
      <c r="X17" s="300"/>
      <c r="Y17" s="300"/>
      <c r="Z17" s="300"/>
      <c r="AA17" s="301"/>
      <c r="AB17" s="14" t="s">
        <v>95</v>
      </c>
      <c r="AC17" s="1161"/>
      <c r="AD17" s="1163"/>
      <c r="AE17" s="1163"/>
      <c r="AF17" s="1161"/>
      <c r="AG17" s="33">
        <f>MAX(AG11:AG13)</f>
        <v>5.6008333333333331</v>
      </c>
      <c r="AH17" s="33" t="s">
        <v>1067</v>
      </c>
      <c r="AI17" s="33">
        <f t="shared" ref="AH17:AP17" si="11">MAX(AI11:AI13)</f>
        <v>46.75</v>
      </c>
      <c r="AJ17" s="33">
        <f t="shared" si="11"/>
        <v>7.7625000000000002</v>
      </c>
      <c r="AK17" s="33">
        <f t="shared" si="11"/>
        <v>29.227500000000003</v>
      </c>
      <c r="AL17" s="33">
        <f t="shared" si="11"/>
        <v>302.91666666666669</v>
      </c>
      <c r="AM17" s="33">
        <f t="shared" si="11"/>
        <v>452.10130235090247</v>
      </c>
      <c r="AN17" s="33">
        <f t="shared" si="11"/>
        <v>0.3711666666666667</v>
      </c>
      <c r="AO17" s="33">
        <f t="shared" si="11"/>
        <v>0.29325000000000001</v>
      </c>
      <c r="AP17" s="33" t="s">
        <v>1067</v>
      </c>
    </row>
    <row r="18" spans="1:42">
      <c r="A18" s="307"/>
      <c r="B18" s="1051"/>
      <c r="C18" s="308">
        <v>3</v>
      </c>
      <c r="D18" s="365" t="s">
        <v>1064</v>
      </c>
      <c r="E18" s="309" t="s">
        <v>1065</v>
      </c>
      <c r="F18" s="559">
        <v>28.31</v>
      </c>
      <c r="G18" s="559">
        <v>27.8</v>
      </c>
      <c r="H18" s="559">
        <v>27.71</v>
      </c>
      <c r="I18" s="559">
        <v>28.65</v>
      </c>
      <c r="J18" s="559">
        <v>28.21</v>
      </c>
      <c r="K18" s="560">
        <v>28.18</v>
      </c>
      <c r="L18" s="559">
        <v>27.5</v>
      </c>
      <c r="M18" s="650">
        <v>33.4</v>
      </c>
      <c r="N18" s="650">
        <v>29.2</v>
      </c>
      <c r="O18" s="650">
        <v>30.2</v>
      </c>
      <c r="P18" s="650">
        <v>30</v>
      </c>
      <c r="Q18" s="650">
        <v>29</v>
      </c>
      <c r="R18" s="560">
        <f t="shared" si="0"/>
        <v>29.013333333333335</v>
      </c>
      <c r="S18" s="817" t="s">
        <v>777</v>
      </c>
      <c r="T18" s="300"/>
      <c r="U18" s="300"/>
      <c r="V18" s="300"/>
      <c r="W18" s="300"/>
      <c r="X18" s="300"/>
      <c r="Y18" s="300"/>
      <c r="Z18" s="300"/>
      <c r="AA18" s="301"/>
      <c r="AB18" s="14" t="s">
        <v>96</v>
      </c>
      <c r="AC18" s="1161"/>
      <c r="AD18" s="1161"/>
      <c r="AE18" s="1161"/>
      <c r="AF18" s="1161"/>
      <c r="AG18" s="29" t="s">
        <v>97</v>
      </c>
      <c r="AH18" s="29" t="s">
        <v>1067</v>
      </c>
      <c r="AI18" s="29" t="s">
        <v>99</v>
      </c>
      <c r="AJ18" s="29" t="s">
        <v>100</v>
      </c>
      <c r="AK18" s="29" t="s">
        <v>101</v>
      </c>
      <c r="AL18" s="29" t="s">
        <v>102</v>
      </c>
      <c r="AM18" s="29" t="s">
        <v>103</v>
      </c>
      <c r="AN18" s="29" t="s">
        <v>98</v>
      </c>
      <c r="AO18" s="29" t="s">
        <v>104</v>
      </c>
      <c r="AP18" s="29" t="s">
        <v>1067</v>
      </c>
    </row>
    <row r="19" spans="1:42">
      <c r="A19" s="307"/>
      <c r="B19" s="1049" t="s">
        <v>110</v>
      </c>
      <c r="C19" s="303">
        <v>1</v>
      </c>
      <c r="D19" s="364" t="s">
        <v>1060</v>
      </c>
      <c r="E19" s="304" t="s">
        <v>1061</v>
      </c>
      <c r="F19" s="556">
        <v>5</v>
      </c>
      <c r="G19" s="556">
        <v>15</v>
      </c>
      <c r="H19" s="556">
        <v>10</v>
      </c>
      <c r="I19" s="556">
        <v>5</v>
      </c>
      <c r="J19" s="556">
        <v>5</v>
      </c>
      <c r="K19" s="558">
        <v>15</v>
      </c>
      <c r="L19" s="556">
        <v>25</v>
      </c>
      <c r="M19" s="648">
        <v>20</v>
      </c>
      <c r="N19" s="648">
        <v>20</v>
      </c>
      <c r="O19" s="648">
        <v>1100</v>
      </c>
      <c r="P19" s="648">
        <v>15</v>
      </c>
      <c r="Q19" s="648">
        <v>10</v>
      </c>
      <c r="R19" s="557">
        <f t="shared" si="0"/>
        <v>103.75</v>
      </c>
      <c r="S19" s="816">
        <v>50</v>
      </c>
      <c r="T19" s="300"/>
      <c r="U19" s="300"/>
      <c r="V19" s="300"/>
      <c r="W19" s="300"/>
      <c r="X19" s="300"/>
      <c r="Y19" s="300"/>
      <c r="Z19" s="300"/>
      <c r="AA19" s="301"/>
    </row>
    <row r="20" spans="1:42">
      <c r="A20" s="307"/>
      <c r="B20" s="1050"/>
      <c r="C20" s="308">
        <v>2</v>
      </c>
      <c r="D20" s="365" t="s">
        <v>1062</v>
      </c>
      <c r="E20" s="309" t="s">
        <v>1063</v>
      </c>
      <c r="F20" s="559">
        <v>5</v>
      </c>
      <c r="G20" s="559">
        <v>15</v>
      </c>
      <c r="H20" s="559">
        <v>10</v>
      </c>
      <c r="I20" s="559">
        <v>5</v>
      </c>
      <c r="J20" s="559">
        <v>10</v>
      </c>
      <c r="K20" s="560">
        <v>10</v>
      </c>
      <c r="L20" s="559">
        <v>20</v>
      </c>
      <c r="M20" s="650">
        <v>15</v>
      </c>
      <c r="N20" s="650">
        <v>20</v>
      </c>
      <c r="O20" s="650">
        <v>3500</v>
      </c>
      <c r="P20" s="650">
        <v>10</v>
      </c>
      <c r="Q20" s="650">
        <v>15</v>
      </c>
      <c r="R20" s="560">
        <f t="shared" si="0"/>
        <v>302.91666666666669</v>
      </c>
      <c r="S20" s="817">
        <v>50</v>
      </c>
      <c r="T20" s="300"/>
      <c r="U20" s="300"/>
      <c r="V20" s="300"/>
      <c r="W20" s="300"/>
      <c r="X20" s="300"/>
      <c r="Y20" s="300"/>
      <c r="Z20" s="300"/>
      <c r="AA20" s="301"/>
    </row>
    <row r="21" spans="1:42">
      <c r="A21" s="307"/>
      <c r="B21" s="1051"/>
      <c r="C21" s="308">
        <v>3</v>
      </c>
      <c r="D21" s="365" t="s">
        <v>1064</v>
      </c>
      <c r="E21" s="309" t="s">
        <v>1065</v>
      </c>
      <c r="F21" s="559">
        <v>5</v>
      </c>
      <c r="G21" s="559">
        <v>15</v>
      </c>
      <c r="H21" s="559">
        <v>10</v>
      </c>
      <c r="I21" s="559">
        <v>5</v>
      </c>
      <c r="J21" s="559">
        <v>10</v>
      </c>
      <c r="K21" s="560">
        <v>10</v>
      </c>
      <c r="L21" s="559">
        <v>20</v>
      </c>
      <c r="M21" s="650">
        <v>15</v>
      </c>
      <c r="N21" s="650">
        <v>15</v>
      </c>
      <c r="O21" s="650">
        <v>540</v>
      </c>
      <c r="P21" s="650">
        <v>20</v>
      </c>
      <c r="Q21" s="650">
        <v>10</v>
      </c>
      <c r="R21" s="560">
        <f t="shared" si="0"/>
        <v>56.25</v>
      </c>
      <c r="S21" s="817">
        <v>50</v>
      </c>
      <c r="T21" s="300"/>
      <c r="U21" s="300"/>
      <c r="V21" s="300"/>
      <c r="W21" s="300"/>
      <c r="X21" s="300"/>
      <c r="Y21" s="300"/>
      <c r="Z21" s="300"/>
      <c r="AA21" s="301"/>
    </row>
    <row r="22" spans="1:42">
      <c r="A22" s="312"/>
      <c r="B22" s="313"/>
      <c r="C22" s="313"/>
      <c r="D22" s="366"/>
      <c r="E22" s="313"/>
      <c r="F22" s="820"/>
      <c r="G22" s="820"/>
      <c r="H22" s="820"/>
      <c r="I22" s="820"/>
      <c r="J22" s="820"/>
      <c r="K22" s="820"/>
      <c r="L22" s="820"/>
      <c r="M22" s="820"/>
      <c r="N22" s="821"/>
      <c r="O22" s="821"/>
      <c r="P22" s="821"/>
      <c r="Q22" s="821"/>
      <c r="R22" s="821"/>
      <c r="S22" s="818"/>
      <c r="T22" s="300"/>
      <c r="U22" s="300"/>
      <c r="V22" s="300"/>
      <c r="W22" s="300"/>
      <c r="X22" s="300"/>
      <c r="Y22" s="300"/>
      <c r="Z22" s="300"/>
      <c r="AA22" s="301"/>
    </row>
    <row r="23" spans="1:42">
      <c r="A23" s="307"/>
      <c r="B23" s="1049" t="s">
        <v>111</v>
      </c>
      <c r="C23" s="303">
        <v>1</v>
      </c>
      <c r="D23" s="364" t="s">
        <v>1060</v>
      </c>
      <c r="E23" s="304" t="s">
        <v>1061</v>
      </c>
      <c r="F23" s="556">
        <v>350</v>
      </c>
      <c r="G23" s="556">
        <v>350</v>
      </c>
      <c r="H23" s="556">
        <v>170</v>
      </c>
      <c r="I23" s="556">
        <v>4</v>
      </c>
      <c r="J23" s="556">
        <v>130</v>
      </c>
      <c r="K23" s="558">
        <v>5400</v>
      </c>
      <c r="L23" s="556">
        <v>7900</v>
      </c>
      <c r="M23" s="648">
        <v>350</v>
      </c>
      <c r="N23" s="648">
        <v>3500</v>
      </c>
      <c r="O23" s="648">
        <v>1800</v>
      </c>
      <c r="P23" s="648">
        <v>70</v>
      </c>
      <c r="Q23" s="648">
        <v>390</v>
      </c>
      <c r="R23" s="400">
        <f>GEOMEAN(F23:Q23)</f>
        <v>417.20391050690193</v>
      </c>
      <c r="S23" s="814">
        <v>100</v>
      </c>
      <c r="T23" s="300"/>
      <c r="U23" s="300"/>
      <c r="V23" s="300"/>
      <c r="W23" s="300"/>
      <c r="X23" s="300"/>
      <c r="Y23" s="300"/>
      <c r="Z23" s="300"/>
      <c r="AA23" s="301"/>
    </row>
    <row r="24" spans="1:42">
      <c r="A24" s="307"/>
      <c r="B24" s="1050"/>
      <c r="C24" s="308">
        <v>2</v>
      </c>
      <c r="D24" s="365" t="s">
        <v>1062</v>
      </c>
      <c r="E24" s="309" t="s">
        <v>1063</v>
      </c>
      <c r="F24" s="559">
        <v>920</v>
      </c>
      <c r="G24" s="559">
        <v>350</v>
      </c>
      <c r="H24" s="559">
        <v>23</v>
      </c>
      <c r="I24" s="559">
        <v>4.5</v>
      </c>
      <c r="J24" s="559">
        <v>79</v>
      </c>
      <c r="K24" s="560">
        <v>540</v>
      </c>
      <c r="L24" s="822">
        <v>13000</v>
      </c>
      <c r="M24" s="650">
        <v>1600</v>
      </c>
      <c r="N24" s="650">
        <v>5400</v>
      </c>
      <c r="O24" s="650">
        <v>3400</v>
      </c>
      <c r="P24" s="650">
        <v>79</v>
      </c>
      <c r="Q24" s="650">
        <v>1700</v>
      </c>
      <c r="R24" s="403">
        <f t="shared" ref="R24:R25" si="12">GEOMEAN(F24:Q24)</f>
        <v>452.10130235090247</v>
      </c>
      <c r="S24" s="815">
        <v>100</v>
      </c>
      <c r="T24" s="300"/>
      <c r="U24" s="300"/>
      <c r="V24" s="300"/>
      <c r="W24" s="300"/>
      <c r="X24" s="300"/>
      <c r="Y24" s="300"/>
      <c r="Z24" s="300"/>
      <c r="AA24" s="301"/>
    </row>
    <row r="25" spans="1:42">
      <c r="A25" s="307"/>
      <c r="B25" s="1051"/>
      <c r="C25" s="308">
        <v>3</v>
      </c>
      <c r="D25" s="365" t="s">
        <v>1064</v>
      </c>
      <c r="E25" s="309" t="s">
        <v>1065</v>
      </c>
      <c r="F25" s="559">
        <v>350</v>
      </c>
      <c r="G25" s="559">
        <v>210</v>
      </c>
      <c r="H25" s="559">
        <v>23</v>
      </c>
      <c r="I25" s="559">
        <v>7.8</v>
      </c>
      <c r="J25" s="559">
        <v>79</v>
      </c>
      <c r="K25" s="560">
        <v>43</v>
      </c>
      <c r="L25" s="559">
        <v>9200</v>
      </c>
      <c r="M25" s="650">
        <v>170</v>
      </c>
      <c r="N25" s="650">
        <v>23</v>
      </c>
      <c r="O25" s="650">
        <v>79</v>
      </c>
      <c r="P25" s="650">
        <v>350</v>
      </c>
      <c r="Q25" s="650">
        <v>1400</v>
      </c>
      <c r="R25" s="403">
        <f t="shared" si="12"/>
        <v>141.11811176182132</v>
      </c>
      <c r="S25" s="815">
        <v>100</v>
      </c>
      <c r="T25" s="300"/>
      <c r="U25" s="300"/>
      <c r="V25" s="300"/>
      <c r="W25" s="300"/>
      <c r="X25" s="300"/>
      <c r="Y25" s="300"/>
      <c r="Z25" s="300"/>
      <c r="AA25" s="301"/>
    </row>
    <row r="26" spans="1:42">
      <c r="A26" s="307"/>
      <c r="B26" s="1080" t="s">
        <v>1068</v>
      </c>
      <c r="C26" s="1081"/>
      <c r="D26" s="1082"/>
      <c r="E26" s="317"/>
      <c r="F26" s="823">
        <f>GEOMEAN(F23:F25)</f>
        <v>483.03059387530601</v>
      </c>
      <c r="G26" s="823">
        <f t="shared" ref="G26:Q26" si="13">GEOMEAN(G23:G25)</f>
        <v>295.20143285561221</v>
      </c>
      <c r="H26" s="823">
        <f t="shared" si="13"/>
        <v>44.802425995326587</v>
      </c>
      <c r="I26" s="823">
        <f t="shared" si="13"/>
        <v>5.1974346320454163</v>
      </c>
      <c r="J26" s="823">
        <f t="shared" si="13"/>
        <v>93.267967270069192</v>
      </c>
      <c r="K26" s="823">
        <f t="shared" si="13"/>
        <v>500.51679898691117</v>
      </c>
      <c r="L26" s="823">
        <f t="shared" si="13"/>
        <v>9812.6450679730915</v>
      </c>
      <c r="M26" s="823">
        <f t="shared" si="13"/>
        <v>456.61024279050537</v>
      </c>
      <c r="N26" s="823">
        <f t="shared" si="13"/>
        <v>757.52426155015473</v>
      </c>
      <c r="O26" s="823">
        <f t="shared" si="13"/>
        <v>784.86115980704301</v>
      </c>
      <c r="P26" s="823">
        <f t="shared" si="13"/>
        <v>124.62286328754111</v>
      </c>
      <c r="Q26" s="823">
        <f t="shared" si="13"/>
        <v>975.46985900552329</v>
      </c>
      <c r="R26" s="824">
        <f>GEOMEAN(F26:Q26)</f>
        <v>298.57650386643132</v>
      </c>
      <c r="S26" s="819"/>
      <c r="T26" s="300"/>
      <c r="U26" s="300"/>
      <c r="V26" s="300"/>
      <c r="W26" s="300"/>
      <c r="X26" s="300"/>
      <c r="Y26" s="300"/>
      <c r="Z26" s="300"/>
      <c r="AA26" s="301"/>
    </row>
    <row r="27" spans="1:42">
      <c r="A27" s="312"/>
      <c r="B27" s="313"/>
      <c r="C27" s="313"/>
      <c r="D27" s="366"/>
      <c r="E27" s="313"/>
      <c r="F27" s="821"/>
      <c r="G27" s="821"/>
      <c r="H27" s="821"/>
      <c r="I27" s="821"/>
      <c r="J27" s="821"/>
      <c r="K27" s="821"/>
      <c r="L27" s="821"/>
      <c r="M27" s="821"/>
      <c r="N27" s="821"/>
      <c r="O27" s="821"/>
      <c r="P27" s="821"/>
      <c r="Q27" s="821"/>
      <c r="R27" s="821"/>
      <c r="S27" s="818"/>
      <c r="T27" s="300"/>
      <c r="U27" s="300"/>
      <c r="V27" s="300"/>
      <c r="W27" s="300"/>
      <c r="X27" s="300"/>
      <c r="Y27" s="300"/>
      <c r="Z27" s="300"/>
      <c r="AA27" s="301"/>
    </row>
    <row r="28" spans="1:42">
      <c r="A28" s="307"/>
      <c r="B28" s="1049" t="s">
        <v>726</v>
      </c>
      <c r="C28" s="303">
        <v>1</v>
      </c>
      <c r="D28" s="364" t="s">
        <v>1060</v>
      </c>
      <c r="E28" s="304" t="s">
        <v>1061</v>
      </c>
      <c r="F28" s="825">
        <v>0.23599999999999999</v>
      </c>
      <c r="G28" s="825">
        <v>0.50900000000000001</v>
      </c>
      <c r="H28" s="825">
        <v>0.30199999999999999</v>
      </c>
      <c r="I28" s="825">
        <v>4.2999999999999997E-2</v>
      </c>
      <c r="J28" s="825">
        <v>0.54700000000000004</v>
      </c>
      <c r="K28" s="826">
        <v>0.51400000000000001</v>
      </c>
      <c r="L28" s="825">
        <v>0.52300000000000002</v>
      </c>
      <c r="M28" s="827">
        <v>0.499</v>
      </c>
      <c r="N28" s="827">
        <v>0.152</v>
      </c>
      <c r="O28" s="828">
        <v>0.63200000000000001</v>
      </c>
      <c r="P28" s="828">
        <v>0.32600000000000001</v>
      </c>
      <c r="Q28" s="828">
        <v>0.17100000000000001</v>
      </c>
      <c r="R28" s="829">
        <f>AVERAGE(F28:Q28)</f>
        <v>0.3711666666666667</v>
      </c>
      <c r="S28" s="814">
        <v>10</v>
      </c>
      <c r="T28" s="300"/>
      <c r="U28" s="300"/>
      <c r="V28" s="300"/>
      <c r="W28" s="300"/>
      <c r="X28" s="300"/>
      <c r="Y28" s="300"/>
      <c r="Z28" s="300"/>
      <c r="AA28" s="301"/>
    </row>
    <row r="29" spans="1:42">
      <c r="A29" s="307"/>
      <c r="B29" s="1050"/>
      <c r="C29" s="308">
        <v>2</v>
      </c>
      <c r="D29" s="365" t="s">
        <v>1062</v>
      </c>
      <c r="E29" s="309" t="s">
        <v>1063</v>
      </c>
      <c r="F29" s="830">
        <v>6.0999999999999999E-2</v>
      </c>
      <c r="G29" s="830">
        <v>1.0840000000000001</v>
      </c>
      <c r="H29" s="830">
        <v>0.41299999999999998</v>
      </c>
      <c r="I29" s="830">
        <v>4.2999999999999997E-2</v>
      </c>
      <c r="J29" s="830">
        <v>0.35599999999999998</v>
      </c>
      <c r="K29" s="831">
        <v>0.14000000000000001</v>
      </c>
      <c r="L29" s="830">
        <v>0.39500000000000002</v>
      </c>
      <c r="M29" s="832">
        <v>0.40100000000000002</v>
      </c>
      <c r="N29" s="832">
        <v>0.16300000000000001</v>
      </c>
      <c r="O29" s="833">
        <v>0.373</v>
      </c>
      <c r="P29" s="833">
        <v>0.253</v>
      </c>
      <c r="Q29" s="833">
        <v>0.11700000000000001</v>
      </c>
      <c r="R29" s="831">
        <f t="shared" ref="R29:R33" si="14">AVERAGE(F29:Q29)</f>
        <v>0.31658333333333327</v>
      </c>
      <c r="S29" s="815">
        <v>10</v>
      </c>
      <c r="T29" s="300"/>
      <c r="U29" s="300"/>
      <c r="V29" s="300"/>
      <c r="W29" s="300"/>
      <c r="X29" s="300"/>
      <c r="Y29" s="300"/>
      <c r="Z29" s="300"/>
      <c r="AA29" s="301"/>
    </row>
    <row r="30" spans="1:42">
      <c r="A30" s="307"/>
      <c r="B30" s="1051"/>
      <c r="C30" s="308">
        <v>3</v>
      </c>
      <c r="D30" s="365" t="s">
        <v>1064</v>
      </c>
      <c r="E30" s="309" t="s">
        <v>1065</v>
      </c>
      <c r="F30" s="830">
        <v>0.34699999999999998</v>
      </c>
      <c r="G30" s="830">
        <v>0.66900000000000004</v>
      </c>
      <c r="H30" s="830">
        <v>0.17299999999999999</v>
      </c>
      <c r="I30" s="830">
        <v>4.2999999999999997E-2</v>
      </c>
      <c r="J30" s="830">
        <v>0.34699999999999998</v>
      </c>
      <c r="K30" s="831">
        <v>0.39</v>
      </c>
      <c r="L30" s="830">
        <v>0.69899999999999995</v>
      </c>
      <c r="M30" s="832">
        <v>0.56100000000000005</v>
      </c>
      <c r="N30" s="832">
        <v>0.27</v>
      </c>
      <c r="O30" s="833">
        <v>0.439</v>
      </c>
      <c r="P30" s="833">
        <v>0.189</v>
      </c>
      <c r="Q30" s="833">
        <v>9.6000000000000002E-2</v>
      </c>
      <c r="R30" s="831">
        <f t="shared" si="14"/>
        <v>0.35191666666666666</v>
      </c>
      <c r="S30" s="815">
        <v>10</v>
      </c>
      <c r="T30" s="300"/>
      <c r="U30" s="300"/>
      <c r="V30" s="300"/>
      <c r="W30" s="300"/>
      <c r="X30" s="300"/>
      <c r="Y30" s="300"/>
      <c r="Z30" s="300"/>
      <c r="AA30" s="301"/>
    </row>
    <row r="31" spans="1:42">
      <c r="A31" s="307"/>
      <c r="B31" s="1049" t="s">
        <v>727</v>
      </c>
      <c r="C31" s="303">
        <v>1</v>
      </c>
      <c r="D31" s="364" t="s">
        <v>1060</v>
      </c>
      <c r="E31" s="304" t="s">
        <v>1061</v>
      </c>
      <c r="F31" s="825">
        <v>0.30299999999999999</v>
      </c>
      <c r="G31" s="825">
        <v>0.16300000000000001</v>
      </c>
      <c r="H31" s="825">
        <v>8.3000000000000004E-2</v>
      </c>
      <c r="I31" s="825">
        <v>0.11</v>
      </c>
      <c r="J31" s="825">
        <v>0.14799999999999999</v>
      </c>
      <c r="K31" s="826">
        <v>0.192</v>
      </c>
      <c r="L31" s="825">
        <v>0.26600000000000001</v>
      </c>
      <c r="M31" s="827">
        <v>0.222</v>
      </c>
      <c r="N31" s="827">
        <v>0.55700000000000005</v>
      </c>
      <c r="O31" s="828">
        <v>0.25900000000000001</v>
      </c>
      <c r="P31" s="828">
        <v>0.249</v>
      </c>
      <c r="Q31" s="828">
        <v>0.23</v>
      </c>
      <c r="R31" s="829">
        <f t="shared" si="14"/>
        <v>0.23183333333333334</v>
      </c>
      <c r="S31" s="814">
        <v>0.2</v>
      </c>
      <c r="T31" s="300"/>
      <c r="U31" s="300"/>
      <c r="V31" s="300"/>
      <c r="W31" s="300"/>
      <c r="X31" s="300"/>
      <c r="Y31" s="300"/>
      <c r="Z31" s="300"/>
      <c r="AA31" s="301"/>
    </row>
    <row r="32" spans="1:42">
      <c r="A32" s="307"/>
      <c r="B32" s="1050"/>
      <c r="C32" s="308">
        <v>2</v>
      </c>
      <c r="D32" s="365" t="s">
        <v>1062</v>
      </c>
      <c r="E32" s="309" t="s">
        <v>1063</v>
      </c>
      <c r="F32" s="830">
        <v>0.35599999999999998</v>
      </c>
      <c r="G32" s="830">
        <v>0.127</v>
      </c>
      <c r="H32" s="830">
        <v>0.19700000000000001</v>
      </c>
      <c r="I32" s="830">
        <v>0.114</v>
      </c>
      <c r="J32" s="830">
        <v>0.216</v>
      </c>
      <c r="K32" s="831">
        <v>0.218</v>
      </c>
      <c r="L32" s="830">
        <v>0.29799999999999999</v>
      </c>
      <c r="M32" s="832">
        <v>0.246</v>
      </c>
      <c r="N32" s="832">
        <v>0.66</v>
      </c>
      <c r="O32" s="833">
        <v>0.23300000000000001</v>
      </c>
      <c r="P32" s="833">
        <v>0.13800000000000001</v>
      </c>
      <c r="Q32" s="833">
        <v>0.17699999999999999</v>
      </c>
      <c r="R32" s="831">
        <f t="shared" si="14"/>
        <v>0.24833333333333332</v>
      </c>
      <c r="S32" s="815">
        <v>0.2</v>
      </c>
      <c r="T32" s="300"/>
      <c r="U32" s="300"/>
      <c r="V32" s="300"/>
      <c r="W32" s="300"/>
      <c r="X32" s="300"/>
      <c r="Y32" s="300"/>
      <c r="Z32" s="300"/>
      <c r="AA32" s="301"/>
    </row>
    <row r="33" spans="1:27">
      <c r="A33" s="307"/>
      <c r="B33" s="1051"/>
      <c r="C33" s="308">
        <v>3</v>
      </c>
      <c r="D33" s="365" t="s">
        <v>1064</v>
      </c>
      <c r="E33" s="309" t="s">
        <v>1065</v>
      </c>
      <c r="F33" s="830">
        <v>0.36599999999999999</v>
      </c>
      <c r="G33" s="830">
        <v>5.1999999999999998E-2</v>
      </c>
      <c r="H33" s="830">
        <v>0.107</v>
      </c>
      <c r="I33" s="830">
        <v>0.20599999999999999</v>
      </c>
      <c r="J33" s="830">
        <v>0.24199999999999999</v>
      </c>
      <c r="K33" s="831">
        <v>0.22</v>
      </c>
      <c r="L33" s="830">
        <v>0.26200000000000001</v>
      </c>
      <c r="M33" s="832">
        <v>0.254</v>
      </c>
      <c r="N33" s="832">
        <v>0.94399999999999995</v>
      </c>
      <c r="O33" s="833">
        <v>0.308</v>
      </c>
      <c r="P33" s="833">
        <v>0.29699999999999999</v>
      </c>
      <c r="Q33" s="833">
        <v>0.26100000000000001</v>
      </c>
      <c r="R33" s="831">
        <f t="shared" si="14"/>
        <v>0.29325000000000001</v>
      </c>
      <c r="S33" s="815">
        <v>0.2</v>
      </c>
      <c r="T33" s="300"/>
      <c r="U33" s="300"/>
      <c r="V33" s="300"/>
      <c r="W33" s="300"/>
      <c r="X33" s="300"/>
      <c r="Y33" s="300"/>
      <c r="Z33" s="300"/>
      <c r="AA33" s="301"/>
    </row>
    <row r="34" spans="1:27">
      <c r="A34" s="319"/>
      <c r="B34" s="300"/>
      <c r="C34" s="301"/>
      <c r="D34" s="367"/>
      <c r="E34" s="311"/>
      <c r="F34" s="311"/>
      <c r="G34" s="311"/>
      <c r="H34" s="311"/>
      <c r="I34" s="311"/>
      <c r="J34" s="311"/>
      <c r="K34" s="311"/>
      <c r="L34" s="311"/>
      <c r="M34" s="311"/>
      <c r="N34" s="311"/>
      <c r="O34" s="311"/>
      <c r="P34" s="311"/>
      <c r="Q34" s="311"/>
      <c r="R34" s="300"/>
      <c r="S34" s="300"/>
      <c r="T34" s="300"/>
      <c r="U34" s="300"/>
      <c r="V34" s="300"/>
      <c r="W34" s="300"/>
      <c r="X34" s="300"/>
      <c r="Y34" s="300"/>
      <c r="Z34" s="300"/>
      <c r="AA34" s="301"/>
    </row>
    <row r="35" spans="1:27">
      <c r="A35" s="1005"/>
      <c r="B35" s="1006"/>
      <c r="C35" s="1061"/>
      <c r="D35" s="368" t="s">
        <v>314</v>
      </c>
      <c r="E35" s="308"/>
      <c r="F35" s="311"/>
      <c r="G35" s="311"/>
      <c r="H35" s="311"/>
      <c r="I35" s="311"/>
      <c r="J35" s="311"/>
      <c r="K35" s="311"/>
      <c r="L35" s="311"/>
      <c r="M35" s="311"/>
      <c r="N35" s="311"/>
      <c r="O35" s="311"/>
      <c r="P35" s="311"/>
      <c r="Q35" s="311"/>
      <c r="R35" s="300"/>
      <c r="S35" s="300"/>
      <c r="T35" s="300"/>
      <c r="U35" s="300"/>
      <c r="V35" s="300"/>
      <c r="W35" s="300"/>
      <c r="X35" s="300"/>
      <c r="Y35" s="300"/>
      <c r="Z35" s="300"/>
      <c r="AA35" s="301"/>
    </row>
    <row r="36" spans="1:27" ht="290.25">
      <c r="A36" s="1008"/>
      <c r="B36" s="1009"/>
      <c r="C36" s="1062"/>
      <c r="D36" s="365" t="s">
        <v>1060</v>
      </c>
      <c r="E36" s="309"/>
      <c r="F36" s="320" t="s">
        <v>1069</v>
      </c>
      <c r="G36" s="320" t="s">
        <v>1070</v>
      </c>
      <c r="H36" s="320" t="s">
        <v>1071</v>
      </c>
      <c r="I36" s="320" t="s">
        <v>1072</v>
      </c>
      <c r="J36" s="320" t="s">
        <v>1073</v>
      </c>
      <c r="K36" s="320" t="s">
        <v>1074</v>
      </c>
      <c r="L36" s="320" t="s">
        <v>1075</v>
      </c>
      <c r="M36" s="320" t="s">
        <v>1076</v>
      </c>
      <c r="N36" s="320" t="s">
        <v>1077</v>
      </c>
      <c r="O36" s="320" t="s">
        <v>1078</v>
      </c>
      <c r="P36" s="320"/>
      <c r="Q36" s="320" t="s">
        <v>1079</v>
      </c>
      <c r="R36" s="300"/>
      <c r="S36" s="300"/>
      <c r="T36" s="300"/>
      <c r="U36" s="300"/>
      <c r="V36" s="300"/>
      <c r="W36" s="300"/>
      <c r="X36" s="300"/>
      <c r="Y36" s="300"/>
      <c r="Z36" s="300"/>
      <c r="AA36" s="301"/>
    </row>
    <row r="37" spans="1:27" ht="290.25">
      <c r="A37" s="1083"/>
      <c r="B37" s="1084"/>
      <c r="C37" s="1085"/>
      <c r="D37" s="365" t="s">
        <v>1062</v>
      </c>
      <c r="E37" s="309"/>
      <c r="F37" s="320" t="s">
        <v>1080</v>
      </c>
      <c r="G37" s="320" t="s">
        <v>1081</v>
      </c>
      <c r="H37" s="320" t="s">
        <v>1082</v>
      </c>
      <c r="I37" s="320" t="s">
        <v>1083</v>
      </c>
      <c r="J37" s="320" t="s">
        <v>1084</v>
      </c>
      <c r="K37" s="320" t="s">
        <v>1085</v>
      </c>
      <c r="L37" s="320" t="s">
        <v>1086</v>
      </c>
      <c r="M37" s="320" t="s">
        <v>1087</v>
      </c>
      <c r="N37" s="320" t="s">
        <v>1088</v>
      </c>
      <c r="O37" s="320" t="s">
        <v>1089</v>
      </c>
      <c r="P37" s="320"/>
      <c r="Q37" s="320" t="s">
        <v>1079</v>
      </c>
      <c r="R37" s="300"/>
      <c r="S37" s="300"/>
      <c r="T37" s="300"/>
      <c r="U37" s="300"/>
      <c r="V37" s="300"/>
      <c r="W37" s="300"/>
      <c r="X37" s="300"/>
      <c r="Y37" s="300"/>
      <c r="Z37" s="300"/>
      <c r="AA37" s="301"/>
    </row>
    <row r="38" spans="1:27" ht="183">
      <c r="A38" s="1005"/>
      <c r="B38" s="1006"/>
      <c r="C38" s="1061"/>
      <c r="D38" s="365" t="s">
        <v>1064</v>
      </c>
      <c r="E38" s="309"/>
      <c r="F38" s="320" t="s">
        <v>1090</v>
      </c>
      <c r="G38" s="320" t="s">
        <v>1091</v>
      </c>
      <c r="H38" s="320" t="s">
        <v>1092</v>
      </c>
      <c r="I38" s="320" t="s">
        <v>1093</v>
      </c>
      <c r="J38" s="320" t="s">
        <v>1094</v>
      </c>
      <c r="K38" s="320" t="s">
        <v>1095</v>
      </c>
      <c r="L38" s="320" t="s">
        <v>1096</v>
      </c>
      <c r="M38" s="320" t="s">
        <v>1097</v>
      </c>
      <c r="N38" s="320" t="s">
        <v>1098</v>
      </c>
      <c r="O38" s="320" t="s">
        <v>1078</v>
      </c>
      <c r="P38" s="320"/>
      <c r="Q38" s="320" t="s">
        <v>1079</v>
      </c>
      <c r="R38" s="300"/>
      <c r="S38" s="300"/>
      <c r="T38" s="300"/>
      <c r="U38" s="300"/>
      <c r="V38" s="300"/>
      <c r="W38" s="300"/>
      <c r="X38" s="300"/>
      <c r="Y38" s="300"/>
      <c r="Z38" s="300"/>
      <c r="AA38" s="301"/>
    </row>
    <row r="39" spans="1:27">
      <c r="A39" s="1008"/>
      <c r="B39" s="1009"/>
      <c r="C39" s="1062"/>
      <c r="D39" s="369"/>
      <c r="E39" s="300"/>
      <c r="F39" s="300"/>
      <c r="G39" s="300"/>
      <c r="H39" s="300"/>
      <c r="I39" s="300"/>
      <c r="J39" s="300"/>
      <c r="K39" s="300"/>
      <c r="L39" s="300"/>
      <c r="M39" s="300">
        <v>12</v>
      </c>
      <c r="N39" s="300">
        <v>2</v>
      </c>
      <c r="O39" s="300">
        <v>21</v>
      </c>
      <c r="P39" s="300"/>
      <c r="Q39" s="300"/>
      <c r="R39" s="300"/>
      <c r="S39" s="300"/>
      <c r="T39" s="300"/>
      <c r="U39" s="300"/>
      <c r="V39" s="300"/>
      <c r="W39" s="300"/>
      <c r="X39" s="300"/>
      <c r="Y39" s="300"/>
      <c r="Z39" s="300"/>
      <c r="AA39" s="301"/>
    </row>
    <row r="40" spans="1:27">
      <c r="A40" s="319"/>
      <c r="B40" s="300"/>
      <c r="C40" s="300"/>
      <c r="D40" s="369"/>
      <c r="E40" s="300"/>
      <c r="F40" s="300"/>
      <c r="G40" s="300"/>
      <c r="H40" s="300"/>
      <c r="I40" s="300"/>
      <c r="J40" s="300"/>
      <c r="K40" s="300"/>
      <c r="L40" s="300"/>
      <c r="M40" s="300"/>
      <c r="N40" s="300"/>
      <c r="O40" s="300"/>
      <c r="P40" s="300"/>
      <c r="Q40" s="300"/>
      <c r="R40" s="300"/>
      <c r="S40" s="300"/>
      <c r="T40" s="300"/>
      <c r="U40" s="300"/>
      <c r="V40" s="300"/>
      <c r="W40" s="300"/>
      <c r="X40" s="300"/>
      <c r="Y40" s="300"/>
      <c r="Z40" s="300"/>
      <c r="AA40" s="301"/>
    </row>
    <row r="41" spans="1:27">
      <c r="A41" s="319"/>
      <c r="B41" s="300"/>
      <c r="C41" s="300"/>
      <c r="D41" s="369" t="s">
        <v>175</v>
      </c>
      <c r="E41" s="300"/>
      <c r="F41" s="300"/>
      <c r="G41" s="300"/>
      <c r="H41" s="300"/>
      <c r="I41" s="300"/>
      <c r="J41" s="300"/>
      <c r="K41" s="300"/>
      <c r="L41" s="300"/>
      <c r="M41" s="300"/>
      <c r="N41" s="300"/>
      <c r="O41" s="300"/>
      <c r="P41" s="300"/>
      <c r="Q41" s="300"/>
      <c r="R41" s="300"/>
      <c r="S41" s="300"/>
      <c r="T41" s="300"/>
      <c r="U41" s="300"/>
      <c r="V41" s="300"/>
      <c r="W41" s="300"/>
      <c r="X41" s="300"/>
      <c r="Y41" s="300"/>
      <c r="Z41" s="300"/>
      <c r="AA41" s="301"/>
    </row>
    <row r="42" spans="1:27">
      <c r="A42" s="319"/>
      <c r="B42" s="300"/>
      <c r="C42" s="300"/>
      <c r="D42" s="1071" t="s">
        <v>1099</v>
      </c>
      <c r="E42" s="1072"/>
      <c r="F42" s="1072"/>
      <c r="G42" s="1072"/>
      <c r="H42" s="1072"/>
      <c r="I42" s="1072"/>
      <c r="J42" s="1072"/>
      <c r="K42" s="1072"/>
      <c r="L42" s="1072"/>
      <c r="M42" s="1072"/>
      <c r="N42" s="1072"/>
      <c r="O42" s="1072"/>
      <c r="P42" s="1072"/>
      <c r="Q42" s="1072"/>
      <c r="R42" s="1072"/>
      <c r="S42" s="1073"/>
      <c r="T42" s="300"/>
      <c r="U42" s="300"/>
      <c r="V42" s="300"/>
      <c r="W42" s="300"/>
      <c r="X42" s="300"/>
      <c r="Y42" s="300"/>
      <c r="Z42" s="300"/>
      <c r="AA42" s="301"/>
    </row>
    <row r="43" spans="1:27">
      <c r="A43" s="319"/>
      <c r="B43" s="300"/>
      <c r="C43" s="300"/>
      <c r="D43" s="1074"/>
      <c r="E43" s="1075"/>
      <c r="F43" s="1075"/>
      <c r="G43" s="1075"/>
      <c r="H43" s="1075"/>
      <c r="I43" s="1075"/>
      <c r="J43" s="1075"/>
      <c r="K43" s="1075"/>
      <c r="L43" s="1075"/>
      <c r="M43" s="1075"/>
      <c r="N43" s="1075"/>
      <c r="O43" s="1075"/>
      <c r="P43" s="1075"/>
      <c r="Q43" s="1075"/>
      <c r="R43" s="1075"/>
      <c r="S43" s="1076"/>
      <c r="T43" s="300"/>
      <c r="U43" s="300"/>
      <c r="V43" s="300"/>
      <c r="W43" s="300"/>
      <c r="X43" s="300"/>
      <c r="Y43" s="300"/>
      <c r="Z43" s="300"/>
      <c r="AA43" s="301"/>
    </row>
    <row r="44" spans="1:27">
      <c r="A44" s="319"/>
      <c r="B44" s="300"/>
      <c r="C44" s="300"/>
      <c r="D44" s="1074"/>
      <c r="E44" s="1075"/>
      <c r="F44" s="1075"/>
      <c r="G44" s="1075"/>
      <c r="H44" s="1075"/>
      <c r="I44" s="1075"/>
      <c r="J44" s="1075"/>
      <c r="K44" s="1075"/>
      <c r="L44" s="1075"/>
      <c r="M44" s="1075"/>
      <c r="N44" s="1075"/>
      <c r="O44" s="1075"/>
      <c r="P44" s="1075"/>
      <c r="Q44" s="1075"/>
      <c r="R44" s="1075"/>
      <c r="S44" s="1076"/>
      <c r="T44" s="300"/>
      <c r="U44" s="300"/>
      <c r="V44" s="300"/>
      <c r="W44" s="300"/>
      <c r="X44" s="300"/>
      <c r="Y44" s="300"/>
      <c r="Z44" s="300"/>
      <c r="AA44" s="301"/>
    </row>
    <row r="45" spans="1:27">
      <c r="A45" s="319"/>
      <c r="B45" s="300"/>
      <c r="C45" s="300"/>
      <c r="D45" s="1074"/>
      <c r="E45" s="1075"/>
      <c r="F45" s="1075"/>
      <c r="G45" s="1075"/>
      <c r="H45" s="1075"/>
      <c r="I45" s="1075"/>
      <c r="J45" s="1075"/>
      <c r="K45" s="1075"/>
      <c r="L45" s="1075"/>
      <c r="M45" s="1075"/>
      <c r="N45" s="1075"/>
      <c r="O45" s="1075"/>
      <c r="P45" s="1075"/>
      <c r="Q45" s="1075"/>
      <c r="R45" s="1075"/>
      <c r="S45" s="1076"/>
      <c r="T45" s="300"/>
      <c r="U45" s="300"/>
      <c r="V45" s="300"/>
      <c r="W45" s="300"/>
      <c r="X45" s="300"/>
      <c r="Y45" s="300"/>
      <c r="Z45" s="300"/>
      <c r="AA45" s="301"/>
    </row>
    <row r="46" spans="1:27">
      <c r="A46" s="319"/>
      <c r="B46" s="300"/>
      <c r="C46" s="300"/>
      <c r="D46" s="1074"/>
      <c r="E46" s="1075"/>
      <c r="F46" s="1075"/>
      <c r="G46" s="1075"/>
      <c r="H46" s="1075"/>
      <c r="I46" s="1075"/>
      <c r="J46" s="1075"/>
      <c r="K46" s="1075"/>
      <c r="L46" s="1075"/>
      <c r="M46" s="1075"/>
      <c r="N46" s="1075"/>
      <c r="O46" s="1075"/>
      <c r="P46" s="1075"/>
      <c r="Q46" s="1075"/>
      <c r="R46" s="1075"/>
      <c r="S46" s="1076"/>
      <c r="T46" s="300"/>
      <c r="U46" s="300"/>
      <c r="V46" s="300"/>
      <c r="W46" s="300"/>
      <c r="X46" s="300"/>
      <c r="Y46" s="300"/>
      <c r="Z46" s="300"/>
      <c r="AA46" s="301"/>
    </row>
    <row r="47" spans="1:27">
      <c r="A47" s="319"/>
      <c r="B47" s="300"/>
      <c r="C47" s="300"/>
      <c r="D47" s="1074"/>
      <c r="E47" s="1075"/>
      <c r="F47" s="1075"/>
      <c r="G47" s="1075"/>
      <c r="H47" s="1075"/>
      <c r="I47" s="1075"/>
      <c r="J47" s="1075"/>
      <c r="K47" s="1075"/>
      <c r="L47" s="1075"/>
      <c r="M47" s="1075"/>
      <c r="N47" s="1075"/>
      <c r="O47" s="1075"/>
      <c r="P47" s="1075"/>
      <c r="Q47" s="1075"/>
      <c r="R47" s="1075"/>
      <c r="S47" s="1076"/>
      <c r="T47" s="300"/>
      <c r="U47" s="300"/>
      <c r="V47" s="300"/>
      <c r="W47" s="300"/>
      <c r="X47" s="300"/>
      <c r="Y47" s="300"/>
      <c r="Z47" s="300"/>
      <c r="AA47" s="301"/>
    </row>
    <row r="48" spans="1:27">
      <c r="A48" s="319"/>
      <c r="B48" s="300"/>
      <c r="C48" s="300"/>
      <c r="D48" s="1074"/>
      <c r="E48" s="1075"/>
      <c r="F48" s="1075"/>
      <c r="G48" s="1075"/>
      <c r="H48" s="1075"/>
      <c r="I48" s="1075"/>
      <c r="J48" s="1075"/>
      <c r="K48" s="1075"/>
      <c r="L48" s="1075"/>
      <c r="M48" s="1075"/>
      <c r="N48" s="1075"/>
      <c r="O48" s="1075"/>
      <c r="P48" s="1075"/>
      <c r="Q48" s="1075"/>
      <c r="R48" s="1075"/>
      <c r="S48" s="1076"/>
      <c r="T48" s="300"/>
      <c r="U48" s="300"/>
      <c r="V48" s="300"/>
      <c r="W48" s="300"/>
      <c r="X48" s="300"/>
      <c r="Y48" s="300"/>
      <c r="Z48" s="300"/>
      <c r="AA48" s="301"/>
    </row>
    <row r="49" spans="1:27">
      <c r="A49" s="319"/>
      <c r="B49" s="300"/>
      <c r="C49" s="300"/>
      <c r="D49" s="1074"/>
      <c r="E49" s="1075"/>
      <c r="F49" s="1075"/>
      <c r="G49" s="1075"/>
      <c r="H49" s="1075"/>
      <c r="I49" s="1075"/>
      <c r="J49" s="1075"/>
      <c r="K49" s="1075"/>
      <c r="L49" s="1075"/>
      <c r="M49" s="1075"/>
      <c r="N49" s="1075"/>
      <c r="O49" s="1075"/>
      <c r="P49" s="1075"/>
      <c r="Q49" s="1075"/>
      <c r="R49" s="1075"/>
      <c r="S49" s="1076"/>
      <c r="T49" s="300"/>
      <c r="U49" s="300"/>
      <c r="V49" s="300"/>
      <c r="W49" s="300"/>
      <c r="X49" s="300"/>
      <c r="Y49" s="300"/>
      <c r="Z49" s="300"/>
      <c r="AA49" s="301"/>
    </row>
    <row r="50" spans="1:27">
      <c r="A50" s="319"/>
      <c r="B50" s="300"/>
      <c r="C50" s="300"/>
      <c r="D50" s="1074"/>
      <c r="E50" s="1075"/>
      <c r="F50" s="1075"/>
      <c r="G50" s="1075"/>
      <c r="H50" s="1075"/>
      <c r="I50" s="1075"/>
      <c r="J50" s="1075"/>
      <c r="K50" s="1075"/>
      <c r="L50" s="1075"/>
      <c r="M50" s="1075"/>
      <c r="N50" s="1075"/>
      <c r="O50" s="1075"/>
      <c r="P50" s="1075"/>
      <c r="Q50" s="1075"/>
      <c r="R50" s="1075"/>
      <c r="S50" s="1076"/>
      <c r="T50" s="300"/>
      <c r="U50" s="300"/>
      <c r="V50" s="300"/>
      <c r="W50" s="300"/>
      <c r="X50" s="300"/>
      <c r="Y50" s="300"/>
      <c r="Z50" s="300"/>
      <c r="AA50" s="301"/>
    </row>
    <row r="51" spans="1:27">
      <c r="A51" s="319"/>
      <c r="B51" s="300"/>
      <c r="C51" s="300"/>
      <c r="D51" s="1074"/>
      <c r="E51" s="1075"/>
      <c r="F51" s="1075"/>
      <c r="G51" s="1075"/>
      <c r="H51" s="1075"/>
      <c r="I51" s="1075"/>
      <c r="J51" s="1075"/>
      <c r="K51" s="1075"/>
      <c r="L51" s="1075"/>
      <c r="M51" s="1075"/>
      <c r="N51" s="1075"/>
      <c r="O51" s="1075"/>
      <c r="P51" s="1075"/>
      <c r="Q51" s="1075"/>
      <c r="R51" s="1075"/>
      <c r="S51" s="1076"/>
      <c r="T51" s="300"/>
      <c r="U51" s="300"/>
      <c r="V51" s="300"/>
      <c r="W51" s="300"/>
      <c r="X51" s="300"/>
      <c r="Y51" s="300"/>
      <c r="Z51" s="300"/>
      <c r="AA51" s="301"/>
    </row>
    <row r="52" spans="1:27">
      <c r="A52" s="319"/>
      <c r="B52" s="300"/>
      <c r="C52" s="300"/>
      <c r="D52" s="1074"/>
      <c r="E52" s="1075"/>
      <c r="F52" s="1075"/>
      <c r="G52" s="1075"/>
      <c r="H52" s="1075"/>
      <c r="I52" s="1075"/>
      <c r="J52" s="1075"/>
      <c r="K52" s="1075"/>
      <c r="L52" s="1075"/>
      <c r="M52" s="1075"/>
      <c r="N52" s="1075"/>
      <c r="O52" s="1075"/>
      <c r="P52" s="1075"/>
      <c r="Q52" s="1075"/>
      <c r="R52" s="1075"/>
      <c r="S52" s="1076"/>
      <c r="T52" s="300"/>
      <c r="U52" s="300"/>
      <c r="V52" s="300"/>
      <c r="W52" s="300"/>
      <c r="X52" s="300"/>
      <c r="Y52" s="300"/>
      <c r="Z52" s="300"/>
      <c r="AA52" s="301"/>
    </row>
    <row r="53" spans="1:27">
      <c r="A53" s="319"/>
      <c r="B53" s="300"/>
      <c r="C53" s="300"/>
      <c r="D53" s="1077"/>
      <c r="E53" s="1078"/>
      <c r="F53" s="1078"/>
      <c r="G53" s="1078"/>
      <c r="H53" s="1078"/>
      <c r="I53" s="1078"/>
      <c r="J53" s="1078"/>
      <c r="K53" s="1078"/>
      <c r="L53" s="1078"/>
      <c r="M53" s="1078"/>
      <c r="N53" s="1078"/>
      <c r="O53" s="1078"/>
      <c r="P53" s="1078"/>
      <c r="Q53" s="1078"/>
      <c r="R53" s="1078"/>
      <c r="S53" s="1079"/>
      <c r="T53" s="300"/>
      <c r="U53" s="300"/>
      <c r="V53" s="300"/>
      <c r="W53" s="300"/>
      <c r="X53" s="300"/>
      <c r="Y53" s="300"/>
      <c r="Z53" s="300"/>
      <c r="AA53" s="301"/>
    </row>
    <row r="54" spans="1:27">
      <c r="A54" s="319"/>
      <c r="B54" s="300"/>
      <c r="C54" s="300"/>
      <c r="D54" s="369"/>
      <c r="E54" s="300"/>
      <c r="F54" s="300"/>
      <c r="G54" s="300"/>
      <c r="H54" s="300"/>
      <c r="I54" s="300"/>
      <c r="J54" s="300"/>
      <c r="K54" s="300"/>
      <c r="L54" s="300"/>
      <c r="M54" s="300"/>
      <c r="N54" s="300"/>
      <c r="O54" s="300"/>
      <c r="P54" s="300"/>
      <c r="Q54" s="300"/>
      <c r="R54" s="300"/>
      <c r="S54" s="300"/>
      <c r="T54" s="300"/>
      <c r="U54" s="300"/>
      <c r="V54" s="300"/>
      <c r="W54" s="300"/>
      <c r="X54" s="300"/>
      <c r="Y54" s="300"/>
      <c r="Z54" s="300"/>
      <c r="AA54" s="301"/>
    </row>
    <row r="55" spans="1:27">
      <c r="A55" s="319"/>
      <c r="B55" s="300"/>
      <c r="C55" s="300"/>
      <c r="D55" s="369"/>
      <c r="E55" s="300"/>
      <c r="F55" s="300"/>
      <c r="G55" s="300"/>
      <c r="H55" s="300"/>
      <c r="I55" s="300"/>
      <c r="J55" s="300"/>
      <c r="K55" s="300"/>
      <c r="L55" s="300"/>
      <c r="M55" s="300"/>
      <c r="N55" s="300"/>
      <c r="O55" s="300"/>
      <c r="P55" s="300"/>
      <c r="Q55" s="300"/>
      <c r="R55" s="300"/>
      <c r="S55" s="300"/>
      <c r="T55" s="300"/>
      <c r="U55" s="300"/>
      <c r="V55" s="300"/>
      <c r="W55" s="300"/>
      <c r="X55" s="300"/>
      <c r="Y55" s="300"/>
      <c r="Z55" s="300"/>
      <c r="AA55" s="301"/>
    </row>
    <row r="56" spans="1:27">
      <c r="A56" s="319"/>
      <c r="B56" s="300"/>
      <c r="C56" s="300"/>
      <c r="D56" s="369"/>
      <c r="E56" s="300"/>
      <c r="F56" s="300"/>
      <c r="G56" s="300"/>
      <c r="H56" s="300"/>
      <c r="I56" s="300"/>
      <c r="J56" s="300"/>
      <c r="K56" s="300"/>
      <c r="L56" s="300"/>
      <c r="M56" s="300"/>
      <c r="N56" s="300"/>
      <c r="O56" s="300"/>
      <c r="P56" s="300"/>
      <c r="Q56" s="300"/>
      <c r="R56" s="300"/>
      <c r="S56" s="300"/>
      <c r="T56" s="300"/>
      <c r="U56" s="300"/>
      <c r="V56" s="300"/>
      <c r="W56" s="300"/>
      <c r="X56" s="300"/>
      <c r="Y56" s="300"/>
      <c r="Z56" s="300"/>
      <c r="AA56" s="301"/>
    </row>
    <row r="57" spans="1:27">
      <c r="A57" s="319"/>
      <c r="B57" s="300"/>
      <c r="C57" s="300"/>
      <c r="D57" s="369"/>
      <c r="E57" s="300"/>
      <c r="F57" s="300"/>
      <c r="G57" s="300"/>
      <c r="H57" s="300"/>
      <c r="I57" s="300"/>
      <c r="J57" s="300"/>
      <c r="K57" s="300"/>
      <c r="L57" s="300"/>
      <c r="M57" s="300"/>
      <c r="N57" s="300"/>
      <c r="O57" s="300"/>
      <c r="P57" s="300"/>
      <c r="Q57" s="300"/>
      <c r="R57" s="300"/>
      <c r="S57" s="300"/>
      <c r="T57" s="300"/>
      <c r="U57" s="300"/>
      <c r="V57" s="300"/>
      <c r="W57" s="300"/>
      <c r="X57" s="300"/>
      <c r="Y57" s="300"/>
      <c r="Z57" s="300"/>
      <c r="AA57" s="301"/>
    </row>
    <row r="58" spans="1:27">
      <c r="A58" s="319"/>
      <c r="B58" s="300"/>
      <c r="C58" s="300"/>
      <c r="D58" s="369"/>
      <c r="E58" s="300"/>
      <c r="F58" s="300"/>
      <c r="G58" s="300"/>
      <c r="H58" s="300"/>
      <c r="I58" s="300"/>
      <c r="J58" s="300"/>
      <c r="K58" s="300"/>
      <c r="L58" s="300"/>
      <c r="M58" s="300"/>
      <c r="N58" s="300"/>
      <c r="O58" s="300"/>
      <c r="P58" s="300"/>
      <c r="Q58" s="300"/>
      <c r="R58" s="300"/>
      <c r="S58" s="300"/>
      <c r="T58" s="300"/>
      <c r="U58" s="300"/>
      <c r="V58" s="300"/>
      <c r="W58" s="300"/>
      <c r="X58" s="300"/>
      <c r="Y58" s="300"/>
      <c r="Z58" s="300"/>
      <c r="AA58" s="301"/>
    </row>
    <row r="59" spans="1:27">
      <c r="A59" s="319"/>
      <c r="B59" s="300"/>
      <c r="C59" s="300"/>
      <c r="D59" s="369"/>
      <c r="E59" s="300"/>
      <c r="F59" s="300"/>
      <c r="G59" s="300"/>
      <c r="H59" s="300"/>
      <c r="I59" s="300"/>
      <c r="J59" s="300"/>
      <c r="K59" s="300"/>
      <c r="L59" s="300"/>
      <c r="M59" s="300"/>
      <c r="N59" s="300"/>
      <c r="O59" s="300"/>
      <c r="P59" s="300"/>
      <c r="Q59" s="300"/>
      <c r="R59" s="300"/>
      <c r="S59" s="300"/>
      <c r="T59" s="300"/>
      <c r="U59" s="300"/>
      <c r="V59" s="300"/>
      <c r="W59" s="300"/>
      <c r="X59" s="300"/>
      <c r="Y59" s="300"/>
      <c r="Z59" s="300"/>
      <c r="AA59" s="301"/>
    </row>
    <row r="60" spans="1:27">
      <c r="A60" s="319"/>
      <c r="B60" s="300"/>
      <c r="C60" s="300"/>
      <c r="D60" s="369"/>
      <c r="E60" s="300"/>
      <c r="F60" s="300"/>
      <c r="G60" s="300"/>
      <c r="H60" s="300"/>
      <c r="I60" s="300"/>
      <c r="J60" s="300"/>
      <c r="K60" s="300"/>
      <c r="L60" s="300"/>
      <c r="M60" s="300"/>
      <c r="N60" s="300"/>
      <c r="O60" s="300"/>
      <c r="P60" s="300"/>
      <c r="Q60" s="300"/>
      <c r="R60" s="300"/>
      <c r="S60" s="300"/>
      <c r="T60" s="300"/>
      <c r="U60" s="300"/>
      <c r="V60" s="300"/>
      <c r="W60" s="300"/>
      <c r="X60" s="300"/>
      <c r="Y60" s="300"/>
      <c r="Z60" s="300"/>
      <c r="AA60" s="301"/>
    </row>
    <row r="61" spans="1:27">
      <c r="A61" s="319"/>
      <c r="B61" s="300"/>
      <c r="C61" s="300"/>
      <c r="D61" s="369"/>
      <c r="E61" s="300"/>
      <c r="F61" s="300"/>
      <c r="G61" s="300"/>
      <c r="H61" s="300"/>
      <c r="I61" s="300"/>
      <c r="J61" s="300"/>
      <c r="K61" s="300"/>
      <c r="L61" s="300"/>
      <c r="M61" s="300"/>
      <c r="N61" s="300"/>
      <c r="O61" s="300"/>
      <c r="P61" s="300"/>
      <c r="Q61" s="300"/>
      <c r="R61" s="300"/>
      <c r="S61" s="300"/>
      <c r="T61" s="300"/>
      <c r="U61" s="300"/>
      <c r="V61" s="300"/>
      <c r="W61" s="300"/>
      <c r="X61" s="300"/>
      <c r="Y61" s="300"/>
      <c r="Z61" s="300"/>
      <c r="AA61" s="301"/>
    </row>
    <row r="62" spans="1:27">
      <c r="A62" s="319"/>
      <c r="B62" s="300"/>
      <c r="C62" s="300"/>
      <c r="D62" s="369"/>
      <c r="E62" s="300"/>
      <c r="F62" s="300"/>
      <c r="G62" s="300"/>
      <c r="H62" s="300"/>
      <c r="I62" s="300"/>
      <c r="J62" s="300"/>
      <c r="K62" s="300"/>
      <c r="L62" s="300"/>
      <c r="M62" s="300"/>
      <c r="N62" s="300"/>
      <c r="O62" s="300"/>
      <c r="P62" s="300"/>
      <c r="Q62" s="300"/>
      <c r="R62" s="300"/>
      <c r="S62" s="300"/>
      <c r="T62" s="300"/>
      <c r="U62" s="300"/>
      <c r="V62" s="300"/>
      <c r="W62" s="300"/>
      <c r="X62" s="300"/>
      <c r="Y62" s="300"/>
      <c r="Z62" s="300"/>
      <c r="AA62" s="301"/>
    </row>
    <row r="63" spans="1:27">
      <c r="A63" s="319"/>
      <c r="B63" s="300"/>
      <c r="C63" s="300"/>
      <c r="D63" s="369"/>
      <c r="E63" s="300"/>
      <c r="F63" s="300"/>
      <c r="G63" s="300"/>
      <c r="H63" s="300"/>
      <c r="I63" s="300"/>
      <c r="J63" s="300"/>
      <c r="K63" s="300"/>
      <c r="L63" s="300"/>
      <c r="M63" s="300"/>
      <c r="N63" s="300"/>
      <c r="O63" s="300"/>
      <c r="P63" s="300"/>
      <c r="Q63" s="300"/>
      <c r="R63" s="300"/>
      <c r="S63" s="300"/>
      <c r="T63" s="300"/>
      <c r="U63" s="300"/>
      <c r="V63" s="300"/>
      <c r="W63" s="300"/>
      <c r="X63" s="300"/>
      <c r="Y63" s="300"/>
      <c r="Z63" s="300"/>
      <c r="AA63" s="301"/>
    </row>
    <row r="64" spans="1:27">
      <c r="A64" s="319"/>
      <c r="B64" s="300"/>
      <c r="C64" s="300"/>
      <c r="D64" s="369"/>
      <c r="E64" s="300"/>
      <c r="F64" s="300"/>
      <c r="G64" s="300"/>
      <c r="H64" s="300"/>
      <c r="I64" s="300"/>
      <c r="J64" s="300"/>
      <c r="K64" s="300"/>
      <c r="L64" s="300"/>
      <c r="M64" s="300"/>
      <c r="N64" s="300"/>
      <c r="O64" s="300"/>
      <c r="P64" s="300"/>
      <c r="Q64" s="300"/>
      <c r="R64" s="300"/>
      <c r="S64" s="300"/>
      <c r="T64" s="300"/>
      <c r="U64" s="300"/>
      <c r="V64" s="300"/>
      <c r="W64" s="300"/>
      <c r="X64" s="300"/>
      <c r="Y64" s="300"/>
      <c r="Z64" s="300"/>
      <c r="AA64" s="301"/>
    </row>
    <row r="65" spans="1:27">
      <c r="A65" s="319"/>
      <c r="B65" s="300"/>
      <c r="C65" s="300"/>
      <c r="D65" s="369"/>
      <c r="E65" s="300"/>
      <c r="F65" s="300"/>
      <c r="G65" s="300"/>
      <c r="H65" s="300"/>
      <c r="I65" s="300"/>
      <c r="J65" s="300"/>
      <c r="K65" s="300"/>
      <c r="L65" s="300"/>
      <c r="M65" s="300"/>
      <c r="N65" s="300"/>
      <c r="O65" s="300"/>
      <c r="P65" s="300"/>
      <c r="Q65" s="300"/>
      <c r="R65" s="300"/>
      <c r="S65" s="300"/>
      <c r="T65" s="300"/>
      <c r="U65" s="300"/>
      <c r="V65" s="300"/>
      <c r="W65" s="300"/>
      <c r="X65" s="300"/>
      <c r="Y65" s="300"/>
      <c r="Z65" s="300"/>
      <c r="AA65" s="301"/>
    </row>
    <row r="66" spans="1:27">
      <c r="A66" s="319"/>
      <c r="B66" s="300"/>
      <c r="C66" s="300"/>
      <c r="D66" s="369"/>
      <c r="E66" s="300"/>
      <c r="F66" s="300"/>
      <c r="G66" s="300"/>
      <c r="H66" s="300"/>
      <c r="I66" s="300"/>
      <c r="J66" s="300"/>
      <c r="K66" s="300"/>
      <c r="L66" s="300"/>
      <c r="M66" s="300"/>
      <c r="N66" s="300"/>
      <c r="O66" s="300"/>
      <c r="P66" s="300"/>
      <c r="Q66" s="300"/>
      <c r="R66" s="300"/>
      <c r="S66" s="300"/>
      <c r="T66" s="300"/>
      <c r="U66" s="300"/>
      <c r="V66" s="300"/>
      <c r="W66" s="300"/>
      <c r="X66" s="300"/>
      <c r="Y66" s="300"/>
      <c r="Z66" s="300"/>
      <c r="AA66" s="301"/>
    </row>
    <row r="67" spans="1:27">
      <c r="A67" s="319"/>
      <c r="B67" s="300"/>
      <c r="C67" s="300"/>
      <c r="D67" s="369"/>
      <c r="E67" s="300"/>
      <c r="F67" s="300"/>
      <c r="G67" s="300"/>
      <c r="H67" s="300"/>
      <c r="I67" s="300"/>
      <c r="J67" s="300"/>
      <c r="K67" s="300"/>
      <c r="L67" s="300"/>
      <c r="M67" s="300"/>
      <c r="N67" s="300"/>
      <c r="O67" s="300"/>
      <c r="P67" s="300"/>
      <c r="Q67" s="300"/>
      <c r="R67" s="300"/>
      <c r="S67" s="300"/>
      <c r="T67" s="300"/>
      <c r="U67" s="300"/>
      <c r="V67" s="300"/>
      <c r="W67" s="300"/>
      <c r="X67" s="300"/>
      <c r="Y67" s="300"/>
      <c r="Z67" s="300"/>
      <c r="AA67" s="301"/>
    </row>
    <row r="68" spans="1:27">
      <c r="A68" s="319"/>
      <c r="B68" s="300"/>
      <c r="C68" s="300"/>
      <c r="D68" s="369"/>
      <c r="E68" s="300"/>
      <c r="F68" s="300"/>
      <c r="G68" s="300"/>
      <c r="H68" s="300"/>
      <c r="I68" s="300"/>
      <c r="J68" s="300"/>
      <c r="K68" s="300"/>
      <c r="L68" s="300"/>
      <c r="M68" s="300"/>
      <c r="N68" s="300"/>
      <c r="O68" s="300"/>
      <c r="P68" s="300"/>
      <c r="Q68" s="300"/>
      <c r="R68" s="300"/>
      <c r="S68" s="300"/>
      <c r="T68" s="300"/>
      <c r="U68" s="300"/>
      <c r="V68" s="300"/>
      <c r="W68" s="300"/>
      <c r="X68" s="300"/>
      <c r="Y68" s="300"/>
      <c r="Z68" s="300"/>
      <c r="AA68" s="301"/>
    </row>
    <row r="69" spans="1:27">
      <c r="A69" s="319"/>
      <c r="B69" s="300"/>
      <c r="C69" s="300"/>
      <c r="D69" s="369"/>
      <c r="E69" s="300"/>
      <c r="F69" s="300"/>
      <c r="G69" s="300"/>
      <c r="H69" s="300"/>
      <c r="I69" s="300"/>
      <c r="J69" s="300"/>
      <c r="K69" s="300"/>
      <c r="L69" s="300"/>
      <c r="M69" s="300"/>
      <c r="N69" s="300"/>
      <c r="O69" s="300"/>
      <c r="P69" s="300"/>
      <c r="Q69" s="300"/>
      <c r="R69" s="300"/>
      <c r="S69" s="300"/>
      <c r="T69" s="300"/>
      <c r="U69" s="300"/>
      <c r="V69" s="300"/>
      <c r="W69" s="300"/>
      <c r="X69" s="300"/>
      <c r="Y69" s="300"/>
      <c r="Z69" s="300"/>
      <c r="AA69" s="301"/>
    </row>
    <row r="70" spans="1:27">
      <c r="A70" s="319"/>
      <c r="B70" s="300"/>
      <c r="C70" s="300"/>
      <c r="D70" s="369"/>
      <c r="E70" s="300"/>
      <c r="F70" s="300"/>
      <c r="G70" s="300"/>
      <c r="H70" s="300"/>
      <c r="I70" s="300"/>
      <c r="J70" s="300"/>
      <c r="K70" s="300"/>
      <c r="L70" s="300"/>
      <c r="M70" s="300"/>
      <c r="N70" s="300"/>
      <c r="O70" s="300"/>
      <c r="P70" s="300"/>
      <c r="Q70" s="300"/>
      <c r="R70" s="300"/>
      <c r="S70" s="300"/>
      <c r="T70" s="300"/>
      <c r="U70" s="300"/>
      <c r="V70" s="300"/>
      <c r="W70" s="300"/>
      <c r="X70" s="300"/>
      <c r="Y70" s="300"/>
      <c r="Z70" s="300"/>
      <c r="AA70" s="301"/>
    </row>
    <row r="71" spans="1:27">
      <c r="A71" s="319"/>
      <c r="B71" s="300"/>
      <c r="C71" s="300"/>
      <c r="D71" s="369"/>
      <c r="E71" s="300"/>
      <c r="F71" s="300"/>
      <c r="G71" s="300"/>
      <c r="H71" s="300"/>
      <c r="I71" s="300"/>
      <c r="J71" s="300"/>
      <c r="K71" s="300"/>
      <c r="L71" s="300"/>
      <c r="M71" s="300"/>
      <c r="N71" s="300"/>
      <c r="O71" s="300"/>
      <c r="P71" s="300"/>
      <c r="Q71" s="300"/>
      <c r="R71" s="300"/>
      <c r="S71" s="300"/>
      <c r="T71" s="300"/>
      <c r="U71" s="300"/>
      <c r="V71" s="300"/>
      <c r="W71" s="300"/>
      <c r="X71" s="300"/>
      <c r="Y71" s="300"/>
      <c r="Z71" s="300"/>
      <c r="AA71" s="301"/>
    </row>
    <row r="72" spans="1:27">
      <c r="A72" s="319"/>
      <c r="B72" s="300"/>
      <c r="C72" s="300"/>
      <c r="D72" s="369"/>
      <c r="E72" s="300"/>
      <c r="F72" s="300"/>
      <c r="G72" s="300"/>
      <c r="H72" s="300"/>
      <c r="I72" s="300"/>
      <c r="J72" s="300"/>
      <c r="K72" s="300"/>
      <c r="L72" s="300"/>
      <c r="M72" s="300"/>
      <c r="N72" s="300"/>
      <c r="O72" s="300"/>
      <c r="P72" s="300"/>
      <c r="Q72" s="300"/>
      <c r="R72" s="300"/>
      <c r="S72" s="300"/>
      <c r="T72" s="300"/>
      <c r="U72" s="300"/>
      <c r="V72" s="300"/>
      <c r="W72" s="300"/>
      <c r="X72" s="300"/>
      <c r="Y72" s="300"/>
      <c r="Z72" s="300"/>
      <c r="AA72" s="301"/>
    </row>
    <row r="73" spans="1:27">
      <c r="A73" s="319"/>
      <c r="B73" s="300"/>
      <c r="C73" s="300"/>
      <c r="D73" s="369"/>
      <c r="E73" s="300"/>
      <c r="F73" s="300"/>
      <c r="G73" s="300"/>
      <c r="H73" s="300"/>
      <c r="I73" s="300"/>
      <c r="J73" s="300"/>
      <c r="K73" s="300"/>
      <c r="L73" s="300"/>
      <c r="M73" s="300"/>
      <c r="N73" s="300"/>
      <c r="O73" s="300"/>
      <c r="P73" s="300"/>
      <c r="Q73" s="300"/>
      <c r="R73" s="300"/>
      <c r="S73" s="300"/>
      <c r="T73" s="300"/>
      <c r="U73" s="300"/>
      <c r="V73" s="300"/>
      <c r="W73" s="300"/>
      <c r="X73" s="300"/>
      <c r="Y73" s="300"/>
      <c r="Z73" s="300"/>
      <c r="AA73" s="301"/>
    </row>
    <row r="74" spans="1:27">
      <c r="A74" s="319"/>
      <c r="B74" s="300"/>
      <c r="C74" s="300"/>
      <c r="D74" s="369"/>
      <c r="E74" s="300"/>
      <c r="F74" s="300"/>
      <c r="G74" s="300"/>
      <c r="H74" s="300"/>
      <c r="I74" s="300"/>
      <c r="J74" s="300"/>
      <c r="K74" s="300"/>
      <c r="L74" s="300"/>
      <c r="M74" s="300"/>
      <c r="N74" s="300"/>
      <c r="O74" s="300"/>
      <c r="P74" s="300"/>
      <c r="Q74" s="300"/>
      <c r="R74" s="300"/>
      <c r="S74" s="300"/>
      <c r="T74" s="300"/>
      <c r="U74" s="300"/>
      <c r="V74" s="300"/>
      <c r="W74" s="300"/>
      <c r="X74" s="300"/>
      <c r="Y74" s="300"/>
      <c r="Z74" s="300"/>
      <c r="AA74" s="301"/>
    </row>
    <row r="75" spans="1:27">
      <c r="A75" s="319"/>
      <c r="B75" s="300"/>
      <c r="C75" s="300"/>
      <c r="D75" s="369"/>
      <c r="E75" s="300"/>
      <c r="F75" s="300"/>
      <c r="G75" s="300"/>
      <c r="H75" s="300"/>
      <c r="I75" s="300"/>
      <c r="J75" s="300"/>
      <c r="K75" s="300"/>
      <c r="L75" s="300"/>
      <c r="M75" s="300"/>
      <c r="N75" s="300"/>
      <c r="O75" s="300"/>
      <c r="P75" s="300"/>
      <c r="Q75" s="300"/>
      <c r="R75" s="300"/>
      <c r="S75" s="300"/>
      <c r="T75" s="300"/>
      <c r="U75" s="300"/>
      <c r="V75" s="300"/>
      <c r="W75" s="300"/>
      <c r="X75" s="300"/>
      <c r="Y75" s="300"/>
      <c r="Z75" s="300"/>
      <c r="AA75" s="301"/>
    </row>
    <row r="76" spans="1:27">
      <c r="A76" s="319"/>
      <c r="B76" s="300"/>
      <c r="C76" s="300"/>
      <c r="D76" s="369"/>
      <c r="E76" s="300"/>
      <c r="F76" s="300"/>
      <c r="G76" s="300"/>
      <c r="H76" s="300"/>
      <c r="I76" s="300"/>
      <c r="J76" s="300"/>
      <c r="K76" s="300"/>
      <c r="L76" s="300"/>
      <c r="M76" s="300"/>
      <c r="N76" s="300"/>
      <c r="O76" s="300"/>
      <c r="P76" s="300"/>
      <c r="Q76" s="300"/>
      <c r="R76" s="300"/>
      <c r="S76" s="300"/>
      <c r="T76" s="300"/>
      <c r="U76" s="300"/>
      <c r="V76" s="300"/>
      <c r="W76" s="300"/>
      <c r="X76" s="300"/>
      <c r="Y76" s="300"/>
      <c r="Z76" s="300"/>
      <c r="AA76" s="301"/>
    </row>
    <row r="77" spans="1:27">
      <c r="A77" s="319"/>
      <c r="B77" s="300"/>
      <c r="C77" s="300"/>
      <c r="D77" s="369"/>
      <c r="E77" s="300"/>
      <c r="F77" s="300"/>
      <c r="G77" s="300"/>
      <c r="H77" s="300"/>
      <c r="I77" s="300"/>
      <c r="J77" s="300"/>
      <c r="K77" s="300"/>
      <c r="L77" s="300"/>
      <c r="M77" s="300"/>
      <c r="N77" s="300"/>
      <c r="O77" s="300"/>
      <c r="P77" s="300"/>
      <c r="Q77" s="300"/>
      <c r="R77" s="300"/>
      <c r="S77" s="300"/>
      <c r="T77" s="300"/>
      <c r="U77" s="300"/>
      <c r="V77" s="300"/>
      <c r="W77" s="300"/>
      <c r="X77" s="300"/>
      <c r="Y77" s="300"/>
      <c r="Z77" s="300"/>
      <c r="AA77" s="301"/>
    </row>
    <row r="78" spans="1:27">
      <c r="A78" s="319"/>
      <c r="B78" s="300"/>
      <c r="C78" s="300"/>
      <c r="D78" s="369"/>
      <c r="E78" s="300"/>
      <c r="F78" s="300"/>
      <c r="G78" s="300"/>
      <c r="H78" s="300"/>
      <c r="I78" s="300"/>
      <c r="J78" s="300"/>
      <c r="K78" s="300"/>
      <c r="L78" s="300"/>
      <c r="M78" s="300"/>
      <c r="N78" s="300"/>
      <c r="O78" s="300"/>
      <c r="P78" s="300"/>
      <c r="Q78" s="300"/>
      <c r="R78" s="300"/>
      <c r="S78" s="300"/>
      <c r="T78" s="300"/>
      <c r="U78" s="300"/>
      <c r="V78" s="300"/>
      <c r="W78" s="300"/>
      <c r="X78" s="300"/>
      <c r="Y78" s="300"/>
      <c r="Z78" s="300"/>
      <c r="AA78" s="301"/>
    </row>
    <row r="79" spans="1:27">
      <c r="A79" s="319"/>
      <c r="B79" s="300"/>
      <c r="C79" s="300"/>
      <c r="D79" s="369"/>
      <c r="E79" s="300"/>
      <c r="F79" s="300"/>
      <c r="G79" s="300"/>
      <c r="H79" s="300"/>
      <c r="I79" s="300"/>
      <c r="J79" s="300"/>
      <c r="K79" s="300"/>
      <c r="L79" s="300"/>
      <c r="M79" s="300"/>
      <c r="N79" s="300"/>
      <c r="O79" s="300"/>
      <c r="P79" s="300"/>
      <c r="Q79" s="300"/>
      <c r="R79" s="300"/>
      <c r="S79" s="300"/>
      <c r="T79" s="300"/>
      <c r="U79" s="300"/>
      <c r="V79" s="300"/>
      <c r="W79" s="300"/>
      <c r="X79" s="300"/>
      <c r="Y79" s="300"/>
      <c r="Z79" s="300"/>
      <c r="AA79" s="301"/>
    </row>
    <row r="80" spans="1:27">
      <c r="A80" s="319"/>
      <c r="B80" s="300"/>
      <c r="C80" s="300"/>
      <c r="D80" s="369"/>
      <c r="E80" s="300"/>
      <c r="F80" s="300"/>
      <c r="G80" s="300"/>
      <c r="H80" s="300"/>
      <c r="I80" s="300"/>
      <c r="J80" s="300"/>
      <c r="K80" s="300"/>
      <c r="L80" s="300"/>
      <c r="M80" s="300"/>
      <c r="N80" s="300"/>
      <c r="O80" s="300"/>
      <c r="P80" s="300"/>
      <c r="Q80" s="300"/>
      <c r="R80" s="300"/>
      <c r="S80" s="300"/>
      <c r="T80" s="300"/>
      <c r="U80" s="300"/>
      <c r="V80" s="300"/>
      <c r="W80" s="300"/>
      <c r="X80" s="300"/>
      <c r="Y80" s="300"/>
      <c r="Z80" s="300"/>
      <c r="AA80" s="301"/>
    </row>
    <row r="81" spans="1:27">
      <c r="A81" s="319"/>
      <c r="B81" s="300"/>
      <c r="C81" s="300"/>
      <c r="D81" s="369"/>
      <c r="E81" s="300"/>
      <c r="F81" s="300"/>
      <c r="G81" s="300"/>
      <c r="H81" s="300"/>
      <c r="I81" s="300"/>
      <c r="J81" s="300"/>
      <c r="K81" s="300"/>
      <c r="L81" s="300"/>
      <c r="M81" s="300"/>
      <c r="N81" s="300"/>
      <c r="O81" s="300"/>
      <c r="P81" s="300"/>
      <c r="Q81" s="300"/>
      <c r="R81" s="300"/>
      <c r="S81" s="300"/>
      <c r="T81" s="300"/>
      <c r="U81" s="300"/>
      <c r="V81" s="300"/>
      <c r="W81" s="300"/>
      <c r="X81" s="300"/>
      <c r="Y81" s="300"/>
      <c r="Z81" s="300"/>
      <c r="AA81" s="301"/>
    </row>
    <row r="82" spans="1:27">
      <c r="A82" s="319"/>
      <c r="B82" s="300"/>
      <c r="C82" s="300"/>
      <c r="D82" s="369"/>
      <c r="E82" s="300"/>
      <c r="F82" s="300"/>
      <c r="G82" s="300"/>
      <c r="H82" s="300"/>
      <c r="I82" s="300"/>
      <c r="J82" s="300"/>
      <c r="K82" s="300"/>
      <c r="L82" s="300"/>
      <c r="M82" s="300"/>
      <c r="N82" s="300"/>
      <c r="O82" s="300"/>
      <c r="P82" s="300"/>
      <c r="Q82" s="300"/>
      <c r="R82" s="300"/>
      <c r="S82" s="300"/>
      <c r="T82" s="300"/>
      <c r="U82" s="300"/>
      <c r="V82" s="300"/>
      <c r="W82" s="300"/>
      <c r="X82" s="300"/>
      <c r="Y82" s="300"/>
      <c r="Z82" s="300"/>
      <c r="AA82" s="301"/>
    </row>
    <row r="83" spans="1:27">
      <c r="A83" s="319"/>
      <c r="B83" s="300"/>
      <c r="C83" s="300"/>
      <c r="D83" s="369"/>
      <c r="E83" s="300"/>
      <c r="F83" s="300"/>
      <c r="G83" s="300"/>
      <c r="H83" s="300"/>
      <c r="I83" s="300"/>
      <c r="J83" s="300"/>
      <c r="K83" s="300"/>
      <c r="L83" s="300"/>
      <c r="M83" s="300"/>
      <c r="N83" s="300"/>
      <c r="O83" s="300"/>
      <c r="P83" s="300"/>
      <c r="Q83" s="300"/>
      <c r="R83" s="300"/>
      <c r="S83" s="300"/>
      <c r="T83" s="300"/>
      <c r="U83" s="300"/>
      <c r="V83" s="300"/>
      <c r="W83" s="300"/>
      <c r="X83" s="300"/>
      <c r="Y83" s="300"/>
      <c r="Z83" s="300"/>
      <c r="AA83" s="301"/>
    </row>
    <row r="84" spans="1:27">
      <c r="A84" s="319"/>
      <c r="B84" s="300"/>
      <c r="C84" s="300"/>
      <c r="D84" s="369"/>
      <c r="E84" s="300"/>
      <c r="F84" s="300"/>
      <c r="G84" s="300"/>
      <c r="H84" s="300"/>
      <c r="I84" s="300"/>
      <c r="J84" s="300"/>
      <c r="K84" s="300"/>
      <c r="L84" s="300"/>
      <c r="M84" s="300"/>
      <c r="N84" s="300"/>
      <c r="O84" s="300"/>
      <c r="P84" s="300"/>
      <c r="Q84" s="300"/>
      <c r="R84" s="300"/>
      <c r="S84" s="300"/>
      <c r="T84" s="300"/>
      <c r="U84" s="300"/>
      <c r="V84" s="300"/>
      <c r="W84" s="300"/>
      <c r="X84" s="300"/>
      <c r="Y84" s="300"/>
      <c r="Z84" s="300"/>
      <c r="AA84" s="301"/>
    </row>
    <row r="85" spans="1:27">
      <c r="A85" s="319"/>
      <c r="B85" s="300"/>
      <c r="C85" s="300"/>
      <c r="D85" s="369"/>
      <c r="E85" s="300"/>
      <c r="F85" s="300"/>
      <c r="G85" s="300"/>
      <c r="H85" s="300"/>
      <c r="I85" s="300"/>
      <c r="J85" s="300"/>
      <c r="K85" s="300"/>
      <c r="L85" s="300"/>
      <c r="M85" s="300"/>
      <c r="N85" s="300"/>
      <c r="O85" s="300"/>
      <c r="P85" s="300"/>
      <c r="Q85" s="300"/>
      <c r="R85" s="300"/>
      <c r="S85" s="300"/>
      <c r="T85" s="300"/>
      <c r="U85" s="300"/>
      <c r="V85" s="300"/>
      <c r="W85" s="300"/>
      <c r="X85" s="300"/>
      <c r="Y85" s="300"/>
      <c r="Z85" s="300"/>
      <c r="AA85" s="301"/>
    </row>
    <row r="86" spans="1:27">
      <c r="A86" s="319"/>
      <c r="B86" s="300"/>
      <c r="C86" s="300"/>
      <c r="D86" s="369"/>
      <c r="E86" s="300"/>
      <c r="F86" s="300"/>
      <c r="G86" s="300"/>
      <c r="H86" s="300"/>
      <c r="I86" s="300"/>
      <c r="J86" s="300"/>
      <c r="K86" s="300"/>
      <c r="L86" s="300"/>
      <c r="M86" s="300"/>
      <c r="N86" s="300"/>
      <c r="O86" s="300"/>
      <c r="P86" s="300"/>
      <c r="Q86" s="300"/>
      <c r="R86" s="300"/>
      <c r="S86" s="300"/>
      <c r="T86" s="300"/>
      <c r="U86" s="300"/>
      <c r="V86" s="300"/>
      <c r="W86" s="300"/>
      <c r="X86" s="300"/>
      <c r="Y86" s="300"/>
      <c r="Z86" s="300"/>
      <c r="AA86" s="301"/>
    </row>
    <row r="87" spans="1:27">
      <c r="A87" s="319"/>
      <c r="B87" s="300"/>
      <c r="C87" s="300"/>
      <c r="D87" s="369"/>
      <c r="E87" s="300"/>
      <c r="F87" s="300"/>
      <c r="G87" s="300"/>
      <c r="H87" s="300"/>
      <c r="I87" s="300"/>
      <c r="J87" s="300"/>
      <c r="K87" s="300"/>
      <c r="L87" s="300"/>
      <c r="M87" s="300"/>
      <c r="N87" s="300"/>
      <c r="O87" s="300"/>
      <c r="P87" s="300"/>
      <c r="Q87" s="300"/>
      <c r="R87" s="300"/>
      <c r="S87" s="300"/>
      <c r="T87" s="300"/>
      <c r="U87" s="300"/>
      <c r="V87" s="300"/>
      <c r="W87" s="300"/>
      <c r="X87" s="300"/>
      <c r="Y87" s="300"/>
      <c r="Z87" s="300"/>
      <c r="AA87" s="301"/>
    </row>
    <row r="88" spans="1:27">
      <c r="A88" s="319"/>
      <c r="B88" s="300"/>
      <c r="C88" s="300"/>
      <c r="D88" s="369"/>
      <c r="E88" s="300"/>
      <c r="F88" s="300"/>
      <c r="G88" s="300"/>
      <c r="H88" s="300"/>
      <c r="I88" s="300"/>
      <c r="J88" s="300"/>
      <c r="K88" s="300"/>
      <c r="L88" s="300"/>
      <c r="M88" s="300"/>
      <c r="N88" s="300"/>
      <c r="O88" s="300"/>
      <c r="P88" s="300"/>
      <c r="Q88" s="300"/>
      <c r="R88" s="300"/>
      <c r="S88" s="300"/>
      <c r="T88" s="300"/>
      <c r="U88" s="300"/>
      <c r="V88" s="300"/>
      <c r="W88" s="300"/>
      <c r="X88" s="300"/>
      <c r="Y88" s="300"/>
      <c r="Z88" s="300"/>
      <c r="AA88" s="301"/>
    </row>
    <row r="89" spans="1:27">
      <c r="A89" s="319"/>
      <c r="B89" s="300"/>
      <c r="C89" s="300"/>
      <c r="D89" s="369"/>
      <c r="E89" s="300"/>
      <c r="F89" s="300"/>
      <c r="G89" s="300"/>
      <c r="H89" s="300"/>
      <c r="I89" s="300"/>
      <c r="J89" s="300"/>
      <c r="K89" s="300"/>
      <c r="L89" s="300"/>
      <c r="M89" s="300"/>
      <c r="N89" s="300"/>
      <c r="O89" s="300"/>
      <c r="P89" s="300"/>
      <c r="Q89" s="300"/>
      <c r="R89" s="300"/>
      <c r="S89" s="300"/>
      <c r="T89" s="300"/>
      <c r="U89" s="300"/>
      <c r="V89" s="300"/>
      <c r="W89" s="300"/>
      <c r="X89" s="300"/>
      <c r="Y89" s="300"/>
      <c r="Z89" s="300"/>
      <c r="AA89" s="301"/>
    </row>
    <row r="90" spans="1:27">
      <c r="A90" s="319"/>
      <c r="B90" s="300"/>
      <c r="C90" s="300"/>
      <c r="D90" s="369"/>
      <c r="E90" s="300"/>
      <c r="F90" s="300"/>
      <c r="G90" s="300"/>
      <c r="H90" s="300"/>
      <c r="I90" s="300"/>
      <c r="J90" s="300"/>
      <c r="K90" s="300"/>
      <c r="L90" s="300"/>
      <c r="M90" s="300"/>
      <c r="N90" s="300"/>
      <c r="O90" s="300"/>
      <c r="P90" s="300"/>
      <c r="Q90" s="300"/>
      <c r="R90" s="300"/>
      <c r="S90" s="300"/>
      <c r="T90" s="300"/>
      <c r="U90" s="300"/>
      <c r="V90" s="300"/>
      <c r="W90" s="300"/>
      <c r="X90" s="300"/>
      <c r="Y90" s="300"/>
      <c r="Z90" s="300"/>
      <c r="AA90" s="301"/>
    </row>
    <row r="91" spans="1:27">
      <c r="A91" s="319"/>
      <c r="B91" s="300"/>
      <c r="C91" s="300"/>
      <c r="D91" s="369"/>
      <c r="E91" s="300"/>
      <c r="F91" s="300"/>
      <c r="G91" s="300"/>
      <c r="H91" s="300"/>
      <c r="I91" s="300"/>
      <c r="J91" s="300"/>
      <c r="K91" s="300"/>
      <c r="L91" s="300"/>
      <c r="M91" s="300"/>
      <c r="N91" s="300"/>
      <c r="O91" s="300"/>
      <c r="P91" s="300"/>
      <c r="Q91" s="300"/>
      <c r="R91" s="300"/>
      <c r="S91" s="300"/>
      <c r="T91" s="300"/>
      <c r="U91" s="300"/>
      <c r="V91" s="300"/>
      <c r="W91" s="300"/>
      <c r="X91" s="300"/>
      <c r="Y91" s="300"/>
      <c r="Z91" s="300"/>
      <c r="AA91" s="301"/>
    </row>
    <row r="92" spans="1:27">
      <c r="A92" s="319"/>
      <c r="B92" s="300"/>
      <c r="C92" s="300"/>
      <c r="D92" s="369"/>
      <c r="E92" s="300"/>
      <c r="F92" s="300"/>
      <c r="G92" s="300"/>
      <c r="H92" s="300"/>
      <c r="I92" s="300"/>
      <c r="J92" s="300"/>
      <c r="K92" s="300"/>
      <c r="L92" s="300"/>
      <c r="M92" s="300"/>
      <c r="N92" s="300"/>
      <c r="O92" s="300"/>
      <c r="P92" s="300"/>
      <c r="Q92" s="300"/>
      <c r="R92" s="300"/>
      <c r="S92" s="300"/>
      <c r="T92" s="300"/>
      <c r="U92" s="300"/>
      <c r="V92" s="300"/>
      <c r="W92" s="300"/>
      <c r="X92" s="300"/>
      <c r="Y92" s="300"/>
      <c r="Z92" s="300"/>
      <c r="AA92" s="301"/>
    </row>
    <row r="93" spans="1:27">
      <c r="A93" s="319"/>
      <c r="B93" s="300"/>
      <c r="C93" s="300"/>
      <c r="D93" s="369"/>
      <c r="E93" s="300"/>
      <c r="F93" s="300"/>
      <c r="G93" s="300"/>
      <c r="H93" s="300"/>
      <c r="I93" s="300"/>
      <c r="J93" s="300"/>
      <c r="K93" s="300"/>
      <c r="L93" s="300"/>
      <c r="M93" s="300"/>
      <c r="N93" s="300"/>
      <c r="O93" s="300"/>
      <c r="P93" s="300"/>
      <c r="Q93" s="300"/>
      <c r="R93" s="300"/>
      <c r="S93" s="300"/>
      <c r="T93" s="300"/>
      <c r="U93" s="300"/>
      <c r="V93" s="300"/>
      <c r="W93" s="300"/>
      <c r="X93" s="300"/>
      <c r="Y93" s="300"/>
      <c r="Z93" s="300"/>
      <c r="AA93" s="301"/>
    </row>
    <row r="94" spans="1:27">
      <c r="A94" s="319"/>
      <c r="B94" s="300"/>
      <c r="C94" s="300"/>
      <c r="D94" s="369"/>
      <c r="E94" s="300"/>
      <c r="F94" s="300"/>
      <c r="G94" s="300"/>
      <c r="H94" s="300"/>
      <c r="I94" s="300"/>
      <c r="J94" s="300"/>
      <c r="K94" s="300"/>
      <c r="L94" s="300"/>
      <c r="M94" s="300"/>
      <c r="N94" s="300"/>
      <c r="O94" s="300"/>
      <c r="P94" s="300"/>
      <c r="Q94" s="300"/>
      <c r="R94" s="300"/>
      <c r="S94" s="300"/>
      <c r="T94" s="300"/>
      <c r="U94" s="300"/>
      <c r="V94" s="300"/>
      <c r="W94" s="300"/>
      <c r="X94" s="300"/>
      <c r="Y94" s="300"/>
      <c r="Z94" s="300"/>
      <c r="AA94" s="301"/>
    </row>
    <row r="95" spans="1:27">
      <c r="A95" s="319"/>
      <c r="B95" s="300"/>
      <c r="C95" s="300"/>
      <c r="D95" s="369"/>
      <c r="E95" s="300"/>
      <c r="F95" s="300"/>
      <c r="G95" s="300"/>
      <c r="H95" s="300"/>
      <c r="I95" s="300"/>
      <c r="J95" s="300"/>
      <c r="K95" s="300"/>
      <c r="L95" s="300"/>
      <c r="M95" s="300"/>
      <c r="N95" s="300"/>
      <c r="O95" s="300"/>
      <c r="P95" s="300"/>
      <c r="Q95" s="300"/>
      <c r="R95" s="300"/>
      <c r="S95" s="300"/>
      <c r="T95" s="300"/>
      <c r="U95" s="300"/>
      <c r="V95" s="300"/>
      <c r="W95" s="300"/>
      <c r="X95" s="300"/>
      <c r="Y95" s="300"/>
      <c r="Z95" s="300"/>
      <c r="AA95" s="301"/>
    </row>
    <row r="96" spans="1:27">
      <c r="A96" s="319"/>
      <c r="B96" s="300"/>
      <c r="C96" s="300"/>
      <c r="D96" s="369"/>
      <c r="E96" s="300"/>
      <c r="F96" s="300"/>
      <c r="G96" s="300"/>
      <c r="H96" s="300"/>
      <c r="I96" s="300"/>
      <c r="J96" s="300"/>
      <c r="K96" s="300"/>
      <c r="L96" s="300"/>
      <c r="M96" s="300"/>
      <c r="N96" s="300"/>
      <c r="O96" s="300"/>
      <c r="P96" s="300"/>
      <c r="Q96" s="300"/>
      <c r="R96" s="300"/>
      <c r="S96" s="300"/>
      <c r="T96" s="300"/>
      <c r="U96" s="300"/>
      <c r="V96" s="300"/>
      <c r="W96" s="300"/>
      <c r="X96" s="300"/>
      <c r="Y96" s="300"/>
      <c r="Z96" s="300"/>
      <c r="AA96" s="301"/>
    </row>
    <row r="97" spans="1:27">
      <c r="A97" s="319"/>
      <c r="B97" s="300"/>
      <c r="C97" s="300"/>
      <c r="D97" s="369"/>
      <c r="E97" s="300"/>
      <c r="F97" s="300"/>
      <c r="G97" s="300"/>
      <c r="H97" s="300"/>
      <c r="I97" s="300"/>
      <c r="J97" s="300"/>
      <c r="K97" s="300"/>
      <c r="L97" s="300"/>
      <c r="M97" s="300"/>
      <c r="N97" s="300"/>
      <c r="O97" s="300"/>
      <c r="P97" s="300"/>
      <c r="Q97" s="300"/>
      <c r="R97" s="300"/>
      <c r="S97" s="300"/>
      <c r="T97" s="300"/>
      <c r="U97" s="300"/>
      <c r="V97" s="300"/>
      <c r="W97" s="300"/>
      <c r="X97" s="300"/>
      <c r="Y97" s="300"/>
      <c r="Z97" s="300"/>
      <c r="AA97" s="301"/>
    </row>
    <row r="98" spans="1:27">
      <c r="A98" s="319"/>
      <c r="B98" s="300"/>
      <c r="C98" s="300"/>
      <c r="D98" s="369"/>
      <c r="E98" s="300"/>
      <c r="F98" s="300"/>
      <c r="G98" s="300"/>
      <c r="H98" s="300"/>
      <c r="I98" s="300"/>
      <c r="J98" s="300"/>
      <c r="K98" s="300"/>
      <c r="L98" s="300"/>
      <c r="M98" s="300"/>
      <c r="N98" s="300"/>
      <c r="O98" s="300"/>
      <c r="P98" s="300"/>
      <c r="Q98" s="300"/>
      <c r="R98" s="300"/>
      <c r="S98" s="300"/>
      <c r="T98" s="300"/>
      <c r="U98" s="300"/>
      <c r="V98" s="300"/>
      <c r="W98" s="300"/>
      <c r="X98" s="300"/>
      <c r="Y98" s="300"/>
      <c r="Z98" s="300"/>
      <c r="AA98" s="301"/>
    </row>
    <row r="99" spans="1:27">
      <c r="A99" s="319"/>
      <c r="B99" s="300"/>
      <c r="C99" s="300"/>
      <c r="D99" s="369"/>
      <c r="E99" s="300"/>
      <c r="F99" s="300"/>
      <c r="G99" s="300"/>
      <c r="H99" s="300"/>
      <c r="I99" s="300"/>
      <c r="J99" s="300"/>
      <c r="K99" s="300"/>
      <c r="L99" s="300"/>
      <c r="M99" s="300"/>
      <c r="N99" s="300"/>
      <c r="O99" s="300"/>
      <c r="P99" s="300"/>
      <c r="Q99" s="300"/>
      <c r="R99" s="300"/>
      <c r="S99" s="300"/>
      <c r="T99" s="300"/>
      <c r="U99" s="300"/>
      <c r="V99" s="300"/>
      <c r="W99" s="300"/>
      <c r="X99" s="300"/>
      <c r="Y99" s="300"/>
      <c r="Z99" s="300"/>
      <c r="AA99" s="301"/>
    </row>
    <row r="100" spans="1:27">
      <c r="A100" s="319"/>
      <c r="B100" s="300"/>
      <c r="C100" s="300"/>
      <c r="D100" s="369"/>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1"/>
    </row>
    <row r="101" spans="1:27">
      <c r="A101" s="319"/>
      <c r="B101" s="300"/>
      <c r="C101" s="300"/>
      <c r="D101" s="369"/>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1"/>
    </row>
    <row r="102" spans="1:27">
      <c r="A102" s="319"/>
      <c r="B102" s="300"/>
      <c r="C102" s="300"/>
      <c r="D102" s="369"/>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1"/>
    </row>
    <row r="103" spans="1:27">
      <c r="A103" s="319"/>
      <c r="B103" s="300"/>
      <c r="C103" s="300"/>
      <c r="D103" s="369"/>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1"/>
    </row>
    <row r="104" spans="1:27">
      <c r="A104" s="319"/>
      <c r="B104" s="300"/>
      <c r="C104" s="300"/>
      <c r="D104" s="369"/>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1"/>
    </row>
    <row r="105" spans="1:27">
      <c r="A105" s="319"/>
      <c r="B105" s="300"/>
      <c r="C105" s="300"/>
      <c r="D105" s="369"/>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1"/>
    </row>
    <row r="106" spans="1:27">
      <c r="A106" s="319"/>
      <c r="B106" s="300"/>
      <c r="C106" s="300"/>
      <c r="D106" s="369"/>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1"/>
    </row>
    <row r="107" spans="1:27">
      <c r="A107" s="319"/>
      <c r="B107" s="300"/>
      <c r="C107" s="300"/>
      <c r="D107" s="369"/>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1"/>
    </row>
    <row r="108" spans="1:27">
      <c r="A108" s="319"/>
      <c r="B108" s="300"/>
      <c r="C108" s="300"/>
      <c r="D108" s="369"/>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1"/>
    </row>
    <row r="109" spans="1:27">
      <c r="A109" s="319"/>
      <c r="B109" s="300"/>
      <c r="C109" s="300"/>
      <c r="D109" s="369"/>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1"/>
    </row>
    <row r="110" spans="1:27">
      <c r="A110" s="319"/>
      <c r="B110" s="300"/>
      <c r="C110" s="300"/>
      <c r="D110" s="369"/>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1"/>
    </row>
    <row r="111" spans="1:27">
      <c r="A111" s="319"/>
      <c r="B111" s="300"/>
      <c r="C111" s="300"/>
      <c r="D111" s="369"/>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1"/>
    </row>
    <row r="112" spans="1:27">
      <c r="A112" s="319"/>
      <c r="B112" s="300"/>
      <c r="C112" s="300"/>
      <c r="D112" s="369"/>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1"/>
    </row>
    <row r="113" spans="1:27">
      <c r="A113" s="319"/>
      <c r="B113" s="300"/>
      <c r="C113" s="300"/>
      <c r="D113" s="369"/>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1"/>
    </row>
    <row r="114" spans="1:27">
      <c r="A114" s="319"/>
      <c r="B114" s="300"/>
      <c r="C114" s="300"/>
      <c r="D114" s="369"/>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1"/>
    </row>
    <row r="115" spans="1:27">
      <c r="A115" s="319"/>
      <c r="B115" s="300"/>
      <c r="C115" s="300"/>
      <c r="D115" s="369"/>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1"/>
    </row>
    <row r="116" spans="1:27">
      <c r="A116" s="319"/>
      <c r="B116" s="300"/>
      <c r="C116" s="300"/>
      <c r="D116" s="369"/>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1"/>
    </row>
    <row r="117" spans="1:27">
      <c r="A117" s="319"/>
      <c r="B117" s="300"/>
      <c r="C117" s="300"/>
      <c r="D117" s="369"/>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1"/>
    </row>
    <row r="118" spans="1:27">
      <c r="A118" s="319"/>
      <c r="B118" s="300"/>
      <c r="C118" s="300"/>
      <c r="D118" s="369"/>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1"/>
    </row>
    <row r="119" spans="1:27">
      <c r="A119" s="319"/>
      <c r="B119" s="300"/>
      <c r="C119" s="300"/>
      <c r="D119" s="369"/>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1"/>
    </row>
    <row r="120" spans="1:27">
      <c r="A120" s="319"/>
      <c r="B120" s="300"/>
      <c r="C120" s="300"/>
      <c r="D120" s="369"/>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1"/>
    </row>
    <row r="121" spans="1:27">
      <c r="A121" s="319"/>
      <c r="B121" s="300"/>
      <c r="C121" s="300"/>
      <c r="D121" s="369"/>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1"/>
    </row>
    <row r="122" spans="1:27">
      <c r="A122" s="319"/>
      <c r="B122" s="300"/>
      <c r="C122" s="300"/>
      <c r="D122" s="369"/>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1"/>
    </row>
    <row r="123" spans="1:27">
      <c r="A123" s="319"/>
      <c r="B123" s="300"/>
      <c r="C123" s="300"/>
      <c r="D123" s="369"/>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1"/>
    </row>
    <row r="124" spans="1:27">
      <c r="A124" s="319"/>
      <c r="B124" s="300"/>
      <c r="C124" s="300"/>
      <c r="D124" s="369"/>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1"/>
    </row>
    <row r="125" spans="1:27">
      <c r="A125" s="319"/>
      <c r="B125" s="300"/>
      <c r="C125" s="300"/>
      <c r="D125" s="369"/>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1"/>
    </row>
    <row r="126" spans="1:27">
      <c r="A126" s="319"/>
      <c r="B126" s="300"/>
      <c r="C126" s="300"/>
      <c r="D126" s="369"/>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1"/>
    </row>
    <row r="127" spans="1:27">
      <c r="A127" s="319"/>
      <c r="B127" s="300"/>
      <c r="C127" s="300"/>
      <c r="D127" s="369"/>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1"/>
    </row>
    <row r="128" spans="1:27">
      <c r="A128" s="319"/>
      <c r="B128" s="300"/>
      <c r="C128" s="300"/>
      <c r="D128" s="369"/>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1"/>
    </row>
    <row r="129" spans="1:27">
      <c r="A129" s="319"/>
      <c r="B129" s="300"/>
      <c r="C129" s="300"/>
      <c r="D129" s="369"/>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1"/>
    </row>
    <row r="130" spans="1:27">
      <c r="A130" s="319"/>
      <c r="B130" s="300"/>
      <c r="C130" s="300"/>
      <c r="D130" s="369"/>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1"/>
    </row>
    <row r="131" spans="1:27">
      <c r="A131" s="319"/>
      <c r="B131" s="300"/>
      <c r="C131" s="300"/>
      <c r="D131" s="369"/>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1"/>
    </row>
    <row r="132" spans="1:27">
      <c r="A132" s="319"/>
      <c r="B132" s="300"/>
      <c r="C132" s="300"/>
      <c r="D132" s="369"/>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1"/>
    </row>
    <row r="133" spans="1:27">
      <c r="A133" s="319"/>
      <c r="B133" s="300"/>
      <c r="C133" s="300"/>
      <c r="D133" s="369"/>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1"/>
    </row>
    <row r="134" spans="1:27">
      <c r="A134" s="319"/>
      <c r="B134" s="300"/>
      <c r="C134" s="300"/>
      <c r="D134" s="369"/>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1"/>
    </row>
    <row r="135" spans="1:27">
      <c r="A135" s="319"/>
      <c r="B135" s="300"/>
      <c r="C135" s="300"/>
      <c r="D135" s="369"/>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1"/>
    </row>
    <row r="136" spans="1:27">
      <c r="A136" s="319"/>
      <c r="B136" s="300"/>
      <c r="C136" s="300"/>
      <c r="D136" s="369"/>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1"/>
    </row>
    <row r="137" spans="1:27">
      <c r="A137" s="319"/>
      <c r="B137" s="300"/>
      <c r="C137" s="300"/>
      <c r="D137" s="369"/>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1"/>
    </row>
    <row r="138" spans="1:27">
      <c r="A138" s="319"/>
      <c r="B138" s="300"/>
      <c r="C138" s="300"/>
      <c r="D138" s="369"/>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1"/>
    </row>
    <row r="139" spans="1:27">
      <c r="A139" s="319"/>
      <c r="B139" s="300"/>
      <c r="C139" s="300"/>
      <c r="D139" s="369"/>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1"/>
    </row>
    <row r="140" spans="1:27">
      <c r="A140" s="319"/>
      <c r="B140" s="300"/>
      <c r="C140" s="300"/>
      <c r="D140" s="369"/>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1"/>
    </row>
    <row r="141" spans="1:27">
      <c r="A141" s="319"/>
      <c r="B141" s="300"/>
      <c r="C141" s="300"/>
      <c r="D141" s="369"/>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1"/>
    </row>
    <row r="142" spans="1:27">
      <c r="A142" s="319"/>
      <c r="B142" s="300"/>
      <c r="C142" s="300"/>
      <c r="D142" s="369"/>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1"/>
    </row>
    <row r="143" spans="1:27">
      <c r="A143" s="319"/>
      <c r="B143" s="300"/>
      <c r="C143" s="300"/>
      <c r="D143" s="369"/>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1"/>
    </row>
    <row r="144" spans="1:27">
      <c r="A144" s="319"/>
      <c r="B144" s="300"/>
      <c r="C144" s="300"/>
      <c r="D144" s="369"/>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1"/>
    </row>
    <row r="145" spans="1:27">
      <c r="A145" s="319"/>
      <c r="B145" s="300"/>
      <c r="C145" s="300"/>
      <c r="D145" s="369"/>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1"/>
    </row>
    <row r="146" spans="1:27">
      <c r="A146" s="319"/>
      <c r="B146" s="300"/>
      <c r="C146" s="300"/>
      <c r="D146" s="369"/>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1"/>
    </row>
    <row r="147" spans="1:27">
      <c r="A147" s="319"/>
      <c r="B147" s="300"/>
      <c r="C147" s="300"/>
      <c r="D147" s="369"/>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1"/>
    </row>
    <row r="148" spans="1:27">
      <c r="A148" s="319"/>
      <c r="B148" s="300"/>
      <c r="C148" s="300"/>
      <c r="D148" s="369"/>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1"/>
    </row>
    <row r="149" spans="1:27">
      <c r="A149" s="319"/>
      <c r="B149" s="300"/>
      <c r="C149" s="300"/>
      <c r="D149" s="369"/>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1"/>
    </row>
    <row r="150" spans="1:27">
      <c r="A150" s="319"/>
      <c r="B150" s="300"/>
      <c r="C150" s="300"/>
      <c r="D150" s="369"/>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1"/>
    </row>
    <row r="151" spans="1:27">
      <c r="A151" s="319"/>
      <c r="B151" s="300"/>
      <c r="C151" s="300"/>
      <c r="D151" s="369"/>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1"/>
    </row>
    <row r="152" spans="1:27">
      <c r="A152" s="319"/>
      <c r="B152" s="300"/>
      <c r="C152" s="300"/>
      <c r="D152" s="369"/>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1"/>
    </row>
    <row r="153" spans="1:27">
      <c r="A153" s="319"/>
      <c r="B153" s="300"/>
      <c r="C153" s="300"/>
      <c r="D153" s="369"/>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1"/>
    </row>
    <row r="154" spans="1:27">
      <c r="A154" s="319"/>
      <c r="B154" s="300"/>
      <c r="C154" s="300"/>
      <c r="D154" s="369"/>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1"/>
    </row>
    <row r="155" spans="1:27">
      <c r="A155" s="319"/>
      <c r="B155" s="300"/>
      <c r="C155" s="300"/>
      <c r="D155" s="369"/>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1"/>
    </row>
    <row r="156" spans="1:27">
      <c r="A156" s="319"/>
      <c r="B156" s="300"/>
      <c r="C156" s="300"/>
      <c r="D156" s="369"/>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1"/>
    </row>
    <row r="157" spans="1:27">
      <c r="A157" s="319"/>
      <c r="B157" s="300"/>
      <c r="C157" s="300"/>
      <c r="D157" s="369"/>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1"/>
    </row>
    <row r="158" spans="1:27">
      <c r="A158" s="319"/>
      <c r="B158" s="300"/>
      <c r="C158" s="300"/>
      <c r="D158" s="369"/>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1"/>
    </row>
    <row r="159" spans="1:27">
      <c r="A159" s="319"/>
      <c r="B159" s="300"/>
      <c r="C159" s="300"/>
      <c r="D159" s="369"/>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1"/>
    </row>
    <row r="160" spans="1:27">
      <c r="A160" s="319"/>
      <c r="B160" s="300"/>
      <c r="C160" s="300"/>
      <c r="D160" s="369"/>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1"/>
    </row>
    <row r="161" spans="1:27">
      <c r="A161" s="319"/>
      <c r="B161" s="300"/>
      <c r="C161" s="300"/>
      <c r="D161" s="369"/>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1"/>
    </row>
    <row r="162" spans="1:27">
      <c r="A162" s="319"/>
      <c r="B162" s="300"/>
      <c r="C162" s="300"/>
      <c r="D162" s="369"/>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1"/>
    </row>
    <row r="163" spans="1:27">
      <c r="A163" s="319"/>
      <c r="B163" s="300"/>
      <c r="C163" s="300"/>
      <c r="D163" s="369"/>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c r="AA163" s="301"/>
    </row>
    <row r="164" spans="1:27">
      <c r="A164" s="319"/>
      <c r="B164" s="300"/>
      <c r="C164" s="300"/>
      <c r="D164" s="369"/>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c r="AA164" s="301"/>
    </row>
    <row r="165" spans="1:27">
      <c r="A165" s="319"/>
      <c r="B165" s="300"/>
      <c r="C165" s="300"/>
      <c r="D165" s="369"/>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c r="AA165" s="301"/>
    </row>
    <row r="166" spans="1:27">
      <c r="A166" s="319"/>
      <c r="B166" s="300"/>
      <c r="C166" s="300"/>
      <c r="D166" s="369"/>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c r="AA166" s="301"/>
    </row>
    <row r="167" spans="1:27">
      <c r="A167" s="319"/>
      <c r="B167" s="300"/>
      <c r="C167" s="300"/>
      <c r="D167" s="369"/>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1"/>
    </row>
    <row r="168" spans="1:27">
      <c r="A168" s="319"/>
      <c r="B168" s="300"/>
      <c r="C168" s="300"/>
      <c r="D168" s="369"/>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c r="AA168" s="301"/>
    </row>
    <row r="169" spans="1:27">
      <c r="A169" s="319"/>
      <c r="B169" s="300"/>
      <c r="C169" s="300"/>
      <c r="D169" s="369"/>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c r="AA169" s="301"/>
    </row>
    <row r="170" spans="1:27">
      <c r="A170" s="319"/>
      <c r="B170" s="300"/>
      <c r="C170" s="300"/>
      <c r="D170" s="369"/>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c r="AA170" s="301"/>
    </row>
    <row r="171" spans="1:27">
      <c r="A171" s="319"/>
      <c r="B171" s="300"/>
      <c r="C171" s="300"/>
      <c r="D171" s="369"/>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c r="AA171" s="301"/>
    </row>
    <row r="172" spans="1:27">
      <c r="A172" s="319"/>
      <c r="B172" s="300"/>
      <c r="C172" s="300"/>
      <c r="D172" s="369"/>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c r="AA172" s="301"/>
    </row>
    <row r="173" spans="1:27">
      <c r="A173" s="319"/>
      <c r="B173" s="300"/>
      <c r="C173" s="300"/>
      <c r="D173" s="369"/>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c r="AA173" s="301"/>
    </row>
    <row r="174" spans="1:27">
      <c r="A174" s="319"/>
      <c r="B174" s="300"/>
      <c r="C174" s="300"/>
      <c r="D174" s="369"/>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c r="AA174" s="301"/>
    </row>
    <row r="175" spans="1:27">
      <c r="A175" s="319"/>
      <c r="B175" s="300"/>
      <c r="C175" s="300"/>
      <c r="D175" s="369"/>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c r="AA175" s="301"/>
    </row>
    <row r="176" spans="1:27">
      <c r="A176" s="319"/>
      <c r="B176" s="300"/>
      <c r="C176" s="300"/>
      <c r="D176" s="369"/>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c r="AA176" s="301"/>
    </row>
    <row r="177" spans="1:27">
      <c r="A177" s="319"/>
      <c r="B177" s="300"/>
      <c r="C177" s="300"/>
      <c r="D177" s="369"/>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c r="AA177" s="301"/>
    </row>
    <row r="178" spans="1:27">
      <c r="A178" s="319"/>
      <c r="B178" s="300"/>
      <c r="C178" s="300"/>
      <c r="D178" s="369"/>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1"/>
    </row>
    <row r="179" spans="1:27">
      <c r="A179" s="319"/>
      <c r="B179" s="300"/>
      <c r="C179" s="300"/>
      <c r="D179" s="369"/>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c r="AA179" s="301"/>
    </row>
    <row r="180" spans="1:27">
      <c r="A180" s="319"/>
      <c r="B180" s="300"/>
      <c r="C180" s="300"/>
      <c r="D180" s="369"/>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c r="AA180" s="301"/>
    </row>
    <row r="181" spans="1:27">
      <c r="A181" s="319"/>
      <c r="B181" s="300"/>
      <c r="C181" s="300"/>
      <c r="D181" s="369"/>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c r="AA181" s="301"/>
    </row>
    <row r="182" spans="1:27">
      <c r="A182" s="319"/>
      <c r="B182" s="300"/>
      <c r="C182" s="300"/>
      <c r="D182" s="369"/>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c r="AA182" s="301"/>
    </row>
    <row r="183" spans="1:27">
      <c r="A183" s="319"/>
      <c r="B183" s="300"/>
      <c r="C183" s="300"/>
      <c r="D183" s="369"/>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c r="AA183" s="301"/>
    </row>
    <row r="184" spans="1:27">
      <c r="A184" s="319"/>
      <c r="B184" s="300"/>
      <c r="C184" s="300"/>
      <c r="D184" s="369"/>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c r="AA184" s="301"/>
    </row>
    <row r="185" spans="1:27">
      <c r="A185" s="319"/>
      <c r="B185" s="300"/>
      <c r="C185" s="300"/>
      <c r="D185" s="369"/>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c r="AA185" s="301"/>
    </row>
    <row r="186" spans="1:27">
      <c r="A186" s="319"/>
      <c r="B186" s="300"/>
      <c r="C186" s="300"/>
      <c r="D186" s="369"/>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c r="AA186" s="301"/>
    </row>
    <row r="187" spans="1:27">
      <c r="A187" s="319"/>
      <c r="B187" s="300"/>
      <c r="C187" s="300"/>
      <c r="D187" s="369"/>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c r="AA187" s="301"/>
    </row>
    <row r="188" spans="1:27">
      <c r="A188" s="319"/>
      <c r="B188" s="300"/>
      <c r="C188" s="300"/>
      <c r="D188" s="369"/>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c r="AA188" s="301"/>
    </row>
    <row r="189" spans="1:27">
      <c r="A189" s="319"/>
      <c r="B189" s="300"/>
      <c r="C189" s="300"/>
      <c r="D189" s="369"/>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c r="AA189" s="301"/>
    </row>
    <row r="190" spans="1:27">
      <c r="A190" s="319"/>
      <c r="B190" s="300"/>
      <c r="C190" s="300"/>
      <c r="D190" s="369"/>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c r="AA190" s="301"/>
    </row>
    <row r="191" spans="1:27">
      <c r="A191" s="319"/>
      <c r="B191" s="300"/>
      <c r="C191" s="300"/>
      <c r="D191" s="369"/>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c r="AA191" s="301"/>
    </row>
    <row r="192" spans="1:27">
      <c r="A192" s="319"/>
      <c r="B192" s="300"/>
      <c r="C192" s="300"/>
      <c r="D192" s="369"/>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c r="AA192" s="301"/>
    </row>
    <row r="193" spans="1:27">
      <c r="A193" s="319"/>
      <c r="B193" s="300"/>
      <c r="C193" s="300"/>
      <c r="D193" s="369"/>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c r="AA193" s="301"/>
    </row>
    <row r="194" spans="1:27">
      <c r="A194" s="319"/>
      <c r="B194" s="300"/>
      <c r="C194" s="300"/>
      <c r="D194" s="369"/>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c r="AA194" s="301"/>
    </row>
    <row r="195" spans="1:27">
      <c r="A195" s="319"/>
      <c r="B195" s="300"/>
      <c r="C195" s="300"/>
      <c r="D195" s="369"/>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c r="AA195" s="301"/>
    </row>
    <row r="196" spans="1:27">
      <c r="A196" s="319"/>
      <c r="B196" s="300"/>
      <c r="C196" s="300"/>
      <c r="D196" s="369"/>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c r="AA196" s="301"/>
    </row>
    <row r="197" spans="1:27">
      <c r="A197" s="319"/>
      <c r="B197" s="300"/>
      <c r="C197" s="300"/>
      <c r="D197" s="369"/>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c r="AA197" s="301"/>
    </row>
    <row r="198" spans="1:27">
      <c r="A198" s="319"/>
      <c r="B198" s="300"/>
      <c r="C198" s="300"/>
      <c r="D198" s="369"/>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c r="AA198" s="301"/>
    </row>
    <row r="199" spans="1:27">
      <c r="A199" s="319"/>
      <c r="B199" s="300"/>
      <c r="C199" s="300"/>
      <c r="D199" s="369"/>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c r="AA199" s="301"/>
    </row>
    <row r="200" spans="1:27">
      <c r="A200" s="319"/>
      <c r="B200" s="300"/>
      <c r="C200" s="300"/>
      <c r="D200" s="369"/>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c r="AA200" s="301"/>
    </row>
    <row r="201" spans="1:27">
      <c r="A201" s="319"/>
      <c r="B201" s="300"/>
      <c r="C201" s="300"/>
      <c r="D201" s="369"/>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c r="AA201" s="301"/>
    </row>
    <row r="202" spans="1:27">
      <c r="A202" s="319"/>
      <c r="B202" s="300"/>
      <c r="C202" s="300"/>
      <c r="D202" s="369"/>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c r="AA202" s="301"/>
    </row>
    <row r="203" spans="1:27">
      <c r="A203" s="319"/>
      <c r="B203" s="300"/>
      <c r="C203" s="300"/>
      <c r="D203" s="369"/>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c r="AA203" s="301"/>
    </row>
    <row r="204" spans="1:27">
      <c r="A204" s="319"/>
      <c r="B204" s="300"/>
      <c r="C204" s="300"/>
      <c r="D204" s="369"/>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1"/>
    </row>
    <row r="205" spans="1:27">
      <c r="A205" s="319"/>
      <c r="B205" s="300"/>
      <c r="C205" s="300"/>
      <c r="D205" s="369"/>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c r="AA205" s="301"/>
    </row>
    <row r="206" spans="1:27">
      <c r="A206" s="319"/>
      <c r="B206" s="300"/>
      <c r="C206" s="300"/>
      <c r="D206" s="369"/>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c r="AA206" s="301"/>
    </row>
    <row r="207" spans="1:27">
      <c r="A207" s="319"/>
      <c r="B207" s="300"/>
      <c r="C207" s="300"/>
      <c r="D207" s="369"/>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c r="AA207" s="301"/>
    </row>
    <row r="208" spans="1:27">
      <c r="A208" s="319"/>
      <c r="B208" s="300"/>
      <c r="C208" s="300"/>
      <c r="D208" s="369"/>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c r="AA208" s="301"/>
    </row>
    <row r="209" spans="1:27">
      <c r="A209" s="319"/>
      <c r="B209" s="300"/>
      <c r="C209" s="300"/>
      <c r="D209" s="369"/>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c r="AA209" s="301"/>
    </row>
    <row r="210" spans="1:27">
      <c r="A210" s="319"/>
      <c r="B210" s="300"/>
      <c r="C210" s="300"/>
      <c r="D210" s="369"/>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c r="AA210" s="301"/>
    </row>
    <row r="211" spans="1:27">
      <c r="A211" s="319"/>
      <c r="B211" s="300"/>
      <c r="C211" s="300"/>
      <c r="D211" s="369"/>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c r="AA211" s="301"/>
    </row>
    <row r="212" spans="1:27">
      <c r="A212" s="319"/>
      <c r="B212" s="300"/>
      <c r="C212" s="300"/>
      <c r="D212" s="369"/>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c r="AA212" s="301"/>
    </row>
    <row r="213" spans="1:27">
      <c r="A213" s="319"/>
      <c r="B213" s="300"/>
      <c r="C213" s="300"/>
      <c r="D213" s="369"/>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c r="AA213" s="301"/>
    </row>
    <row r="214" spans="1:27">
      <c r="A214" s="319"/>
      <c r="B214" s="300"/>
      <c r="C214" s="300"/>
      <c r="D214" s="369"/>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c r="AA214" s="301"/>
    </row>
    <row r="215" spans="1:27">
      <c r="A215" s="319"/>
      <c r="B215" s="300"/>
      <c r="C215" s="300"/>
      <c r="D215" s="369"/>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c r="AA215" s="301"/>
    </row>
    <row r="216" spans="1:27">
      <c r="A216" s="319"/>
      <c r="B216" s="300"/>
      <c r="C216" s="300"/>
      <c r="D216" s="369"/>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c r="AA216" s="301"/>
    </row>
    <row r="217" spans="1:27">
      <c r="A217" s="319"/>
      <c r="B217" s="300"/>
      <c r="C217" s="300"/>
      <c r="D217" s="369"/>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c r="AA217" s="301"/>
    </row>
    <row r="218" spans="1:27">
      <c r="A218" s="319"/>
      <c r="B218" s="300"/>
      <c r="C218" s="300"/>
      <c r="D218" s="369"/>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c r="AA218" s="301"/>
    </row>
    <row r="219" spans="1:27">
      <c r="A219" s="319"/>
      <c r="B219" s="300"/>
      <c r="C219" s="300"/>
      <c r="D219" s="369"/>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c r="AA219" s="301"/>
    </row>
    <row r="220" spans="1:27">
      <c r="A220" s="319"/>
      <c r="B220" s="300"/>
      <c r="C220" s="300"/>
      <c r="D220" s="369"/>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c r="AA220" s="301"/>
    </row>
    <row r="221" spans="1:27">
      <c r="A221" s="319"/>
      <c r="B221" s="300"/>
      <c r="C221" s="300"/>
      <c r="D221" s="369"/>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c r="AA221" s="301"/>
    </row>
    <row r="222" spans="1:27">
      <c r="A222" s="319"/>
      <c r="B222" s="300"/>
      <c r="C222" s="300"/>
      <c r="D222" s="369"/>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c r="AA222" s="301"/>
    </row>
    <row r="223" spans="1:27">
      <c r="A223" s="319"/>
      <c r="B223" s="300"/>
      <c r="C223" s="300"/>
      <c r="D223" s="369"/>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c r="AA223" s="301"/>
    </row>
    <row r="224" spans="1:27">
      <c r="A224" s="319"/>
      <c r="B224" s="300"/>
      <c r="C224" s="300"/>
      <c r="D224" s="369"/>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c r="AA224" s="301"/>
    </row>
    <row r="225" spans="1:27">
      <c r="A225" s="319"/>
      <c r="B225" s="300"/>
      <c r="C225" s="300"/>
      <c r="D225" s="369"/>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c r="AA225" s="301"/>
    </row>
    <row r="226" spans="1:27">
      <c r="A226" s="319"/>
      <c r="B226" s="300"/>
      <c r="C226" s="300"/>
      <c r="D226" s="369"/>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c r="AA226" s="301"/>
    </row>
    <row r="227" spans="1:27">
      <c r="A227" s="319"/>
      <c r="B227" s="300"/>
      <c r="C227" s="300"/>
      <c r="D227" s="369"/>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c r="AA227" s="301"/>
    </row>
    <row r="228" spans="1:27">
      <c r="A228" s="319"/>
      <c r="B228" s="300"/>
      <c r="C228" s="300"/>
      <c r="D228" s="369"/>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c r="AA228" s="301"/>
    </row>
    <row r="229" spans="1:27">
      <c r="A229" s="319"/>
      <c r="B229" s="300"/>
      <c r="C229" s="300"/>
      <c r="D229" s="369"/>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c r="AA229" s="301"/>
    </row>
    <row r="230" spans="1:27">
      <c r="A230" s="319"/>
      <c r="B230" s="300"/>
      <c r="C230" s="300"/>
      <c r="D230" s="369"/>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c r="AA230" s="301"/>
    </row>
    <row r="231" spans="1:27">
      <c r="A231" s="319"/>
      <c r="B231" s="300"/>
      <c r="C231" s="300"/>
      <c r="D231" s="369"/>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c r="AA231" s="301"/>
    </row>
    <row r="232" spans="1:27">
      <c r="A232" s="319"/>
      <c r="B232" s="300"/>
      <c r="C232" s="300"/>
      <c r="D232" s="369"/>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c r="AA232" s="301"/>
    </row>
    <row r="233" spans="1:27">
      <c r="A233" s="319"/>
      <c r="B233" s="300"/>
      <c r="C233" s="300"/>
      <c r="D233" s="369"/>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c r="AA233" s="301"/>
    </row>
    <row r="234" spans="1:27">
      <c r="A234" s="319"/>
      <c r="B234" s="300"/>
      <c r="C234" s="300"/>
      <c r="D234" s="369"/>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1"/>
    </row>
    <row r="235" spans="1:27">
      <c r="A235" s="319"/>
      <c r="B235" s="300"/>
      <c r="C235" s="300"/>
      <c r="D235" s="369"/>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c r="AA235" s="301"/>
    </row>
    <row r="236" spans="1:27">
      <c r="A236" s="319"/>
      <c r="B236" s="300"/>
      <c r="C236" s="300"/>
      <c r="D236" s="369"/>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c r="AA236" s="301"/>
    </row>
    <row r="237" spans="1:27">
      <c r="A237" s="319"/>
      <c r="B237" s="300"/>
      <c r="C237" s="300"/>
      <c r="D237" s="369"/>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c r="AA237" s="301"/>
    </row>
    <row r="238" spans="1:27">
      <c r="A238" s="319"/>
      <c r="B238" s="300"/>
      <c r="C238" s="300"/>
      <c r="D238" s="369"/>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c r="AA238" s="301"/>
    </row>
    <row r="239" spans="1:27">
      <c r="A239" s="319"/>
      <c r="B239" s="300"/>
      <c r="C239" s="300"/>
      <c r="D239" s="369"/>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c r="AA239" s="301"/>
    </row>
    <row r="240" spans="1:27">
      <c r="A240" s="319"/>
      <c r="B240" s="300"/>
      <c r="C240" s="300"/>
      <c r="D240" s="369"/>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c r="AA240" s="301"/>
    </row>
    <row r="241" spans="1:27">
      <c r="A241" s="319"/>
      <c r="B241" s="300"/>
      <c r="C241" s="300"/>
      <c r="D241" s="369"/>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c r="AA241" s="301"/>
    </row>
    <row r="242" spans="1:27">
      <c r="A242" s="319"/>
      <c r="B242" s="300"/>
      <c r="C242" s="300"/>
      <c r="D242" s="369"/>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c r="AA242" s="301"/>
    </row>
    <row r="243" spans="1:27">
      <c r="A243" s="319"/>
      <c r="B243" s="300"/>
      <c r="C243" s="300"/>
      <c r="D243" s="369"/>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c r="AA243" s="301"/>
    </row>
    <row r="244" spans="1:27">
      <c r="A244" s="319"/>
      <c r="B244" s="300"/>
      <c r="C244" s="300"/>
      <c r="D244" s="369"/>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c r="AA244" s="301"/>
    </row>
    <row r="245" spans="1:27">
      <c r="A245" s="319"/>
      <c r="B245" s="300"/>
      <c r="C245" s="300"/>
      <c r="D245" s="369"/>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c r="AA245" s="301"/>
    </row>
    <row r="246" spans="1:27">
      <c r="A246" s="319"/>
      <c r="B246" s="300"/>
      <c r="C246" s="300"/>
      <c r="D246" s="369"/>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c r="AA246" s="301"/>
    </row>
    <row r="247" spans="1:27">
      <c r="A247" s="319"/>
      <c r="B247" s="300"/>
      <c r="C247" s="300"/>
      <c r="D247" s="369"/>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c r="AA247" s="301"/>
    </row>
    <row r="248" spans="1:27">
      <c r="A248" s="319"/>
      <c r="B248" s="300"/>
      <c r="C248" s="300"/>
      <c r="D248" s="369"/>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c r="AA248" s="301"/>
    </row>
    <row r="249" spans="1:27">
      <c r="A249" s="319"/>
      <c r="B249" s="300"/>
      <c r="C249" s="300"/>
      <c r="D249" s="369"/>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c r="AA249" s="301"/>
    </row>
    <row r="250" spans="1:27">
      <c r="A250" s="319"/>
      <c r="B250" s="300"/>
      <c r="C250" s="300"/>
      <c r="D250" s="369"/>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c r="AA250" s="301"/>
    </row>
    <row r="251" spans="1:27">
      <c r="A251" s="319"/>
      <c r="B251" s="300"/>
      <c r="C251" s="300"/>
      <c r="D251" s="369"/>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c r="AA251" s="301"/>
    </row>
    <row r="252" spans="1:27">
      <c r="A252" s="319"/>
      <c r="B252" s="300"/>
      <c r="C252" s="300"/>
      <c r="D252" s="369"/>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c r="AA252" s="301"/>
    </row>
    <row r="253" spans="1:27">
      <c r="A253" s="319"/>
      <c r="B253" s="300"/>
      <c r="C253" s="300"/>
      <c r="D253" s="369"/>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c r="AA253" s="301"/>
    </row>
    <row r="254" spans="1:27">
      <c r="A254" s="319"/>
      <c r="B254" s="300"/>
      <c r="C254" s="300"/>
      <c r="D254" s="369"/>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c r="AA254" s="301"/>
    </row>
    <row r="255" spans="1:27">
      <c r="A255" s="319"/>
      <c r="B255" s="300"/>
      <c r="C255" s="300"/>
      <c r="D255" s="369"/>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c r="AA255" s="301"/>
    </row>
    <row r="256" spans="1:27">
      <c r="A256" s="319"/>
      <c r="B256" s="300"/>
      <c r="C256" s="300"/>
      <c r="D256" s="369"/>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c r="AA256" s="301"/>
    </row>
    <row r="257" spans="1:27">
      <c r="A257" s="319"/>
      <c r="B257" s="300"/>
      <c r="C257" s="300"/>
      <c r="D257" s="369"/>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c r="AA257" s="301"/>
    </row>
    <row r="258" spans="1:27">
      <c r="A258" s="319"/>
      <c r="B258" s="300"/>
      <c r="C258" s="300"/>
      <c r="D258" s="369"/>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c r="AA258" s="301"/>
    </row>
    <row r="259" spans="1:27">
      <c r="A259" s="319"/>
      <c r="B259" s="300"/>
      <c r="C259" s="300"/>
      <c r="D259" s="369"/>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c r="AA259" s="301"/>
    </row>
    <row r="260" spans="1:27">
      <c r="A260" s="319"/>
      <c r="B260" s="300"/>
      <c r="C260" s="300"/>
      <c r="D260" s="369"/>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c r="AA260" s="301"/>
    </row>
    <row r="261" spans="1:27">
      <c r="A261" s="319"/>
      <c r="B261" s="300"/>
      <c r="C261" s="300"/>
      <c r="D261" s="369"/>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c r="AA261" s="301"/>
    </row>
    <row r="262" spans="1:27">
      <c r="A262" s="319"/>
      <c r="B262" s="300"/>
      <c r="C262" s="300"/>
      <c r="D262" s="369"/>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c r="AA262" s="301"/>
    </row>
    <row r="263" spans="1:27">
      <c r="A263" s="319"/>
      <c r="B263" s="300"/>
      <c r="C263" s="300"/>
      <c r="D263" s="369"/>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c r="AA263" s="301"/>
    </row>
    <row r="264" spans="1:27">
      <c r="A264" s="319"/>
      <c r="B264" s="300"/>
      <c r="C264" s="300"/>
      <c r="D264" s="369"/>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c r="AA264" s="301"/>
    </row>
    <row r="265" spans="1:27">
      <c r="A265" s="319"/>
      <c r="B265" s="300"/>
      <c r="C265" s="300"/>
      <c r="D265" s="369"/>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c r="AA265" s="301"/>
    </row>
    <row r="266" spans="1:27">
      <c r="A266" s="319"/>
      <c r="B266" s="300"/>
      <c r="C266" s="300"/>
      <c r="D266" s="369"/>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c r="AA266" s="301"/>
    </row>
    <row r="267" spans="1:27">
      <c r="A267" s="319"/>
      <c r="B267" s="300"/>
      <c r="C267" s="300"/>
      <c r="D267" s="369"/>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c r="AA267" s="301"/>
    </row>
    <row r="268" spans="1:27">
      <c r="A268" s="319"/>
      <c r="B268" s="300"/>
      <c r="C268" s="300"/>
      <c r="D268" s="369"/>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c r="AA268" s="301"/>
    </row>
    <row r="269" spans="1:27">
      <c r="A269" s="319"/>
      <c r="B269" s="300"/>
      <c r="C269" s="300"/>
      <c r="D269" s="369"/>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c r="AA269" s="301"/>
    </row>
    <row r="270" spans="1:27">
      <c r="A270" s="319"/>
      <c r="B270" s="300"/>
      <c r="C270" s="300"/>
      <c r="D270" s="369"/>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c r="AA270" s="301"/>
    </row>
    <row r="271" spans="1:27">
      <c r="A271" s="319"/>
      <c r="B271" s="300"/>
      <c r="C271" s="300"/>
      <c r="D271" s="369"/>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c r="AA271" s="301"/>
    </row>
    <row r="272" spans="1:27">
      <c r="A272" s="319"/>
      <c r="B272" s="300"/>
      <c r="C272" s="300"/>
      <c r="D272" s="369"/>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c r="AA272" s="301"/>
    </row>
    <row r="273" spans="1:27">
      <c r="A273" s="319"/>
      <c r="B273" s="300"/>
      <c r="C273" s="300"/>
      <c r="D273" s="369"/>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c r="AA273" s="301"/>
    </row>
    <row r="274" spans="1:27">
      <c r="A274" s="319"/>
      <c r="B274" s="300"/>
      <c r="C274" s="300"/>
      <c r="D274" s="369"/>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c r="AA274" s="301"/>
    </row>
    <row r="275" spans="1:27">
      <c r="A275" s="319"/>
      <c r="B275" s="300"/>
      <c r="C275" s="300"/>
      <c r="D275" s="369"/>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c r="AA275" s="301"/>
    </row>
    <row r="276" spans="1:27">
      <c r="A276" s="319"/>
      <c r="B276" s="300"/>
      <c r="C276" s="300"/>
      <c r="D276" s="369"/>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c r="AA276" s="301"/>
    </row>
    <row r="277" spans="1:27">
      <c r="A277" s="319"/>
      <c r="B277" s="300"/>
      <c r="C277" s="300"/>
      <c r="D277" s="369"/>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c r="AA277" s="301"/>
    </row>
    <row r="278" spans="1:27">
      <c r="A278" s="319"/>
      <c r="B278" s="300"/>
      <c r="C278" s="300"/>
      <c r="D278" s="369"/>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c r="AA278" s="301"/>
    </row>
    <row r="279" spans="1:27">
      <c r="A279" s="319"/>
      <c r="B279" s="300"/>
      <c r="C279" s="300"/>
      <c r="D279" s="369"/>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c r="AA279" s="301"/>
    </row>
    <row r="280" spans="1:27">
      <c r="A280" s="319"/>
      <c r="B280" s="300"/>
      <c r="C280" s="300"/>
      <c r="D280" s="369"/>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c r="AA280" s="301"/>
    </row>
    <row r="281" spans="1:27">
      <c r="A281" s="319"/>
      <c r="B281" s="300"/>
      <c r="C281" s="300"/>
      <c r="D281" s="369"/>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c r="AA281" s="301"/>
    </row>
    <row r="282" spans="1:27">
      <c r="A282" s="319"/>
      <c r="B282" s="300"/>
      <c r="C282" s="300"/>
      <c r="D282" s="369"/>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c r="AA282" s="301"/>
    </row>
    <row r="283" spans="1:27">
      <c r="A283" s="319"/>
      <c r="B283" s="300"/>
      <c r="C283" s="300"/>
      <c r="D283" s="369"/>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c r="AA283" s="301"/>
    </row>
    <row r="284" spans="1:27">
      <c r="A284" s="319"/>
      <c r="B284" s="300"/>
      <c r="C284" s="300"/>
      <c r="D284" s="369"/>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c r="AA284" s="301"/>
    </row>
    <row r="285" spans="1:27">
      <c r="A285" s="319"/>
      <c r="B285" s="300"/>
      <c r="C285" s="300"/>
      <c r="D285" s="369"/>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c r="AA285" s="301"/>
    </row>
    <row r="286" spans="1:27">
      <c r="A286" s="319"/>
      <c r="B286" s="300"/>
      <c r="C286" s="300"/>
      <c r="D286" s="369"/>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c r="AA286" s="301"/>
    </row>
    <row r="287" spans="1:27">
      <c r="A287" s="319"/>
      <c r="B287" s="300"/>
      <c r="C287" s="300"/>
      <c r="D287" s="369"/>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c r="AA287" s="301"/>
    </row>
    <row r="288" spans="1:27">
      <c r="A288" s="319"/>
      <c r="B288" s="300"/>
      <c r="C288" s="300"/>
      <c r="D288" s="369"/>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c r="AA288" s="301"/>
    </row>
    <row r="289" spans="1:27">
      <c r="A289" s="319"/>
      <c r="B289" s="300"/>
      <c r="C289" s="300"/>
      <c r="D289" s="369"/>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c r="AA289" s="301"/>
    </row>
    <row r="290" spans="1:27">
      <c r="A290" s="319"/>
      <c r="B290" s="300"/>
      <c r="C290" s="300"/>
      <c r="D290" s="369"/>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c r="AA290" s="301"/>
    </row>
    <row r="291" spans="1:27">
      <c r="A291" s="319"/>
      <c r="B291" s="300"/>
      <c r="C291" s="300"/>
      <c r="D291" s="369"/>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c r="AA291" s="301"/>
    </row>
    <row r="292" spans="1:27">
      <c r="A292" s="319"/>
      <c r="B292" s="300"/>
      <c r="C292" s="300"/>
      <c r="D292" s="369"/>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c r="AA292" s="301"/>
    </row>
    <row r="293" spans="1:27">
      <c r="A293" s="319"/>
      <c r="B293" s="300"/>
      <c r="C293" s="300"/>
      <c r="D293" s="369"/>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c r="AA293" s="301"/>
    </row>
    <row r="294" spans="1:27">
      <c r="A294" s="319"/>
      <c r="B294" s="300"/>
      <c r="C294" s="300"/>
      <c r="D294" s="369"/>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c r="AA294" s="301"/>
    </row>
    <row r="295" spans="1:27">
      <c r="A295" s="319"/>
      <c r="B295" s="300"/>
      <c r="C295" s="300"/>
      <c r="D295" s="369"/>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c r="AA295" s="301"/>
    </row>
    <row r="296" spans="1:27">
      <c r="A296" s="319"/>
      <c r="B296" s="300"/>
      <c r="C296" s="300"/>
      <c r="D296" s="369"/>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c r="AA296" s="301"/>
    </row>
    <row r="297" spans="1:27">
      <c r="A297" s="319"/>
      <c r="B297" s="300"/>
      <c r="C297" s="300"/>
      <c r="D297" s="369"/>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c r="AA297" s="301"/>
    </row>
    <row r="298" spans="1:27">
      <c r="A298" s="319"/>
      <c r="B298" s="300"/>
      <c r="C298" s="300"/>
      <c r="D298" s="369"/>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c r="AA298" s="301"/>
    </row>
    <row r="299" spans="1:27">
      <c r="A299" s="319"/>
      <c r="B299" s="300"/>
      <c r="C299" s="300"/>
      <c r="D299" s="369"/>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c r="AA299" s="301"/>
    </row>
    <row r="300" spans="1:27">
      <c r="A300" s="319"/>
      <c r="B300" s="300"/>
      <c r="C300" s="300"/>
      <c r="D300" s="369"/>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c r="AA300" s="301"/>
    </row>
    <row r="301" spans="1:27">
      <c r="A301" s="319"/>
      <c r="B301" s="300"/>
      <c r="C301" s="300"/>
      <c r="D301" s="369"/>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c r="AA301" s="301"/>
    </row>
    <row r="302" spans="1:27">
      <c r="A302" s="319"/>
      <c r="B302" s="300"/>
      <c r="C302" s="300"/>
      <c r="D302" s="369"/>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c r="AA302" s="301"/>
    </row>
    <row r="303" spans="1:27">
      <c r="A303" s="319"/>
      <c r="B303" s="300"/>
      <c r="C303" s="300"/>
      <c r="D303" s="369"/>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c r="AA303" s="301"/>
    </row>
    <row r="304" spans="1:27">
      <c r="A304" s="319"/>
      <c r="B304" s="300"/>
      <c r="C304" s="300"/>
      <c r="D304" s="369"/>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c r="AA304" s="301"/>
    </row>
    <row r="305" spans="1:27">
      <c r="A305" s="319"/>
      <c r="B305" s="300"/>
      <c r="C305" s="300"/>
      <c r="D305" s="369"/>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c r="AA305" s="301"/>
    </row>
    <row r="306" spans="1:27">
      <c r="A306" s="319"/>
      <c r="B306" s="300"/>
      <c r="C306" s="300"/>
      <c r="D306" s="369"/>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c r="AA306" s="301"/>
    </row>
    <row r="307" spans="1:27">
      <c r="A307" s="319"/>
      <c r="B307" s="300"/>
      <c r="C307" s="300"/>
      <c r="D307" s="369"/>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c r="AA307" s="301"/>
    </row>
    <row r="308" spans="1:27">
      <c r="A308" s="319"/>
      <c r="B308" s="300"/>
      <c r="C308" s="300"/>
      <c r="D308" s="369"/>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c r="AA308" s="301"/>
    </row>
    <row r="309" spans="1:27">
      <c r="A309" s="319"/>
      <c r="B309" s="300"/>
      <c r="C309" s="300"/>
      <c r="D309" s="369"/>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c r="AA309" s="301"/>
    </row>
    <row r="310" spans="1:27">
      <c r="A310" s="319"/>
      <c r="B310" s="300"/>
      <c r="C310" s="300"/>
      <c r="D310" s="369"/>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c r="AA310" s="301"/>
    </row>
    <row r="311" spans="1:27">
      <c r="A311" s="319"/>
      <c r="B311" s="300"/>
      <c r="C311" s="300"/>
      <c r="D311" s="369"/>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c r="AA311" s="301"/>
    </row>
    <row r="312" spans="1:27">
      <c r="A312" s="319"/>
      <c r="B312" s="300"/>
      <c r="C312" s="300"/>
      <c r="D312" s="369"/>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c r="AA312" s="301"/>
    </row>
    <row r="313" spans="1:27">
      <c r="A313" s="319"/>
      <c r="B313" s="300"/>
      <c r="C313" s="300"/>
      <c r="D313" s="369"/>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c r="AA313" s="301"/>
    </row>
    <row r="314" spans="1:27">
      <c r="A314" s="319"/>
      <c r="B314" s="300"/>
      <c r="C314" s="300"/>
      <c r="D314" s="369"/>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c r="AA314" s="301"/>
    </row>
    <row r="315" spans="1:27">
      <c r="A315" s="319"/>
      <c r="B315" s="300"/>
      <c r="C315" s="300"/>
      <c r="D315" s="369"/>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c r="AA315" s="301"/>
    </row>
    <row r="316" spans="1:27">
      <c r="A316" s="319"/>
      <c r="B316" s="300"/>
      <c r="C316" s="300"/>
      <c r="D316" s="369"/>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c r="AA316" s="301"/>
    </row>
    <row r="317" spans="1:27">
      <c r="A317" s="319"/>
      <c r="B317" s="300"/>
      <c r="C317" s="300"/>
      <c r="D317" s="369"/>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c r="AA317" s="301"/>
    </row>
    <row r="318" spans="1:27">
      <c r="A318" s="319"/>
      <c r="B318" s="300"/>
      <c r="C318" s="300"/>
      <c r="D318" s="369"/>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c r="AA318" s="301"/>
    </row>
    <row r="319" spans="1:27">
      <c r="A319" s="319"/>
      <c r="B319" s="300"/>
      <c r="C319" s="300"/>
      <c r="D319" s="369"/>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c r="AA319" s="301"/>
    </row>
    <row r="320" spans="1:27">
      <c r="A320" s="319"/>
      <c r="B320" s="300"/>
      <c r="C320" s="300"/>
      <c r="D320" s="369"/>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c r="AA320" s="301"/>
    </row>
    <row r="321" spans="1:27">
      <c r="A321" s="319"/>
      <c r="B321" s="300"/>
      <c r="C321" s="300"/>
      <c r="D321" s="369"/>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c r="AA321" s="301"/>
    </row>
    <row r="322" spans="1:27">
      <c r="A322" s="319"/>
      <c r="B322" s="300"/>
      <c r="C322" s="300"/>
      <c r="D322" s="369"/>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c r="AA322" s="301"/>
    </row>
    <row r="323" spans="1:27">
      <c r="A323" s="319"/>
      <c r="B323" s="300"/>
      <c r="C323" s="300"/>
      <c r="D323" s="369"/>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c r="AA323" s="301"/>
    </row>
    <row r="324" spans="1:27">
      <c r="A324" s="319"/>
      <c r="B324" s="300"/>
      <c r="C324" s="300"/>
      <c r="D324" s="369"/>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c r="AA324" s="301"/>
    </row>
    <row r="325" spans="1:27">
      <c r="A325" s="319"/>
      <c r="B325" s="300"/>
      <c r="C325" s="300"/>
      <c r="D325" s="369"/>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c r="AA325" s="301"/>
    </row>
    <row r="326" spans="1:27">
      <c r="A326" s="319"/>
      <c r="B326" s="300"/>
      <c r="C326" s="300"/>
      <c r="D326" s="369"/>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c r="AA326" s="301"/>
    </row>
    <row r="327" spans="1:27">
      <c r="A327" s="319"/>
      <c r="B327" s="300"/>
      <c r="C327" s="300"/>
      <c r="D327" s="369"/>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1"/>
    </row>
    <row r="328" spans="1:27">
      <c r="A328" s="319"/>
      <c r="B328" s="300"/>
      <c r="C328" s="300"/>
      <c r="D328" s="369"/>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c r="AA328" s="301"/>
    </row>
    <row r="329" spans="1:27">
      <c r="A329" s="319"/>
      <c r="B329" s="300"/>
      <c r="C329" s="300"/>
      <c r="D329" s="369"/>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c r="AA329" s="301"/>
    </row>
    <row r="330" spans="1:27">
      <c r="A330" s="319"/>
      <c r="B330" s="300"/>
      <c r="C330" s="300"/>
      <c r="D330" s="369"/>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c r="AA330" s="301"/>
    </row>
    <row r="331" spans="1:27">
      <c r="A331" s="319"/>
      <c r="B331" s="300"/>
      <c r="C331" s="300"/>
      <c r="D331" s="369"/>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c r="AA331" s="301"/>
    </row>
    <row r="332" spans="1:27">
      <c r="A332" s="319"/>
      <c r="B332" s="300"/>
      <c r="C332" s="300"/>
      <c r="D332" s="369"/>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c r="AA332" s="301"/>
    </row>
    <row r="333" spans="1:27">
      <c r="A333" s="319"/>
      <c r="B333" s="300"/>
      <c r="C333" s="300"/>
      <c r="D333" s="369"/>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c r="AA333" s="301"/>
    </row>
    <row r="334" spans="1:27">
      <c r="A334" s="319"/>
      <c r="B334" s="300"/>
      <c r="C334" s="300"/>
      <c r="D334" s="369"/>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c r="AA334" s="301"/>
    </row>
    <row r="335" spans="1:27">
      <c r="A335" s="319"/>
      <c r="B335" s="300"/>
      <c r="C335" s="300"/>
      <c r="D335" s="369"/>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c r="AA335" s="301"/>
    </row>
    <row r="336" spans="1:27">
      <c r="A336" s="319"/>
      <c r="B336" s="300"/>
      <c r="C336" s="300"/>
      <c r="D336" s="369"/>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c r="AA336" s="301"/>
    </row>
    <row r="337" spans="1:27">
      <c r="A337" s="319"/>
      <c r="B337" s="300"/>
      <c r="C337" s="300"/>
      <c r="D337" s="369"/>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c r="AA337" s="301"/>
    </row>
    <row r="338" spans="1:27">
      <c r="A338" s="319"/>
      <c r="B338" s="300"/>
      <c r="C338" s="300"/>
      <c r="D338" s="369"/>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c r="AA338" s="301"/>
    </row>
    <row r="339" spans="1:27">
      <c r="A339" s="319"/>
      <c r="B339" s="300"/>
      <c r="C339" s="300"/>
      <c r="D339" s="369"/>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c r="AA339" s="301"/>
    </row>
    <row r="340" spans="1:27">
      <c r="A340" s="319"/>
      <c r="B340" s="300"/>
      <c r="C340" s="300"/>
      <c r="D340" s="369"/>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c r="AA340" s="301"/>
    </row>
    <row r="341" spans="1:27">
      <c r="A341" s="319"/>
      <c r="B341" s="300"/>
      <c r="C341" s="300"/>
      <c r="D341" s="369"/>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c r="AA341" s="301"/>
    </row>
    <row r="342" spans="1:27">
      <c r="A342" s="319"/>
      <c r="B342" s="300"/>
      <c r="C342" s="300"/>
      <c r="D342" s="369"/>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c r="AA342" s="301"/>
    </row>
    <row r="343" spans="1:27">
      <c r="A343" s="319"/>
      <c r="B343" s="300"/>
      <c r="C343" s="300"/>
      <c r="D343" s="369"/>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c r="AA343" s="301"/>
    </row>
    <row r="344" spans="1:27">
      <c r="A344" s="319"/>
      <c r="B344" s="300"/>
      <c r="C344" s="300"/>
      <c r="D344" s="369"/>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c r="AA344" s="301"/>
    </row>
    <row r="345" spans="1:27">
      <c r="A345" s="319"/>
      <c r="B345" s="300"/>
      <c r="C345" s="300"/>
      <c r="D345" s="369"/>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c r="AA345" s="301"/>
    </row>
    <row r="346" spans="1:27">
      <c r="A346" s="319"/>
      <c r="B346" s="300"/>
      <c r="C346" s="300"/>
      <c r="D346" s="369"/>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c r="AA346" s="301"/>
    </row>
    <row r="347" spans="1:27">
      <c r="A347" s="319"/>
      <c r="B347" s="300"/>
      <c r="C347" s="300"/>
      <c r="D347" s="369"/>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c r="AA347" s="301"/>
    </row>
    <row r="348" spans="1:27">
      <c r="A348" s="319"/>
      <c r="B348" s="300"/>
      <c r="C348" s="300"/>
      <c r="D348" s="369"/>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c r="AA348" s="301"/>
    </row>
    <row r="349" spans="1:27">
      <c r="A349" s="319"/>
      <c r="B349" s="300"/>
      <c r="C349" s="300"/>
      <c r="D349" s="369"/>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c r="AA349" s="301"/>
    </row>
    <row r="350" spans="1:27">
      <c r="A350" s="319"/>
      <c r="B350" s="300"/>
      <c r="C350" s="300"/>
      <c r="D350" s="369"/>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c r="AA350" s="301"/>
    </row>
    <row r="351" spans="1:27">
      <c r="A351" s="319"/>
      <c r="B351" s="300"/>
      <c r="C351" s="300"/>
      <c r="D351" s="369"/>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c r="AA351" s="301"/>
    </row>
    <row r="352" spans="1:27">
      <c r="A352" s="319"/>
      <c r="B352" s="300"/>
      <c r="C352" s="300"/>
      <c r="D352" s="369"/>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c r="AA352" s="301"/>
    </row>
    <row r="353" spans="1:27">
      <c r="A353" s="319"/>
      <c r="B353" s="300"/>
      <c r="C353" s="300"/>
      <c r="D353" s="369"/>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c r="AA353" s="301"/>
    </row>
    <row r="354" spans="1:27">
      <c r="A354" s="319"/>
      <c r="B354" s="300"/>
      <c r="C354" s="300"/>
      <c r="D354" s="369"/>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c r="AA354" s="301"/>
    </row>
    <row r="355" spans="1:27">
      <c r="A355" s="319"/>
      <c r="B355" s="300"/>
      <c r="C355" s="300"/>
      <c r="D355" s="369"/>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c r="AA355" s="301"/>
    </row>
    <row r="356" spans="1:27">
      <c r="A356" s="319"/>
      <c r="B356" s="300"/>
      <c r="C356" s="300"/>
      <c r="D356" s="369"/>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c r="AA356" s="301"/>
    </row>
    <row r="357" spans="1:27">
      <c r="A357" s="319"/>
      <c r="B357" s="300"/>
      <c r="C357" s="300"/>
      <c r="D357" s="369"/>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c r="AA357" s="301"/>
    </row>
    <row r="358" spans="1:27">
      <c r="A358" s="319"/>
      <c r="B358" s="300"/>
      <c r="C358" s="300"/>
      <c r="D358" s="369"/>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c r="AA358" s="301"/>
    </row>
    <row r="359" spans="1:27">
      <c r="A359" s="319"/>
      <c r="B359" s="300"/>
      <c r="C359" s="300"/>
      <c r="D359" s="369"/>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c r="AA359" s="301"/>
    </row>
    <row r="360" spans="1:27">
      <c r="A360" s="319"/>
      <c r="B360" s="300"/>
      <c r="C360" s="300"/>
      <c r="D360" s="369"/>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c r="AA360" s="301"/>
    </row>
    <row r="361" spans="1:27">
      <c r="A361" s="319"/>
      <c r="B361" s="300"/>
      <c r="C361" s="300"/>
      <c r="D361" s="369"/>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c r="AA361" s="301"/>
    </row>
    <row r="362" spans="1:27">
      <c r="A362" s="319"/>
      <c r="B362" s="300"/>
      <c r="C362" s="300"/>
      <c r="D362" s="369"/>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c r="AA362" s="301"/>
    </row>
    <row r="363" spans="1:27">
      <c r="A363" s="319"/>
      <c r="B363" s="300"/>
      <c r="C363" s="300"/>
      <c r="D363" s="369"/>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c r="AA363" s="301"/>
    </row>
    <row r="364" spans="1:27">
      <c r="A364" s="319"/>
      <c r="B364" s="300"/>
      <c r="C364" s="300"/>
      <c r="D364" s="369"/>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c r="AA364" s="301"/>
    </row>
    <row r="365" spans="1:27">
      <c r="A365" s="319"/>
      <c r="B365" s="300"/>
      <c r="C365" s="300"/>
      <c r="D365" s="369"/>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c r="AA365" s="301"/>
    </row>
    <row r="366" spans="1:27">
      <c r="A366" s="319"/>
      <c r="B366" s="300"/>
      <c r="C366" s="300"/>
      <c r="D366" s="369"/>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c r="AA366" s="301"/>
    </row>
    <row r="367" spans="1:27">
      <c r="A367" s="319"/>
      <c r="B367" s="300"/>
      <c r="C367" s="300"/>
      <c r="D367" s="369"/>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c r="AA367" s="301"/>
    </row>
    <row r="368" spans="1:27">
      <c r="A368" s="319"/>
      <c r="B368" s="300"/>
      <c r="C368" s="300"/>
      <c r="D368" s="369"/>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c r="AA368" s="301"/>
    </row>
    <row r="369" spans="1:27">
      <c r="A369" s="319"/>
      <c r="B369" s="300"/>
      <c r="C369" s="300"/>
      <c r="D369" s="369"/>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c r="AA369" s="301"/>
    </row>
    <row r="370" spans="1:27">
      <c r="A370" s="319"/>
      <c r="B370" s="300"/>
      <c r="C370" s="300"/>
      <c r="D370" s="369"/>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c r="AA370" s="301"/>
    </row>
    <row r="371" spans="1:27">
      <c r="A371" s="319"/>
      <c r="B371" s="300"/>
      <c r="C371" s="300"/>
      <c r="D371" s="369"/>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c r="AA371" s="301"/>
    </row>
    <row r="372" spans="1:27">
      <c r="A372" s="319"/>
      <c r="B372" s="300"/>
      <c r="C372" s="300"/>
      <c r="D372" s="369"/>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c r="AA372" s="301"/>
    </row>
    <row r="373" spans="1:27">
      <c r="A373" s="319"/>
      <c r="B373" s="300"/>
      <c r="C373" s="300"/>
      <c r="D373" s="369"/>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c r="AA373" s="301"/>
    </row>
    <row r="374" spans="1:27">
      <c r="A374" s="319"/>
      <c r="B374" s="300"/>
      <c r="C374" s="300"/>
      <c r="D374" s="369"/>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c r="AA374" s="301"/>
    </row>
    <row r="375" spans="1:27">
      <c r="A375" s="319"/>
      <c r="B375" s="300"/>
      <c r="C375" s="300"/>
      <c r="D375" s="369"/>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c r="AA375" s="301"/>
    </row>
    <row r="376" spans="1:27">
      <c r="A376" s="319"/>
      <c r="B376" s="300"/>
      <c r="C376" s="300"/>
      <c r="D376" s="369"/>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c r="AA376" s="301"/>
    </row>
    <row r="377" spans="1:27">
      <c r="A377" s="319"/>
      <c r="B377" s="300"/>
      <c r="C377" s="300"/>
      <c r="D377" s="369"/>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c r="AA377" s="301"/>
    </row>
    <row r="378" spans="1:27">
      <c r="A378" s="319"/>
      <c r="B378" s="300"/>
      <c r="C378" s="300"/>
      <c r="D378" s="369"/>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c r="AA378" s="301"/>
    </row>
    <row r="379" spans="1:27">
      <c r="A379" s="319"/>
      <c r="B379" s="300"/>
      <c r="C379" s="300"/>
      <c r="D379" s="369"/>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c r="AA379" s="301"/>
    </row>
    <row r="380" spans="1:27">
      <c r="A380" s="319"/>
      <c r="B380" s="300"/>
      <c r="C380" s="300"/>
      <c r="D380" s="369"/>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c r="AA380" s="301"/>
    </row>
    <row r="381" spans="1:27">
      <c r="A381" s="319"/>
      <c r="B381" s="300"/>
      <c r="C381" s="300"/>
      <c r="D381" s="369"/>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c r="AA381" s="301"/>
    </row>
    <row r="382" spans="1:27">
      <c r="A382" s="319"/>
      <c r="B382" s="300"/>
      <c r="C382" s="300"/>
      <c r="D382" s="369"/>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c r="AA382" s="301"/>
    </row>
    <row r="383" spans="1:27">
      <c r="A383" s="319"/>
      <c r="B383" s="300"/>
      <c r="C383" s="300"/>
      <c r="D383" s="369"/>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c r="AA383" s="301"/>
    </row>
    <row r="384" spans="1:27">
      <c r="A384" s="319"/>
      <c r="B384" s="300"/>
      <c r="C384" s="300"/>
      <c r="D384" s="369"/>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c r="AA384" s="301"/>
    </row>
    <row r="385" spans="1:27">
      <c r="A385" s="319"/>
      <c r="B385" s="300"/>
      <c r="C385" s="300"/>
      <c r="D385" s="369"/>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c r="AA385" s="301"/>
    </row>
    <row r="386" spans="1:27">
      <c r="A386" s="319"/>
      <c r="B386" s="300"/>
      <c r="C386" s="300"/>
      <c r="D386" s="369"/>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c r="AA386" s="301"/>
    </row>
    <row r="387" spans="1:27">
      <c r="A387" s="319"/>
      <c r="B387" s="300"/>
      <c r="C387" s="300"/>
      <c r="D387" s="369"/>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c r="AA387" s="301"/>
    </row>
    <row r="388" spans="1:27">
      <c r="A388" s="319"/>
      <c r="B388" s="300"/>
      <c r="C388" s="300"/>
      <c r="D388" s="369"/>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c r="AA388" s="301"/>
    </row>
    <row r="389" spans="1:27">
      <c r="A389" s="319"/>
      <c r="B389" s="300"/>
      <c r="C389" s="300"/>
      <c r="D389" s="369"/>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c r="AA389" s="301"/>
    </row>
    <row r="390" spans="1:27">
      <c r="A390" s="319"/>
      <c r="B390" s="300"/>
      <c r="C390" s="300"/>
      <c r="D390" s="369"/>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c r="AA390" s="301"/>
    </row>
    <row r="391" spans="1:27">
      <c r="A391" s="319"/>
      <c r="B391" s="300"/>
      <c r="C391" s="300"/>
      <c r="D391" s="369"/>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c r="AA391" s="301"/>
    </row>
    <row r="392" spans="1:27">
      <c r="A392" s="319"/>
      <c r="B392" s="300"/>
      <c r="C392" s="300"/>
      <c r="D392" s="369"/>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c r="AA392" s="301"/>
    </row>
    <row r="393" spans="1:27">
      <c r="A393" s="319"/>
      <c r="B393" s="300"/>
      <c r="C393" s="300"/>
      <c r="D393" s="369"/>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c r="AA393" s="301"/>
    </row>
    <row r="394" spans="1:27">
      <c r="A394" s="319"/>
      <c r="B394" s="300"/>
      <c r="C394" s="300"/>
      <c r="D394" s="369"/>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c r="AA394" s="301"/>
    </row>
    <row r="395" spans="1:27">
      <c r="A395" s="319"/>
      <c r="B395" s="300"/>
      <c r="C395" s="300"/>
      <c r="D395" s="369"/>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c r="AA395" s="301"/>
    </row>
    <row r="396" spans="1:27">
      <c r="A396" s="319"/>
      <c r="B396" s="300"/>
      <c r="C396" s="300"/>
      <c r="D396" s="369"/>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c r="AA396" s="301"/>
    </row>
    <row r="397" spans="1:27">
      <c r="A397" s="319"/>
      <c r="B397" s="300"/>
      <c r="C397" s="300"/>
      <c r="D397" s="369"/>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c r="AA397" s="301"/>
    </row>
    <row r="398" spans="1:27">
      <c r="A398" s="319"/>
      <c r="B398" s="300"/>
      <c r="C398" s="300"/>
      <c r="D398" s="369"/>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c r="AA398" s="301"/>
    </row>
    <row r="399" spans="1:27">
      <c r="A399" s="319"/>
      <c r="B399" s="300"/>
      <c r="C399" s="300"/>
      <c r="D399" s="369"/>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c r="AA399" s="301"/>
    </row>
    <row r="400" spans="1:27">
      <c r="A400" s="319"/>
      <c r="B400" s="300"/>
      <c r="C400" s="300"/>
      <c r="D400" s="369"/>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c r="AA400" s="301"/>
    </row>
    <row r="401" spans="1:27">
      <c r="A401" s="319"/>
      <c r="B401" s="300"/>
      <c r="C401" s="300"/>
      <c r="D401" s="369"/>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c r="AA401" s="301"/>
    </row>
    <row r="402" spans="1:27">
      <c r="A402" s="319"/>
      <c r="B402" s="300"/>
      <c r="C402" s="300"/>
      <c r="D402" s="369"/>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c r="AA402" s="301"/>
    </row>
    <row r="403" spans="1:27">
      <c r="A403" s="319"/>
      <c r="B403" s="300"/>
      <c r="C403" s="300"/>
      <c r="D403" s="369"/>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c r="AA403" s="301"/>
    </row>
    <row r="404" spans="1:27">
      <c r="A404" s="319"/>
      <c r="B404" s="300"/>
      <c r="C404" s="300"/>
      <c r="D404" s="369"/>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c r="AA404" s="301"/>
    </row>
    <row r="405" spans="1:27">
      <c r="A405" s="319"/>
      <c r="B405" s="300"/>
      <c r="C405" s="300"/>
      <c r="D405" s="369"/>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c r="AA405" s="301"/>
    </row>
    <row r="406" spans="1:27">
      <c r="A406" s="319"/>
      <c r="B406" s="300"/>
      <c r="C406" s="300"/>
      <c r="D406" s="369"/>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c r="AA406" s="301"/>
    </row>
    <row r="407" spans="1:27">
      <c r="A407" s="319"/>
      <c r="B407" s="300"/>
      <c r="C407" s="300"/>
      <c r="D407" s="369"/>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c r="AA407" s="301"/>
    </row>
    <row r="408" spans="1:27">
      <c r="A408" s="319"/>
      <c r="B408" s="300"/>
      <c r="C408" s="300"/>
      <c r="D408" s="369"/>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c r="AA408" s="301"/>
    </row>
    <row r="409" spans="1:27">
      <c r="A409" s="319"/>
      <c r="B409" s="300"/>
      <c r="C409" s="300"/>
      <c r="D409" s="369"/>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c r="AA409" s="301"/>
    </row>
    <row r="410" spans="1:27">
      <c r="A410" s="319"/>
      <c r="B410" s="300"/>
      <c r="C410" s="300"/>
      <c r="D410" s="369"/>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c r="AA410" s="301"/>
    </row>
    <row r="411" spans="1:27">
      <c r="A411" s="319"/>
      <c r="B411" s="300"/>
      <c r="C411" s="300"/>
      <c r="D411" s="369"/>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c r="AA411" s="301"/>
    </row>
    <row r="412" spans="1:27">
      <c r="A412" s="319"/>
      <c r="B412" s="300"/>
      <c r="C412" s="300"/>
      <c r="D412" s="369"/>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c r="AA412" s="301"/>
    </row>
    <row r="413" spans="1:27">
      <c r="A413" s="319"/>
      <c r="B413" s="300"/>
      <c r="C413" s="300"/>
      <c r="D413" s="369"/>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c r="AA413" s="301"/>
    </row>
    <row r="414" spans="1:27">
      <c r="A414" s="319"/>
      <c r="B414" s="300"/>
      <c r="C414" s="300"/>
      <c r="D414" s="369"/>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c r="AA414" s="301"/>
    </row>
    <row r="415" spans="1:27">
      <c r="A415" s="319"/>
      <c r="B415" s="300"/>
      <c r="C415" s="300"/>
      <c r="D415" s="369"/>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c r="AA415" s="301"/>
    </row>
    <row r="416" spans="1:27">
      <c r="A416" s="319"/>
      <c r="B416" s="300"/>
      <c r="C416" s="300"/>
      <c r="D416" s="369"/>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c r="AA416" s="301"/>
    </row>
    <row r="417" spans="1:27">
      <c r="A417" s="319"/>
      <c r="B417" s="300"/>
      <c r="C417" s="300"/>
      <c r="D417" s="369"/>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c r="AA417" s="301"/>
    </row>
    <row r="418" spans="1:27">
      <c r="A418" s="319"/>
      <c r="B418" s="300"/>
      <c r="C418" s="300"/>
      <c r="D418" s="369"/>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c r="AA418" s="301"/>
    </row>
    <row r="419" spans="1:27">
      <c r="A419" s="319"/>
      <c r="B419" s="300"/>
      <c r="C419" s="300"/>
      <c r="D419" s="369"/>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c r="AA419" s="301"/>
    </row>
    <row r="420" spans="1:27">
      <c r="A420" s="319"/>
      <c r="B420" s="300"/>
      <c r="C420" s="300"/>
      <c r="D420" s="369"/>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c r="AA420" s="301"/>
    </row>
    <row r="421" spans="1:27">
      <c r="A421" s="319"/>
      <c r="B421" s="300"/>
      <c r="C421" s="300"/>
      <c r="D421" s="369"/>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c r="AA421" s="301"/>
    </row>
    <row r="422" spans="1:27">
      <c r="A422" s="319"/>
      <c r="B422" s="300"/>
      <c r="C422" s="300"/>
      <c r="D422" s="369"/>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c r="AA422" s="301"/>
    </row>
    <row r="423" spans="1:27">
      <c r="A423" s="319"/>
      <c r="B423" s="300"/>
      <c r="C423" s="300"/>
      <c r="D423" s="369"/>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c r="AA423" s="301"/>
    </row>
    <row r="424" spans="1:27">
      <c r="A424" s="319"/>
      <c r="B424" s="300"/>
      <c r="C424" s="300"/>
      <c r="D424" s="369"/>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c r="AA424" s="301"/>
    </row>
    <row r="425" spans="1:27">
      <c r="A425" s="319"/>
      <c r="B425" s="300"/>
      <c r="C425" s="300"/>
      <c r="D425" s="369"/>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c r="AA425" s="301"/>
    </row>
    <row r="426" spans="1:27">
      <c r="A426" s="319"/>
      <c r="B426" s="300"/>
      <c r="C426" s="300"/>
      <c r="D426" s="369"/>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c r="AA426" s="301"/>
    </row>
    <row r="427" spans="1:27">
      <c r="A427" s="319"/>
      <c r="B427" s="300"/>
      <c r="C427" s="300"/>
      <c r="D427" s="369"/>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c r="AA427" s="301"/>
    </row>
    <row r="428" spans="1:27">
      <c r="A428" s="319"/>
      <c r="B428" s="300"/>
      <c r="C428" s="300"/>
      <c r="D428" s="369"/>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c r="AA428" s="301"/>
    </row>
    <row r="429" spans="1:27">
      <c r="A429" s="319"/>
      <c r="B429" s="300"/>
      <c r="C429" s="300"/>
      <c r="D429" s="369"/>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c r="AA429" s="301"/>
    </row>
    <row r="430" spans="1:27">
      <c r="A430" s="319"/>
      <c r="B430" s="300"/>
      <c r="C430" s="300"/>
      <c r="D430" s="369"/>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c r="AA430" s="301"/>
    </row>
    <row r="431" spans="1:27">
      <c r="A431" s="319"/>
      <c r="B431" s="300"/>
      <c r="C431" s="300"/>
      <c r="D431" s="369"/>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c r="AA431" s="301"/>
    </row>
    <row r="432" spans="1:27">
      <c r="A432" s="319"/>
      <c r="B432" s="300"/>
      <c r="C432" s="300"/>
      <c r="D432" s="369"/>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c r="AA432" s="301"/>
    </row>
    <row r="433" spans="1:27">
      <c r="A433" s="319"/>
      <c r="B433" s="300"/>
      <c r="C433" s="300"/>
      <c r="D433" s="369"/>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c r="AA433" s="301"/>
    </row>
    <row r="434" spans="1:27">
      <c r="A434" s="319"/>
      <c r="B434" s="300"/>
      <c r="C434" s="300"/>
      <c r="D434" s="369"/>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c r="AA434" s="301"/>
    </row>
    <row r="435" spans="1:27">
      <c r="A435" s="319"/>
      <c r="B435" s="300"/>
      <c r="C435" s="300"/>
      <c r="D435" s="369"/>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c r="AA435" s="301"/>
    </row>
    <row r="436" spans="1:27">
      <c r="A436" s="319"/>
      <c r="B436" s="300"/>
      <c r="C436" s="300"/>
      <c r="D436" s="369"/>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c r="AA436" s="301"/>
    </row>
    <row r="437" spans="1:27">
      <c r="A437" s="319"/>
      <c r="B437" s="300"/>
      <c r="C437" s="300"/>
      <c r="D437" s="369"/>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c r="AA437" s="301"/>
    </row>
    <row r="438" spans="1:27">
      <c r="A438" s="319"/>
      <c r="B438" s="300"/>
      <c r="C438" s="300"/>
      <c r="D438" s="369"/>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c r="AA438" s="301"/>
    </row>
    <row r="439" spans="1:27">
      <c r="A439" s="319"/>
      <c r="B439" s="300"/>
      <c r="C439" s="300"/>
      <c r="D439" s="369"/>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c r="AA439" s="301"/>
    </row>
    <row r="440" spans="1:27">
      <c r="A440" s="319"/>
      <c r="B440" s="300"/>
      <c r="C440" s="300"/>
      <c r="D440" s="369"/>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c r="AA440" s="301"/>
    </row>
    <row r="441" spans="1:27">
      <c r="A441" s="319"/>
      <c r="B441" s="300"/>
      <c r="C441" s="300"/>
      <c r="D441" s="369"/>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c r="AA441" s="301"/>
    </row>
    <row r="442" spans="1:27">
      <c r="A442" s="319"/>
      <c r="B442" s="300"/>
      <c r="C442" s="300"/>
      <c r="D442" s="369"/>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c r="AA442" s="301"/>
    </row>
    <row r="443" spans="1:27">
      <c r="A443" s="319"/>
      <c r="B443" s="300"/>
      <c r="C443" s="300"/>
      <c r="D443" s="369"/>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c r="AA443" s="301"/>
    </row>
    <row r="444" spans="1:27">
      <c r="A444" s="319"/>
      <c r="B444" s="300"/>
      <c r="C444" s="300"/>
      <c r="D444" s="369"/>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c r="AA444" s="301"/>
    </row>
    <row r="445" spans="1:27">
      <c r="A445" s="319"/>
      <c r="B445" s="300"/>
      <c r="C445" s="300"/>
      <c r="D445" s="369"/>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c r="AA445" s="301"/>
    </row>
    <row r="446" spans="1:27">
      <c r="A446" s="319"/>
      <c r="B446" s="300"/>
      <c r="C446" s="300"/>
      <c r="D446" s="369"/>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c r="AA446" s="301"/>
    </row>
    <row r="447" spans="1:27">
      <c r="A447" s="319"/>
      <c r="B447" s="300"/>
      <c r="C447" s="300"/>
      <c r="D447" s="369"/>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c r="AA447" s="301"/>
    </row>
    <row r="448" spans="1:27">
      <c r="A448" s="319"/>
      <c r="B448" s="300"/>
      <c r="C448" s="300"/>
      <c r="D448" s="369"/>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c r="AA448" s="301"/>
    </row>
    <row r="449" spans="1:27">
      <c r="A449" s="319"/>
      <c r="B449" s="300"/>
      <c r="C449" s="300"/>
      <c r="D449" s="369"/>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c r="AA449" s="301"/>
    </row>
    <row r="450" spans="1:27">
      <c r="A450" s="319"/>
      <c r="B450" s="300"/>
      <c r="C450" s="300"/>
      <c r="D450" s="369"/>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c r="AA450" s="301"/>
    </row>
    <row r="451" spans="1:27">
      <c r="A451" s="319"/>
      <c r="B451" s="300"/>
      <c r="C451" s="300"/>
      <c r="D451" s="369"/>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c r="AA451" s="301"/>
    </row>
    <row r="452" spans="1:27">
      <c r="A452" s="319"/>
      <c r="B452" s="300"/>
      <c r="C452" s="300"/>
      <c r="D452" s="369"/>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c r="AA452" s="301"/>
    </row>
    <row r="453" spans="1:27">
      <c r="A453" s="319"/>
      <c r="B453" s="300"/>
      <c r="C453" s="300"/>
      <c r="D453" s="369"/>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c r="AA453" s="301"/>
    </row>
    <row r="454" spans="1:27">
      <c r="A454" s="319"/>
      <c r="B454" s="300"/>
      <c r="C454" s="300"/>
      <c r="D454" s="369"/>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c r="AA454" s="301"/>
    </row>
    <row r="455" spans="1:27">
      <c r="A455" s="319"/>
      <c r="B455" s="300"/>
      <c r="C455" s="300"/>
      <c r="D455" s="369"/>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c r="AA455" s="301"/>
    </row>
    <row r="456" spans="1:27">
      <c r="A456" s="319"/>
      <c r="B456" s="300"/>
      <c r="C456" s="300"/>
      <c r="D456" s="369"/>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c r="AA456" s="301"/>
    </row>
    <row r="457" spans="1:27">
      <c r="A457" s="319"/>
      <c r="B457" s="300"/>
      <c r="C457" s="300"/>
      <c r="D457" s="369"/>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c r="AA457" s="301"/>
    </row>
    <row r="458" spans="1:27">
      <c r="A458" s="319"/>
      <c r="B458" s="300"/>
      <c r="C458" s="300"/>
      <c r="D458" s="369"/>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c r="AA458" s="301"/>
    </row>
    <row r="459" spans="1:27">
      <c r="A459" s="319"/>
      <c r="B459" s="300"/>
      <c r="C459" s="300"/>
      <c r="D459" s="369"/>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c r="AA459" s="301"/>
    </row>
    <row r="460" spans="1:27">
      <c r="A460" s="319"/>
      <c r="B460" s="300"/>
      <c r="C460" s="300"/>
      <c r="D460" s="369"/>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c r="AA460" s="301"/>
    </row>
    <row r="461" spans="1:27">
      <c r="A461" s="319"/>
      <c r="B461" s="300"/>
      <c r="C461" s="300"/>
      <c r="D461" s="369"/>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c r="AA461" s="301"/>
    </row>
    <row r="462" spans="1:27">
      <c r="A462" s="319"/>
      <c r="B462" s="300"/>
      <c r="C462" s="300"/>
      <c r="D462" s="369"/>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c r="AA462" s="301"/>
    </row>
    <row r="463" spans="1:27">
      <c r="A463" s="319"/>
      <c r="B463" s="300"/>
      <c r="C463" s="300"/>
      <c r="D463" s="369"/>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c r="AA463" s="301"/>
    </row>
    <row r="464" spans="1:27">
      <c r="A464" s="319"/>
      <c r="B464" s="300"/>
      <c r="C464" s="300"/>
      <c r="D464" s="369"/>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c r="AA464" s="301"/>
    </row>
    <row r="465" spans="1:27">
      <c r="A465" s="319"/>
      <c r="B465" s="300"/>
      <c r="C465" s="300"/>
      <c r="D465" s="369"/>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c r="AA465" s="301"/>
    </row>
    <row r="466" spans="1:27">
      <c r="A466" s="319"/>
      <c r="B466" s="300"/>
      <c r="C466" s="300"/>
      <c r="D466" s="369"/>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c r="AA466" s="301"/>
    </row>
    <row r="467" spans="1:27">
      <c r="A467" s="319"/>
      <c r="B467" s="300"/>
      <c r="C467" s="300"/>
      <c r="D467" s="369"/>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c r="AA467" s="301"/>
    </row>
    <row r="468" spans="1:27">
      <c r="A468" s="319"/>
      <c r="B468" s="300"/>
      <c r="C468" s="300"/>
      <c r="D468" s="369"/>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c r="AA468" s="301"/>
    </row>
    <row r="469" spans="1:27">
      <c r="A469" s="319"/>
      <c r="B469" s="300"/>
      <c r="C469" s="300"/>
      <c r="D469" s="369"/>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c r="AA469" s="301"/>
    </row>
    <row r="470" spans="1:27">
      <c r="A470" s="319"/>
      <c r="B470" s="300"/>
      <c r="C470" s="300"/>
      <c r="D470" s="369"/>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c r="AA470" s="301"/>
    </row>
    <row r="471" spans="1:27">
      <c r="A471" s="319"/>
      <c r="B471" s="300"/>
      <c r="C471" s="300"/>
      <c r="D471" s="369"/>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c r="AA471" s="301"/>
    </row>
    <row r="472" spans="1:27">
      <c r="A472" s="319"/>
      <c r="B472" s="300"/>
      <c r="C472" s="300"/>
      <c r="D472" s="369"/>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c r="AA472" s="301"/>
    </row>
    <row r="473" spans="1:27">
      <c r="A473" s="319"/>
      <c r="B473" s="300"/>
      <c r="C473" s="300"/>
      <c r="D473" s="369"/>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c r="AA473" s="301"/>
    </row>
    <row r="474" spans="1:27">
      <c r="A474" s="319"/>
      <c r="B474" s="300"/>
      <c r="C474" s="300"/>
      <c r="D474" s="369"/>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c r="AA474" s="301"/>
    </row>
    <row r="475" spans="1:27">
      <c r="A475" s="319"/>
      <c r="B475" s="300"/>
      <c r="C475" s="300"/>
      <c r="D475" s="369"/>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c r="AA475" s="301"/>
    </row>
    <row r="476" spans="1:27">
      <c r="A476" s="319"/>
      <c r="B476" s="300"/>
      <c r="C476" s="300"/>
      <c r="D476" s="369"/>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c r="AA476" s="301"/>
    </row>
    <row r="477" spans="1:27">
      <c r="A477" s="319"/>
      <c r="B477" s="300"/>
      <c r="C477" s="300"/>
      <c r="D477" s="369"/>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c r="AA477" s="301"/>
    </row>
    <row r="478" spans="1:27">
      <c r="A478" s="319"/>
      <c r="B478" s="300"/>
      <c r="C478" s="300"/>
      <c r="D478" s="369"/>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c r="AA478" s="301"/>
    </row>
    <row r="479" spans="1:27">
      <c r="A479" s="319"/>
      <c r="B479" s="300"/>
      <c r="C479" s="300"/>
      <c r="D479" s="369"/>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c r="AA479" s="301"/>
    </row>
    <row r="480" spans="1:27">
      <c r="A480" s="319"/>
      <c r="B480" s="300"/>
      <c r="C480" s="300"/>
      <c r="D480" s="369"/>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c r="AA480" s="301"/>
    </row>
    <row r="481" spans="1:27">
      <c r="A481" s="319"/>
      <c r="B481" s="300"/>
      <c r="C481" s="300"/>
      <c r="D481" s="369"/>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c r="AA481" s="301"/>
    </row>
    <row r="482" spans="1:27">
      <c r="A482" s="319"/>
      <c r="B482" s="300"/>
      <c r="C482" s="300"/>
      <c r="D482" s="369"/>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c r="AA482" s="301"/>
    </row>
    <row r="483" spans="1:27">
      <c r="A483" s="319"/>
      <c r="B483" s="300"/>
      <c r="C483" s="300"/>
      <c r="D483" s="369"/>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c r="AA483" s="301"/>
    </row>
    <row r="484" spans="1:27">
      <c r="A484" s="319"/>
      <c r="B484" s="300"/>
      <c r="C484" s="300"/>
      <c r="D484" s="369"/>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c r="AA484" s="301"/>
    </row>
    <row r="485" spans="1:27">
      <c r="A485" s="319"/>
      <c r="B485" s="300"/>
      <c r="C485" s="300"/>
      <c r="D485" s="369"/>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c r="AA485" s="301"/>
    </row>
    <row r="486" spans="1:27">
      <c r="A486" s="319"/>
      <c r="B486" s="300"/>
      <c r="C486" s="300"/>
      <c r="D486" s="369"/>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c r="AA486" s="301"/>
    </row>
    <row r="487" spans="1:27">
      <c r="A487" s="319"/>
      <c r="B487" s="300"/>
      <c r="C487" s="300"/>
      <c r="D487" s="369"/>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c r="AA487" s="301"/>
    </row>
    <row r="488" spans="1:27">
      <c r="A488" s="319"/>
      <c r="B488" s="300"/>
      <c r="C488" s="300"/>
      <c r="D488" s="369"/>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c r="AA488" s="301"/>
    </row>
    <row r="489" spans="1:27">
      <c r="A489" s="319"/>
      <c r="B489" s="300"/>
      <c r="C489" s="300"/>
      <c r="D489" s="369"/>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c r="AA489" s="301"/>
    </row>
    <row r="490" spans="1:27">
      <c r="A490" s="319"/>
      <c r="B490" s="300"/>
      <c r="C490" s="300"/>
      <c r="D490" s="369"/>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c r="AA490" s="301"/>
    </row>
    <row r="491" spans="1:27">
      <c r="A491" s="319"/>
      <c r="B491" s="300"/>
      <c r="C491" s="300"/>
      <c r="D491" s="369"/>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c r="AA491" s="301"/>
    </row>
    <row r="492" spans="1:27">
      <c r="A492" s="319"/>
      <c r="B492" s="300"/>
      <c r="C492" s="300"/>
      <c r="D492" s="369"/>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c r="AA492" s="301"/>
    </row>
    <row r="493" spans="1:27">
      <c r="A493" s="319"/>
      <c r="B493" s="300"/>
      <c r="C493" s="300"/>
      <c r="D493" s="369"/>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c r="AA493" s="301"/>
    </row>
    <row r="494" spans="1:27">
      <c r="A494" s="319"/>
      <c r="B494" s="300"/>
      <c r="C494" s="300"/>
      <c r="D494" s="369"/>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c r="AA494" s="301"/>
    </row>
    <row r="495" spans="1:27">
      <c r="A495" s="319"/>
      <c r="B495" s="300"/>
      <c r="C495" s="300"/>
      <c r="D495" s="369"/>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c r="AA495" s="301"/>
    </row>
    <row r="496" spans="1:27">
      <c r="A496" s="319"/>
      <c r="B496" s="300"/>
      <c r="C496" s="300"/>
      <c r="D496" s="369"/>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c r="AA496" s="301"/>
    </row>
    <row r="497" spans="1:27">
      <c r="A497" s="319"/>
      <c r="B497" s="300"/>
      <c r="C497" s="300"/>
      <c r="D497" s="369"/>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c r="AA497" s="301"/>
    </row>
    <row r="498" spans="1:27">
      <c r="A498" s="319"/>
      <c r="B498" s="300"/>
      <c r="C498" s="300"/>
      <c r="D498" s="369"/>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c r="AA498" s="301"/>
    </row>
    <row r="499" spans="1:27">
      <c r="A499" s="319"/>
      <c r="B499" s="300"/>
      <c r="C499" s="300"/>
      <c r="D499" s="369"/>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c r="AA499" s="301"/>
    </row>
    <row r="500" spans="1:27">
      <c r="A500" s="319"/>
      <c r="B500" s="300"/>
      <c r="C500" s="300"/>
      <c r="D500" s="369"/>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c r="AA500" s="301"/>
    </row>
    <row r="501" spans="1:27">
      <c r="A501" s="319"/>
      <c r="B501" s="300"/>
      <c r="C501" s="300"/>
      <c r="D501" s="369"/>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c r="AA501" s="301"/>
    </row>
    <row r="502" spans="1:27">
      <c r="A502" s="319"/>
      <c r="B502" s="300"/>
      <c r="C502" s="300"/>
      <c r="D502" s="369"/>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c r="AA502" s="301"/>
    </row>
    <row r="503" spans="1:27">
      <c r="A503" s="319"/>
      <c r="B503" s="300"/>
      <c r="C503" s="300"/>
      <c r="D503" s="369"/>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c r="AA503" s="301"/>
    </row>
    <row r="504" spans="1:27">
      <c r="A504" s="319"/>
      <c r="B504" s="300"/>
      <c r="C504" s="300"/>
      <c r="D504" s="369"/>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c r="AA504" s="301"/>
    </row>
    <row r="505" spans="1:27">
      <c r="A505" s="319"/>
      <c r="B505" s="300"/>
      <c r="C505" s="300"/>
      <c r="D505" s="369"/>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c r="AA505" s="301"/>
    </row>
    <row r="506" spans="1:27">
      <c r="A506" s="319"/>
      <c r="B506" s="300"/>
      <c r="C506" s="300"/>
      <c r="D506" s="369"/>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c r="AA506" s="301"/>
    </row>
    <row r="507" spans="1:27">
      <c r="A507" s="319"/>
      <c r="B507" s="300"/>
      <c r="C507" s="300"/>
      <c r="D507" s="369"/>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c r="AA507" s="301"/>
    </row>
    <row r="508" spans="1:27">
      <c r="A508" s="319"/>
      <c r="B508" s="300"/>
      <c r="C508" s="300"/>
      <c r="D508" s="369"/>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c r="AA508" s="301"/>
    </row>
    <row r="509" spans="1:27">
      <c r="A509" s="319"/>
      <c r="B509" s="300"/>
      <c r="C509" s="300"/>
      <c r="D509" s="369"/>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c r="AA509" s="301"/>
    </row>
    <row r="510" spans="1:27">
      <c r="A510" s="319"/>
      <c r="B510" s="300"/>
      <c r="C510" s="300"/>
      <c r="D510" s="369"/>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c r="AA510" s="301"/>
    </row>
    <row r="511" spans="1:27">
      <c r="A511" s="319"/>
      <c r="B511" s="300"/>
      <c r="C511" s="300"/>
      <c r="D511" s="369"/>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c r="AA511" s="301"/>
    </row>
    <row r="512" spans="1:27">
      <c r="A512" s="319"/>
      <c r="B512" s="300"/>
      <c r="C512" s="300"/>
      <c r="D512" s="369"/>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c r="AA512" s="301"/>
    </row>
    <row r="513" spans="1:27">
      <c r="A513" s="319"/>
      <c r="B513" s="300"/>
      <c r="C513" s="300"/>
      <c r="D513" s="369"/>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c r="AA513" s="301"/>
    </row>
    <row r="514" spans="1:27">
      <c r="A514" s="319"/>
      <c r="B514" s="300"/>
      <c r="C514" s="300"/>
      <c r="D514" s="369"/>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c r="AA514" s="301"/>
    </row>
    <row r="515" spans="1:27">
      <c r="A515" s="319"/>
      <c r="B515" s="300"/>
      <c r="C515" s="300"/>
      <c r="D515" s="369"/>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c r="AA515" s="301"/>
    </row>
    <row r="516" spans="1:27">
      <c r="A516" s="319"/>
      <c r="B516" s="300"/>
      <c r="C516" s="300"/>
      <c r="D516" s="369"/>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c r="AA516" s="301"/>
    </row>
    <row r="517" spans="1:27">
      <c r="A517" s="319"/>
      <c r="B517" s="300"/>
      <c r="C517" s="300"/>
      <c r="D517" s="369"/>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c r="AA517" s="301"/>
    </row>
    <row r="518" spans="1:27">
      <c r="A518" s="319"/>
      <c r="B518" s="300"/>
      <c r="C518" s="300"/>
      <c r="D518" s="369"/>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c r="AA518" s="301"/>
    </row>
    <row r="519" spans="1:27">
      <c r="A519" s="319"/>
      <c r="B519" s="300"/>
      <c r="C519" s="300"/>
      <c r="D519" s="369"/>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c r="AA519" s="301"/>
    </row>
    <row r="520" spans="1:27">
      <c r="A520" s="319"/>
      <c r="B520" s="300"/>
      <c r="C520" s="300"/>
      <c r="D520" s="369"/>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c r="AA520" s="301"/>
    </row>
    <row r="521" spans="1:27">
      <c r="A521" s="319"/>
      <c r="B521" s="300"/>
      <c r="C521" s="300"/>
      <c r="D521" s="369"/>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c r="AA521" s="301"/>
    </row>
    <row r="522" spans="1:27">
      <c r="A522" s="319"/>
      <c r="B522" s="300"/>
      <c r="C522" s="300"/>
      <c r="D522" s="369"/>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c r="AA522" s="301"/>
    </row>
    <row r="523" spans="1:27">
      <c r="A523" s="319"/>
      <c r="B523" s="300"/>
      <c r="C523" s="300"/>
      <c r="D523" s="369"/>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c r="AA523" s="301"/>
    </row>
    <row r="524" spans="1:27">
      <c r="A524" s="319"/>
      <c r="B524" s="300"/>
      <c r="C524" s="300"/>
      <c r="D524" s="369"/>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c r="AA524" s="301"/>
    </row>
    <row r="525" spans="1:27">
      <c r="A525" s="319"/>
      <c r="B525" s="300"/>
      <c r="C525" s="300"/>
      <c r="D525" s="369"/>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c r="AA525" s="301"/>
    </row>
    <row r="526" spans="1:27">
      <c r="A526" s="319"/>
      <c r="B526" s="300"/>
      <c r="C526" s="300"/>
      <c r="D526" s="369"/>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c r="AA526" s="301"/>
    </row>
    <row r="527" spans="1:27">
      <c r="A527" s="319"/>
      <c r="B527" s="300"/>
      <c r="C527" s="300"/>
      <c r="D527" s="369"/>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c r="AA527" s="301"/>
    </row>
    <row r="528" spans="1:27">
      <c r="A528" s="319"/>
      <c r="B528" s="300"/>
      <c r="C528" s="300"/>
      <c r="D528" s="369"/>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c r="AA528" s="301"/>
    </row>
    <row r="529" spans="1:27">
      <c r="A529" s="319"/>
      <c r="B529" s="300"/>
      <c r="C529" s="300"/>
      <c r="D529" s="369"/>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c r="AA529" s="301"/>
    </row>
    <row r="530" spans="1:27">
      <c r="A530" s="319"/>
      <c r="B530" s="300"/>
      <c r="C530" s="300"/>
      <c r="D530" s="369"/>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c r="AA530" s="301"/>
    </row>
    <row r="531" spans="1:27">
      <c r="A531" s="319"/>
      <c r="B531" s="300"/>
      <c r="C531" s="300"/>
      <c r="D531" s="369"/>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c r="AA531" s="301"/>
    </row>
    <row r="532" spans="1:27">
      <c r="A532" s="319"/>
      <c r="B532" s="300"/>
      <c r="C532" s="300"/>
      <c r="D532" s="369"/>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c r="AA532" s="301"/>
    </row>
    <row r="533" spans="1:27">
      <c r="A533" s="319"/>
      <c r="B533" s="300"/>
      <c r="C533" s="300"/>
      <c r="D533" s="369"/>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c r="AA533" s="301"/>
    </row>
    <row r="534" spans="1:27">
      <c r="A534" s="319"/>
      <c r="B534" s="300"/>
      <c r="C534" s="300"/>
      <c r="D534" s="369"/>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c r="AA534" s="301"/>
    </row>
    <row r="535" spans="1:27">
      <c r="A535" s="319"/>
      <c r="B535" s="300"/>
      <c r="C535" s="300"/>
      <c r="D535" s="369"/>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c r="AA535" s="301"/>
    </row>
    <row r="536" spans="1:27">
      <c r="A536" s="319"/>
      <c r="B536" s="300"/>
      <c r="C536" s="300"/>
      <c r="D536" s="369"/>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c r="AA536" s="301"/>
    </row>
    <row r="537" spans="1:27">
      <c r="A537" s="319"/>
      <c r="B537" s="300"/>
      <c r="C537" s="300"/>
      <c r="D537" s="369"/>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c r="AA537" s="301"/>
    </row>
    <row r="538" spans="1:27">
      <c r="A538" s="319"/>
      <c r="B538" s="300"/>
      <c r="C538" s="300"/>
      <c r="D538" s="369"/>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c r="AA538" s="301"/>
    </row>
    <row r="539" spans="1:27">
      <c r="A539" s="319"/>
      <c r="B539" s="300"/>
      <c r="C539" s="300"/>
      <c r="D539" s="369"/>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c r="AA539" s="301"/>
    </row>
    <row r="540" spans="1:27">
      <c r="A540" s="319"/>
      <c r="B540" s="300"/>
      <c r="C540" s="300"/>
      <c r="D540" s="369"/>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c r="AA540" s="301"/>
    </row>
    <row r="541" spans="1:27">
      <c r="A541" s="319"/>
      <c r="B541" s="300"/>
      <c r="C541" s="300"/>
      <c r="D541" s="369"/>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c r="AA541" s="301"/>
    </row>
    <row r="542" spans="1:27">
      <c r="A542" s="319"/>
      <c r="B542" s="300"/>
      <c r="C542" s="300"/>
      <c r="D542" s="369"/>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c r="AA542" s="301"/>
    </row>
    <row r="543" spans="1:27">
      <c r="A543" s="319"/>
      <c r="B543" s="300"/>
      <c r="C543" s="300"/>
      <c r="D543" s="369"/>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c r="AA543" s="301"/>
    </row>
    <row r="544" spans="1:27">
      <c r="A544" s="319"/>
      <c r="B544" s="300"/>
      <c r="C544" s="300"/>
      <c r="D544" s="369"/>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c r="AA544" s="301"/>
    </row>
    <row r="545" spans="1:27">
      <c r="A545" s="319"/>
      <c r="B545" s="300"/>
      <c r="C545" s="300"/>
      <c r="D545" s="369"/>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c r="AA545" s="301"/>
    </row>
    <row r="546" spans="1:27">
      <c r="A546" s="319"/>
      <c r="B546" s="300"/>
      <c r="C546" s="300"/>
      <c r="D546" s="369"/>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c r="AA546" s="301"/>
    </row>
    <row r="547" spans="1:27">
      <c r="A547" s="319"/>
      <c r="B547" s="300"/>
      <c r="C547" s="300"/>
      <c r="D547" s="369"/>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c r="AA547" s="301"/>
    </row>
    <row r="548" spans="1:27">
      <c r="A548" s="319"/>
      <c r="B548" s="300"/>
      <c r="C548" s="300"/>
      <c r="D548" s="369"/>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c r="AA548" s="301"/>
    </row>
    <row r="549" spans="1:27">
      <c r="A549" s="319"/>
      <c r="B549" s="300"/>
      <c r="C549" s="300"/>
      <c r="D549" s="369"/>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c r="AA549" s="301"/>
    </row>
    <row r="550" spans="1:27">
      <c r="A550" s="319"/>
      <c r="B550" s="300"/>
      <c r="C550" s="300"/>
      <c r="D550" s="369"/>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c r="AA550" s="301"/>
    </row>
    <row r="551" spans="1:27">
      <c r="A551" s="319"/>
      <c r="B551" s="300"/>
      <c r="C551" s="300"/>
      <c r="D551" s="369"/>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c r="AA551" s="301"/>
    </row>
    <row r="552" spans="1:27">
      <c r="A552" s="319"/>
      <c r="B552" s="300"/>
      <c r="C552" s="300"/>
      <c r="D552" s="369"/>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c r="AA552" s="301"/>
    </row>
    <row r="553" spans="1:27">
      <c r="A553" s="319"/>
      <c r="B553" s="300"/>
      <c r="C553" s="300"/>
      <c r="D553" s="369"/>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c r="AA553" s="301"/>
    </row>
    <row r="554" spans="1:27">
      <c r="A554" s="319"/>
      <c r="B554" s="300"/>
      <c r="C554" s="300"/>
      <c r="D554" s="369"/>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c r="AA554" s="301"/>
    </row>
    <row r="555" spans="1:27">
      <c r="A555" s="319"/>
      <c r="B555" s="300"/>
      <c r="C555" s="300"/>
      <c r="D555" s="369"/>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c r="AA555" s="301"/>
    </row>
    <row r="556" spans="1:27">
      <c r="A556" s="319"/>
      <c r="B556" s="300"/>
      <c r="C556" s="300"/>
      <c r="D556" s="369"/>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c r="AA556" s="301"/>
    </row>
    <row r="557" spans="1:27">
      <c r="A557" s="319"/>
      <c r="B557" s="300"/>
      <c r="C557" s="300"/>
      <c r="D557" s="369"/>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c r="AA557" s="301"/>
    </row>
    <row r="558" spans="1:27">
      <c r="A558" s="319"/>
      <c r="B558" s="300"/>
      <c r="C558" s="300"/>
      <c r="D558" s="369"/>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c r="AA558" s="301"/>
    </row>
    <row r="559" spans="1:27">
      <c r="A559" s="319"/>
      <c r="B559" s="300"/>
      <c r="C559" s="300"/>
      <c r="D559" s="369"/>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c r="AA559" s="301"/>
    </row>
    <row r="560" spans="1:27">
      <c r="A560" s="319"/>
      <c r="B560" s="300"/>
      <c r="C560" s="300"/>
      <c r="D560" s="369"/>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c r="AA560" s="301"/>
    </row>
    <row r="561" spans="1:27">
      <c r="A561" s="319"/>
      <c r="B561" s="300"/>
      <c r="C561" s="300"/>
      <c r="D561" s="369"/>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c r="AA561" s="301"/>
    </row>
    <row r="562" spans="1:27">
      <c r="A562" s="319"/>
      <c r="B562" s="300"/>
      <c r="C562" s="300"/>
      <c r="D562" s="369"/>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c r="AA562" s="301"/>
    </row>
    <row r="563" spans="1:27">
      <c r="A563" s="319"/>
      <c r="B563" s="300"/>
      <c r="C563" s="300"/>
      <c r="D563" s="369"/>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c r="AA563" s="301"/>
    </row>
    <row r="564" spans="1:27">
      <c r="A564" s="319"/>
      <c r="B564" s="300"/>
      <c r="C564" s="300"/>
      <c r="D564" s="369"/>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c r="AA564" s="301"/>
    </row>
    <row r="565" spans="1:27">
      <c r="A565" s="319"/>
      <c r="B565" s="300"/>
      <c r="C565" s="300"/>
      <c r="D565" s="369"/>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c r="AA565" s="301"/>
    </row>
    <row r="566" spans="1:27">
      <c r="A566" s="319"/>
      <c r="B566" s="300"/>
      <c r="C566" s="300"/>
      <c r="D566" s="369"/>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c r="AA566" s="301"/>
    </row>
    <row r="567" spans="1:27">
      <c r="A567" s="319"/>
      <c r="B567" s="300"/>
      <c r="C567" s="300"/>
      <c r="D567" s="369"/>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c r="AA567" s="301"/>
    </row>
    <row r="568" spans="1:27">
      <c r="A568" s="319"/>
      <c r="B568" s="300"/>
      <c r="C568" s="300"/>
      <c r="D568" s="369"/>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c r="AA568" s="301"/>
    </row>
    <row r="569" spans="1:27">
      <c r="A569" s="319"/>
      <c r="B569" s="300"/>
      <c r="C569" s="300"/>
      <c r="D569" s="369"/>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c r="AA569" s="301"/>
    </row>
    <row r="570" spans="1:27">
      <c r="A570" s="319"/>
      <c r="B570" s="300"/>
      <c r="C570" s="300"/>
      <c r="D570" s="369"/>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c r="AA570" s="301"/>
    </row>
    <row r="571" spans="1:27">
      <c r="A571" s="319"/>
      <c r="B571" s="300"/>
      <c r="C571" s="300"/>
      <c r="D571" s="369"/>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c r="AA571" s="301"/>
    </row>
    <row r="572" spans="1:27">
      <c r="A572" s="319"/>
      <c r="B572" s="300"/>
      <c r="C572" s="300"/>
      <c r="D572" s="369"/>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c r="AA572" s="301"/>
    </row>
    <row r="573" spans="1:27">
      <c r="A573" s="319"/>
      <c r="B573" s="300"/>
      <c r="C573" s="300"/>
      <c r="D573" s="369"/>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c r="AA573" s="301"/>
    </row>
    <row r="574" spans="1:27">
      <c r="A574" s="319"/>
      <c r="B574" s="300"/>
      <c r="C574" s="300"/>
      <c r="D574" s="369"/>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c r="AA574" s="301"/>
    </row>
    <row r="575" spans="1:27">
      <c r="A575" s="319"/>
      <c r="B575" s="300"/>
      <c r="C575" s="300"/>
      <c r="D575" s="369"/>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c r="AA575" s="301"/>
    </row>
    <row r="576" spans="1:27">
      <c r="A576" s="319"/>
      <c r="B576" s="300"/>
      <c r="C576" s="300"/>
      <c r="D576" s="369"/>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c r="AA576" s="301"/>
    </row>
    <row r="577" spans="1:27">
      <c r="A577" s="319"/>
      <c r="B577" s="300"/>
      <c r="C577" s="300"/>
      <c r="D577" s="369"/>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c r="AA577" s="301"/>
    </row>
    <row r="578" spans="1:27">
      <c r="A578" s="319"/>
      <c r="B578" s="300"/>
      <c r="C578" s="300"/>
      <c r="D578" s="369"/>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c r="AA578" s="301"/>
    </row>
    <row r="579" spans="1:27">
      <c r="A579" s="319"/>
      <c r="B579" s="300"/>
      <c r="C579" s="300"/>
      <c r="D579" s="369"/>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c r="AA579" s="301"/>
    </row>
    <row r="580" spans="1:27">
      <c r="A580" s="319"/>
      <c r="B580" s="300"/>
      <c r="C580" s="300"/>
      <c r="D580" s="369"/>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c r="AA580" s="301"/>
    </row>
    <row r="581" spans="1:27">
      <c r="A581" s="319"/>
      <c r="B581" s="300"/>
      <c r="C581" s="300"/>
      <c r="D581" s="369"/>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c r="AA581" s="301"/>
    </row>
    <row r="582" spans="1:27">
      <c r="A582" s="319"/>
      <c r="B582" s="300"/>
      <c r="C582" s="300"/>
      <c r="D582" s="369"/>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c r="AA582" s="301"/>
    </row>
    <row r="583" spans="1:27">
      <c r="A583" s="319"/>
      <c r="B583" s="300"/>
      <c r="C583" s="300"/>
      <c r="D583" s="369"/>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c r="AA583" s="301"/>
    </row>
    <row r="584" spans="1:27">
      <c r="A584" s="319"/>
      <c r="B584" s="300"/>
      <c r="C584" s="300"/>
      <c r="D584" s="369"/>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c r="AA584" s="301"/>
    </row>
    <row r="585" spans="1:27">
      <c r="A585" s="319"/>
      <c r="B585" s="300"/>
      <c r="C585" s="300"/>
      <c r="D585" s="369"/>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c r="AA585" s="301"/>
    </row>
    <row r="586" spans="1:27">
      <c r="A586" s="319"/>
      <c r="B586" s="300"/>
      <c r="C586" s="300"/>
      <c r="D586" s="369"/>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c r="AA586" s="301"/>
    </row>
    <row r="587" spans="1:27">
      <c r="A587" s="319"/>
      <c r="B587" s="300"/>
      <c r="C587" s="300"/>
      <c r="D587" s="369"/>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c r="AA587" s="301"/>
    </row>
    <row r="588" spans="1:27">
      <c r="A588" s="319"/>
      <c r="B588" s="300"/>
      <c r="C588" s="300"/>
      <c r="D588" s="369"/>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c r="AA588" s="301"/>
    </row>
    <row r="589" spans="1:27">
      <c r="A589" s="319"/>
      <c r="B589" s="300"/>
      <c r="C589" s="300"/>
      <c r="D589" s="369"/>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c r="AA589" s="301"/>
    </row>
    <row r="590" spans="1:27">
      <c r="A590" s="319"/>
      <c r="B590" s="300"/>
      <c r="C590" s="300"/>
      <c r="D590" s="369"/>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c r="AA590" s="301"/>
    </row>
    <row r="591" spans="1:27">
      <c r="A591" s="319"/>
      <c r="B591" s="300"/>
      <c r="C591" s="300"/>
      <c r="D591" s="369"/>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c r="AA591" s="301"/>
    </row>
    <row r="592" spans="1:27">
      <c r="A592" s="319"/>
      <c r="B592" s="300"/>
      <c r="C592" s="300"/>
      <c r="D592" s="369"/>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c r="AA592" s="301"/>
    </row>
    <row r="593" spans="1:27">
      <c r="A593" s="319"/>
      <c r="B593" s="300"/>
      <c r="C593" s="300"/>
      <c r="D593" s="369"/>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c r="AA593" s="301"/>
    </row>
    <row r="594" spans="1:27">
      <c r="A594" s="319"/>
      <c r="B594" s="300"/>
      <c r="C594" s="300"/>
      <c r="D594" s="369"/>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c r="AA594" s="301"/>
    </row>
    <row r="595" spans="1:27">
      <c r="A595" s="319"/>
      <c r="B595" s="300"/>
      <c r="C595" s="300"/>
      <c r="D595" s="369"/>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c r="AA595" s="301"/>
    </row>
    <row r="596" spans="1:27">
      <c r="A596" s="319"/>
      <c r="B596" s="300"/>
      <c r="C596" s="300"/>
      <c r="D596" s="369"/>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c r="AA596" s="301"/>
    </row>
    <row r="597" spans="1:27">
      <c r="A597" s="319"/>
      <c r="B597" s="300"/>
      <c r="C597" s="300"/>
      <c r="D597" s="369"/>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c r="AA597" s="301"/>
    </row>
    <row r="598" spans="1:27">
      <c r="A598" s="319"/>
      <c r="B598" s="300"/>
      <c r="C598" s="300"/>
      <c r="D598" s="369"/>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c r="AA598" s="301"/>
    </row>
    <row r="599" spans="1:27">
      <c r="A599" s="319"/>
      <c r="B599" s="300"/>
      <c r="C599" s="300"/>
      <c r="D599" s="369"/>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c r="AA599" s="301"/>
    </row>
    <row r="600" spans="1:27">
      <c r="A600" s="319"/>
      <c r="B600" s="300"/>
      <c r="C600" s="300"/>
      <c r="D600" s="369"/>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c r="AA600" s="301"/>
    </row>
    <row r="601" spans="1:27">
      <c r="A601" s="319"/>
      <c r="B601" s="300"/>
      <c r="C601" s="300"/>
      <c r="D601" s="369"/>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c r="AA601" s="301"/>
    </row>
    <row r="602" spans="1:27">
      <c r="A602" s="319"/>
      <c r="B602" s="300"/>
      <c r="C602" s="300"/>
      <c r="D602" s="369"/>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c r="AA602" s="301"/>
    </row>
    <row r="603" spans="1:27">
      <c r="A603" s="319"/>
      <c r="B603" s="300"/>
      <c r="C603" s="300"/>
      <c r="D603" s="369"/>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c r="AA603" s="301"/>
    </row>
    <row r="604" spans="1:27">
      <c r="A604" s="319"/>
      <c r="B604" s="300"/>
      <c r="C604" s="300"/>
      <c r="D604" s="369"/>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c r="AA604" s="301"/>
    </row>
    <row r="605" spans="1:27">
      <c r="A605" s="319"/>
      <c r="B605" s="300"/>
      <c r="C605" s="300"/>
      <c r="D605" s="369"/>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c r="AA605" s="301"/>
    </row>
    <row r="606" spans="1:27">
      <c r="A606" s="319"/>
      <c r="B606" s="300"/>
      <c r="C606" s="300"/>
      <c r="D606" s="369"/>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c r="AA606" s="301"/>
    </row>
    <row r="607" spans="1:27">
      <c r="A607" s="319"/>
      <c r="B607" s="300"/>
      <c r="C607" s="300"/>
      <c r="D607" s="369"/>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c r="AA607" s="301"/>
    </row>
    <row r="608" spans="1:27">
      <c r="A608" s="319"/>
      <c r="B608" s="300"/>
      <c r="C608" s="300"/>
      <c r="D608" s="369"/>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c r="AA608" s="301"/>
    </row>
    <row r="609" spans="1:27">
      <c r="A609" s="319"/>
      <c r="B609" s="300"/>
      <c r="C609" s="300"/>
      <c r="D609" s="369"/>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c r="AA609" s="301"/>
    </row>
    <row r="610" spans="1:27">
      <c r="A610" s="319"/>
      <c r="B610" s="300"/>
      <c r="C610" s="300"/>
      <c r="D610" s="369"/>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c r="AA610" s="301"/>
    </row>
    <row r="611" spans="1:27">
      <c r="A611" s="319"/>
      <c r="B611" s="300"/>
      <c r="C611" s="300"/>
      <c r="D611" s="369"/>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c r="AA611" s="301"/>
    </row>
    <row r="612" spans="1:27">
      <c r="A612" s="319"/>
      <c r="B612" s="300"/>
      <c r="C612" s="300"/>
      <c r="D612" s="369"/>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c r="AA612" s="301"/>
    </row>
    <row r="613" spans="1:27">
      <c r="A613" s="319"/>
      <c r="B613" s="300"/>
      <c r="C613" s="300"/>
      <c r="D613" s="369"/>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c r="AA613" s="301"/>
    </row>
    <row r="614" spans="1:27">
      <c r="A614" s="319"/>
      <c r="B614" s="300"/>
      <c r="C614" s="300"/>
      <c r="D614" s="369"/>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c r="AA614" s="301"/>
    </row>
    <row r="615" spans="1:27">
      <c r="A615" s="319"/>
      <c r="B615" s="300"/>
      <c r="C615" s="300"/>
      <c r="D615" s="369"/>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c r="AA615" s="301"/>
    </row>
    <row r="616" spans="1:27">
      <c r="A616" s="319"/>
      <c r="B616" s="300"/>
      <c r="C616" s="300"/>
      <c r="D616" s="369"/>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c r="AA616" s="301"/>
    </row>
    <row r="617" spans="1:27">
      <c r="A617" s="319"/>
      <c r="B617" s="300"/>
      <c r="C617" s="300"/>
      <c r="D617" s="369"/>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c r="AA617" s="301"/>
    </row>
    <row r="618" spans="1:27">
      <c r="A618" s="319"/>
      <c r="B618" s="300"/>
      <c r="C618" s="300"/>
      <c r="D618" s="369"/>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c r="AA618" s="301"/>
    </row>
    <row r="619" spans="1:27">
      <c r="A619" s="319"/>
      <c r="B619" s="300"/>
      <c r="C619" s="300"/>
      <c r="D619" s="369"/>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c r="AA619" s="301"/>
    </row>
    <row r="620" spans="1:27">
      <c r="A620" s="319"/>
      <c r="B620" s="300"/>
      <c r="C620" s="300"/>
      <c r="D620" s="369"/>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c r="AA620" s="301"/>
    </row>
    <row r="621" spans="1:27">
      <c r="A621" s="319"/>
      <c r="B621" s="300"/>
      <c r="C621" s="300"/>
      <c r="D621" s="369"/>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c r="AA621" s="301"/>
    </row>
    <row r="622" spans="1:27">
      <c r="A622" s="319"/>
      <c r="B622" s="300"/>
      <c r="C622" s="300"/>
      <c r="D622" s="369"/>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c r="AA622" s="301"/>
    </row>
    <row r="623" spans="1:27">
      <c r="A623" s="319"/>
      <c r="B623" s="300"/>
      <c r="C623" s="300"/>
      <c r="D623" s="369"/>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c r="AA623" s="301"/>
    </row>
    <row r="624" spans="1:27">
      <c r="A624" s="319"/>
      <c r="B624" s="300"/>
      <c r="C624" s="300"/>
      <c r="D624" s="369"/>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c r="AA624" s="301"/>
    </row>
    <row r="625" spans="1:27">
      <c r="A625" s="319"/>
      <c r="B625" s="300"/>
      <c r="C625" s="300"/>
      <c r="D625" s="369"/>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c r="AA625" s="301"/>
    </row>
    <row r="626" spans="1:27">
      <c r="A626" s="319"/>
      <c r="B626" s="300"/>
      <c r="C626" s="300"/>
      <c r="D626" s="369"/>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c r="AA626" s="301"/>
    </row>
    <row r="627" spans="1:27">
      <c r="A627" s="319"/>
      <c r="B627" s="300"/>
      <c r="C627" s="300"/>
      <c r="D627" s="369"/>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c r="AA627" s="301"/>
    </row>
    <row r="628" spans="1:27">
      <c r="A628" s="319"/>
      <c r="B628" s="300"/>
      <c r="C628" s="300"/>
      <c r="D628" s="369"/>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c r="AA628" s="301"/>
    </row>
    <row r="629" spans="1:27">
      <c r="A629" s="319"/>
      <c r="B629" s="300"/>
      <c r="C629" s="300"/>
      <c r="D629" s="369"/>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c r="AA629" s="301"/>
    </row>
    <row r="630" spans="1:27">
      <c r="A630" s="319"/>
      <c r="B630" s="300"/>
      <c r="C630" s="300"/>
      <c r="D630" s="369"/>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c r="AA630" s="301"/>
    </row>
    <row r="631" spans="1:27">
      <c r="A631" s="319"/>
      <c r="B631" s="300"/>
      <c r="C631" s="300"/>
      <c r="D631" s="369"/>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c r="AA631" s="301"/>
    </row>
    <row r="632" spans="1:27">
      <c r="A632" s="319"/>
      <c r="B632" s="300"/>
      <c r="C632" s="300"/>
      <c r="D632" s="369"/>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c r="AA632" s="301"/>
    </row>
    <row r="633" spans="1:27">
      <c r="A633" s="319"/>
      <c r="B633" s="300"/>
      <c r="C633" s="300"/>
      <c r="D633" s="369"/>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c r="AA633" s="301"/>
    </row>
    <row r="634" spans="1:27">
      <c r="A634" s="319"/>
      <c r="B634" s="300"/>
      <c r="C634" s="300"/>
      <c r="D634" s="369"/>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c r="AA634" s="301"/>
    </row>
    <row r="635" spans="1:27">
      <c r="A635" s="319"/>
      <c r="B635" s="300"/>
      <c r="C635" s="300"/>
      <c r="D635" s="369"/>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c r="AA635" s="301"/>
    </row>
    <row r="636" spans="1:27">
      <c r="A636" s="319"/>
      <c r="B636" s="300"/>
      <c r="C636" s="300"/>
      <c r="D636" s="369"/>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c r="AA636" s="301"/>
    </row>
    <row r="637" spans="1:27">
      <c r="A637" s="319"/>
      <c r="B637" s="300"/>
      <c r="C637" s="300"/>
      <c r="D637" s="369"/>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c r="AA637" s="301"/>
    </row>
    <row r="638" spans="1:27">
      <c r="A638" s="319"/>
      <c r="B638" s="300"/>
      <c r="C638" s="300"/>
      <c r="D638" s="369"/>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c r="AA638" s="301"/>
    </row>
    <row r="639" spans="1:27">
      <c r="A639" s="319"/>
      <c r="B639" s="300"/>
      <c r="C639" s="300"/>
      <c r="D639" s="369"/>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c r="AA639" s="301"/>
    </row>
    <row r="640" spans="1:27">
      <c r="A640" s="319"/>
      <c r="B640" s="300"/>
      <c r="C640" s="300"/>
      <c r="D640" s="369"/>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c r="AA640" s="301"/>
    </row>
    <row r="641" spans="1:27">
      <c r="A641" s="319"/>
      <c r="B641" s="300"/>
      <c r="C641" s="300"/>
      <c r="D641" s="369"/>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c r="AA641" s="301"/>
    </row>
    <row r="642" spans="1:27">
      <c r="A642" s="319"/>
      <c r="B642" s="300"/>
      <c r="C642" s="300"/>
      <c r="D642" s="369"/>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c r="AA642" s="301"/>
    </row>
    <row r="643" spans="1:27">
      <c r="A643" s="319"/>
      <c r="B643" s="300"/>
      <c r="C643" s="300"/>
      <c r="D643" s="369"/>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c r="AA643" s="301"/>
    </row>
    <row r="644" spans="1:27">
      <c r="A644" s="319"/>
      <c r="B644" s="300"/>
      <c r="C644" s="300"/>
      <c r="D644" s="369"/>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c r="AA644" s="301"/>
    </row>
    <row r="645" spans="1:27">
      <c r="A645" s="319"/>
      <c r="B645" s="300"/>
      <c r="C645" s="300"/>
      <c r="D645" s="369"/>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c r="AA645" s="301"/>
    </row>
    <row r="646" spans="1:27">
      <c r="A646" s="319"/>
      <c r="B646" s="300"/>
      <c r="C646" s="300"/>
      <c r="D646" s="369"/>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c r="AA646" s="301"/>
    </row>
    <row r="647" spans="1:27">
      <c r="A647" s="319"/>
      <c r="B647" s="300"/>
      <c r="C647" s="300"/>
      <c r="D647" s="369"/>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c r="AA647" s="301"/>
    </row>
    <row r="648" spans="1:27">
      <c r="A648" s="319"/>
      <c r="B648" s="300"/>
      <c r="C648" s="300"/>
      <c r="D648" s="369"/>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c r="AA648" s="301"/>
    </row>
    <row r="649" spans="1:27">
      <c r="A649" s="319"/>
      <c r="B649" s="300"/>
      <c r="C649" s="300"/>
      <c r="D649" s="369"/>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c r="AA649" s="301"/>
    </row>
    <row r="650" spans="1:27">
      <c r="A650" s="319"/>
      <c r="B650" s="300"/>
      <c r="C650" s="300"/>
      <c r="D650" s="369"/>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c r="AA650" s="301"/>
    </row>
    <row r="651" spans="1:27">
      <c r="A651" s="319"/>
      <c r="B651" s="300"/>
      <c r="C651" s="300"/>
      <c r="D651" s="369"/>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c r="AA651" s="301"/>
    </row>
    <row r="652" spans="1:27">
      <c r="A652" s="319"/>
      <c r="B652" s="300"/>
      <c r="C652" s="300"/>
      <c r="D652" s="369"/>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c r="AA652" s="301"/>
    </row>
    <row r="653" spans="1:27">
      <c r="A653" s="319"/>
      <c r="B653" s="300"/>
      <c r="C653" s="300"/>
      <c r="D653" s="369"/>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c r="AA653" s="301"/>
    </row>
    <row r="654" spans="1:27">
      <c r="A654" s="319"/>
      <c r="B654" s="300"/>
      <c r="C654" s="300"/>
      <c r="D654" s="369"/>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c r="AA654" s="301"/>
    </row>
    <row r="655" spans="1:27">
      <c r="A655" s="319"/>
      <c r="B655" s="300"/>
      <c r="C655" s="300"/>
      <c r="D655" s="369"/>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c r="AA655" s="301"/>
    </row>
    <row r="656" spans="1:27">
      <c r="A656" s="319"/>
      <c r="B656" s="300"/>
      <c r="C656" s="300"/>
      <c r="D656" s="369"/>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c r="AA656" s="301"/>
    </row>
    <row r="657" spans="1:27">
      <c r="A657" s="319"/>
      <c r="B657" s="300"/>
      <c r="C657" s="300"/>
      <c r="D657" s="369"/>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c r="AA657" s="301"/>
    </row>
    <row r="658" spans="1:27">
      <c r="A658" s="319"/>
      <c r="B658" s="300"/>
      <c r="C658" s="300"/>
      <c r="D658" s="369"/>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c r="AA658" s="301"/>
    </row>
    <row r="659" spans="1:27">
      <c r="A659" s="319"/>
      <c r="B659" s="300"/>
      <c r="C659" s="300"/>
      <c r="D659" s="369"/>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c r="AA659" s="301"/>
    </row>
    <row r="660" spans="1:27">
      <c r="A660" s="319"/>
      <c r="B660" s="300"/>
      <c r="C660" s="300"/>
      <c r="D660" s="369"/>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c r="AA660" s="301"/>
    </row>
    <row r="661" spans="1:27">
      <c r="A661" s="319"/>
      <c r="B661" s="300"/>
      <c r="C661" s="300"/>
      <c r="D661" s="369"/>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c r="AA661" s="301"/>
    </row>
    <row r="662" spans="1:27">
      <c r="A662" s="319"/>
      <c r="B662" s="300"/>
      <c r="C662" s="300"/>
      <c r="D662" s="369"/>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c r="AA662" s="301"/>
    </row>
    <row r="663" spans="1:27">
      <c r="A663" s="319"/>
      <c r="B663" s="300"/>
      <c r="C663" s="300"/>
      <c r="D663" s="369"/>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c r="AA663" s="301"/>
    </row>
    <row r="664" spans="1:27">
      <c r="A664" s="319"/>
      <c r="B664" s="300"/>
      <c r="C664" s="300"/>
      <c r="D664" s="369"/>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c r="AA664" s="301"/>
    </row>
    <row r="665" spans="1:27">
      <c r="A665" s="319"/>
      <c r="B665" s="300"/>
      <c r="C665" s="300"/>
      <c r="D665" s="369"/>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c r="AA665" s="301"/>
    </row>
    <row r="666" spans="1:27">
      <c r="A666" s="319"/>
      <c r="B666" s="300"/>
      <c r="C666" s="300"/>
      <c r="D666" s="369"/>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c r="AA666" s="301"/>
    </row>
    <row r="667" spans="1:27">
      <c r="A667" s="319"/>
      <c r="B667" s="300"/>
      <c r="C667" s="300"/>
      <c r="D667" s="369"/>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c r="AA667" s="301"/>
    </row>
    <row r="668" spans="1:27">
      <c r="A668" s="319"/>
      <c r="B668" s="300"/>
      <c r="C668" s="300"/>
      <c r="D668" s="369"/>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c r="AA668" s="301"/>
    </row>
    <row r="669" spans="1:27">
      <c r="A669" s="319"/>
      <c r="B669" s="300"/>
      <c r="C669" s="300"/>
      <c r="D669" s="369"/>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c r="AA669" s="301"/>
    </row>
    <row r="670" spans="1:27">
      <c r="A670" s="319"/>
      <c r="B670" s="300"/>
      <c r="C670" s="300"/>
      <c r="D670" s="369"/>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c r="AA670" s="301"/>
    </row>
    <row r="671" spans="1:27">
      <c r="A671" s="319"/>
      <c r="B671" s="300"/>
      <c r="C671" s="300"/>
      <c r="D671" s="369"/>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c r="AA671" s="301"/>
    </row>
    <row r="672" spans="1:27">
      <c r="A672" s="319"/>
      <c r="B672" s="300"/>
      <c r="C672" s="300"/>
      <c r="D672" s="369"/>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c r="AA672" s="301"/>
    </row>
    <row r="673" spans="1:27">
      <c r="A673" s="319"/>
      <c r="B673" s="300"/>
      <c r="C673" s="300"/>
      <c r="D673" s="369"/>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c r="AA673" s="301"/>
    </row>
    <row r="674" spans="1:27">
      <c r="A674" s="319"/>
      <c r="B674" s="300"/>
      <c r="C674" s="300"/>
      <c r="D674" s="369"/>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c r="AA674" s="301"/>
    </row>
    <row r="675" spans="1:27">
      <c r="A675" s="319"/>
      <c r="B675" s="300"/>
      <c r="C675" s="300"/>
      <c r="D675" s="369"/>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c r="AA675" s="301"/>
    </row>
    <row r="676" spans="1:27">
      <c r="A676" s="319"/>
      <c r="B676" s="300"/>
      <c r="C676" s="300"/>
      <c r="D676" s="369"/>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c r="AA676" s="301"/>
    </row>
    <row r="677" spans="1:27">
      <c r="A677" s="319"/>
      <c r="B677" s="300"/>
      <c r="C677" s="300"/>
      <c r="D677" s="369"/>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c r="AA677" s="301"/>
    </row>
    <row r="678" spans="1:27">
      <c r="A678" s="319"/>
      <c r="B678" s="300"/>
      <c r="C678" s="300"/>
      <c r="D678" s="369"/>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c r="AA678" s="301"/>
    </row>
    <row r="679" spans="1:27">
      <c r="A679" s="319"/>
      <c r="B679" s="300"/>
      <c r="C679" s="300"/>
      <c r="D679" s="369"/>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c r="AA679" s="301"/>
    </row>
    <row r="680" spans="1:27">
      <c r="A680" s="319"/>
      <c r="B680" s="300"/>
      <c r="C680" s="300"/>
      <c r="D680" s="369"/>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c r="AA680" s="301"/>
    </row>
    <row r="681" spans="1:27">
      <c r="A681" s="319"/>
      <c r="B681" s="300"/>
      <c r="C681" s="300"/>
      <c r="D681" s="369"/>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c r="AA681" s="301"/>
    </row>
    <row r="682" spans="1:27">
      <c r="A682" s="319"/>
      <c r="B682" s="300"/>
      <c r="C682" s="300"/>
      <c r="D682" s="369"/>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c r="AA682" s="301"/>
    </row>
    <row r="683" spans="1:27">
      <c r="A683" s="319"/>
      <c r="B683" s="300"/>
      <c r="C683" s="300"/>
      <c r="D683" s="369"/>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c r="AA683" s="301"/>
    </row>
    <row r="684" spans="1:27">
      <c r="A684" s="319"/>
      <c r="B684" s="300"/>
      <c r="C684" s="300"/>
      <c r="D684" s="369"/>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c r="AA684" s="301"/>
    </row>
    <row r="685" spans="1:27">
      <c r="A685" s="319"/>
      <c r="B685" s="300"/>
      <c r="C685" s="300"/>
      <c r="D685" s="369"/>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c r="AA685" s="301"/>
    </row>
    <row r="686" spans="1:27">
      <c r="A686" s="319"/>
      <c r="B686" s="300"/>
      <c r="C686" s="300"/>
      <c r="D686" s="369"/>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c r="AA686" s="301"/>
    </row>
    <row r="687" spans="1:27">
      <c r="A687" s="319"/>
      <c r="B687" s="300"/>
      <c r="C687" s="300"/>
      <c r="D687" s="369"/>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c r="AA687" s="301"/>
    </row>
    <row r="688" spans="1:27">
      <c r="A688" s="319"/>
      <c r="B688" s="300"/>
      <c r="C688" s="300"/>
      <c r="D688" s="369"/>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c r="AA688" s="301"/>
    </row>
    <row r="689" spans="1:27">
      <c r="A689" s="319"/>
      <c r="B689" s="300"/>
      <c r="C689" s="300"/>
      <c r="D689" s="369"/>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c r="AA689" s="301"/>
    </row>
    <row r="690" spans="1:27">
      <c r="A690" s="319"/>
      <c r="B690" s="300"/>
      <c r="C690" s="300"/>
      <c r="D690" s="369"/>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c r="AA690" s="301"/>
    </row>
    <row r="691" spans="1:27">
      <c r="A691" s="319"/>
      <c r="B691" s="300"/>
      <c r="C691" s="300"/>
      <c r="D691" s="369"/>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c r="AA691" s="301"/>
    </row>
    <row r="692" spans="1:27">
      <c r="A692" s="319"/>
      <c r="B692" s="300"/>
      <c r="C692" s="300"/>
      <c r="D692" s="369"/>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c r="AA692" s="301"/>
    </row>
    <row r="693" spans="1:27">
      <c r="A693" s="319"/>
      <c r="B693" s="300"/>
      <c r="C693" s="300"/>
      <c r="D693" s="369"/>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c r="AA693" s="301"/>
    </row>
    <row r="694" spans="1:27">
      <c r="A694" s="319"/>
      <c r="B694" s="300"/>
      <c r="C694" s="300"/>
      <c r="D694" s="369"/>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c r="AA694" s="301"/>
    </row>
    <row r="695" spans="1:27">
      <c r="A695" s="319"/>
      <c r="B695" s="300"/>
      <c r="C695" s="300"/>
      <c r="D695" s="369"/>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c r="AA695" s="301"/>
    </row>
    <row r="696" spans="1:27">
      <c r="A696" s="319"/>
      <c r="B696" s="300"/>
      <c r="C696" s="300"/>
      <c r="D696" s="369"/>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c r="AA696" s="301"/>
    </row>
    <row r="697" spans="1:27">
      <c r="A697" s="319"/>
      <c r="B697" s="300"/>
      <c r="C697" s="300"/>
      <c r="D697" s="369"/>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c r="AA697" s="301"/>
    </row>
    <row r="698" spans="1:27">
      <c r="A698" s="319"/>
      <c r="B698" s="300"/>
      <c r="C698" s="300"/>
      <c r="D698" s="369"/>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c r="AA698" s="301"/>
    </row>
    <row r="699" spans="1:27">
      <c r="A699" s="319"/>
      <c r="B699" s="300"/>
      <c r="C699" s="300"/>
      <c r="D699" s="369"/>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c r="AA699" s="301"/>
    </row>
    <row r="700" spans="1:27">
      <c r="A700" s="319"/>
      <c r="B700" s="300"/>
      <c r="C700" s="300"/>
      <c r="D700" s="369"/>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c r="AA700" s="301"/>
    </row>
    <row r="701" spans="1:27">
      <c r="A701" s="319"/>
      <c r="B701" s="300"/>
      <c r="C701" s="300"/>
      <c r="D701" s="369"/>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c r="AA701" s="301"/>
    </row>
    <row r="702" spans="1:27">
      <c r="A702" s="319"/>
      <c r="B702" s="300"/>
      <c r="C702" s="300"/>
      <c r="D702" s="369"/>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c r="AA702" s="301"/>
    </row>
    <row r="703" spans="1:27">
      <c r="A703" s="319"/>
      <c r="B703" s="300"/>
      <c r="C703" s="300"/>
      <c r="D703" s="369"/>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c r="AA703" s="301"/>
    </row>
    <row r="704" spans="1:27">
      <c r="A704" s="319"/>
      <c r="B704" s="300"/>
      <c r="C704" s="300"/>
      <c r="D704" s="369"/>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c r="AA704" s="301"/>
    </row>
    <row r="705" spans="1:27">
      <c r="A705" s="319"/>
      <c r="B705" s="300"/>
      <c r="C705" s="300"/>
      <c r="D705" s="369"/>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c r="AA705" s="301"/>
    </row>
    <row r="706" spans="1:27">
      <c r="A706" s="319"/>
      <c r="B706" s="300"/>
      <c r="C706" s="300"/>
      <c r="D706" s="369"/>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c r="AA706" s="301"/>
    </row>
    <row r="707" spans="1:27">
      <c r="A707" s="319"/>
      <c r="B707" s="300"/>
      <c r="C707" s="300"/>
      <c r="D707" s="369"/>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c r="AA707" s="301"/>
    </row>
    <row r="708" spans="1:27">
      <c r="A708" s="319"/>
      <c r="B708" s="300"/>
      <c r="C708" s="300"/>
      <c r="D708" s="369"/>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c r="AA708" s="301"/>
    </row>
    <row r="709" spans="1:27">
      <c r="A709" s="319"/>
      <c r="B709" s="300"/>
      <c r="C709" s="300"/>
      <c r="D709" s="369"/>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c r="AA709" s="301"/>
    </row>
    <row r="710" spans="1:27">
      <c r="A710" s="319"/>
      <c r="B710" s="300"/>
      <c r="C710" s="300"/>
      <c r="D710" s="369"/>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c r="AA710" s="301"/>
    </row>
    <row r="711" spans="1:27">
      <c r="A711" s="319"/>
      <c r="B711" s="300"/>
      <c r="C711" s="300"/>
      <c r="D711" s="369"/>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c r="AA711" s="301"/>
    </row>
    <row r="712" spans="1:27">
      <c r="A712" s="319"/>
      <c r="B712" s="300"/>
      <c r="C712" s="300"/>
      <c r="D712" s="369"/>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c r="AA712" s="301"/>
    </row>
    <row r="713" spans="1:27">
      <c r="A713" s="319"/>
      <c r="B713" s="300"/>
      <c r="C713" s="300"/>
      <c r="D713" s="369"/>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c r="AA713" s="301"/>
    </row>
    <row r="714" spans="1:27">
      <c r="A714" s="319"/>
      <c r="B714" s="300"/>
      <c r="C714" s="300"/>
      <c r="D714" s="369"/>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c r="AA714" s="301"/>
    </row>
    <row r="715" spans="1:27">
      <c r="A715" s="319"/>
      <c r="B715" s="300"/>
      <c r="C715" s="300"/>
      <c r="D715" s="369"/>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c r="AA715" s="301"/>
    </row>
    <row r="716" spans="1:27">
      <c r="A716" s="319"/>
      <c r="B716" s="300"/>
      <c r="C716" s="300"/>
      <c r="D716" s="369"/>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c r="AA716" s="301"/>
    </row>
    <row r="717" spans="1:27">
      <c r="A717" s="319"/>
      <c r="B717" s="300"/>
      <c r="C717" s="300"/>
      <c r="D717" s="369"/>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c r="AA717" s="301"/>
    </row>
    <row r="718" spans="1:27">
      <c r="A718" s="319"/>
      <c r="B718" s="300"/>
      <c r="C718" s="300"/>
      <c r="D718" s="369"/>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c r="AA718" s="301"/>
    </row>
    <row r="719" spans="1:27">
      <c r="A719" s="319"/>
      <c r="B719" s="300"/>
      <c r="C719" s="300"/>
      <c r="D719" s="369"/>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c r="AA719" s="301"/>
    </row>
    <row r="720" spans="1:27">
      <c r="A720" s="319"/>
      <c r="B720" s="300"/>
      <c r="C720" s="300"/>
      <c r="D720" s="369"/>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c r="AA720" s="301"/>
    </row>
    <row r="721" spans="1:27">
      <c r="A721" s="319"/>
      <c r="B721" s="300"/>
      <c r="C721" s="300"/>
      <c r="D721" s="369"/>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c r="AA721" s="301"/>
    </row>
    <row r="722" spans="1:27">
      <c r="A722" s="319"/>
      <c r="B722" s="300"/>
      <c r="C722" s="300"/>
      <c r="D722" s="369"/>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c r="AA722" s="301"/>
    </row>
    <row r="723" spans="1:27">
      <c r="A723" s="319"/>
      <c r="B723" s="300"/>
      <c r="C723" s="300"/>
      <c r="D723" s="369"/>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c r="AA723" s="301"/>
    </row>
    <row r="724" spans="1:27">
      <c r="A724" s="319"/>
      <c r="B724" s="300"/>
      <c r="C724" s="300"/>
      <c r="D724" s="369"/>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c r="AA724" s="301"/>
    </row>
    <row r="725" spans="1:27">
      <c r="A725" s="319"/>
      <c r="B725" s="300"/>
      <c r="C725" s="300"/>
      <c r="D725" s="369"/>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c r="AA725" s="301"/>
    </row>
    <row r="726" spans="1:27">
      <c r="A726" s="319"/>
      <c r="B726" s="300"/>
      <c r="C726" s="300"/>
      <c r="D726" s="369"/>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c r="AA726" s="301"/>
    </row>
    <row r="727" spans="1:27">
      <c r="A727" s="319"/>
      <c r="B727" s="300"/>
      <c r="C727" s="300"/>
      <c r="D727" s="369"/>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c r="AA727" s="301"/>
    </row>
    <row r="728" spans="1:27">
      <c r="A728" s="319"/>
      <c r="B728" s="300"/>
      <c r="C728" s="300"/>
      <c r="D728" s="369"/>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c r="AA728" s="301"/>
    </row>
    <row r="729" spans="1:27">
      <c r="A729" s="319"/>
      <c r="B729" s="300"/>
      <c r="C729" s="300"/>
      <c r="D729" s="369"/>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c r="AA729" s="301"/>
    </row>
    <row r="730" spans="1:27">
      <c r="A730" s="319"/>
      <c r="B730" s="300"/>
      <c r="C730" s="300"/>
      <c r="D730" s="369"/>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c r="AA730" s="301"/>
    </row>
    <row r="731" spans="1:27">
      <c r="A731" s="319"/>
      <c r="B731" s="300"/>
      <c r="C731" s="300"/>
      <c r="D731" s="369"/>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c r="AA731" s="301"/>
    </row>
    <row r="732" spans="1:27">
      <c r="A732" s="319"/>
      <c r="B732" s="300"/>
      <c r="C732" s="300"/>
      <c r="D732" s="369"/>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c r="AA732" s="301"/>
    </row>
    <row r="733" spans="1:27">
      <c r="A733" s="319"/>
      <c r="B733" s="300"/>
      <c r="C733" s="300"/>
      <c r="D733" s="369"/>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c r="AA733" s="301"/>
    </row>
    <row r="734" spans="1:27">
      <c r="A734" s="319"/>
      <c r="B734" s="300"/>
      <c r="C734" s="300"/>
      <c r="D734" s="369"/>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c r="AA734" s="301"/>
    </row>
    <row r="735" spans="1:27">
      <c r="A735" s="319"/>
      <c r="B735" s="300"/>
      <c r="C735" s="300"/>
      <c r="D735" s="369"/>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c r="AA735" s="301"/>
    </row>
    <row r="736" spans="1:27">
      <c r="A736" s="319"/>
      <c r="B736" s="300"/>
      <c r="C736" s="300"/>
      <c r="D736" s="369"/>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c r="AA736" s="301"/>
    </row>
    <row r="737" spans="1:27">
      <c r="A737" s="319"/>
      <c r="B737" s="300"/>
      <c r="C737" s="300"/>
      <c r="D737" s="369"/>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c r="AA737" s="301"/>
    </row>
    <row r="738" spans="1:27">
      <c r="A738" s="319"/>
      <c r="B738" s="300"/>
      <c r="C738" s="300"/>
      <c r="D738" s="369"/>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c r="AA738" s="301"/>
    </row>
    <row r="739" spans="1:27">
      <c r="A739" s="319"/>
      <c r="B739" s="300"/>
      <c r="C739" s="300"/>
      <c r="D739" s="369"/>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c r="AA739" s="301"/>
    </row>
    <row r="740" spans="1:27">
      <c r="A740" s="319"/>
      <c r="B740" s="300"/>
      <c r="C740" s="300"/>
      <c r="D740" s="369"/>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c r="AA740" s="301"/>
    </row>
    <row r="741" spans="1:27">
      <c r="A741" s="319"/>
      <c r="B741" s="300"/>
      <c r="C741" s="300"/>
      <c r="D741" s="369"/>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c r="AA741" s="301"/>
    </row>
    <row r="742" spans="1:27">
      <c r="A742" s="319"/>
      <c r="B742" s="300"/>
      <c r="C742" s="300"/>
      <c r="D742" s="369"/>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c r="AA742" s="301"/>
    </row>
    <row r="743" spans="1:27">
      <c r="A743" s="319"/>
      <c r="B743" s="300"/>
      <c r="C743" s="300"/>
      <c r="D743" s="369"/>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c r="AA743" s="301"/>
    </row>
    <row r="744" spans="1:27">
      <c r="A744" s="319"/>
      <c r="B744" s="300"/>
      <c r="C744" s="300"/>
      <c r="D744" s="369"/>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c r="AA744" s="301"/>
    </row>
    <row r="745" spans="1:27">
      <c r="A745" s="319"/>
      <c r="B745" s="300"/>
      <c r="C745" s="300"/>
      <c r="D745" s="369"/>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c r="AA745" s="301"/>
    </row>
    <row r="746" spans="1:27">
      <c r="A746" s="319"/>
      <c r="B746" s="300"/>
      <c r="C746" s="300"/>
      <c r="D746" s="369"/>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c r="AA746" s="301"/>
    </row>
    <row r="747" spans="1:27">
      <c r="A747" s="319"/>
      <c r="B747" s="300"/>
      <c r="C747" s="300"/>
      <c r="D747" s="369"/>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c r="AA747" s="301"/>
    </row>
    <row r="748" spans="1:27">
      <c r="A748" s="319"/>
      <c r="B748" s="300"/>
      <c r="C748" s="300"/>
      <c r="D748" s="369"/>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c r="AA748" s="301"/>
    </row>
    <row r="749" spans="1:27">
      <c r="A749" s="319"/>
      <c r="B749" s="300"/>
      <c r="C749" s="300"/>
      <c r="D749" s="369"/>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c r="AA749" s="301"/>
    </row>
    <row r="750" spans="1:27">
      <c r="A750" s="319"/>
      <c r="B750" s="300"/>
      <c r="C750" s="300"/>
      <c r="D750" s="369"/>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c r="AA750" s="301"/>
    </row>
    <row r="751" spans="1:27">
      <c r="A751" s="319"/>
      <c r="B751" s="300"/>
      <c r="C751" s="300"/>
      <c r="D751" s="369"/>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c r="AA751" s="301"/>
    </row>
    <row r="752" spans="1:27">
      <c r="A752" s="319"/>
      <c r="B752" s="300"/>
      <c r="C752" s="300"/>
      <c r="D752" s="369"/>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c r="AA752" s="301"/>
    </row>
    <row r="753" spans="1:27">
      <c r="A753" s="319"/>
      <c r="B753" s="300"/>
      <c r="C753" s="300"/>
      <c r="D753" s="369"/>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c r="AA753" s="301"/>
    </row>
    <row r="754" spans="1:27">
      <c r="A754" s="319"/>
      <c r="B754" s="300"/>
      <c r="C754" s="300"/>
      <c r="D754" s="369"/>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c r="AA754" s="301"/>
    </row>
    <row r="755" spans="1:27">
      <c r="A755" s="319"/>
      <c r="B755" s="300"/>
      <c r="C755" s="300"/>
      <c r="D755" s="369"/>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c r="AA755" s="301"/>
    </row>
    <row r="756" spans="1:27">
      <c r="A756" s="319"/>
      <c r="B756" s="300"/>
      <c r="C756" s="300"/>
      <c r="D756" s="369"/>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c r="AA756" s="301"/>
    </row>
    <row r="757" spans="1:27">
      <c r="A757" s="319"/>
      <c r="B757" s="300"/>
      <c r="C757" s="300"/>
      <c r="D757" s="369"/>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c r="AA757" s="301"/>
    </row>
    <row r="758" spans="1:27">
      <c r="A758" s="319"/>
      <c r="B758" s="300"/>
      <c r="C758" s="300"/>
      <c r="D758" s="369"/>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c r="AA758" s="301"/>
    </row>
    <row r="759" spans="1:27">
      <c r="A759" s="319"/>
      <c r="B759" s="300"/>
      <c r="C759" s="300"/>
      <c r="D759" s="369"/>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c r="AA759" s="301"/>
    </row>
    <row r="760" spans="1:27">
      <c r="A760" s="319"/>
      <c r="B760" s="300"/>
      <c r="C760" s="300"/>
      <c r="D760" s="369"/>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c r="AA760" s="301"/>
    </row>
    <row r="761" spans="1:27">
      <c r="A761" s="319"/>
      <c r="B761" s="300"/>
      <c r="C761" s="300"/>
      <c r="D761" s="369"/>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c r="AA761" s="301"/>
    </row>
    <row r="762" spans="1:27">
      <c r="A762" s="319"/>
      <c r="B762" s="300"/>
      <c r="C762" s="300"/>
      <c r="D762" s="369"/>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c r="AA762" s="301"/>
    </row>
    <row r="763" spans="1:27">
      <c r="A763" s="319"/>
      <c r="B763" s="300"/>
      <c r="C763" s="300"/>
      <c r="D763" s="369"/>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c r="AA763" s="301"/>
    </row>
    <row r="764" spans="1:27">
      <c r="A764" s="319"/>
      <c r="B764" s="300"/>
      <c r="C764" s="300"/>
      <c r="D764" s="369"/>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c r="AA764" s="301"/>
    </row>
    <row r="765" spans="1:27">
      <c r="A765" s="319"/>
      <c r="B765" s="300"/>
      <c r="C765" s="300"/>
      <c r="D765" s="369"/>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c r="AA765" s="301"/>
    </row>
    <row r="766" spans="1:27">
      <c r="A766" s="319"/>
      <c r="B766" s="300"/>
      <c r="C766" s="300"/>
      <c r="D766" s="369"/>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c r="AA766" s="301"/>
    </row>
    <row r="767" spans="1:27">
      <c r="A767" s="319"/>
      <c r="B767" s="300"/>
      <c r="C767" s="300"/>
      <c r="D767" s="369"/>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c r="AA767" s="301"/>
    </row>
    <row r="768" spans="1:27">
      <c r="A768" s="319"/>
      <c r="B768" s="300"/>
      <c r="C768" s="300"/>
      <c r="D768" s="369"/>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c r="AA768" s="301"/>
    </row>
    <row r="769" spans="1:27">
      <c r="A769" s="319"/>
      <c r="B769" s="300"/>
      <c r="C769" s="300"/>
      <c r="D769" s="369"/>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c r="AA769" s="301"/>
    </row>
    <row r="770" spans="1:27">
      <c r="A770" s="319"/>
      <c r="B770" s="300"/>
      <c r="C770" s="300"/>
      <c r="D770" s="369"/>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c r="AA770" s="301"/>
    </row>
    <row r="771" spans="1:27">
      <c r="A771" s="319"/>
      <c r="B771" s="300"/>
      <c r="C771" s="300"/>
      <c r="D771" s="369"/>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c r="AA771" s="301"/>
    </row>
    <row r="772" spans="1:27">
      <c r="A772" s="319"/>
      <c r="B772" s="300"/>
      <c r="C772" s="300"/>
      <c r="D772" s="369"/>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c r="AA772" s="301"/>
    </row>
    <row r="773" spans="1:27">
      <c r="A773" s="319"/>
      <c r="B773" s="300"/>
      <c r="C773" s="300"/>
      <c r="D773" s="369"/>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c r="AA773" s="301"/>
    </row>
    <row r="774" spans="1:27">
      <c r="A774" s="319"/>
      <c r="B774" s="300"/>
      <c r="C774" s="300"/>
      <c r="D774" s="369"/>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c r="AA774" s="301"/>
    </row>
    <row r="775" spans="1:27">
      <c r="A775" s="319"/>
      <c r="B775" s="300"/>
      <c r="C775" s="300"/>
      <c r="D775" s="369"/>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c r="AA775" s="301"/>
    </row>
    <row r="776" spans="1:27">
      <c r="A776" s="319"/>
      <c r="B776" s="300"/>
      <c r="C776" s="300"/>
      <c r="D776" s="369"/>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c r="AA776" s="301"/>
    </row>
    <row r="777" spans="1:27">
      <c r="A777" s="319"/>
      <c r="B777" s="300"/>
      <c r="C777" s="300"/>
      <c r="D777" s="369"/>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c r="AA777" s="301"/>
    </row>
    <row r="778" spans="1:27">
      <c r="A778" s="319"/>
      <c r="B778" s="300"/>
      <c r="C778" s="300"/>
      <c r="D778" s="369"/>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c r="AA778" s="301"/>
    </row>
    <row r="779" spans="1:27">
      <c r="A779" s="319"/>
      <c r="B779" s="300"/>
      <c r="C779" s="300"/>
      <c r="D779" s="369"/>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c r="AA779" s="301"/>
    </row>
    <row r="780" spans="1:27">
      <c r="A780" s="319"/>
      <c r="B780" s="300"/>
      <c r="C780" s="300"/>
      <c r="D780" s="369"/>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c r="AA780" s="301"/>
    </row>
    <row r="781" spans="1:27">
      <c r="A781" s="319"/>
      <c r="B781" s="300"/>
      <c r="C781" s="300"/>
      <c r="D781" s="369"/>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c r="AA781" s="301"/>
    </row>
    <row r="782" spans="1:27">
      <c r="A782" s="319"/>
      <c r="B782" s="300"/>
      <c r="C782" s="300"/>
      <c r="D782" s="369"/>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c r="AA782" s="301"/>
    </row>
    <row r="783" spans="1:27">
      <c r="A783" s="319"/>
      <c r="B783" s="300"/>
      <c r="C783" s="300"/>
      <c r="D783" s="369"/>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c r="AA783" s="301"/>
    </row>
    <row r="784" spans="1:27">
      <c r="A784" s="319"/>
      <c r="B784" s="300"/>
      <c r="C784" s="300"/>
      <c r="D784" s="369"/>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c r="AA784" s="301"/>
    </row>
    <row r="785" spans="1:27">
      <c r="A785" s="319"/>
      <c r="B785" s="300"/>
      <c r="C785" s="300"/>
      <c r="D785" s="369"/>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c r="AA785" s="301"/>
    </row>
    <row r="786" spans="1:27">
      <c r="A786" s="319"/>
      <c r="B786" s="300"/>
      <c r="C786" s="300"/>
      <c r="D786" s="369"/>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c r="AA786" s="301"/>
    </row>
    <row r="787" spans="1:27">
      <c r="A787" s="319"/>
      <c r="B787" s="300"/>
      <c r="C787" s="300"/>
      <c r="D787" s="369"/>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c r="AA787" s="301"/>
    </row>
    <row r="788" spans="1:27">
      <c r="A788" s="319"/>
      <c r="B788" s="300"/>
      <c r="C788" s="300"/>
      <c r="D788" s="369"/>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c r="AA788" s="301"/>
    </row>
    <row r="789" spans="1:27">
      <c r="A789" s="319"/>
      <c r="B789" s="300"/>
      <c r="C789" s="300"/>
      <c r="D789" s="369"/>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c r="AA789" s="301"/>
    </row>
    <row r="790" spans="1:27">
      <c r="A790" s="319"/>
      <c r="B790" s="300"/>
      <c r="C790" s="300"/>
      <c r="D790" s="369"/>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c r="AA790" s="301"/>
    </row>
    <row r="791" spans="1:27">
      <c r="A791" s="319"/>
      <c r="B791" s="300"/>
      <c r="C791" s="300"/>
      <c r="D791" s="369"/>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c r="AA791" s="301"/>
    </row>
    <row r="792" spans="1:27">
      <c r="A792" s="319"/>
      <c r="B792" s="300"/>
      <c r="C792" s="300"/>
      <c r="D792" s="369"/>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c r="AA792" s="301"/>
    </row>
    <row r="793" spans="1:27">
      <c r="A793" s="319"/>
      <c r="B793" s="300"/>
      <c r="C793" s="300"/>
      <c r="D793" s="369"/>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c r="AA793" s="301"/>
    </row>
    <row r="794" spans="1:27">
      <c r="A794" s="319"/>
      <c r="B794" s="300"/>
      <c r="C794" s="300"/>
      <c r="D794" s="369"/>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c r="AA794" s="301"/>
    </row>
    <row r="795" spans="1:27">
      <c r="A795" s="319"/>
      <c r="B795" s="300"/>
      <c r="C795" s="300"/>
      <c r="D795" s="369"/>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c r="AA795" s="301"/>
    </row>
    <row r="796" spans="1:27">
      <c r="A796" s="319"/>
      <c r="B796" s="300"/>
      <c r="C796" s="300"/>
      <c r="D796" s="369"/>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c r="AA796" s="301"/>
    </row>
    <row r="797" spans="1:27">
      <c r="A797" s="319"/>
      <c r="B797" s="300"/>
      <c r="C797" s="300"/>
      <c r="D797" s="369"/>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c r="AA797" s="301"/>
    </row>
    <row r="798" spans="1:27">
      <c r="A798" s="319"/>
      <c r="B798" s="300"/>
      <c r="C798" s="300"/>
      <c r="D798" s="369"/>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c r="AA798" s="301"/>
    </row>
    <row r="799" spans="1:27">
      <c r="A799" s="319"/>
      <c r="B799" s="300"/>
      <c r="C799" s="300"/>
      <c r="D799" s="369"/>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c r="AA799" s="301"/>
    </row>
    <row r="800" spans="1:27">
      <c r="A800" s="319"/>
      <c r="B800" s="300"/>
      <c r="C800" s="300"/>
      <c r="D800" s="369"/>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c r="AA800" s="301"/>
    </row>
    <row r="801" spans="1:27">
      <c r="A801" s="319"/>
      <c r="B801" s="300"/>
      <c r="C801" s="300"/>
      <c r="D801" s="369"/>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c r="AA801" s="301"/>
    </row>
    <row r="802" spans="1:27">
      <c r="A802" s="319"/>
      <c r="B802" s="300"/>
      <c r="C802" s="300"/>
      <c r="D802" s="369"/>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c r="AA802" s="301"/>
    </row>
    <row r="803" spans="1:27">
      <c r="A803" s="319"/>
      <c r="B803" s="300"/>
      <c r="C803" s="300"/>
      <c r="D803" s="369"/>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c r="AA803" s="301"/>
    </row>
    <row r="804" spans="1:27">
      <c r="A804" s="319"/>
      <c r="B804" s="300"/>
      <c r="C804" s="300"/>
      <c r="D804" s="369"/>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c r="AA804" s="301"/>
    </row>
    <row r="805" spans="1:27">
      <c r="A805" s="319"/>
      <c r="B805" s="300"/>
      <c r="C805" s="300"/>
      <c r="D805" s="369"/>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c r="AA805" s="301"/>
    </row>
    <row r="806" spans="1:27">
      <c r="A806" s="319"/>
      <c r="B806" s="300"/>
      <c r="C806" s="300"/>
      <c r="D806" s="369"/>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c r="AA806" s="301"/>
    </row>
    <row r="807" spans="1:27">
      <c r="A807" s="319"/>
      <c r="B807" s="300"/>
      <c r="C807" s="300"/>
      <c r="D807" s="369"/>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c r="AA807" s="301"/>
    </row>
    <row r="808" spans="1:27">
      <c r="A808" s="319"/>
      <c r="B808" s="300"/>
      <c r="C808" s="300"/>
      <c r="D808" s="369"/>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c r="AA808" s="301"/>
    </row>
    <row r="809" spans="1:27">
      <c r="A809" s="319"/>
      <c r="B809" s="300"/>
      <c r="C809" s="300"/>
      <c r="D809" s="369"/>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c r="AA809" s="301"/>
    </row>
    <row r="810" spans="1:27">
      <c r="A810" s="319"/>
      <c r="B810" s="300"/>
      <c r="C810" s="300"/>
      <c r="D810" s="369"/>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c r="AA810" s="301"/>
    </row>
    <row r="811" spans="1:27">
      <c r="A811" s="319"/>
      <c r="B811" s="300"/>
      <c r="C811" s="300"/>
      <c r="D811" s="369"/>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c r="AA811" s="301"/>
    </row>
    <row r="812" spans="1:27">
      <c r="A812" s="319"/>
      <c r="B812" s="300"/>
      <c r="C812" s="300"/>
      <c r="D812" s="369"/>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c r="AA812" s="301"/>
    </row>
    <row r="813" spans="1:27">
      <c r="A813" s="319"/>
      <c r="B813" s="300"/>
      <c r="C813" s="300"/>
      <c r="D813" s="369"/>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c r="AA813" s="301"/>
    </row>
    <row r="814" spans="1:27">
      <c r="A814" s="319"/>
      <c r="B814" s="300"/>
      <c r="C814" s="300"/>
      <c r="D814" s="369"/>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c r="AA814" s="301"/>
    </row>
    <row r="815" spans="1:27">
      <c r="A815" s="319"/>
      <c r="B815" s="300"/>
      <c r="C815" s="300"/>
      <c r="D815" s="369"/>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c r="AA815" s="301"/>
    </row>
    <row r="816" spans="1:27">
      <c r="A816" s="319"/>
      <c r="B816" s="300"/>
      <c r="C816" s="300"/>
      <c r="D816" s="369"/>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c r="AA816" s="301"/>
    </row>
    <row r="817" spans="1:27">
      <c r="A817" s="319"/>
      <c r="B817" s="300"/>
      <c r="C817" s="300"/>
      <c r="D817" s="369"/>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c r="AA817" s="301"/>
    </row>
    <row r="818" spans="1:27">
      <c r="A818" s="319"/>
      <c r="B818" s="300"/>
      <c r="C818" s="300"/>
      <c r="D818" s="369"/>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c r="AA818" s="301"/>
    </row>
    <row r="819" spans="1:27">
      <c r="A819" s="319"/>
      <c r="B819" s="300"/>
      <c r="C819" s="300"/>
      <c r="D819" s="369"/>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c r="AA819" s="301"/>
    </row>
    <row r="820" spans="1:27">
      <c r="A820" s="319"/>
      <c r="B820" s="300"/>
      <c r="C820" s="300"/>
      <c r="D820" s="369"/>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c r="AA820" s="301"/>
    </row>
    <row r="821" spans="1:27">
      <c r="A821" s="319"/>
      <c r="B821" s="300"/>
      <c r="C821" s="300"/>
      <c r="D821" s="369"/>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c r="AA821" s="301"/>
    </row>
    <row r="822" spans="1:27">
      <c r="A822" s="319"/>
      <c r="B822" s="300"/>
      <c r="C822" s="300"/>
      <c r="D822" s="369"/>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c r="AA822" s="301"/>
    </row>
    <row r="823" spans="1:27">
      <c r="A823" s="319"/>
      <c r="B823" s="300"/>
      <c r="C823" s="300"/>
      <c r="D823" s="369"/>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c r="AA823" s="301"/>
    </row>
    <row r="824" spans="1:27">
      <c r="A824" s="319"/>
      <c r="B824" s="300"/>
      <c r="C824" s="300"/>
      <c r="D824" s="369"/>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c r="AA824" s="301"/>
    </row>
    <row r="825" spans="1:27">
      <c r="A825" s="319"/>
      <c r="B825" s="300"/>
      <c r="C825" s="300"/>
      <c r="D825" s="369"/>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c r="AA825" s="301"/>
    </row>
    <row r="826" spans="1:27">
      <c r="A826" s="319"/>
      <c r="B826" s="300"/>
      <c r="C826" s="300"/>
      <c r="D826" s="369"/>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c r="AA826" s="301"/>
    </row>
    <row r="827" spans="1:27">
      <c r="A827" s="319"/>
      <c r="B827" s="300"/>
      <c r="C827" s="300"/>
      <c r="D827" s="369"/>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c r="AA827" s="301"/>
    </row>
    <row r="828" spans="1:27">
      <c r="A828" s="319"/>
      <c r="B828" s="300"/>
      <c r="C828" s="300"/>
      <c r="D828" s="369"/>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c r="AA828" s="301"/>
    </row>
    <row r="829" spans="1:27">
      <c r="A829" s="319"/>
      <c r="B829" s="300"/>
      <c r="C829" s="300"/>
      <c r="D829" s="369"/>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c r="AA829" s="301"/>
    </row>
    <row r="830" spans="1:27">
      <c r="A830" s="319"/>
      <c r="B830" s="300"/>
      <c r="C830" s="300"/>
      <c r="D830" s="369"/>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c r="AA830" s="301"/>
    </row>
    <row r="831" spans="1:27">
      <c r="A831" s="319"/>
      <c r="B831" s="300"/>
      <c r="C831" s="300"/>
      <c r="D831" s="369"/>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c r="AA831" s="301"/>
    </row>
    <row r="832" spans="1:27">
      <c r="A832" s="319"/>
      <c r="B832" s="300"/>
      <c r="C832" s="300"/>
      <c r="D832" s="369"/>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c r="AA832" s="301"/>
    </row>
    <row r="833" spans="1:27">
      <c r="A833" s="319"/>
      <c r="B833" s="300"/>
      <c r="C833" s="300"/>
      <c r="D833" s="369"/>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c r="AA833" s="301"/>
    </row>
    <row r="834" spans="1:27">
      <c r="A834" s="319"/>
      <c r="B834" s="300"/>
      <c r="C834" s="300"/>
      <c r="D834" s="369"/>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c r="AA834" s="301"/>
    </row>
    <row r="835" spans="1:27">
      <c r="A835" s="319"/>
      <c r="B835" s="300"/>
      <c r="C835" s="300"/>
      <c r="D835" s="369"/>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c r="AA835" s="301"/>
    </row>
    <row r="836" spans="1:27">
      <c r="A836" s="319"/>
      <c r="B836" s="300"/>
      <c r="C836" s="300"/>
      <c r="D836" s="369"/>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c r="AA836" s="301"/>
    </row>
    <row r="837" spans="1:27">
      <c r="A837" s="319"/>
      <c r="B837" s="300"/>
      <c r="C837" s="300"/>
      <c r="D837" s="369"/>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c r="AA837" s="301"/>
    </row>
    <row r="838" spans="1:27">
      <c r="A838" s="319"/>
      <c r="B838" s="300"/>
      <c r="C838" s="300"/>
      <c r="D838" s="369"/>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c r="AA838" s="301"/>
    </row>
    <row r="839" spans="1:27">
      <c r="A839" s="319"/>
      <c r="B839" s="300"/>
      <c r="C839" s="300"/>
      <c r="D839" s="369"/>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c r="AA839" s="301"/>
    </row>
    <row r="840" spans="1:27">
      <c r="A840" s="319"/>
      <c r="B840" s="300"/>
      <c r="C840" s="300"/>
      <c r="D840" s="369"/>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c r="AA840" s="301"/>
    </row>
    <row r="841" spans="1:27">
      <c r="A841" s="319"/>
      <c r="B841" s="300"/>
      <c r="C841" s="300"/>
      <c r="D841" s="369"/>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c r="AA841" s="301"/>
    </row>
    <row r="842" spans="1:27">
      <c r="A842" s="319"/>
      <c r="B842" s="300"/>
      <c r="C842" s="300"/>
      <c r="D842" s="369"/>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c r="AA842" s="301"/>
    </row>
    <row r="843" spans="1:27">
      <c r="A843" s="319"/>
      <c r="B843" s="300"/>
      <c r="C843" s="300"/>
      <c r="D843" s="369"/>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c r="AA843" s="301"/>
    </row>
    <row r="844" spans="1:27">
      <c r="A844" s="319"/>
      <c r="B844" s="300"/>
      <c r="C844" s="300"/>
      <c r="D844" s="369"/>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c r="AA844" s="301"/>
    </row>
    <row r="845" spans="1:27">
      <c r="A845" s="319"/>
      <c r="B845" s="300"/>
      <c r="C845" s="300"/>
      <c r="D845" s="369"/>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c r="AA845" s="301"/>
    </row>
    <row r="846" spans="1:27">
      <c r="A846" s="319"/>
      <c r="B846" s="300"/>
      <c r="C846" s="300"/>
      <c r="D846" s="369"/>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c r="AA846" s="301"/>
    </row>
    <row r="847" spans="1:27">
      <c r="A847" s="319"/>
      <c r="B847" s="300"/>
      <c r="C847" s="300"/>
      <c r="D847" s="369"/>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c r="AA847" s="301"/>
    </row>
    <row r="848" spans="1:27">
      <c r="A848" s="319"/>
      <c r="B848" s="300"/>
      <c r="C848" s="300"/>
      <c r="D848" s="369"/>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c r="AA848" s="301"/>
    </row>
    <row r="849" spans="1:27">
      <c r="A849" s="319"/>
      <c r="B849" s="300"/>
      <c r="C849" s="300"/>
      <c r="D849" s="369"/>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c r="AA849" s="301"/>
    </row>
    <row r="850" spans="1:27">
      <c r="A850" s="319"/>
      <c r="B850" s="300"/>
      <c r="C850" s="300"/>
      <c r="D850" s="369"/>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c r="AA850" s="301"/>
    </row>
    <row r="851" spans="1:27">
      <c r="A851" s="319"/>
      <c r="B851" s="300"/>
      <c r="C851" s="300"/>
      <c r="D851" s="369"/>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c r="AA851" s="301"/>
    </row>
    <row r="852" spans="1:27">
      <c r="A852" s="319"/>
      <c r="B852" s="300"/>
      <c r="C852" s="300"/>
      <c r="D852" s="369"/>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c r="AA852" s="301"/>
    </row>
    <row r="853" spans="1:27">
      <c r="A853" s="319"/>
      <c r="B853" s="300"/>
      <c r="C853" s="300"/>
      <c r="D853" s="369"/>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c r="AA853" s="301"/>
    </row>
    <row r="854" spans="1:27">
      <c r="A854" s="319"/>
      <c r="B854" s="300"/>
      <c r="C854" s="300"/>
      <c r="D854" s="369"/>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c r="AA854" s="301"/>
    </row>
    <row r="855" spans="1:27">
      <c r="A855" s="319"/>
      <c r="B855" s="300"/>
      <c r="C855" s="300"/>
      <c r="D855" s="369"/>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c r="AA855" s="301"/>
    </row>
    <row r="856" spans="1:27">
      <c r="A856" s="319"/>
      <c r="B856" s="300"/>
      <c r="C856" s="300"/>
      <c r="D856" s="369"/>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c r="AA856" s="301"/>
    </row>
    <row r="857" spans="1:27">
      <c r="A857" s="319"/>
      <c r="B857" s="300"/>
      <c r="C857" s="300"/>
      <c r="D857" s="369"/>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c r="AA857" s="301"/>
    </row>
    <row r="858" spans="1:27">
      <c r="A858" s="319"/>
      <c r="B858" s="300"/>
      <c r="C858" s="300"/>
      <c r="D858" s="369"/>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c r="AA858" s="301"/>
    </row>
    <row r="859" spans="1:27">
      <c r="A859" s="319"/>
      <c r="B859" s="300"/>
      <c r="C859" s="300"/>
      <c r="D859" s="369"/>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c r="AA859" s="301"/>
    </row>
    <row r="860" spans="1:27">
      <c r="A860" s="319"/>
      <c r="B860" s="300"/>
      <c r="C860" s="300"/>
      <c r="D860" s="369"/>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c r="AA860" s="301"/>
    </row>
    <row r="861" spans="1:27">
      <c r="A861" s="319"/>
      <c r="B861" s="300"/>
      <c r="C861" s="300"/>
      <c r="D861" s="369"/>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c r="AA861" s="301"/>
    </row>
    <row r="862" spans="1:27">
      <c r="A862" s="319"/>
      <c r="B862" s="300"/>
      <c r="C862" s="300"/>
      <c r="D862" s="369"/>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c r="AA862" s="301"/>
    </row>
    <row r="863" spans="1:27">
      <c r="A863" s="319"/>
      <c r="B863" s="300"/>
      <c r="C863" s="300"/>
      <c r="D863" s="369"/>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c r="AA863" s="301"/>
    </row>
    <row r="864" spans="1:27">
      <c r="A864" s="319"/>
      <c r="B864" s="300"/>
      <c r="C864" s="300"/>
      <c r="D864" s="369"/>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c r="AA864" s="301"/>
    </row>
    <row r="865" spans="1:27">
      <c r="A865" s="319"/>
      <c r="B865" s="300"/>
      <c r="C865" s="300"/>
      <c r="D865" s="369"/>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c r="AA865" s="301"/>
    </row>
    <row r="866" spans="1:27">
      <c r="A866" s="319"/>
      <c r="B866" s="300"/>
      <c r="C866" s="300"/>
      <c r="D866" s="369"/>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c r="AA866" s="301"/>
    </row>
    <row r="867" spans="1:27">
      <c r="A867" s="319"/>
      <c r="B867" s="300"/>
      <c r="C867" s="300"/>
      <c r="D867" s="369"/>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c r="AA867" s="301"/>
    </row>
    <row r="868" spans="1:27">
      <c r="A868" s="319"/>
      <c r="B868" s="300"/>
      <c r="C868" s="300"/>
      <c r="D868" s="369"/>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c r="AA868" s="301"/>
    </row>
    <row r="869" spans="1:27">
      <c r="A869" s="319"/>
      <c r="B869" s="300"/>
      <c r="C869" s="300"/>
      <c r="D869" s="369"/>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c r="AA869" s="301"/>
    </row>
    <row r="870" spans="1:27">
      <c r="A870" s="319"/>
      <c r="B870" s="300"/>
      <c r="C870" s="300"/>
      <c r="D870" s="369"/>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c r="AA870" s="301"/>
    </row>
    <row r="871" spans="1:27">
      <c r="A871" s="319"/>
      <c r="B871" s="300"/>
      <c r="C871" s="300"/>
      <c r="D871" s="369"/>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c r="AA871" s="301"/>
    </row>
    <row r="872" spans="1:27">
      <c r="A872" s="319"/>
      <c r="B872" s="300"/>
      <c r="C872" s="300"/>
      <c r="D872" s="369"/>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c r="AA872" s="301"/>
    </row>
    <row r="873" spans="1:27">
      <c r="A873" s="319"/>
      <c r="B873" s="300"/>
      <c r="C873" s="300"/>
      <c r="D873" s="369"/>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c r="AA873" s="301"/>
    </row>
    <row r="874" spans="1:27">
      <c r="A874" s="319"/>
      <c r="B874" s="300"/>
      <c r="C874" s="300"/>
      <c r="D874" s="369"/>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c r="AA874" s="301"/>
    </row>
    <row r="875" spans="1:27">
      <c r="A875" s="319"/>
      <c r="B875" s="300"/>
      <c r="C875" s="300"/>
      <c r="D875" s="369"/>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c r="AA875" s="301"/>
    </row>
    <row r="876" spans="1:27">
      <c r="A876" s="319"/>
      <c r="B876" s="300"/>
      <c r="C876" s="300"/>
      <c r="D876" s="369"/>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c r="AA876" s="301"/>
    </row>
    <row r="877" spans="1:27">
      <c r="A877" s="319"/>
      <c r="B877" s="300"/>
      <c r="C877" s="300"/>
      <c r="D877" s="369"/>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c r="AA877" s="301"/>
    </row>
    <row r="878" spans="1:27">
      <c r="A878" s="319"/>
      <c r="B878" s="300"/>
      <c r="C878" s="300"/>
      <c r="D878" s="369"/>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c r="AA878" s="301"/>
    </row>
    <row r="879" spans="1:27">
      <c r="A879" s="319"/>
      <c r="B879" s="300"/>
      <c r="C879" s="300"/>
      <c r="D879" s="369"/>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c r="AA879" s="301"/>
    </row>
    <row r="880" spans="1:27">
      <c r="A880" s="319"/>
      <c r="B880" s="300"/>
      <c r="C880" s="300"/>
      <c r="D880" s="369"/>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c r="AA880" s="301"/>
    </row>
    <row r="881" spans="1:27">
      <c r="A881" s="319"/>
      <c r="B881" s="300"/>
      <c r="C881" s="300"/>
      <c r="D881" s="369"/>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c r="AA881" s="301"/>
    </row>
    <row r="882" spans="1:27">
      <c r="A882" s="319"/>
      <c r="B882" s="300"/>
      <c r="C882" s="300"/>
      <c r="D882" s="369"/>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c r="AA882" s="301"/>
    </row>
    <row r="883" spans="1:27">
      <c r="A883" s="319"/>
      <c r="B883" s="300"/>
      <c r="C883" s="300"/>
      <c r="D883" s="369"/>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c r="AA883" s="301"/>
    </row>
    <row r="884" spans="1:27">
      <c r="A884" s="319"/>
      <c r="B884" s="300"/>
      <c r="C884" s="300"/>
      <c r="D884" s="369"/>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c r="AA884" s="301"/>
    </row>
    <row r="885" spans="1:27">
      <c r="A885" s="319"/>
      <c r="B885" s="300"/>
      <c r="C885" s="300"/>
      <c r="D885" s="369"/>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c r="AA885" s="301"/>
    </row>
    <row r="886" spans="1:27">
      <c r="A886" s="319"/>
      <c r="B886" s="300"/>
      <c r="C886" s="300"/>
      <c r="D886" s="369"/>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c r="AA886" s="301"/>
    </row>
    <row r="887" spans="1:27">
      <c r="A887" s="319"/>
      <c r="B887" s="300"/>
      <c r="C887" s="300"/>
      <c r="D887" s="369"/>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c r="AA887" s="301"/>
    </row>
    <row r="888" spans="1:27">
      <c r="A888" s="319"/>
      <c r="B888" s="300"/>
      <c r="C888" s="300"/>
      <c r="D888" s="369"/>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c r="AA888" s="301"/>
    </row>
    <row r="889" spans="1:27">
      <c r="A889" s="319"/>
      <c r="B889" s="300"/>
      <c r="C889" s="300"/>
      <c r="D889" s="369"/>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c r="AA889" s="301"/>
    </row>
    <row r="890" spans="1:27">
      <c r="A890" s="319"/>
      <c r="B890" s="300"/>
      <c r="C890" s="300"/>
      <c r="D890" s="369"/>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c r="AA890" s="301"/>
    </row>
    <row r="891" spans="1:27">
      <c r="A891" s="319"/>
      <c r="B891" s="300"/>
      <c r="C891" s="300"/>
      <c r="D891" s="369"/>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c r="AA891" s="301"/>
    </row>
    <row r="892" spans="1:27">
      <c r="A892" s="319"/>
      <c r="B892" s="300"/>
      <c r="C892" s="300"/>
      <c r="D892" s="369"/>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c r="AA892" s="301"/>
    </row>
    <row r="893" spans="1:27">
      <c r="A893" s="319"/>
      <c r="B893" s="300"/>
      <c r="C893" s="300"/>
      <c r="D893" s="369"/>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c r="AA893" s="301"/>
    </row>
    <row r="894" spans="1:27">
      <c r="A894" s="319"/>
      <c r="B894" s="300"/>
      <c r="C894" s="300"/>
      <c r="D894" s="369"/>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c r="AA894" s="301"/>
    </row>
    <row r="895" spans="1:27">
      <c r="A895" s="319"/>
      <c r="B895" s="300"/>
      <c r="C895" s="300"/>
      <c r="D895" s="369"/>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c r="AA895" s="301"/>
    </row>
    <row r="896" spans="1:27">
      <c r="A896" s="319"/>
      <c r="B896" s="300"/>
      <c r="C896" s="300"/>
      <c r="D896" s="369"/>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c r="AA896" s="301"/>
    </row>
    <row r="897" spans="1:27">
      <c r="A897" s="319"/>
      <c r="B897" s="300"/>
      <c r="C897" s="300"/>
      <c r="D897" s="369"/>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c r="AA897" s="301"/>
    </row>
    <row r="898" spans="1:27">
      <c r="A898" s="319"/>
      <c r="B898" s="300"/>
      <c r="C898" s="300"/>
      <c r="D898" s="369"/>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c r="AA898" s="301"/>
    </row>
    <row r="899" spans="1:27">
      <c r="A899" s="319"/>
      <c r="B899" s="300"/>
      <c r="C899" s="300"/>
      <c r="D899" s="369"/>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c r="AA899" s="301"/>
    </row>
    <row r="900" spans="1:27">
      <c r="A900" s="319"/>
      <c r="B900" s="300"/>
      <c r="C900" s="300"/>
      <c r="D900" s="369"/>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c r="AA900" s="301"/>
    </row>
    <row r="901" spans="1:27">
      <c r="A901" s="319"/>
      <c r="B901" s="300"/>
      <c r="C901" s="300"/>
      <c r="D901" s="369"/>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c r="AA901" s="301"/>
    </row>
    <row r="902" spans="1:27">
      <c r="A902" s="319"/>
      <c r="B902" s="300"/>
      <c r="C902" s="300"/>
      <c r="D902" s="369"/>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c r="AA902" s="301"/>
    </row>
    <row r="903" spans="1:27">
      <c r="A903" s="319"/>
      <c r="B903" s="300"/>
      <c r="C903" s="300"/>
      <c r="D903" s="369"/>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c r="AA903" s="301"/>
    </row>
    <row r="904" spans="1:27">
      <c r="A904" s="319"/>
      <c r="B904" s="300"/>
      <c r="C904" s="300"/>
      <c r="D904" s="369"/>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c r="AA904" s="301"/>
    </row>
    <row r="905" spans="1:27">
      <c r="A905" s="319"/>
      <c r="B905" s="300"/>
      <c r="C905" s="300"/>
      <c r="D905" s="369"/>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c r="AA905" s="301"/>
    </row>
    <row r="906" spans="1:27">
      <c r="A906" s="319"/>
      <c r="B906" s="300"/>
      <c r="C906" s="300"/>
      <c r="D906" s="369"/>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c r="AA906" s="301"/>
    </row>
    <row r="907" spans="1:27">
      <c r="A907" s="319"/>
      <c r="B907" s="300"/>
      <c r="C907" s="300"/>
      <c r="D907" s="369"/>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c r="AA907" s="301"/>
    </row>
    <row r="908" spans="1:27">
      <c r="A908" s="319"/>
      <c r="B908" s="300"/>
      <c r="C908" s="300"/>
      <c r="D908" s="369"/>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c r="AA908" s="301"/>
    </row>
    <row r="909" spans="1:27">
      <c r="A909" s="319"/>
      <c r="B909" s="300"/>
      <c r="C909" s="300"/>
      <c r="D909" s="369"/>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c r="AA909" s="301"/>
    </row>
    <row r="910" spans="1:27">
      <c r="A910" s="319"/>
      <c r="B910" s="300"/>
      <c r="C910" s="300"/>
      <c r="D910" s="369"/>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c r="AA910" s="301"/>
    </row>
    <row r="911" spans="1:27">
      <c r="A911" s="319"/>
      <c r="B911" s="300"/>
      <c r="C911" s="300"/>
      <c r="D911" s="369"/>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c r="AA911" s="301"/>
    </row>
    <row r="912" spans="1:27">
      <c r="A912" s="319"/>
      <c r="B912" s="300"/>
      <c r="C912" s="300"/>
      <c r="D912" s="369"/>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c r="AA912" s="301"/>
    </row>
    <row r="913" spans="1:27">
      <c r="A913" s="319"/>
      <c r="B913" s="300"/>
      <c r="C913" s="300"/>
      <c r="D913" s="369"/>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c r="AA913" s="301"/>
    </row>
    <row r="914" spans="1:27">
      <c r="A914" s="319"/>
      <c r="B914" s="300"/>
      <c r="C914" s="300"/>
      <c r="D914" s="369"/>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c r="AA914" s="301"/>
    </row>
    <row r="915" spans="1:27">
      <c r="A915" s="319"/>
      <c r="B915" s="300"/>
      <c r="C915" s="300"/>
      <c r="D915" s="369"/>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c r="AA915" s="301"/>
    </row>
    <row r="916" spans="1:27">
      <c r="A916" s="319"/>
      <c r="B916" s="300"/>
      <c r="C916" s="300"/>
      <c r="D916" s="369"/>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c r="AA916" s="301"/>
    </row>
    <row r="917" spans="1:27">
      <c r="A917" s="319"/>
      <c r="B917" s="300"/>
      <c r="C917" s="300"/>
      <c r="D917" s="369"/>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c r="AA917" s="301"/>
    </row>
    <row r="918" spans="1:27">
      <c r="A918" s="319"/>
      <c r="B918" s="300"/>
      <c r="C918" s="300"/>
      <c r="D918" s="369"/>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c r="AA918" s="301"/>
    </row>
    <row r="919" spans="1:27">
      <c r="A919" s="319"/>
      <c r="B919" s="300"/>
      <c r="C919" s="300"/>
      <c r="D919" s="369"/>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c r="AA919" s="301"/>
    </row>
    <row r="920" spans="1:27">
      <c r="A920" s="319"/>
      <c r="B920" s="300"/>
      <c r="C920" s="300"/>
      <c r="D920" s="369"/>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c r="AA920" s="301"/>
    </row>
    <row r="921" spans="1:27">
      <c r="A921" s="319"/>
      <c r="B921" s="300"/>
      <c r="C921" s="300"/>
      <c r="D921" s="369"/>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c r="AA921" s="301"/>
    </row>
    <row r="922" spans="1:27">
      <c r="A922" s="319"/>
      <c r="B922" s="300"/>
      <c r="C922" s="300"/>
      <c r="D922" s="369"/>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c r="AA922" s="301"/>
    </row>
    <row r="923" spans="1:27">
      <c r="A923" s="319"/>
      <c r="B923" s="300"/>
      <c r="C923" s="300"/>
      <c r="D923" s="369"/>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c r="AA923" s="301"/>
    </row>
    <row r="924" spans="1:27">
      <c r="A924" s="319"/>
      <c r="B924" s="300"/>
      <c r="C924" s="300"/>
      <c r="D924" s="369"/>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c r="AA924" s="301"/>
    </row>
    <row r="925" spans="1:27">
      <c r="A925" s="319"/>
      <c r="B925" s="300"/>
      <c r="C925" s="300"/>
      <c r="D925" s="369"/>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c r="AA925" s="301"/>
    </row>
    <row r="926" spans="1:27">
      <c r="A926" s="319"/>
      <c r="B926" s="300"/>
      <c r="C926" s="300"/>
      <c r="D926" s="369"/>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c r="AA926" s="301"/>
    </row>
    <row r="927" spans="1:27">
      <c r="A927" s="319"/>
      <c r="B927" s="300"/>
      <c r="C927" s="300"/>
      <c r="D927" s="369"/>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c r="AA927" s="301"/>
    </row>
    <row r="928" spans="1:27">
      <c r="A928" s="319"/>
      <c r="B928" s="300"/>
      <c r="C928" s="300"/>
      <c r="D928" s="369"/>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c r="AA928" s="301"/>
    </row>
    <row r="929" spans="1:27">
      <c r="A929" s="319"/>
      <c r="B929" s="300"/>
      <c r="C929" s="300"/>
      <c r="D929" s="369"/>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c r="AA929" s="301"/>
    </row>
    <row r="930" spans="1:27">
      <c r="A930" s="319"/>
      <c r="B930" s="300"/>
      <c r="C930" s="300"/>
      <c r="D930" s="369"/>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c r="AA930" s="301"/>
    </row>
    <row r="931" spans="1:27">
      <c r="A931" s="319"/>
      <c r="B931" s="300"/>
      <c r="C931" s="300"/>
      <c r="D931" s="369"/>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c r="AA931" s="301"/>
    </row>
    <row r="932" spans="1:27">
      <c r="A932" s="319"/>
      <c r="B932" s="300"/>
      <c r="C932" s="300"/>
      <c r="D932" s="369"/>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c r="AA932" s="301"/>
    </row>
    <row r="933" spans="1:27">
      <c r="A933" s="319"/>
      <c r="B933" s="300"/>
      <c r="C933" s="300"/>
      <c r="D933" s="369"/>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c r="AA933" s="301"/>
    </row>
    <row r="934" spans="1:27">
      <c r="A934" s="319"/>
      <c r="B934" s="300"/>
      <c r="C934" s="300"/>
      <c r="D934" s="369"/>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c r="AA934" s="301"/>
    </row>
    <row r="935" spans="1:27">
      <c r="A935" s="319"/>
      <c r="B935" s="300"/>
      <c r="C935" s="300"/>
      <c r="D935" s="369"/>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c r="AA935" s="301"/>
    </row>
    <row r="936" spans="1:27">
      <c r="A936" s="319"/>
      <c r="B936" s="300"/>
      <c r="C936" s="300"/>
      <c r="D936" s="369"/>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c r="AA936" s="301"/>
    </row>
    <row r="937" spans="1:27">
      <c r="A937" s="319"/>
      <c r="B937" s="300"/>
      <c r="C937" s="300"/>
      <c r="D937" s="369"/>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c r="AA937" s="301"/>
    </row>
    <row r="938" spans="1:27">
      <c r="A938" s="319"/>
      <c r="B938" s="300"/>
      <c r="C938" s="300"/>
      <c r="D938" s="369"/>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c r="AA938" s="301"/>
    </row>
    <row r="939" spans="1:27">
      <c r="A939" s="319"/>
      <c r="B939" s="300"/>
      <c r="C939" s="300"/>
      <c r="D939" s="369"/>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c r="AA939" s="301"/>
    </row>
    <row r="940" spans="1:27">
      <c r="A940" s="319"/>
      <c r="B940" s="300"/>
      <c r="C940" s="300"/>
      <c r="D940" s="369"/>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c r="AA940" s="301"/>
    </row>
    <row r="941" spans="1:27">
      <c r="A941" s="319"/>
      <c r="B941" s="300"/>
      <c r="C941" s="300"/>
      <c r="D941" s="369"/>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c r="AA941" s="301"/>
    </row>
    <row r="942" spans="1:27">
      <c r="A942" s="319"/>
      <c r="B942" s="300"/>
      <c r="C942" s="300"/>
      <c r="D942" s="369"/>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c r="AA942" s="301"/>
    </row>
    <row r="943" spans="1:27">
      <c r="A943" s="319"/>
      <c r="B943" s="300"/>
      <c r="C943" s="300"/>
      <c r="D943" s="369"/>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c r="AA943" s="301"/>
    </row>
    <row r="944" spans="1:27">
      <c r="A944" s="319"/>
      <c r="B944" s="300"/>
      <c r="C944" s="300"/>
      <c r="D944" s="369"/>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c r="AA944" s="301"/>
    </row>
    <row r="945" spans="1:27">
      <c r="A945" s="319"/>
      <c r="B945" s="300"/>
      <c r="C945" s="300"/>
      <c r="D945" s="369"/>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c r="AA945" s="301"/>
    </row>
    <row r="946" spans="1:27">
      <c r="A946" s="319"/>
      <c r="B946" s="300"/>
      <c r="C946" s="300"/>
      <c r="D946" s="369"/>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c r="AA946" s="301"/>
    </row>
    <row r="947" spans="1:27">
      <c r="A947" s="319"/>
      <c r="B947" s="300"/>
      <c r="C947" s="300"/>
      <c r="D947" s="369"/>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c r="AA947" s="301"/>
    </row>
    <row r="948" spans="1:27">
      <c r="A948" s="319"/>
      <c r="B948" s="300"/>
      <c r="C948" s="300"/>
      <c r="D948" s="369"/>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c r="AA948" s="301"/>
    </row>
    <row r="949" spans="1:27">
      <c r="A949" s="319"/>
      <c r="B949" s="300"/>
      <c r="C949" s="300"/>
      <c r="D949" s="369"/>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c r="AA949" s="301"/>
    </row>
    <row r="950" spans="1:27">
      <c r="A950" s="319"/>
      <c r="B950" s="300"/>
      <c r="C950" s="300"/>
      <c r="D950" s="369"/>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c r="AA950" s="301"/>
    </row>
    <row r="951" spans="1:27">
      <c r="A951" s="319"/>
      <c r="B951" s="300"/>
      <c r="C951" s="300"/>
      <c r="D951" s="369"/>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c r="AA951" s="301"/>
    </row>
    <row r="952" spans="1:27">
      <c r="A952" s="319"/>
      <c r="B952" s="300"/>
      <c r="C952" s="300"/>
      <c r="D952" s="369"/>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c r="AA952" s="301"/>
    </row>
    <row r="953" spans="1:27">
      <c r="A953" s="319"/>
      <c r="B953" s="300"/>
      <c r="C953" s="300"/>
      <c r="D953" s="369"/>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c r="AA953" s="301"/>
    </row>
    <row r="954" spans="1:27">
      <c r="A954" s="319"/>
      <c r="B954" s="300"/>
      <c r="C954" s="300"/>
      <c r="D954" s="369"/>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c r="AA954" s="301"/>
    </row>
    <row r="955" spans="1:27">
      <c r="A955" s="319"/>
      <c r="B955" s="300"/>
      <c r="C955" s="300"/>
      <c r="D955" s="369"/>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c r="AA955" s="301"/>
    </row>
    <row r="956" spans="1:27">
      <c r="A956" s="319"/>
      <c r="B956" s="300"/>
      <c r="C956" s="300"/>
      <c r="D956" s="369"/>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c r="AA956" s="301"/>
    </row>
    <row r="957" spans="1:27">
      <c r="A957" s="319"/>
      <c r="B957" s="300"/>
      <c r="C957" s="300"/>
      <c r="D957" s="369"/>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c r="AA957" s="301"/>
    </row>
    <row r="958" spans="1:27">
      <c r="A958" s="319"/>
      <c r="B958" s="300"/>
      <c r="C958" s="300"/>
      <c r="D958" s="369"/>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c r="AA958" s="301"/>
    </row>
    <row r="959" spans="1:27">
      <c r="A959" s="319"/>
      <c r="B959" s="300"/>
      <c r="C959" s="300"/>
      <c r="D959" s="369"/>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c r="AA959" s="301"/>
    </row>
    <row r="960" spans="1:27">
      <c r="A960" s="319"/>
      <c r="B960" s="300"/>
      <c r="C960" s="300"/>
      <c r="D960" s="369"/>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c r="AA960" s="301"/>
    </row>
    <row r="961" spans="1:27">
      <c r="A961" s="319"/>
      <c r="B961" s="300"/>
      <c r="C961" s="300"/>
      <c r="D961" s="369"/>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c r="AA961" s="301"/>
    </row>
    <row r="962" spans="1:27">
      <c r="A962" s="319"/>
      <c r="B962" s="300"/>
      <c r="C962" s="300"/>
      <c r="D962" s="369"/>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c r="AA962" s="301"/>
    </row>
    <row r="963" spans="1:27">
      <c r="A963" s="319"/>
      <c r="B963" s="300"/>
      <c r="C963" s="300"/>
      <c r="D963" s="369"/>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c r="AA963" s="301"/>
    </row>
    <row r="964" spans="1:27">
      <c r="A964" s="319"/>
      <c r="B964" s="300"/>
      <c r="C964" s="300"/>
      <c r="D964" s="369"/>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c r="AA964" s="301"/>
    </row>
    <row r="965" spans="1:27">
      <c r="A965" s="319"/>
      <c r="B965" s="300"/>
      <c r="C965" s="300"/>
      <c r="D965" s="369"/>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c r="AA965" s="301"/>
    </row>
    <row r="966" spans="1:27">
      <c r="A966" s="319"/>
      <c r="B966" s="300"/>
      <c r="C966" s="300"/>
      <c r="D966" s="369"/>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c r="AA966" s="301"/>
    </row>
    <row r="967" spans="1:27">
      <c r="A967" s="319"/>
      <c r="B967" s="300"/>
      <c r="C967" s="300"/>
      <c r="D967" s="369"/>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c r="AA967" s="301"/>
    </row>
    <row r="968" spans="1:27">
      <c r="A968" s="319"/>
      <c r="B968" s="300"/>
      <c r="C968" s="300"/>
      <c r="D968" s="369"/>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c r="AA968" s="301"/>
    </row>
    <row r="969" spans="1:27">
      <c r="A969" s="319"/>
      <c r="B969" s="300"/>
      <c r="C969" s="300"/>
      <c r="D969" s="369"/>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c r="AA969" s="301"/>
    </row>
    <row r="970" spans="1:27">
      <c r="A970" s="319"/>
      <c r="B970" s="300"/>
      <c r="C970" s="300"/>
      <c r="D970" s="369"/>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c r="AA970" s="301"/>
    </row>
    <row r="971" spans="1:27">
      <c r="A971" s="319"/>
      <c r="B971" s="300"/>
      <c r="C971" s="300"/>
      <c r="D971" s="369"/>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c r="AA971" s="301"/>
    </row>
    <row r="972" spans="1:27">
      <c r="A972" s="319"/>
      <c r="B972" s="300"/>
      <c r="C972" s="300"/>
      <c r="D972" s="369"/>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c r="AA972" s="301"/>
    </row>
    <row r="973" spans="1:27">
      <c r="A973" s="319"/>
      <c r="B973" s="300"/>
      <c r="C973" s="300"/>
      <c r="D973" s="369"/>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c r="AA973" s="301"/>
    </row>
    <row r="974" spans="1:27">
      <c r="A974" s="319"/>
      <c r="B974" s="300"/>
      <c r="C974" s="300"/>
      <c r="D974" s="369"/>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c r="AA974" s="301"/>
    </row>
    <row r="975" spans="1:27">
      <c r="A975" s="319"/>
      <c r="B975" s="300"/>
      <c r="C975" s="300"/>
      <c r="D975" s="369"/>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c r="AA975" s="301"/>
    </row>
    <row r="976" spans="1:27">
      <c r="A976" s="319"/>
      <c r="B976" s="300"/>
      <c r="C976" s="300"/>
      <c r="D976" s="369"/>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c r="AA976" s="301"/>
    </row>
    <row r="977" spans="1:27">
      <c r="A977" s="319"/>
      <c r="B977" s="300"/>
      <c r="C977" s="300"/>
      <c r="D977" s="369"/>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c r="AA977" s="301"/>
    </row>
    <row r="978" spans="1:27">
      <c r="A978" s="319"/>
      <c r="B978" s="300"/>
      <c r="C978" s="300"/>
      <c r="D978" s="369"/>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c r="AA978" s="301"/>
    </row>
    <row r="979" spans="1:27">
      <c r="A979" s="319"/>
      <c r="B979" s="300"/>
      <c r="C979" s="300"/>
      <c r="D979" s="369"/>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c r="AA979" s="301"/>
    </row>
    <row r="980" spans="1:27">
      <c r="A980" s="319"/>
      <c r="B980" s="300"/>
      <c r="C980" s="300"/>
      <c r="D980" s="369"/>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c r="AA980" s="301"/>
    </row>
    <row r="981" spans="1:27">
      <c r="A981" s="319"/>
      <c r="B981" s="300"/>
      <c r="C981" s="300"/>
      <c r="D981" s="369"/>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c r="AA981" s="301"/>
    </row>
    <row r="982" spans="1:27">
      <c r="A982" s="319"/>
      <c r="B982" s="300"/>
      <c r="C982" s="300"/>
      <c r="D982" s="369"/>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c r="AA982" s="301"/>
    </row>
    <row r="983" spans="1:27">
      <c r="A983" s="319"/>
      <c r="B983" s="300"/>
      <c r="C983" s="300"/>
      <c r="D983" s="369"/>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c r="AA983" s="301"/>
    </row>
    <row r="984" spans="1:27">
      <c r="A984" s="319"/>
      <c r="B984" s="300"/>
      <c r="C984" s="300"/>
      <c r="D984" s="369"/>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c r="AA984" s="301"/>
    </row>
    <row r="985" spans="1:27">
      <c r="A985" s="319"/>
      <c r="B985" s="300"/>
      <c r="C985" s="300"/>
      <c r="D985" s="369"/>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c r="AA985" s="301"/>
    </row>
    <row r="986" spans="1:27">
      <c r="A986" s="319"/>
      <c r="B986" s="300"/>
      <c r="C986" s="300"/>
      <c r="D986" s="369"/>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c r="AA986" s="301"/>
    </row>
    <row r="987" spans="1:27">
      <c r="A987" s="319"/>
      <c r="B987" s="300"/>
      <c r="C987" s="300"/>
      <c r="D987" s="369"/>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c r="AA987" s="301"/>
    </row>
    <row r="988" spans="1:27">
      <c r="A988" s="319"/>
      <c r="B988" s="300"/>
      <c r="C988" s="300"/>
      <c r="D988" s="369"/>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c r="AA988" s="301"/>
    </row>
    <row r="989" spans="1:27">
      <c r="A989" s="319"/>
      <c r="B989" s="300"/>
      <c r="C989" s="300"/>
      <c r="D989" s="369"/>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c r="AA989" s="301"/>
    </row>
    <row r="990" spans="1:27">
      <c r="A990" s="319"/>
      <c r="B990" s="300"/>
      <c r="C990" s="300"/>
      <c r="D990" s="369"/>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c r="AA990" s="301"/>
    </row>
    <row r="991" spans="1:27">
      <c r="A991" s="319"/>
      <c r="B991" s="300"/>
      <c r="C991" s="300"/>
      <c r="D991" s="369"/>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c r="AA991" s="301"/>
    </row>
    <row r="992" spans="1:27">
      <c r="A992" s="319"/>
      <c r="B992" s="300"/>
      <c r="C992" s="300"/>
      <c r="D992" s="369"/>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c r="AA992" s="301"/>
    </row>
    <row r="993" spans="1:27">
      <c r="A993" s="319"/>
      <c r="B993" s="300"/>
      <c r="C993" s="300"/>
      <c r="D993" s="369"/>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c r="AA993" s="301"/>
    </row>
    <row r="994" spans="1:27">
      <c r="A994" s="319"/>
      <c r="B994" s="300"/>
      <c r="C994" s="300"/>
      <c r="D994" s="369"/>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c r="AA994" s="301"/>
    </row>
    <row r="995" spans="1:27">
      <c r="A995" s="319"/>
      <c r="B995" s="300"/>
      <c r="C995" s="300"/>
      <c r="D995" s="369"/>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c r="AA995" s="301"/>
    </row>
    <row r="996" spans="1:27">
      <c r="A996" s="319"/>
      <c r="B996" s="300"/>
      <c r="C996" s="300"/>
      <c r="D996" s="369"/>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c r="AA996" s="301"/>
    </row>
    <row r="997" spans="1:27">
      <c r="A997" s="319"/>
      <c r="B997" s="300"/>
      <c r="C997" s="300"/>
      <c r="D997" s="369"/>
      <c r="E997" s="300"/>
      <c r="F997" s="300"/>
      <c r="G997" s="300"/>
      <c r="H997" s="300"/>
      <c r="I997" s="300"/>
      <c r="J997" s="300"/>
      <c r="K997" s="300"/>
      <c r="L997" s="300"/>
      <c r="M997" s="300"/>
      <c r="N997" s="300"/>
      <c r="O997" s="300"/>
      <c r="P997" s="300"/>
      <c r="Q997" s="300"/>
      <c r="R997" s="300"/>
      <c r="S997" s="300"/>
      <c r="T997" s="300"/>
      <c r="U997" s="300"/>
      <c r="V997" s="300"/>
      <c r="W997" s="300"/>
      <c r="X997" s="300"/>
      <c r="Y997" s="300"/>
      <c r="Z997" s="300"/>
      <c r="AA997" s="301"/>
    </row>
    <row r="998" spans="1:27">
      <c r="A998" s="319"/>
      <c r="B998" s="300"/>
      <c r="C998" s="300"/>
      <c r="D998" s="369"/>
      <c r="E998" s="300"/>
      <c r="F998" s="300"/>
      <c r="G998" s="300"/>
      <c r="H998" s="300"/>
      <c r="I998" s="300"/>
      <c r="J998" s="300"/>
      <c r="K998" s="300"/>
      <c r="L998" s="300"/>
      <c r="M998" s="300"/>
      <c r="N998" s="300"/>
      <c r="O998" s="300"/>
      <c r="P998" s="300"/>
      <c r="Q998" s="300"/>
      <c r="R998" s="300"/>
      <c r="S998" s="300"/>
      <c r="T998" s="300"/>
      <c r="U998" s="300"/>
      <c r="V998" s="300"/>
      <c r="W998" s="300"/>
      <c r="X998" s="300"/>
      <c r="Y998" s="300"/>
      <c r="Z998" s="300"/>
      <c r="AA998" s="301"/>
    </row>
    <row r="999" spans="1:27">
      <c r="A999" s="319"/>
      <c r="B999" s="300"/>
      <c r="C999" s="300"/>
      <c r="D999" s="369"/>
      <c r="E999" s="300"/>
      <c r="F999" s="300"/>
      <c r="G999" s="300"/>
      <c r="H999" s="300"/>
      <c r="I999" s="300"/>
      <c r="J999" s="300"/>
      <c r="K999" s="300"/>
      <c r="L999" s="300"/>
      <c r="M999" s="300"/>
      <c r="N999" s="300"/>
      <c r="O999" s="300"/>
      <c r="P999" s="300"/>
      <c r="Q999" s="300"/>
      <c r="R999" s="300"/>
      <c r="S999" s="300"/>
      <c r="T999" s="300"/>
      <c r="U999" s="300"/>
      <c r="V999" s="300"/>
      <c r="W999" s="300"/>
      <c r="X999" s="300"/>
      <c r="Y999" s="300"/>
      <c r="Z999" s="300"/>
      <c r="AA999" s="301"/>
    </row>
    <row r="1000" spans="1:27">
      <c r="A1000" s="319"/>
      <c r="B1000" s="300"/>
      <c r="C1000" s="300"/>
      <c r="D1000" s="369"/>
      <c r="E1000" s="300"/>
      <c r="F1000" s="300"/>
      <c r="G1000" s="300"/>
      <c r="H1000" s="300"/>
      <c r="I1000" s="300"/>
      <c r="J1000" s="300"/>
      <c r="K1000" s="300"/>
      <c r="L1000" s="300"/>
      <c r="M1000" s="300"/>
      <c r="N1000" s="300"/>
      <c r="O1000" s="300"/>
      <c r="P1000" s="300"/>
      <c r="Q1000" s="300"/>
      <c r="R1000" s="300"/>
      <c r="S1000" s="300"/>
      <c r="T1000" s="300"/>
      <c r="U1000" s="300"/>
      <c r="V1000" s="300"/>
      <c r="W1000" s="300"/>
      <c r="X1000" s="300"/>
      <c r="Y1000" s="300"/>
      <c r="Z1000" s="300"/>
      <c r="AA1000" s="301"/>
    </row>
    <row r="1001" spans="1:27">
      <c r="A1001" s="319"/>
      <c r="B1001" s="300"/>
      <c r="C1001" s="300"/>
      <c r="D1001" s="369"/>
      <c r="E1001" s="300"/>
      <c r="F1001" s="300"/>
      <c r="G1001" s="300"/>
      <c r="H1001" s="300"/>
      <c r="I1001" s="300"/>
      <c r="J1001" s="300"/>
      <c r="K1001" s="300"/>
      <c r="L1001" s="300"/>
      <c r="M1001" s="300"/>
      <c r="N1001" s="300"/>
      <c r="O1001" s="300"/>
      <c r="P1001" s="300"/>
      <c r="Q1001" s="300"/>
      <c r="R1001" s="300"/>
      <c r="S1001" s="300"/>
      <c r="T1001" s="300"/>
      <c r="U1001" s="300"/>
      <c r="V1001" s="300"/>
      <c r="W1001" s="300"/>
      <c r="X1001" s="300"/>
      <c r="Y1001" s="300"/>
      <c r="Z1001" s="300"/>
      <c r="AA1001" s="301"/>
    </row>
    <row r="1002" spans="1:27">
      <c r="A1002" s="319"/>
      <c r="B1002" s="300"/>
      <c r="C1002" s="300"/>
      <c r="D1002" s="369"/>
      <c r="E1002" s="300"/>
      <c r="F1002" s="300"/>
      <c r="G1002" s="300"/>
      <c r="H1002" s="300"/>
      <c r="I1002" s="300"/>
      <c r="J1002" s="300"/>
      <c r="K1002" s="300"/>
      <c r="L1002" s="300"/>
      <c r="M1002" s="300"/>
      <c r="N1002" s="300"/>
      <c r="O1002" s="300"/>
      <c r="P1002" s="300"/>
      <c r="Q1002" s="300"/>
      <c r="R1002" s="300"/>
      <c r="S1002" s="300"/>
      <c r="T1002" s="300"/>
      <c r="U1002" s="300"/>
      <c r="V1002" s="300"/>
      <c r="W1002" s="300"/>
      <c r="X1002" s="300"/>
      <c r="Y1002" s="300"/>
      <c r="Z1002" s="300"/>
      <c r="AA1002" s="301"/>
    </row>
    <row r="1003" spans="1:27">
      <c r="A1003" s="312"/>
      <c r="B1003" s="313"/>
      <c r="C1003" s="313"/>
      <c r="D1003" s="366"/>
      <c r="E1003" s="313"/>
      <c r="F1003" s="313"/>
      <c r="G1003" s="313"/>
      <c r="H1003" s="313"/>
      <c r="I1003" s="313"/>
      <c r="J1003" s="313"/>
      <c r="K1003" s="313"/>
      <c r="L1003" s="313"/>
      <c r="M1003" s="313"/>
      <c r="N1003" s="313"/>
      <c r="O1003" s="313"/>
      <c r="P1003" s="313"/>
      <c r="Q1003" s="313"/>
      <c r="R1003" s="313"/>
      <c r="S1003" s="313"/>
      <c r="T1003" s="313"/>
      <c r="U1003" s="313"/>
      <c r="V1003" s="313"/>
      <c r="W1003" s="313"/>
      <c r="X1003" s="313"/>
      <c r="Y1003" s="313"/>
      <c r="Z1003" s="313"/>
      <c r="AA1003" s="311"/>
    </row>
  </sheetData>
  <mergeCells count="26">
    <mergeCell ref="D42:S53"/>
    <mergeCell ref="B26:D26"/>
    <mergeCell ref="B7:B9"/>
    <mergeCell ref="B10:B12"/>
    <mergeCell ref="B13:B15"/>
    <mergeCell ref="B16:B18"/>
    <mergeCell ref="B19:B21"/>
    <mergeCell ref="B23:B25"/>
    <mergeCell ref="B28:B30"/>
    <mergeCell ref="B31:B33"/>
    <mergeCell ref="A35:C36"/>
    <mergeCell ref="A37:C37"/>
    <mergeCell ref="A38:C39"/>
    <mergeCell ref="AB14:AP14"/>
    <mergeCell ref="AC15:AF18"/>
    <mergeCell ref="F1:S1"/>
    <mergeCell ref="F2:S2"/>
    <mergeCell ref="F3:S3"/>
    <mergeCell ref="F4:S4"/>
    <mergeCell ref="F5:S5"/>
    <mergeCell ref="AB7:AP7"/>
    <mergeCell ref="AB8:AP8"/>
    <mergeCell ref="AG9:AP9"/>
    <mergeCell ref="AB11:AB13"/>
    <mergeCell ref="AC11:AC13"/>
    <mergeCell ref="AD11:AD1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6B3BA-C908-4141-A62E-F51B3A0D5B5E}">
  <sheetPr>
    <tabColor rgb="FF833C0B"/>
  </sheetPr>
  <dimension ref="A1:AM92"/>
  <sheetViews>
    <sheetView workbookViewId="0">
      <pane xSplit="4" ySplit="6" topLeftCell="E7" activePane="bottomRight" state="frozen"/>
      <selection pane="bottomRight" activeCell="R14" sqref="R14:R20"/>
      <selection pane="bottomLeft"/>
      <selection pane="topRight"/>
    </sheetView>
  </sheetViews>
  <sheetFormatPr defaultRowHeight="15"/>
  <cols>
    <col min="2" max="2" width="13.28515625" style="391" customWidth="1"/>
    <col min="3" max="3" width="9.140625" style="221"/>
    <col min="4" max="5" width="25" style="391" customWidth="1"/>
    <col min="10" max="10" width="10.28515625" customWidth="1"/>
    <col min="11" max="11" width="11.85546875" bestFit="1" customWidth="1"/>
    <col min="13" max="13" width="9.7109375" bestFit="1" customWidth="1"/>
    <col min="14" max="14" width="11.85546875" bestFit="1" customWidth="1"/>
    <col min="15" max="15" width="10.85546875" bestFit="1" customWidth="1"/>
    <col min="24" max="24" width="21.85546875" bestFit="1" customWidth="1"/>
    <col min="28" max="28" width="25.28515625" bestFit="1" customWidth="1"/>
    <col min="35" max="35" width="19.85546875" bestFit="1" customWidth="1"/>
    <col min="36" max="36" width="11.42578125" bestFit="1" customWidth="1"/>
    <col min="37" max="37" width="14.85546875" bestFit="1" customWidth="1"/>
    <col min="38" max="38" width="13.28515625" bestFit="1" customWidth="1"/>
  </cols>
  <sheetData>
    <row r="1" spans="1:39">
      <c r="B1" s="486"/>
      <c r="C1" s="486"/>
      <c r="D1" s="486"/>
      <c r="E1" s="1086" t="s">
        <v>40</v>
      </c>
      <c r="F1" s="1087"/>
      <c r="G1" s="1087"/>
      <c r="H1" s="1087"/>
      <c r="I1" s="1087"/>
      <c r="J1" s="1087"/>
      <c r="K1" s="1087"/>
      <c r="L1" s="1087"/>
      <c r="M1" s="1087"/>
      <c r="N1" s="1087"/>
      <c r="O1" s="1087"/>
      <c r="P1" s="1087"/>
      <c r="Q1" s="1087"/>
      <c r="R1" s="1087"/>
      <c r="S1" s="1088"/>
      <c r="T1" s="299"/>
    </row>
    <row r="2" spans="1:39">
      <c r="B2" s="487"/>
      <c r="C2" s="487"/>
      <c r="D2" s="487"/>
      <c r="E2" s="1089" t="s">
        <v>41</v>
      </c>
      <c r="F2" s="1090"/>
      <c r="G2" s="1090"/>
      <c r="H2" s="1090"/>
      <c r="I2" s="1090"/>
      <c r="J2" s="1090"/>
      <c r="K2" s="1090"/>
      <c r="L2" s="1090"/>
      <c r="M2" s="1090"/>
      <c r="N2" s="1090"/>
      <c r="O2" s="1090"/>
      <c r="P2" s="1090"/>
      <c r="Q2" s="1090"/>
      <c r="R2" s="1090"/>
      <c r="S2" s="1091"/>
      <c r="T2" s="301"/>
    </row>
    <row r="3" spans="1:39">
      <c r="B3" s="488"/>
      <c r="C3" s="488"/>
      <c r="D3" s="488"/>
      <c r="E3" s="1092" t="s">
        <v>42</v>
      </c>
      <c r="F3" s="1093"/>
      <c r="G3" s="1093"/>
      <c r="H3" s="1093"/>
      <c r="I3" s="1093"/>
      <c r="J3" s="1093"/>
      <c r="K3" s="1093"/>
      <c r="L3" s="1093"/>
      <c r="M3" s="1093"/>
      <c r="N3" s="1093"/>
      <c r="O3" s="1093"/>
      <c r="P3" s="1093"/>
      <c r="Q3" s="1093"/>
      <c r="R3" s="1093"/>
      <c r="S3" s="1094"/>
      <c r="T3" s="301"/>
    </row>
    <row r="4" spans="1:39">
      <c r="B4" s="489"/>
      <c r="C4" s="489"/>
      <c r="D4" s="489"/>
      <c r="E4" s="1095" t="s">
        <v>1100</v>
      </c>
      <c r="F4" s="1096"/>
      <c r="G4" s="1096"/>
      <c r="H4" s="1096"/>
      <c r="I4" s="1096"/>
      <c r="J4" s="1096"/>
      <c r="K4" s="1096"/>
      <c r="L4" s="1096"/>
      <c r="M4" s="1096"/>
      <c r="N4" s="1096"/>
      <c r="O4" s="1096"/>
      <c r="P4" s="1096"/>
      <c r="Q4" s="1096"/>
      <c r="R4" s="1096"/>
      <c r="S4" s="1097"/>
      <c r="T4" s="301"/>
    </row>
    <row r="5" spans="1:39">
      <c r="B5" s="489"/>
      <c r="C5" s="489"/>
      <c r="D5" s="489"/>
      <c r="E5" s="1095" t="s">
        <v>1101</v>
      </c>
      <c r="F5" s="1096"/>
      <c r="G5" s="1096"/>
      <c r="H5" s="1096"/>
      <c r="I5" s="1096"/>
      <c r="J5" s="1096"/>
      <c r="K5" s="1096"/>
      <c r="L5" s="1096"/>
      <c r="M5" s="1096"/>
      <c r="N5" s="1096"/>
      <c r="O5" s="1096"/>
      <c r="P5" s="1096"/>
      <c r="Q5" s="1096"/>
      <c r="R5" s="1096"/>
      <c r="S5" s="1097"/>
      <c r="T5" s="301"/>
    </row>
    <row r="6" spans="1:39">
      <c r="A6" s="377" t="s">
        <v>45</v>
      </c>
      <c r="B6" s="363" t="s">
        <v>46</v>
      </c>
      <c r="C6" s="352" t="s">
        <v>47</v>
      </c>
      <c r="D6" s="363" t="s">
        <v>48</v>
      </c>
      <c r="E6" s="363" t="s">
        <v>49</v>
      </c>
      <c r="F6" s="378" t="s">
        <v>50</v>
      </c>
      <c r="G6" s="378" t="s">
        <v>51</v>
      </c>
      <c r="H6" s="378" t="s">
        <v>52</v>
      </c>
      <c r="I6" s="378" t="s">
        <v>53</v>
      </c>
      <c r="J6" s="378" t="s">
        <v>54</v>
      </c>
      <c r="K6" s="378" t="s">
        <v>55</v>
      </c>
      <c r="L6" s="378" t="s">
        <v>56</v>
      </c>
      <c r="M6" s="378" t="s">
        <v>57</v>
      </c>
      <c r="N6" s="378" t="s">
        <v>58</v>
      </c>
      <c r="O6" s="378" t="s">
        <v>59</v>
      </c>
      <c r="P6" s="378" t="s">
        <v>60</v>
      </c>
      <c r="Q6" s="378" t="s">
        <v>61</v>
      </c>
      <c r="R6" s="378" t="s">
        <v>62</v>
      </c>
      <c r="S6" s="378" t="s">
        <v>63</v>
      </c>
      <c r="T6" s="301"/>
    </row>
    <row r="7" spans="1:39">
      <c r="A7" s="383" t="s">
        <v>65</v>
      </c>
      <c r="B7" s="1098" t="s">
        <v>66</v>
      </c>
      <c r="C7" s="387">
        <v>1</v>
      </c>
      <c r="D7" s="388" t="s">
        <v>1102</v>
      </c>
      <c r="E7" s="388" t="s">
        <v>1103</v>
      </c>
      <c r="F7" s="490">
        <v>4.51</v>
      </c>
      <c r="G7" s="490">
        <v>5.0999999999999996</v>
      </c>
      <c r="H7" s="490">
        <v>5.0199999999999996</v>
      </c>
      <c r="I7" s="490">
        <v>5.18</v>
      </c>
      <c r="J7" s="490">
        <v>5.14</v>
      </c>
      <c r="K7" s="516">
        <v>5.7</v>
      </c>
      <c r="L7" s="490">
        <v>5.12</v>
      </c>
      <c r="M7" s="503">
        <v>6.3</v>
      </c>
      <c r="N7" s="503">
        <v>6.39</v>
      </c>
      <c r="O7" s="503">
        <v>5.26</v>
      </c>
      <c r="P7" s="503">
        <v>5.93</v>
      </c>
      <c r="Q7" s="503">
        <v>4.5</v>
      </c>
      <c r="R7" s="490">
        <f>AVERAGE(F7:Q7)</f>
        <v>5.3458333333333323</v>
      </c>
      <c r="S7" s="384">
        <v>6</v>
      </c>
      <c r="T7" s="301"/>
      <c r="X7" s="970" t="s">
        <v>70</v>
      </c>
      <c r="Y7" s="970"/>
      <c r="Z7" s="970"/>
      <c r="AA7" s="970"/>
      <c r="AB7" s="970"/>
      <c r="AC7" s="970"/>
      <c r="AD7" s="970"/>
      <c r="AE7" s="970"/>
      <c r="AF7" s="970"/>
      <c r="AG7" s="970"/>
      <c r="AH7" s="970"/>
      <c r="AI7" s="970"/>
      <c r="AJ7" s="970"/>
      <c r="AK7" s="970"/>
      <c r="AL7" s="970"/>
    </row>
    <row r="8" spans="1:39">
      <c r="A8" s="385"/>
      <c r="B8" s="1099"/>
      <c r="C8" s="389">
        <v>2</v>
      </c>
      <c r="D8" s="390" t="s">
        <v>1104</v>
      </c>
      <c r="E8" s="390" t="s">
        <v>1105</v>
      </c>
      <c r="F8" s="491">
        <v>4.5</v>
      </c>
      <c r="G8" s="491">
        <v>5.79</v>
      </c>
      <c r="H8" s="491">
        <v>5.1100000000000003</v>
      </c>
      <c r="I8" s="491">
        <v>5.31</v>
      </c>
      <c r="J8" s="491">
        <v>5.17</v>
      </c>
      <c r="K8" s="491">
        <v>5.71</v>
      </c>
      <c r="L8" s="491">
        <v>5.38</v>
      </c>
      <c r="M8" s="504">
        <v>6.7</v>
      </c>
      <c r="N8" s="504">
        <v>6.53</v>
      </c>
      <c r="O8" s="504">
        <v>5.82</v>
      </c>
      <c r="P8" s="504">
        <v>6.1</v>
      </c>
      <c r="Q8" s="504">
        <v>5.05</v>
      </c>
      <c r="R8" s="491">
        <f t="shared" ref="R8:R62" si="0">AVERAGE(F8:Q8)</f>
        <v>5.5975000000000001</v>
      </c>
      <c r="S8" s="386">
        <v>6</v>
      </c>
      <c r="T8" s="301"/>
      <c r="X8" s="970" t="s">
        <v>107</v>
      </c>
      <c r="Y8" s="970"/>
      <c r="Z8" s="970"/>
      <c r="AA8" s="970"/>
      <c r="AB8" s="970"/>
      <c r="AC8" s="970"/>
      <c r="AD8" s="970"/>
      <c r="AE8" s="970"/>
      <c r="AF8" s="970"/>
      <c r="AG8" s="970"/>
      <c r="AH8" s="970"/>
      <c r="AI8" s="970"/>
      <c r="AJ8" s="970"/>
      <c r="AK8" s="970"/>
      <c r="AL8" s="970"/>
    </row>
    <row r="9" spans="1:39" ht="30">
      <c r="A9" s="385"/>
      <c r="B9" s="1099"/>
      <c r="C9" s="389">
        <v>3</v>
      </c>
      <c r="D9" s="390" t="s">
        <v>1106</v>
      </c>
      <c r="E9" s="390" t="s">
        <v>1107</v>
      </c>
      <c r="F9" s="491">
        <v>4.87</v>
      </c>
      <c r="G9" s="491">
        <v>4.97</v>
      </c>
      <c r="H9" s="491">
        <v>5.05</v>
      </c>
      <c r="I9" s="491">
        <v>5.38</v>
      </c>
      <c r="J9" s="491">
        <v>5.0999999999999996</v>
      </c>
      <c r="K9" s="491">
        <v>5.52</v>
      </c>
      <c r="L9" s="491">
        <v>5.0999999999999996</v>
      </c>
      <c r="M9" s="504">
        <v>6.7</v>
      </c>
      <c r="N9" s="504">
        <v>6.72</v>
      </c>
      <c r="O9" s="504">
        <v>5.92</v>
      </c>
      <c r="P9" s="504">
        <v>5.93</v>
      </c>
      <c r="Q9" s="504">
        <v>5</v>
      </c>
      <c r="R9" s="491">
        <f t="shared" si="0"/>
        <v>5.5216666666666656</v>
      </c>
      <c r="S9" s="386">
        <v>6</v>
      </c>
      <c r="T9" s="301"/>
      <c r="X9" s="848"/>
      <c r="Y9" s="848"/>
      <c r="Z9" s="848"/>
      <c r="AA9" s="848"/>
      <c r="AB9" s="848"/>
      <c r="AC9" s="848" t="s">
        <v>78</v>
      </c>
      <c r="AD9" s="1161"/>
      <c r="AE9" s="1161"/>
      <c r="AF9" s="1161"/>
      <c r="AG9" s="1161"/>
      <c r="AH9" s="1161"/>
      <c r="AI9" s="1161"/>
      <c r="AJ9" s="1161"/>
      <c r="AK9" s="1161"/>
      <c r="AL9" s="1161"/>
    </row>
    <row r="10" spans="1:39" ht="30">
      <c r="A10" s="385"/>
      <c r="B10" s="1099"/>
      <c r="C10" s="389">
        <v>4</v>
      </c>
      <c r="D10" s="390" t="s">
        <v>1108</v>
      </c>
      <c r="E10" s="390" t="s">
        <v>1109</v>
      </c>
      <c r="F10" s="491">
        <v>4.95</v>
      </c>
      <c r="G10" s="491">
        <v>4.88</v>
      </c>
      <c r="H10" s="491">
        <v>5.47</v>
      </c>
      <c r="I10" s="491">
        <v>5.62</v>
      </c>
      <c r="J10" s="491">
        <v>5.25</v>
      </c>
      <c r="K10" s="491">
        <v>5.89</v>
      </c>
      <c r="L10" s="491">
        <v>5.3</v>
      </c>
      <c r="M10" s="504">
        <v>6.9</v>
      </c>
      <c r="N10" s="504">
        <v>6.81</v>
      </c>
      <c r="O10" s="504">
        <v>6.3</v>
      </c>
      <c r="P10" s="504">
        <v>6.03</v>
      </c>
      <c r="Q10" s="504">
        <v>4.2</v>
      </c>
      <c r="R10" s="491">
        <f t="shared" si="0"/>
        <v>5.6333333333333329</v>
      </c>
      <c r="S10" s="386">
        <v>6</v>
      </c>
      <c r="T10" s="301"/>
      <c r="X10" s="729" t="s">
        <v>82</v>
      </c>
      <c r="Y10" s="729" t="s">
        <v>83</v>
      </c>
      <c r="Z10" s="729" t="s">
        <v>84</v>
      </c>
      <c r="AA10" s="729" t="s">
        <v>85</v>
      </c>
      <c r="AB10" s="729" t="s">
        <v>86</v>
      </c>
      <c r="AC10" s="729" t="s">
        <v>4</v>
      </c>
      <c r="AD10" s="729" t="s">
        <v>5</v>
      </c>
      <c r="AE10" s="729" t="s">
        <v>6</v>
      </c>
      <c r="AF10" s="729" t="s">
        <v>7</v>
      </c>
      <c r="AG10" s="729" t="s">
        <v>8</v>
      </c>
      <c r="AH10" s="729" t="s">
        <v>9</v>
      </c>
      <c r="AI10" s="729" t="s">
        <v>10</v>
      </c>
      <c r="AJ10" s="729" t="s">
        <v>11</v>
      </c>
      <c r="AK10" s="729" t="s">
        <v>12</v>
      </c>
      <c r="AL10" s="729" t="s">
        <v>13</v>
      </c>
    </row>
    <row r="11" spans="1:39" ht="30" customHeight="1">
      <c r="A11" s="385"/>
      <c r="B11" s="1099"/>
      <c r="C11" s="389">
        <v>5</v>
      </c>
      <c r="D11" s="390" t="s">
        <v>1110</v>
      </c>
      <c r="E11" s="390" t="s">
        <v>1111</v>
      </c>
      <c r="F11" s="491">
        <v>4.21</v>
      </c>
      <c r="G11" s="491">
        <v>6.59</v>
      </c>
      <c r="H11" s="491">
        <v>4.1100000000000003</v>
      </c>
      <c r="I11" s="491">
        <v>4.99</v>
      </c>
      <c r="J11" s="491">
        <v>5.0199999999999996</v>
      </c>
      <c r="K11" s="491">
        <v>5.63</v>
      </c>
      <c r="L11" s="491">
        <v>4.87</v>
      </c>
      <c r="M11" s="504">
        <v>7.7</v>
      </c>
      <c r="N11" s="504">
        <v>6.73</v>
      </c>
      <c r="O11" s="504">
        <v>5.76</v>
      </c>
      <c r="P11" s="504">
        <v>6.18</v>
      </c>
      <c r="Q11" s="504">
        <v>5</v>
      </c>
      <c r="R11" s="491">
        <f t="shared" si="0"/>
        <v>5.565833333333333</v>
      </c>
      <c r="S11" s="386">
        <v>6</v>
      </c>
      <c r="T11" s="301"/>
      <c r="W11" s="232"/>
      <c r="X11" s="883" t="s">
        <v>1112</v>
      </c>
      <c r="Y11" s="883" t="s">
        <v>1100</v>
      </c>
      <c r="Z11" s="883" t="s">
        <v>29</v>
      </c>
      <c r="AA11" s="32">
        <v>1</v>
      </c>
      <c r="AB11" s="65" t="s">
        <v>1102</v>
      </c>
      <c r="AC11" s="35">
        <f>R7</f>
        <v>5.3458333333333323</v>
      </c>
      <c r="AD11" s="14" t="s">
        <v>905</v>
      </c>
      <c r="AE11" s="35">
        <f>R14</f>
        <v>31.416666666666668</v>
      </c>
      <c r="AF11" s="35">
        <f>R21</f>
        <v>7.7758333333333338</v>
      </c>
      <c r="AG11" s="35">
        <f>R28</f>
        <v>29.043333333333333</v>
      </c>
      <c r="AH11" s="35">
        <f>R35</f>
        <v>11.666666666666666</v>
      </c>
      <c r="AI11" s="35">
        <f>R42</f>
        <v>3022.3333333333335</v>
      </c>
      <c r="AJ11" s="34">
        <f>R49</f>
        <v>0.28424999999999995</v>
      </c>
      <c r="AK11" s="34">
        <f>R56</f>
        <v>0.23324999999999999</v>
      </c>
      <c r="AL11" s="14" t="s">
        <v>905</v>
      </c>
      <c r="AM11" s="232"/>
    </row>
    <row r="12" spans="1:39" ht="30">
      <c r="A12" s="385"/>
      <c r="B12" s="1099"/>
      <c r="C12" s="389">
        <v>6</v>
      </c>
      <c r="D12" s="390" t="s">
        <v>1113</v>
      </c>
      <c r="E12" s="390" t="s">
        <v>1114</v>
      </c>
      <c r="F12" s="491">
        <v>4.2699999999999996</v>
      </c>
      <c r="G12" s="491">
        <v>4.8499999999999996</v>
      </c>
      <c r="H12" s="491">
        <v>4.16</v>
      </c>
      <c r="I12" s="491">
        <v>3.84</v>
      </c>
      <c r="J12" s="491">
        <v>4.08</v>
      </c>
      <c r="K12" s="491">
        <v>4.78</v>
      </c>
      <c r="L12" s="491">
        <v>4.79</v>
      </c>
      <c r="M12" s="504">
        <v>5.37</v>
      </c>
      <c r="N12" s="504">
        <v>6.2</v>
      </c>
      <c r="O12" s="504">
        <v>7.03</v>
      </c>
      <c r="P12" s="504">
        <v>5.96</v>
      </c>
      <c r="Q12" s="504">
        <v>6.1</v>
      </c>
      <c r="R12" s="491">
        <f t="shared" si="0"/>
        <v>5.1191666666666666</v>
      </c>
      <c r="S12" s="386">
        <v>6</v>
      </c>
      <c r="T12" s="301"/>
      <c r="W12" s="232"/>
      <c r="X12" s="884"/>
      <c r="Y12" s="884"/>
      <c r="Z12" s="884"/>
      <c r="AA12" s="32">
        <v>2</v>
      </c>
      <c r="AB12" s="65" t="s">
        <v>1104</v>
      </c>
      <c r="AC12" s="35">
        <f t="shared" ref="AC12:AC17" si="1">R8</f>
        <v>5.5975000000000001</v>
      </c>
      <c r="AD12" s="14" t="s">
        <v>905</v>
      </c>
      <c r="AE12" s="35">
        <f t="shared" ref="AE12:AE17" si="2">R15</f>
        <v>36.166666666666664</v>
      </c>
      <c r="AF12" s="35">
        <f t="shared" ref="AF12:AF17" si="3">R22</f>
        <v>7.8074999999999983</v>
      </c>
      <c r="AG12" s="35">
        <f t="shared" ref="AG12:AG17" si="4">R29</f>
        <v>29.224166666666672</v>
      </c>
      <c r="AH12" s="35">
        <f t="shared" ref="AH12:AH17" si="5">R36</f>
        <v>10.833333333333334</v>
      </c>
      <c r="AI12" s="35">
        <f t="shared" ref="AI12:AI17" si="6">R43</f>
        <v>596.08333333333337</v>
      </c>
      <c r="AJ12" s="34">
        <f t="shared" ref="AJ12:AJ17" si="7">R50</f>
        <v>0.1766416666666667</v>
      </c>
      <c r="AK12" s="34">
        <f t="shared" ref="AK12:AK17" si="8">R57</f>
        <v>0.21691666666666665</v>
      </c>
      <c r="AL12" s="14" t="s">
        <v>905</v>
      </c>
      <c r="AM12" s="232"/>
    </row>
    <row r="13" spans="1:39">
      <c r="A13" s="385"/>
      <c r="B13" s="1100"/>
      <c r="C13" s="389">
        <v>7</v>
      </c>
      <c r="D13" s="390" t="s">
        <v>1115</v>
      </c>
      <c r="E13" s="390" t="s">
        <v>1116</v>
      </c>
      <c r="F13" s="491">
        <v>5.8</v>
      </c>
      <c r="G13" s="491">
        <v>5.21</v>
      </c>
      <c r="H13" s="491">
        <v>4.25</v>
      </c>
      <c r="I13" s="491">
        <v>4.28</v>
      </c>
      <c r="J13" s="491">
        <v>5.0999999999999996</v>
      </c>
      <c r="K13" s="491">
        <v>4.97</v>
      </c>
      <c r="L13" s="491">
        <v>5.1100000000000003</v>
      </c>
      <c r="M13" s="504">
        <v>6.67</v>
      </c>
      <c r="N13" s="504">
        <v>6.7</v>
      </c>
      <c r="O13" s="504">
        <v>6.85</v>
      </c>
      <c r="P13" s="504">
        <v>6.1</v>
      </c>
      <c r="Q13" s="504">
        <v>5.0999999999999996</v>
      </c>
      <c r="R13" s="491">
        <f t="shared" si="0"/>
        <v>5.5116666666666667</v>
      </c>
      <c r="S13" s="386">
        <v>6</v>
      </c>
      <c r="T13" s="301"/>
      <c r="W13" s="232"/>
      <c r="X13" s="884"/>
      <c r="Y13" s="884"/>
      <c r="Z13" s="884"/>
      <c r="AA13" s="32">
        <v>3</v>
      </c>
      <c r="AB13" s="65" t="s">
        <v>1106</v>
      </c>
      <c r="AC13" s="35">
        <f t="shared" si="1"/>
        <v>5.5216666666666656</v>
      </c>
      <c r="AD13" s="14" t="s">
        <v>905</v>
      </c>
      <c r="AE13" s="35">
        <f t="shared" si="2"/>
        <v>35.333333333333336</v>
      </c>
      <c r="AF13" s="35">
        <f t="shared" si="3"/>
        <v>7.8091666666666661</v>
      </c>
      <c r="AG13" s="35">
        <f t="shared" si="4"/>
        <v>29.202500000000001</v>
      </c>
      <c r="AH13" s="35">
        <f t="shared" si="5"/>
        <v>10</v>
      </c>
      <c r="AI13" s="35">
        <f t="shared" si="6"/>
        <v>1189.4166666666667</v>
      </c>
      <c r="AJ13" s="34">
        <f t="shared" si="7"/>
        <v>0.21208333333333332</v>
      </c>
      <c r="AK13" s="34">
        <f t="shared" si="8"/>
        <v>0.21883333333333335</v>
      </c>
      <c r="AL13" s="14" t="s">
        <v>905</v>
      </c>
      <c r="AM13" s="232"/>
    </row>
    <row r="14" spans="1:39">
      <c r="A14" s="385"/>
      <c r="B14" s="1098" t="s">
        <v>92</v>
      </c>
      <c r="C14" s="387">
        <v>1</v>
      </c>
      <c r="D14" s="388" t="s">
        <v>1102</v>
      </c>
      <c r="E14" s="388" t="s">
        <v>1103</v>
      </c>
      <c r="F14" s="490">
        <v>52</v>
      </c>
      <c r="G14" s="490">
        <v>50</v>
      </c>
      <c r="H14" s="490">
        <v>33</v>
      </c>
      <c r="I14" s="490">
        <v>24</v>
      </c>
      <c r="J14" s="490">
        <v>43</v>
      </c>
      <c r="K14" s="516">
        <v>22</v>
      </c>
      <c r="L14" s="490">
        <v>53</v>
      </c>
      <c r="M14" s="503">
        <v>14</v>
      </c>
      <c r="N14" s="503">
        <v>25</v>
      </c>
      <c r="O14" s="503">
        <v>12</v>
      </c>
      <c r="P14" s="503">
        <v>25</v>
      </c>
      <c r="Q14" s="503">
        <v>24</v>
      </c>
      <c r="R14" s="490">
        <f t="shared" si="0"/>
        <v>31.416666666666668</v>
      </c>
      <c r="S14" s="384">
        <v>50</v>
      </c>
      <c r="T14" s="301"/>
      <c r="W14" s="232"/>
      <c r="X14" s="884"/>
      <c r="Y14" s="884"/>
      <c r="Z14" s="884"/>
      <c r="AA14" s="730">
        <v>4</v>
      </c>
      <c r="AB14" s="231" t="s">
        <v>1108</v>
      </c>
      <c r="AC14" s="35">
        <f t="shared" si="1"/>
        <v>5.6333333333333329</v>
      </c>
      <c r="AD14" s="14" t="s">
        <v>905</v>
      </c>
      <c r="AE14" s="35">
        <f t="shared" si="2"/>
        <v>35.25</v>
      </c>
      <c r="AF14" s="35">
        <f t="shared" si="3"/>
        <v>7.8633333333333324</v>
      </c>
      <c r="AG14" s="35">
        <f t="shared" si="4"/>
        <v>29.185833333333335</v>
      </c>
      <c r="AH14" s="35">
        <f t="shared" si="5"/>
        <v>10.416666666666666</v>
      </c>
      <c r="AI14" s="35">
        <f t="shared" si="6"/>
        <v>945.66666666666663</v>
      </c>
      <c r="AJ14" s="34">
        <f t="shared" si="7"/>
        <v>0.25086666666666668</v>
      </c>
      <c r="AK14" s="34">
        <f t="shared" si="8"/>
        <v>0.1960833333333333</v>
      </c>
      <c r="AL14" s="14" t="s">
        <v>905</v>
      </c>
      <c r="AM14" s="232"/>
    </row>
    <row r="15" spans="1:39">
      <c r="A15" s="385"/>
      <c r="B15" s="1099"/>
      <c r="C15" s="389">
        <v>2</v>
      </c>
      <c r="D15" s="390" t="s">
        <v>1104</v>
      </c>
      <c r="E15" s="390" t="s">
        <v>1105</v>
      </c>
      <c r="F15" s="491">
        <v>46</v>
      </c>
      <c r="G15" s="491">
        <v>31</v>
      </c>
      <c r="H15" s="491">
        <v>30</v>
      </c>
      <c r="I15" s="491">
        <v>31</v>
      </c>
      <c r="J15" s="491">
        <v>57</v>
      </c>
      <c r="K15" s="491">
        <v>14</v>
      </c>
      <c r="L15" s="491">
        <v>84</v>
      </c>
      <c r="M15" s="504">
        <v>20</v>
      </c>
      <c r="N15" s="504">
        <v>42</v>
      </c>
      <c r="O15" s="504">
        <v>23</v>
      </c>
      <c r="P15" s="504">
        <v>28</v>
      </c>
      <c r="Q15" s="504">
        <v>28</v>
      </c>
      <c r="R15" s="491">
        <f t="shared" si="0"/>
        <v>36.166666666666664</v>
      </c>
      <c r="S15" s="386">
        <v>50</v>
      </c>
      <c r="T15" s="301"/>
      <c r="W15" s="232"/>
      <c r="X15" s="884"/>
      <c r="Y15" s="884"/>
      <c r="Z15" s="884"/>
      <c r="AA15" s="730">
        <v>5</v>
      </c>
      <c r="AB15" s="231" t="s">
        <v>1110</v>
      </c>
      <c r="AC15" s="35">
        <f t="shared" si="1"/>
        <v>5.565833333333333</v>
      </c>
      <c r="AD15" s="14" t="s">
        <v>905</v>
      </c>
      <c r="AE15" s="35">
        <f t="shared" si="2"/>
        <v>48.583333333333336</v>
      </c>
      <c r="AF15" s="35">
        <f t="shared" si="3"/>
        <v>7.8950000000000005</v>
      </c>
      <c r="AG15" s="35">
        <f t="shared" si="4"/>
        <v>29.135833333333334</v>
      </c>
      <c r="AH15" s="35">
        <f t="shared" si="5"/>
        <v>9.1666666666666661</v>
      </c>
      <c r="AI15" s="35">
        <f t="shared" si="6"/>
        <v>1226.8333333333333</v>
      </c>
      <c r="AJ15" s="34">
        <f t="shared" si="7"/>
        <v>0.3056666666666667</v>
      </c>
      <c r="AK15" s="34">
        <f t="shared" si="8"/>
        <v>0.17033333333333334</v>
      </c>
      <c r="AL15" s="14" t="s">
        <v>905</v>
      </c>
      <c r="AM15" s="232"/>
    </row>
    <row r="16" spans="1:39" ht="30">
      <c r="A16" s="385"/>
      <c r="B16" s="1099"/>
      <c r="C16" s="389">
        <v>3</v>
      </c>
      <c r="D16" s="390" t="s">
        <v>1106</v>
      </c>
      <c r="E16" s="390" t="s">
        <v>1107</v>
      </c>
      <c r="F16" s="491">
        <v>34</v>
      </c>
      <c r="G16" s="491">
        <v>31</v>
      </c>
      <c r="H16" s="491">
        <v>25</v>
      </c>
      <c r="I16" s="491">
        <v>17</v>
      </c>
      <c r="J16" s="491">
        <v>71</v>
      </c>
      <c r="K16" s="491">
        <v>14</v>
      </c>
      <c r="L16" s="491">
        <v>99</v>
      </c>
      <c r="M16" s="504">
        <v>28</v>
      </c>
      <c r="N16" s="504">
        <v>43</v>
      </c>
      <c r="O16" s="504">
        <v>16</v>
      </c>
      <c r="P16" s="504">
        <v>27</v>
      </c>
      <c r="Q16" s="504">
        <v>19</v>
      </c>
      <c r="R16" s="491">
        <f t="shared" si="0"/>
        <v>35.333333333333336</v>
      </c>
      <c r="S16" s="386">
        <v>50</v>
      </c>
      <c r="T16" s="301"/>
      <c r="W16" s="232"/>
      <c r="X16" s="884"/>
      <c r="Y16" s="884"/>
      <c r="Z16" s="884"/>
      <c r="AA16" s="730">
        <v>6</v>
      </c>
      <c r="AB16" s="231" t="s">
        <v>1113</v>
      </c>
      <c r="AC16" s="35">
        <f t="shared" si="1"/>
        <v>5.1191666666666666</v>
      </c>
      <c r="AD16" s="14" t="s">
        <v>905</v>
      </c>
      <c r="AE16" s="35">
        <f t="shared" si="2"/>
        <v>54</v>
      </c>
      <c r="AF16" s="35">
        <f t="shared" si="3"/>
        <v>7.8708333333333327</v>
      </c>
      <c r="AG16" s="35">
        <f t="shared" si="4"/>
        <v>29.301666666666673</v>
      </c>
      <c r="AH16" s="35">
        <f t="shared" si="5"/>
        <v>5</v>
      </c>
      <c r="AI16" s="35">
        <f t="shared" si="6"/>
        <v>47282.166666666664</v>
      </c>
      <c r="AJ16" s="34">
        <f t="shared" si="7"/>
        <v>0.20616666666666669</v>
      </c>
      <c r="AK16" s="34">
        <f t="shared" si="8"/>
        <v>7.6916666666666675E-2</v>
      </c>
      <c r="AL16" s="14" t="s">
        <v>905</v>
      </c>
      <c r="AM16" s="232"/>
    </row>
    <row r="17" spans="1:39" ht="30">
      <c r="A17" s="385"/>
      <c r="B17" s="1099"/>
      <c r="C17" s="389">
        <v>4</v>
      </c>
      <c r="D17" s="390" t="s">
        <v>1108</v>
      </c>
      <c r="E17" s="390" t="s">
        <v>1109</v>
      </c>
      <c r="F17" s="491">
        <v>39</v>
      </c>
      <c r="G17" s="491">
        <v>31</v>
      </c>
      <c r="H17" s="491">
        <v>23</v>
      </c>
      <c r="I17" s="491">
        <v>23</v>
      </c>
      <c r="J17" s="491">
        <v>74</v>
      </c>
      <c r="K17" s="491">
        <v>7</v>
      </c>
      <c r="L17" s="491">
        <v>89</v>
      </c>
      <c r="M17" s="504">
        <v>19</v>
      </c>
      <c r="N17" s="504">
        <v>40</v>
      </c>
      <c r="O17" s="504">
        <v>18</v>
      </c>
      <c r="P17" s="504">
        <v>36</v>
      </c>
      <c r="Q17" s="504">
        <v>24</v>
      </c>
      <c r="R17" s="491">
        <f t="shared" si="0"/>
        <v>35.25</v>
      </c>
      <c r="S17" s="386">
        <v>50</v>
      </c>
      <c r="T17" s="301"/>
      <c r="W17" s="232"/>
      <c r="X17" s="885"/>
      <c r="Y17" s="885"/>
      <c r="Z17" s="885"/>
      <c r="AA17" s="730">
        <v>7</v>
      </c>
      <c r="AB17" s="231" t="s">
        <v>1115</v>
      </c>
      <c r="AC17" s="35">
        <f t="shared" si="1"/>
        <v>5.5116666666666667</v>
      </c>
      <c r="AD17" s="14" t="s">
        <v>905</v>
      </c>
      <c r="AE17" s="35">
        <f t="shared" si="2"/>
        <v>20.366666666666667</v>
      </c>
      <c r="AF17" s="35">
        <f t="shared" si="3"/>
        <v>7.9524999999999997</v>
      </c>
      <c r="AG17" s="35">
        <f t="shared" si="4"/>
        <v>29.236666666666668</v>
      </c>
      <c r="AH17" s="35">
        <f t="shared" si="5"/>
        <v>5.416666666666667</v>
      </c>
      <c r="AI17" s="35">
        <f t="shared" si="6"/>
        <v>30271.75</v>
      </c>
      <c r="AJ17" s="34">
        <f t="shared" si="7"/>
        <v>0.11566666666666668</v>
      </c>
      <c r="AK17" s="34">
        <f t="shared" si="8"/>
        <v>7.8833333333333339E-2</v>
      </c>
      <c r="AL17" s="14" t="s">
        <v>905</v>
      </c>
      <c r="AM17" s="232"/>
    </row>
    <row r="18" spans="1:39">
      <c r="A18" s="385"/>
      <c r="B18" s="1099"/>
      <c r="C18" s="389">
        <v>5</v>
      </c>
      <c r="D18" s="390" t="s">
        <v>1110</v>
      </c>
      <c r="E18" s="390" t="s">
        <v>1111</v>
      </c>
      <c r="F18" s="491">
        <v>50</v>
      </c>
      <c r="G18" s="491">
        <v>41</v>
      </c>
      <c r="H18" s="491">
        <v>57</v>
      </c>
      <c r="I18" s="491">
        <v>29</v>
      </c>
      <c r="J18" s="491">
        <v>77</v>
      </c>
      <c r="K18" s="491">
        <v>27</v>
      </c>
      <c r="L18" s="491">
        <v>147</v>
      </c>
      <c r="M18" s="504">
        <v>31</v>
      </c>
      <c r="N18" s="504">
        <v>47</v>
      </c>
      <c r="O18" s="504">
        <v>11</v>
      </c>
      <c r="P18" s="504">
        <v>44</v>
      </c>
      <c r="Q18" s="504">
        <v>22</v>
      </c>
      <c r="R18" s="491">
        <f t="shared" si="0"/>
        <v>48.583333333333336</v>
      </c>
      <c r="S18" s="386">
        <v>50</v>
      </c>
      <c r="T18" s="301"/>
      <c r="X18" s="967"/>
      <c r="Y18" s="968"/>
      <c r="Z18" s="968"/>
      <c r="AA18" s="968"/>
      <c r="AB18" s="968"/>
      <c r="AC18" s="968"/>
      <c r="AD18" s="968"/>
      <c r="AE18" s="968"/>
      <c r="AF18" s="968"/>
      <c r="AG18" s="968"/>
      <c r="AH18" s="968"/>
      <c r="AI18" s="968"/>
      <c r="AJ18" s="968"/>
      <c r="AK18" s="968"/>
      <c r="AL18" s="969"/>
    </row>
    <row r="19" spans="1:39">
      <c r="A19" s="385"/>
      <c r="B19" s="1099"/>
      <c r="C19" s="389">
        <v>6</v>
      </c>
      <c r="D19" s="390" t="s">
        <v>1113</v>
      </c>
      <c r="E19" s="390" t="s">
        <v>1114</v>
      </c>
      <c r="F19" s="491">
        <v>94</v>
      </c>
      <c r="G19" s="491">
        <v>28</v>
      </c>
      <c r="H19" s="491">
        <v>182</v>
      </c>
      <c r="I19" s="491">
        <v>13</v>
      </c>
      <c r="J19" s="491">
        <v>43</v>
      </c>
      <c r="K19" s="491">
        <v>24</v>
      </c>
      <c r="L19" s="491">
        <v>120</v>
      </c>
      <c r="M19" s="504">
        <v>33</v>
      </c>
      <c r="N19" s="504">
        <v>15</v>
      </c>
      <c r="O19" s="504">
        <v>13</v>
      </c>
      <c r="P19" s="504">
        <v>59</v>
      </c>
      <c r="Q19" s="504">
        <v>24</v>
      </c>
      <c r="R19" s="491">
        <f t="shared" si="0"/>
        <v>54</v>
      </c>
      <c r="S19" s="386">
        <v>50</v>
      </c>
      <c r="T19" s="301"/>
      <c r="X19" s="14" t="s">
        <v>93</v>
      </c>
      <c r="Y19" s="961"/>
      <c r="Z19" s="962"/>
      <c r="AA19" s="962"/>
      <c r="AB19" s="963"/>
      <c r="AC19" s="35">
        <f>AVERAGE(AC11:AC13)</f>
        <v>5.4883333333333324</v>
      </c>
      <c r="AD19" s="14" t="s">
        <v>905</v>
      </c>
      <c r="AE19" s="35">
        <f>AVERAGE(AE11:AE13)</f>
        <v>34.30555555555555</v>
      </c>
      <c r="AF19" s="35">
        <f>AVERAGE(AF11:AF13)</f>
        <v>7.7974999999999994</v>
      </c>
      <c r="AG19" s="35">
        <f>AVERAGE(AG11:AG13)</f>
        <v>29.156666666666666</v>
      </c>
      <c r="AH19" s="35">
        <f>AVERAGE(AH11:AH13)</f>
        <v>10.833333333333334</v>
      </c>
      <c r="AI19" s="35">
        <f>AVERAGE(AI11:AI13)</f>
        <v>1602.6111111111113</v>
      </c>
      <c r="AJ19" s="34">
        <f>AVERAGE(AJ11:AJ13)</f>
        <v>0.224325</v>
      </c>
      <c r="AK19" s="34">
        <f>AVERAGE(AK11:AK13)</f>
        <v>0.22299999999999998</v>
      </c>
      <c r="AL19" s="14" t="s">
        <v>905</v>
      </c>
    </row>
    <row r="20" spans="1:39">
      <c r="A20" s="385"/>
      <c r="B20" s="1100"/>
      <c r="C20" s="389">
        <v>7</v>
      </c>
      <c r="D20" s="390" t="s">
        <v>1115</v>
      </c>
      <c r="E20" s="390" t="s">
        <v>1116</v>
      </c>
      <c r="F20" s="491">
        <v>12</v>
      </c>
      <c r="G20" s="491">
        <v>10</v>
      </c>
      <c r="H20" s="491">
        <v>13</v>
      </c>
      <c r="I20" s="491">
        <v>7</v>
      </c>
      <c r="J20" s="491">
        <v>49</v>
      </c>
      <c r="K20" s="491">
        <v>25</v>
      </c>
      <c r="L20" s="491">
        <v>69</v>
      </c>
      <c r="M20" s="504">
        <v>11</v>
      </c>
      <c r="N20" s="504">
        <v>10</v>
      </c>
      <c r="O20" s="504">
        <v>14</v>
      </c>
      <c r="P20" s="504">
        <v>5.4</v>
      </c>
      <c r="Q20" s="504">
        <v>19</v>
      </c>
      <c r="R20" s="491">
        <f t="shared" si="0"/>
        <v>20.366666666666667</v>
      </c>
      <c r="S20" s="386">
        <v>50</v>
      </c>
      <c r="T20" s="301"/>
      <c r="X20" s="14" t="s">
        <v>94</v>
      </c>
      <c r="Y20" s="964"/>
      <c r="Z20" s="965"/>
      <c r="AA20" s="965"/>
      <c r="AB20" s="966"/>
      <c r="AC20" s="35">
        <f>MIN(AC11:AC13)</f>
        <v>5.3458333333333323</v>
      </c>
      <c r="AD20" s="14" t="s">
        <v>905</v>
      </c>
      <c r="AE20" s="35">
        <f>MIN(AE11:AE13)</f>
        <v>31.416666666666668</v>
      </c>
      <c r="AF20" s="35">
        <f>MIN(AF11:AF13)</f>
        <v>7.7758333333333338</v>
      </c>
      <c r="AG20" s="35">
        <f>MIN(AG11:AG13)</f>
        <v>29.043333333333333</v>
      </c>
      <c r="AH20" s="35">
        <f>MIN(AH11:AH13)</f>
        <v>10</v>
      </c>
      <c r="AI20" s="35">
        <f>MIN(AI11:AI13)</f>
        <v>596.08333333333337</v>
      </c>
      <c r="AJ20" s="34">
        <f>MIN(AJ11:AJ13)</f>
        <v>0.1766416666666667</v>
      </c>
      <c r="AK20" s="34">
        <f>MIN(AK11:AK13)</f>
        <v>0.21691666666666665</v>
      </c>
      <c r="AL20" s="14" t="s">
        <v>905</v>
      </c>
    </row>
    <row r="21" spans="1:39">
      <c r="A21" s="385"/>
      <c r="B21" s="1098" t="s">
        <v>7</v>
      </c>
      <c r="C21" s="387">
        <v>1</v>
      </c>
      <c r="D21" s="388" t="s">
        <v>1102</v>
      </c>
      <c r="E21" s="388" t="s">
        <v>1103</v>
      </c>
      <c r="F21" s="490">
        <v>7.82</v>
      </c>
      <c r="G21" s="490">
        <v>8.0500000000000007</v>
      </c>
      <c r="H21" s="490">
        <v>8.11</v>
      </c>
      <c r="I21" s="490">
        <v>8.64</v>
      </c>
      <c r="J21" s="490">
        <v>8.01</v>
      </c>
      <c r="K21" s="516">
        <v>7.5</v>
      </c>
      <c r="L21" s="490">
        <v>7.81</v>
      </c>
      <c r="M21" s="503">
        <v>7.51</v>
      </c>
      <c r="N21" s="503">
        <v>7.45</v>
      </c>
      <c r="O21" s="503">
        <v>7.63</v>
      </c>
      <c r="P21" s="503">
        <v>7.78</v>
      </c>
      <c r="Q21" s="503">
        <v>7</v>
      </c>
      <c r="R21" s="490">
        <f t="shared" si="0"/>
        <v>7.7758333333333338</v>
      </c>
      <c r="S21" s="384" t="s">
        <v>908</v>
      </c>
      <c r="T21" s="301"/>
      <c r="X21" s="14" t="s">
        <v>95</v>
      </c>
      <c r="Y21" s="964"/>
      <c r="Z21" s="965"/>
      <c r="AA21" s="965"/>
      <c r="AB21" s="966"/>
      <c r="AC21" s="35">
        <f>MAX(AC11:AC13)</f>
        <v>5.5975000000000001</v>
      </c>
      <c r="AD21" s="14" t="s">
        <v>905</v>
      </c>
      <c r="AE21" s="35">
        <f>MAX(AE11:AE13)</f>
        <v>36.166666666666664</v>
      </c>
      <c r="AF21" s="35">
        <f>MAX(AF11:AF13)</f>
        <v>7.8091666666666661</v>
      </c>
      <c r="AG21" s="35">
        <f>MAX(AG11:AG13)</f>
        <v>29.224166666666672</v>
      </c>
      <c r="AH21" s="35">
        <f>MAX(AH11:AH13)</f>
        <v>11.666666666666666</v>
      </c>
      <c r="AI21" s="35">
        <f>MAX(AI11:AI13)</f>
        <v>3022.3333333333335</v>
      </c>
      <c r="AJ21" s="34">
        <f>MAX(AJ11:AJ13)</f>
        <v>0.28424999999999995</v>
      </c>
      <c r="AK21" s="34">
        <f>MAX(AK11:AK13)</f>
        <v>0.23324999999999999</v>
      </c>
      <c r="AL21" s="14" t="s">
        <v>905</v>
      </c>
    </row>
    <row r="22" spans="1:39" ht="30" customHeight="1">
      <c r="A22" s="385"/>
      <c r="B22" s="1099"/>
      <c r="C22" s="389">
        <v>2</v>
      </c>
      <c r="D22" s="390" t="s">
        <v>1104</v>
      </c>
      <c r="E22" s="390" t="s">
        <v>1105</v>
      </c>
      <c r="F22" s="491">
        <v>7.71</v>
      </c>
      <c r="G22" s="491">
        <v>8.14</v>
      </c>
      <c r="H22" s="491">
        <v>7.97</v>
      </c>
      <c r="I22" s="491">
        <v>8.69</v>
      </c>
      <c r="J22" s="491">
        <v>8.1199999999999992</v>
      </c>
      <c r="K22" s="491">
        <v>7.55</v>
      </c>
      <c r="L22" s="491">
        <v>7.77</v>
      </c>
      <c r="M22" s="504">
        <v>7.76</v>
      </c>
      <c r="N22" s="504">
        <v>7.48</v>
      </c>
      <c r="O22" s="504">
        <v>7.81</v>
      </c>
      <c r="P22" s="504">
        <v>7.69</v>
      </c>
      <c r="Q22" s="504">
        <v>7</v>
      </c>
      <c r="R22" s="491">
        <f t="shared" si="0"/>
        <v>7.8074999999999983</v>
      </c>
      <c r="S22" s="386" t="s">
        <v>908</v>
      </c>
      <c r="T22" s="301"/>
      <c r="X22" s="14" t="s">
        <v>96</v>
      </c>
      <c r="Y22" s="967"/>
      <c r="Z22" s="968"/>
      <c r="AA22" s="968"/>
      <c r="AB22" s="969"/>
      <c r="AC22" s="118" t="s">
        <v>906</v>
      </c>
      <c r="AD22" s="118" t="s">
        <v>905</v>
      </c>
      <c r="AE22" s="118" t="s">
        <v>907</v>
      </c>
      <c r="AF22" s="118" t="s">
        <v>908</v>
      </c>
      <c r="AG22" s="29" t="s">
        <v>909</v>
      </c>
      <c r="AH22" s="118" t="s">
        <v>699</v>
      </c>
      <c r="AI22" s="118" t="s">
        <v>700</v>
      </c>
      <c r="AJ22" s="118" t="s">
        <v>910</v>
      </c>
      <c r="AK22" s="118" t="s">
        <v>911</v>
      </c>
      <c r="AL22" s="118" t="s">
        <v>905</v>
      </c>
    </row>
    <row r="23" spans="1:39" ht="30">
      <c r="A23" s="385"/>
      <c r="B23" s="1099"/>
      <c r="C23" s="389">
        <v>3</v>
      </c>
      <c r="D23" s="390" t="s">
        <v>1106</v>
      </c>
      <c r="E23" s="390" t="s">
        <v>1107</v>
      </c>
      <c r="F23" s="491">
        <v>7.68</v>
      </c>
      <c r="G23" s="491">
        <v>8.07</v>
      </c>
      <c r="H23" s="491">
        <v>7.99</v>
      </c>
      <c r="I23" s="491">
        <v>8.7200000000000006</v>
      </c>
      <c r="J23" s="491">
        <v>8.08</v>
      </c>
      <c r="K23" s="491">
        <v>7.5</v>
      </c>
      <c r="L23" s="491">
        <v>7.68</v>
      </c>
      <c r="M23" s="504">
        <v>7.91</v>
      </c>
      <c r="N23" s="504">
        <v>7.5</v>
      </c>
      <c r="O23" s="504">
        <v>7.77</v>
      </c>
      <c r="P23" s="504">
        <v>7.81</v>
      </c>
      <c r="Q23" s="504">
        <v>7</v>
      </c>
      <c r="R23" s="491">
        <f t="shared" si="0"/>
        <v>7.8091666666666661</v>
      </c>
      <c r="S23" s="386" t="s">
        <v>908</v>
      </c>
      <c r="T23" s="301"/>
    </row>
    <row r="24" spans="1:39" ht="30">
      <c r="A24" s="385"/>
      <c r="B24" s="1099"/>
      <c r="C24" s="389">
        <v>4</v>
      </c>
      <c r="D24" s="390" t="s">
        <v>1108</v>
      </c>
      <c r="E24" s="390" t="s">
        <v>1109</v>
      </c>
      <c r="F24" s="491">
        <v>7.79</v>
      </c>
      <c r="G24" s="491">
        <v>8.4600000000000009</v>
      </c>
      <c r="H24" s="491">
        <v>8.02</v>
      </c>
      <c r="I24" s="491">
        <v>8.6999999999999993</v>
      </c>
      <c r="J24" s="491">
        <v>8.11</v>
      </c>
      <c r="K24" s="491">
        <v>7.4</v>
      </c>
      <c r="L24" s="491">
        <v>7.72</v>
      </c>
      <c r="M24" s="504">
        <v>8.09</v>
      </c>
      <c r="N24" s="504">
        <v>7.58</v>
      </c>
      <c r="O24" s="504">
        <v>7.81</v>
      </c>
      <c r="P24" s="504">
        <v>7.68</v>
      </c>
      <c r="Q24" s="504">
        <v>7</v>
      </c>
      <c r="R24" s="491">
        <f t="shared" si="0"/>
        <v>7.8633333333333324</v>
      </c>
      <c r="S24" s="386" t="s">
        <v>908</v>
      </c>
      <c r="T24" s="301"/>
    </row>
    <row r="25" spans="1:39">
      <c r="A25" s="385"/>
      <c r="B25" s="1099"/>
      <c r="C25" s="389">
        <v>5</v>
      </c>
      <c r="D25" s="390" t="s">
        <v>1110</v>
      </c>
      <c r="E25" s="390" t="s">
        <v>1111</v>
      </c>
      <c r="F25" s="491">
        <v>7.88</v>
      </c>
      <c r="G25" s="491">
        <v>8.61</v>
      </c>
      <c r="H25" s="491">
        <v>8.07</v>
      </c>
      <c r="I25" s="491">
        <v>8.86</v>
      </c>
      <c r="J25" s="491">
        <v>8.15</v>
      </c>
      <c r="K25" s="491">
        <v>7.45</v>
      </c>
      <c r="L25" s="491">
        <v>7.57</v>
      </c>
      <c r="M25" s="504">
        <v>8.06</v>
      </c>
      <c r="N25" s="504">
        <v>7.49</v>
      </c>
      <c r="O25" s="504">
        <v>7.79</v>
      </c>
      <c r="P25" s="504">
        <v>7.81</v>
      </c>
      <c r="Q25" s="504">
        <v>7</v>
      </c>
      <c r="R25" s="491">
        <f t="shared" si="0"/>
        <v>7.8950000000000005</v>
      </c>
      <c r="S25" s="386" t="s">
        <v>908</v>
      </c>
      <c r="T25" s="301"/>
    </row>
    <row r="26" spans="1:39">
      <c r="A26" s="385"/>
      <c r="B26" s="1099"/>
      <c r="C26" s="389">
        <v>6</v>
      </c>
      <c r="D26" s="390" t="s">
        <v>1113</v>
      </c>
      <c r="E26" s="390" t="s">
        <v>1114</v>
      </c>
      <c r="F26" s="491">
        <v>7.55</v>
      </c>
      <c r="G26" s="491">
        <v>7.6</v>
      </c>
      <c r="H26" s="491">
        <v>8.11</v>
      </c>
      <c r="I26" s="491">
        <v>8.4499999999999993</v>
      </c>
      <c r="J26" s="491">
        <v>8.36</v>
      </c>
      <c r="K26" s="491">
        <v>7.25</v>
      </c>
      <c r="L26" s="491">
        <v>7.7</v>
      </c>
      <c r="M26" s="504">
        <v>8.76</v>
      </c>
      <c r="N26" s="504">
        <v>7.9</v>
      </c>
      <c r="O26" s="504">
        <v>7.89</v>
      </c>
      <c r="P26" s="504">
        <v>7.88</v>
      </c>
      <c r="Q26" s="504">
        <v>7</v>
      </c>
      <c r="R26" s="491">
        <f t="shared" si="0"/>
        <v>7.8708333333333327</v>
      </c>
      <c r="S26" s="386" t="s">
        <v>908</v>
      </c>
      <c r="T26" s="301"/>
    </row>
    <row r="27" spans="1:39">
      <c r="A27" s="385"/>
      <c r="B27" s="1100"/>
      <c r="C27" s="389">
        <v>7</v>
      </c>
      <c r="D27" s="390" t="s">
        <v>1115</v>
      </c>
      <c r="E27" s="390" t="s">
        <v>1116</v>
      </c>
      <c r="F27" s="491">
        <v>7.7</v>
      </c>
      <c r="G27" s="491">
        <v>7.58</v>
      </c>
      <c r="H27" s="491">
        <v>8.15</v>
      </c>
      <c r="I27" s="491">
        <v>8.2100000000000009</v>
      </c>
      <c r="J27" s="491">
        <v>8.5299999999999994</v>
      </c>
      <c r="K27" s="491">
        <v>8.0399999999999991</v>
      </c>
      <c r="L27" s="491">
        <v>7.75</v>
      </c>
      <c r="M27" s="504">
        <v>8.8699999999999992</v>
      </c>
      <c r="N27" s="504">
        <v>7.9</v>
      </c>
      <c r="O27" s="504">
        <v>7.85</v>
      </c>
      <c r="P27" s="504">
        <v>7.85</v>
      </c>
      <c r="Q27" s="504">
        <v>7</v>
      </c>
      <c r="R27" s="491">
        <f t="shared" si="0"/>
        <v>7.9524999999999997</v>
      </c>
      <c r="S27" s="386" t="s">
        <v>908</v>
      </c>
      <c r="T27" s="301"/>
    </row>
    <row r="28" spans="1:39">
      <c r="A28" s="385"/>
      <c r="B28" s="1098" t="s">
        <v>725</v>
      </c>
      <c r="C28" s="387">
        <v>1</v>
      </c>
      <c r="D28" s="388" t="s">
        <v>1102</v>
      </c>
      <c r="E28" s="388" t="s">
        <v>1103</v>
      </c>
      <c r="F28" s="490">
        <v>28.51</v>
      </c>
      <c r="G28" s="490">
        <v>27.8</v>
      </c>
      <c r="H28" s="490">
        <v>27.71</v>
      </c>
      <c r="I28" s="490">
        <v>28.58</v>
      </c>
      <c r="J28" s="490">
        <v>29.11</v>
      </c>
      <c r="K28" s="516">
        <v>28.2</v>
      </c>
      <c r="L28" s="490">
        <v>27.91</v>
      </c>
      <c r="M28" s="503">
        <v>32.1</v>
      </c>
      <c r="N28" s="503">
        <v>29.3</v>
      </c>
      <c r="O28" s="503">
        <v>30.2</v>
      </c>
      <c r="P28" s="503">
        <v>30.1</v>
      </c>
      <c r="Q28" s="503">
        <v>29</v>
      </c>
      <c r="R28" s="490">
        <f t="shared" si="0"/>
        <v>29.043333333333333</v>
      </c>
      <c r="S28" s="384" t="s">
        <v>777</v>
      </c>
      <c r="T28" s="301"/>
    </row>
    <row r="29" spans="1:39">
      <c r="A29" s="385"/>
      <c r="B29" s="1099"/>
      <c r="C29" s="389">
        <v>2</v>
      </c>
      <c r="D29" s="390" t="s">
        <v>1104</v>
      </c>
      <c r="E29" s="390" t="s">
        <v>1105</v>
      </c>
      <c r="F29" s="491">
        <v>28.58</v>
      </c>
      <c r="G29" s="491">
        <v>27.7</v>
      </c>
      <c r="H29" s="491">
        <v>27.86</v>
      </c>
      <c r="I29" s="491">
        <v>28.6</v>
      </c>
      <c r="J29" s="491">
        <v>29.15</v>
      </c>
      <c r="K29" s="491">
        <v>28.19</v>
      </c>
      <c r="L29" s="491">
        <v>28.01</v>
      </c>
      <c r="M29" s="504">
        <v>32.200000000000003</v>
      </c>
      <c r="N29" s="504">
        <v>30</v>
      </c>
      <c r="O29" s="504">
        <v>30.3</v>
      </c>
      <c r="P29" s="504">
        <v>30.1</v>
      </c>
      <c r="Q29" s="504">
        <v>30</v>
      </c>
      <c r="R29" s="491">
        <f t="shared" si="0"/>
        <v>29.224166666666672</v>
      </c>
      <c r="S29" s="386" t="s">
        <v>777</v>
      </c>
      <c r="T29" s="301"/>
    </row>
    <row r="30" spans="1:39" ht="30">
      <c r="A30" s="385"/>
      <c r="B30" s="1099"/>
      <c r="C30" s="389">
        <v>3</v>
      </c>
      <c r="D30" s="390" t="s">
        <v>1106</v>
      </c>
      <c r="E30" s="390" t="s">
        <v>1107</v>
      </c>
      <c r="F30" s="491">
        <v>28.62</v>
      </c>
      <c r="G30" s="491">
        <v>27.4</v>
      </c>
      <c r="H30" s="491">
        <v>27.9</v>
      </c>
      <c r="I30" s="491">
        <v>28.57</v>
      </c>
      <c r="J30" s="491">
        <v>29.18</v>
      </c>
      <c r="K30" s="491">
        <v>28.18</v>
      </c>
      <c r="L30" s="491">
        <v>27.98</v>
      </c>
      <c r="M30" s="504">
        <v>32.299999999999997</v>
      </c>
      <c r="N30" s="504">
        <v>30</v>
      </c>
      <c r="O30" s="504">
        <v>30.2</v>
      </c>
      <c r="P30" s="504">
        <v>30.1</v>
      </c>
      <c r="Q30" s="504">
        <v>30</v>
      </c>
      <c r="R30" s="491">
        <f t="shared" si="0"/>
        <v>29.202500000000001</v>
      </c>
      <c r="S30" s="386" t="s">
        <v>777</v>
      </c>
      <c r="T30" s="301"/>
    </row>
    <row r="31" spans="1:39" ht="30">
      <c r="A31" s="385"/>
      <c r="B31" s="1099"/>
      <c r="C31" s="389">
        <v>4</v>
      </c>
      <c r="D31" s="390" t="s">
        <v>1108</v>
      </c>
      <c r="E31" s="390" t="s">
        <v>1109</v>
      </c>
      <c r="F31" s="491">
        <v>28.69</v>
      </c>
      <c r="G31" s="491">
        <v>27.65</v>
      </c>
      <c r="H31" s="491">
        <v>27.91</v>
      </c>
      <c r="I31" s="491">
        <v>28.6</v>
      </c>
      <c r="J31" s="491">
        <v>29.22</v>
      </c>
      <c r="K31" s="491">
        <v>28.05</v>
      </c>
      <c r="L31" s="491">
        <v>28.21</v>
      </c>
      <c r="M31" s="504">
        <v>32.1</v>
      </c>
      <c r="N31" s="504">
        <v>30</v>
      </c>
      <c r="O31" s="504">
        <v>30.2</v>
      </c>
      <c r="P31" s="504">
        <v>29.6</v>
      </c>
      <c r="Q31" s="504">
        <v>30</v>
      </c>
      <c r="R31" s="491">
        <f t="shared" si="0"/>
        <v>29.185833333333335</v>
      </c>
      <c r="S31" s="386" t="s">
        <v>777</v>
      </c>
      <c r="T31" s="301"/>
    </row>
    <row r="32" spans="1:39">
      <c r="A32" s="385"/>
      <c r="B32" s="1099"/>
      <c r="C32" s="389">
        <v>5</v>
      </c>
      <c r="D32" s="390" t="s">
        <v>1110</v>
      </c>
      <c r="E32" s="390" t="s">
        <v>1111</v>
      </c>
      <c r="F32" s="491">
        <v>28.7</v>
      </c>
      <c r="G32" s="491">
        <v>27.8</v>
      </c>
      <c r="H32" s="491">
        <v>27.88</v>
      </c>
      <c r="I32" s="491">
        <v>28.61</v>
      </c>
      <c r="J32" s="491">
        <v>29.25</v>
      </c>
      <c r="K32" s="491">
        <v>28.06</v>
      </c>
      <c r="L32" s="491">
        <v>28.33</v>
      </c>
      <c r="M32" s="504">
        <v>32</v>
      </c>
      <c r="N32" s="504">
        <v>30</v>
      </c>
      <c r="O32" s="504">
        <v>30.1</v>
      </c>
      <c r="P32" s="504">
        <v>29.9</v>
      </c>
      <c r="Q32" s="504">
        <v>29</v>
      </c>
      <c r="R32" s="491">
        <f t="shared" si="0"/>
        <v>29.135833333333334</v>
      </c>
      <c r="S32" s="386" t="s">
        <v>777</v>
      </c>
      <c r="T32" s="301"/>
    </row>
    <row r="33" spans="1:26">
      <c r="A33" s="385"/>
      <c r="B33" s="1099"/>
      <c r="C33" s="389">
        <v>6</v>
      </c>
      <c r="D33" s="390" t="s">
        <v>1113</v>
      </c>
      <c r="E33" s="390" t="s">
        <v>1114</v>
      </c>
      <c r="F33" s="491">
        <v>28.82</v>
      </c>
      <c r="G33" s="491">
        <v>27.82</v>
      </c>
      <c r="H33" s="491">
        <v>27.56</v>
      </c>
      <c r="I33" s="491">
        <v>28.83</v>
      </c>
      <c r="J33" s="491">
        <v>28.41</v>
      </c>
      <c r="K33" s="491">
        <v>29.4</v>
      </c>
      <c r="L33" s="491">
        <v>28.58</v>
      </c>
      <c r="M33" s="504">
        <v>30.3</v>
      </c>
      <c r="N33" s="504">
        <v>31</v>
      </c>
      <c r="O33" s="504">
        <v>30.1</v>
      </c>
      <c r="P33" s="504">
        <v>29.8</v>
      </c>
      <c r="Q33" s="504">
        <v>31</v>
      </c>
      <c r="R33" s="491">
        <f t="shared" si="0"/>
        <v>29.301666666666673</v>
      </c>
      <c r="S33" s="386" t="s">
        <v>777</v>
      </c>
      <c r="T33" s="301"/>
    </row>
    <row r="34" spans="1:26">
      <c r="A34" s="385"/>
      <c r="B34" s="1100"/>
      <c r="C34" s="389">
        <v>7</v>
      </c>
      <c r="D34" s="390" t="s">
        <v>1115</v>
      </c>
      <c r="E34" s="390" t="s">
        <v>1116</v>
      </c>
      <c r="F34" s="491">
        <v>28.9</v>
      </c>
      <c r="G34" s="491">
        <v>27.75</v>
      </c>
      <c r="H34" s="491">
        <v>27.81</v>
      </c>
      <c r="I34" s="491">
        <v>28.92</v>
      </c>
      <c r="J34" s="491">
        <v>28.52</v>
      </c>
      <c r="K34" s="491">
        <v>30</v>
      </c>
      <c r="L34" s="491">
        <v>28.34</v>
      </c>
      <c r="M34" s="504">
        <v>30.1</v>
      </c>
      <c r="N34" s="504">
        <v>30.5</v>
      </c>
      <c r="O34" s="504">
        <v>30.1</v>
      </c>
      <c r="P34" s="504">
        <v>29.9</v>
      </c>
      <c r="Q34" s="504">
        <v>30</v>
      </c>
      <c r="R34" s="491">
        <f t="shared" si="0"/>
        <v>29.236666666666668</v>
      </c>
      <c r="S34" s="386" t="s">
        <v>777</v>
      </c>
      <c r="T34" s="301"/>
    </row>
    <row r="35" spans="1:26">
      <c r="A35" s="385"/>
      <c r="B35" s="1098" t="s">
        <v>110</v>
      </c>
      <c r="C35" s="387">
        <v>1</v>
      </c>
      <c r="D35" s="388" t="s">
        <v>1102</v>
      </c>
      <c r="E35" s="388" t="s">
        <v>1103</v>
      </c>
      <c r="F35" s="490">
        <v>10</v>
      </c>
      <c r="G35" s="490">
        <v>5</v>
      </c>
      <c r="H35" s="490">
        <v>5</v>
      </c>
      <c r="I35" s="490">
        <v>5</v>
      </c>
      <c r="J35" s="490">
        <v>5</v>
      </c>
      <c r="K35" s="516">
        <v>15</v>
      </c>
      <c r="L35" s="490">
        <v>25</v>
      </c>
      <c r="M35" s="503">
        <v>10</v>
      </c>
      <c r="N35" s="503">
        <v>20</v>
      </c>
      <c r="O35" s="503">
        <v>15</v>
      </c>
      <c r="P35" s="503">
        <v>10</v>
      </c>
      <c r="Q35" s="503">
        <v>15</v>
      </c>
      <c r="R35" s="490">
        <f t="shared" si="0"/>
        <v>11.666666666666666</v>
      </c>
      <c r="S35" s="384">
        <v>50</v>
      </c>
      <c r="T35" s="301"/>
    </row>
    <row r="36" spans="1:26">
      <c r="A36" s="385"/>
      <c r="B36" s="1099"/>
      <c r="C36" s="389">
        <v>2</v>
      </c>
      <c r="D36" s="390" t="s">
        <v>1104</v>
      </c>
      <c r="E36" s="390" t="s">
        <v>1105</v>
      </c>
      <c r="F36" s="491">
        <v>10</v>
      </c>
      <c r="G36" s="491">
        <v>5</v>
      </c>
      <c r="H36" s="491">
        <v>5</v>
      </c>
      <c r="I36" s="491">
        <v>5</v>
      </c>
      <c r="J36" s="491">
        <v>5</v>
      </c>
      <c r="K36" s="491">
        <v>10</v>
      </c>
      <c r="L36" s="491">
        <v>25</v>
      </c>
      <c r="M36" s="504">
        <v>10</v>
      </c>
      <c r="N36" s="504">
        <v>15</v>
      </c>
      <c r="O36" s="504">
        <v>15</v>
      </c>
      <c r="P36" s="504">
        <v>10</v>
      </c>
      <c r="Q36" s="504">
        <v>15</v>
      </c>
      <c r="R36" s="491">
        <f t="shared" si="0"/>
        <v>10.833333333333334</v>
      </c>
      <c r="S36" s="386">
        <v>50</v>
      </c>
      <c r="T36" s="301"/>
    </row>
    <row r="37" spans="1:26" ht="30">
      <c r="A37" s="385"/>
      <c r="B37" s="1099"/>
      <c r="C37" s="389">
        <v>3</v>
      </c>
      <c r="D37" s="390" t="s">
        <v>1106</v>
      </c>
      <c r="E37" s="390" t="s">
        <v>1107</v>
      </c>
      <c r="F37" s="491">
        <v>10</v>
      </c>
      <c r="G37" s="491">
        <v>5</v>
      </c>
      <c r="H37" s="491">
        <v>5</v>
      </c>
      <c r="I37" s="491">
        <v>5</v>
      </c>
      <c r="J37" s="491">
        <v>5</v>
      </c>
      <c r="K37" s="491">
        <v>10</v>
      </c>
      <c r="L37" s="491">
        <v>20</v>
      </c>
      <c r="M37" s="504">
        <v>10</v>
      </c>
      <c r="N37" s="504">
        <v>15</v>
      </c>
      <c r="O37" s="504">
        <v>15</v>
      </c>
      <c r="P37" s="504">
        <v>10</v>
      </c>
      <c r="Q37" s="504">
        <v>10</v>
      </c>
      <c r="R37" s="491">
        <f t="shared" si="0"/>
        <v>10</v>
      </c>
      <c r="S37" s="386">
        <v>50</v>
      </c>
      <c r="T37" s="301"/>
    </row>
    <row r="38" spans="1:26" ht="30">
      <c r="A38" s="385"/>
      <c r="B38" s="1099"/>
      <c r="C38" s="389">
        <v>4</v>
      </c>
      <c r="D38" s="390" t="s">
        <v>1108</v>
      </c>
      <c r="E38" s="390" t="s">
        <v>1109</v>
      </c>
      <c r="F38" s="491">
        <v>10</v>
      </c>
      <c r="G38" s="491">
        <v>5</v>
      </c>
      <c r="H38" s="491">
        <v>5</v>
      </c>
      <c r="I38" s="491">
        <v>5</v>
      </c>
      <c r="J38" s="491">
        <v>5</v>
      </c>
      <c r="K38" s="491">
        <v>5</v>
      </c>
      <c r="L38" s="491">
        <v>25</v>
      </c>
      <c r="M38" s="504">
        <v>10</v>
      </c>
      <c r="N38" s="504">
        <v>15</v>
      </c>
      <c r="O38" s="504">
        <v>15</v>
      </c>
      <c r="P38" s="504">
        <v>15</v>
      </c>
      <c r="Q38" s="504">
        <v>10</v>
      </c>
      <c r="R38" s="491">
        <f t="shared" si="0"/>
        <v>10.416666666666666</v>
      </c>
      <c r="S38" s="386">
        <v>50</v>
      </c>
      <c r="T38" s="301"/>
    </row>
    <row r="39" spans="1:26">
      <c r="A39" s="385"/>
      <c r="B39" s="1099"/>
      <c r="C39" s="389">
        <v>5</v>
      </c>
      <c r="D39" s="390" t="s">
        <v>1110</v>
      </c>
      <c r="E39" s="390" t="s">
        <v>1111</v>
      </c>
      <c r="F39" s="491">
        <v>10</v>
      </c>
      <c r="G39" s="491">
        <v>5</v>
      </c>
      <c r="H39" s="491">
        <v>5</v>
      </c>
      <c r="I39" s="491">
        <v>5</v>
      </c>
      <c r="J39" s="491">
        <v>5</v>
      </c>
      <c r="K39" s="491">
        <v>5</v>
      </c>
      <c r="L39" s="491">
        <v>25</v>
      </c>
      <c r="M39" s="504">
        <v>10</v>
      </c>
      <c r="N39" s="504">
        <v>15</v>
      </c>
      <c r="O39" s="504">
        <v>10</v>
      </c>
      <c r="P39" s="504">
        <v>10</v>
      </c>
      <c r="Q39" s="504">
        <v>5</v>
      </c>
      <c r="R39" s="491">
        <f t="shared" si="0"/>
        <v>9.1666666666666661</v>
      </c>
      <c r="S39" s="386">
        <v>50</v>
      </c>
      <c r="T39" s="301"/>
    </row>
    <row r="40" spans="1:26">
      <c r="A40" s="385"/>
      <c r="B40" s="1099"/>
      <c r="C40" s="389">
        <v>6</v>
      </c>
      <c r="D40" s="390" t="s">
        <v>1113</v>
      </c>
      <c r="E40" s="390" t="s">
        <v>1114</v>
      </c>
      <c r="F40" s="491">
        <v>5</v>
      </c>
      <c r="G40" s="491">
        <v>5</v>
      </c>
      <c r="H40" s="491">
        <v>5</v>
      </c>
      <c r="I40" s="491">
        <v>5</v>
      </c>
      <c r="J40" s="491">
        <v>5</v>
      </c>
      <c r="K40" s="491">
        <v>5</v>
      </c>
      <c r="L40" s="491">
        <v>5</v>
      </c>
      <c r="M40" s="504">
        <v>5</v>
      </c>
      <c r="N40" s="504">
        <v>5</v>
      </c>
      <c r="O40" s="504">
        <v>5</v>
      </c>
      <c r="P40" s="504">
        <v>5</v>
      </c>
      <c r="Q40" s="504">
        <v>5</v>
      </c>
      <c r="R40" s="491">
        <f t="shared" si="0"/>
        <v>5</v>
      </c>
      <c r="S40" s="386">
        <v>50</v>
      </c>
      <c r="T40" s="301"/>
    </row>
    <row r="41" spans="1:26">
      <c r="A41" s="385"/>
      <c r="B41" s="1100"/>
      <c r="C41" s="389">
        <v>7</v>
      </c>
      <c r="D41" s="390" t="s">
        <v>1115</v>
      </c>
      <c r="E41" s="390" t="s">
        <v>1116</v>
      </c>
      <c r="F41" s="491">
        <v>5</v>
      </c>
      <c r="G41" s="491">
        <v>5</v>
      </c>
      <c r="H41" s="491">
        <v>5</v>
      </c>
      <c r="I41" s="491">
        <v>5</v>
      </c>
      <c r="J41" s="491">
        <v>5</v>
      </c>
      <c r="K41" s="491">
        <v>5</v>
      </c>
      <c r="L41" s="491">
        <v>5</v>
      </c>
      <c r="M41" s="504">
        <v>5</v>
      </c>
      <c r="N41" s="504">
        <v>5</v>
      </c>
      <c r="O41" s="504">
        <v>5</v>
      </c>
      <c r="P41" s="504">
        <v>5</v>
      </c>
      <c r="Q41" s="504">
        <v>10</v>
      </c>
      <c r="R41" s="491">
        <f t="shared" si="0"/>
        <v>5.416666666666667</v>
      </c>
      <c r="S41" s="386">
        <v>50</v>
      </c>
      <c r="T41" s="311"/>
    </row>
    <row r="42" spans="1:26">
      <c r="A42" s="392"/>
      <c r="B42" s="1103" t="s">
        <v>111</v>
      </c>
      <c r="C42" s="393">
        <v>1</v>
      </c>
      <c r="D42" s="394" t="s">
        <v>1102</v>
      </c>
      <c r="E42" s="395" t="s">
        <v>1103</v>
      </c>
      <c r="F42" s="605">
        <v>130</v>
      </c>
      <c r="G42" s="605">
        <v>130</v>
      </c>
      <c r="H42" s="605">
        <v>33</v>
      </c>
      <c r="I42" s="605">
        <v>22</v>
      </c>
      <c r="J42" s="605">
        <v>33</v>
      </c>
      <c r="K42" s="606">
        <v>540</v>
      </c>
      <c r="L42" s="605">
        <v>1300</v>
      </c>
      <c r="M42" s="607">
        <v>130</v>
      </c>
      <c r="N42" s="607">
        <v>16000</v>
      </c>
      <c r="O42" s="607">
        <v>16000</v>
      </c>
      <c r="P42" s="667">
        <v>350</v>
      </c>
      <c r="Q42" s="809">
        <v>1600</v>
      </c>
      <c r="R42" s="490">
        <f t="shared" si="0"/>
        <v>3022.3333333333335</v>
      </c>
      <c r="S42" s="394">
        <v>100</v>
      </c>
      <c r="T42" s="298"/>
      <c r="U42" s="298"/>
      <c r="V42" s="298"/>
      <c r="W42" s="298"/>
      <c r="X42" s="298"/>
      <c r="Y42" s="298"/>
      <c r="Z42" s="299"/>
    </row>
    <row r="43" spans="1:26">
      <c r="A43" s="307"/>
      <c r="B43" s="1104"/>
      <c r="C43" s="371">
        <v>2</v>
      </c>
      <c r="D43" s="309" t="s">
        <v>1104</v>
      </c>
      <c r="E43" s="310" t="s">
        <v>1105</v>
      </c>
      <c r="F43" s="608">
        <v>33</v>
      </c>
      <c r="G43" s="608">
        <v>49</v>
      </c>
      <c r="H43" s="608">
        <v>49</v>
      </c>
      <c r="I43" s="608">
        <v>79</v>
      </c>
      <c r="J43" s="608">
        <v>23</v>
      </c>
      <c r="K43" s="609">
        <v>350</v>
      </c>
      <c r="L43" s="608">
        <v>1400</v>
      </c>
      <c r="M43" s="610">
        <v>130</v>
      </c>
      <c r="N43" s="610">
        <v>1600</v>
      </c>
      <c r="O43" s="610">
        <v>1600</v>
      </c>
      <c r="P43" s="505">
        <v>240</v>
      </c>
      <c r="Q43" s="512">
        <v>1600</v>
      </c>
      <c r="R43" s="491">
        <f t="shared" si="0"/>
        <v>596.08333333333337</v>
      </c>
      <c r="S43" s="309">
        <v>100</v>
      </c>
      <c r="T43" s="300"/>
      <c r="U43" s="300"/>
      <c r="V43" s="300"/>
      <c r="W43" s="300"/>
      <c r="X43" s="300"/>
      <c r="Y43" s="300"/>
      <c r="Z43" s="301"/>
    </row>
    <row r="44" spans="1:26" ht="30">
      <c r="A44" s="307"/>
      <c r="B44" s="1104"/>
      <c r="C44" s="371">
        <v>3</v>
      </c>
      <c r="D44" s="309" t="s">
        <v>1106</v>
      </c>
      <c r="E44" s="310" t="s">
        <v>1107</v>
      </c>
      <c r="F44" s="608">
        <v>220</v>
      </c>
      <c r="G44" s="608">
        <v>3500</v>
      </c>
      <c r="H44" s="608">
        <v>17</v>
      </c>
      <c r="I44" s="608">
        <v>1600</v>
      </c>
      <c r="J44" s="608">
        <v>46</v>
      </c>
      <c r="K44" s="609">
        <v>240</v>
      </c>
      <c r="L44" s="608">
        <v>3400</v>
      </c>
      <c r="M44" s="610">
        <v>540</v>
      </c>
      <c r="N44" s="610">
        <v>1300</v>
      </c>
      <c r="O44" s="610">
        <v>210</v>
      </c>
      <c r="P44" s="505">
        <v>1600</v>
      </c>
      <c r="Q44" s="512">
        <v>1600</v>
      </c>
      <c r="R44" s="491">
        <f t="shared" si="0"/>
        <v>1189.4166666666667</v>
      </c>
      <c r="S44" s="309">
        <v>100</v>
      </c>
      <c r="T44" s="300"/>
      <c r="U44" s="300"/>
      <c r="V44" s="300"/>
      <c r="W44" s="300"/>
      <c r="X44" s="300"/>
      <c r="Y44" s="300"/>
      <c r="Z44" s="301"/>
    </row>
    <row r="45" spans="1:26" ht="30">
      <c r="A45" s="307"/>
      <c r="B45" s="1104"/>
      <c r="C45" s="371">
        <v>4</v>
      </c>
      <c r="D45" s="309" t="s">
        <v>1108</v>
      </c>
      <c r="E45" s="310" t="s">
        <v>1109</v>
      </c>
      <c r="F45" s="608">
        <v>350</v>
      </c>
      <c r="G45" s="608">
        <v>49</v>
      </c>
      <c r="H45" s="608">
        <v>11</v>
      </c>
      <c r="I45" s="608">
        <v>49</v>
      </c>
      <c r="J45" s="608">
        <v>79</v>
      </c>
      <c r="K45" s="609">
        <v>130</v>
      </c>
      <c r="L45" s="608">
        <v>4900</v>
      </c>
      <c r="M45" s="610">
        <v>130</v>
      </c>
      <c r="N45" s="610">
        <v>1300</v>
      </c>
      <c r="O45" s="610">
        <v>2400</v>
      </c>
      <c r="P45" s="505">
        <v>350</v>
      </c>
      <c r="Q45" s="512">
        <v>1600</v>
      </c>
      <c r="R45" s="491">
        <f t="shared" si="0"/>
        <v>945.66666666666663</v>
      </c>
      <c r="S45" s="309">
        <v>100</v>
      </c>
      <c r="T45" s="300"/>
      <c r="U45" s="300"/>
      <c r="V45" s="300"/>
      <c r="W45" s="300"/>
      <c r="X45" s="300"/>
      <c r="Y45" s="300"/>
      <c r="Z45" s="301"/>
    </row>
    <row r="46" spans="1:26">
      <c r="A46" s="307"/>
      <c r="B46" s="1104"/>
      <c r="C46" s="371">
        <v>5</v>
      </c>
      <c r="D46" s="309" t="s">
        <v>1110</v>
      </c>
      <c r="E46" s="310" t="s">
        <v>1111</v>
      </c>
      <c r="F46" s="608">
        <v>79</v>
      </c>
      <c r="G46" s="608">
        <v>540</v>
      </c>
      <c r="H46" s="608">
        <v>110</v>
      </c>
      <c r="I46" s="608">
        <v>350</v>
      </c>
      <c r="J46" s="608">
        <v>33</v>
      </c>
      <c r="K46" s="609">
        <v>920</v>
      </c>
      <c r="L46" s="608">
        <v>7900</v>
      </c>
      <c r="M46" s="610">
        <v>1600</v>
      </c>
      <c r="N46" s="610">
        <v>920</v>
      </c>
      <c r="O46" s="610">
        <v>220</v>
      </c>
      <c r="P46" s="505">
        <v>350</v>
      </c>
      <c r="Q46" s="512">
        <v>1700</v>
      </c>
      <c r="R46" s="491">
        <f t="shared" si="0"/>
        <v>1226.8333333333333</v>
      </c>
      <c r="S46" s="309">
        <v>100</v>
      </c>
      <c r="T46" s="300"/>
      <c r="U46" s="300"/>
      <c r="V46" s="300"/>
      <c r="W46" s="300"/>
      <c r="X46" s="300"/>
      <c r="Y46" s="300"/>
      <c r="Z46" s="301"/>
    </row>
    <row r="47" spans="1:26">
      <c r="A47" s="307"/>
      <c r="B47" s="1104"/>
      <c r="C47" s="396">
        <v>6</v>
      </c>
      <c r="D47" s="309" t="s">
        <v>1113</v>
      </c>
      <c r="E47" s="310" t="s">
        <v>1114</v>
      </c>
      <c r="F47" s="608">
        <v>33</v>
      </c>
      <c r="G47" s="608">
        <v>1300</v>
      </c>
      <c r="H47" s="608">
        <v>16000</v>
      </c>
      <c r="I47" s="608">
        <v>490</v>
      </c>
      <c r="J47" s="608">
        <v>240000</v>
      </c>
      <c r="K47" s="609">
        <v>160000</v>
      </c>
      <c r="L47" s="608">
        <v>54000</v>
      </c>
      <c r="M47" s="610">
        <v>2400</v>
      </c>
      <c r="N47" s="610">
        <v>92000</v>
      </c>
      <c r="O47" s="610">
        <v>220</v>
      </c>
      <c r="P47" s="505">
        <v>23</v>
      </c>
      <c r="Q47" s="512">
        <v>920</v>
      </c>
      <c r="R47" s="491">
        <f t="shared" si="0"/>
        <v>47282.166666666664</v>
      </c>
      <c r="S47" s="309">
        <v>100</v>
      </c>
      <c r="T47" s="300"/>
      <c r="U47" s="300"/>
      <c r="V47" s="300"/>
      <c r="W47" s="300"/>
      <c r="X47" s="300"/>
      <c r="Y47" s="300"/>
      <c r="Z47" s="301"/>
    </row>
    <row r="48" spans="1:26">
      <c r="A48" s="307"/>
      <c r="B48" s="1105"/>
      <c r="C48" s="371">
        <v>7</v>
      </c>
      <c r="D48" s="309" t="s">
        <v>1115</v>
      </c>
      <c r="E48" s="310" t="s">
        <v>1116</v>
      </c>
      <c r="F48" s="608">
        <v>79</v>
      </c>
      <c r="G48" s="608">
        <v>490</v>
      </c>
      <c r="H48" s="608">
        <v>230</v>
      </c>
      <c r="I48" s="608">
        <v>130</v>
      </c>
      <c r="J48" s="608">
        <v>160000</v>
      </c>
      <c r="K48" s="609">
        <v>4600</v>
      </c>
      <c r="L48" s="608">
        <v>35000</v>
      </c>
      <c r="M48" s="610">
        <v>920</v>
      </c>
      <c r="N48" s="610">
        <v>160000</v>
      </c>
      <c r="O48" s="610">
        <v>33</v>
      </c>
      <c r="P48" s="505">
        <v>79</v>
      </c>
      <c r="Q48" s="512">
        <v>1700</v>
      </c>
      <c r="R48" s="491">
        <f t="shared" si="0"/>
        <v>30271.75</v>
      </c>
      <c r="S48" s="309">
        <v>100</v>
      </c>
      <c r="T48" s="300"/>
      <c r="U48" s="300"/>
      <c r="V48" s="300"/>
      <c r="W48" s="300"/>
      <c r="X48" s="300"/>
      <c r="Y48" s="300"/>
      <c r="Z48" s="301"/>
    </row>
    <row r="49" spans="1:26">
      <c r="A49" s="307"/>
      <c r="B49" s="1106" t="s">
        <v>726</v>
      </c>
      <c r="C49" s="303">
        <v>1</v>
      </c>
      <c r="D49" s="304" t="s">
        <v>1102</v>
      </c>
      <c r="E49" s="305" t="s">
        <v>1103</v>
      </c>
      <c r="F49" s="493">
        <v>0.26600000000000001</v>
      </c>
      <c r="G49" s="493">
        <v>0.73099999999999998</v>
      </c>
      <c r="H49" s="493">
        <v>0.22900000000000001</v>
      </c>
      <c r="I49" s="493">
        <v>4.2999999999999997E-2</v>
      </c>
      <c r="J49" s="493">
        <v>0.17399999999999999</v>
      </c>
      <c r="K49" s="511">
        <v>4.2999999999999997E-2</v>
      </c>
      <c r="L49" s="493">
        <v>0.17799999999999999</v>
      </c>
      <c r="M49" s="506">
        <v>9.2999999999999999E-2</v>
      </c>
      <c r="N49" s="506">
        <v>0.51700000000000002</v>
      </c>
      <c r="O49" s="506">
        <v>0.53200000000000003</v>
      </c>
      <c r="P49" s="306">
        <v>0.316</v>
      </c>
      <c r="Q49" s="304">
        <v>0.28899999999999998</v>
      </c>
      <c r="R49" s="490">
        <f t="shared" si="0"/>
        <v>0.28424999999999995</v>
      </c>
      <c r="S49" s="304">
        <v>10</v>
      </c>
      <c r="T49" s="300"/>
      <c r="U49" s="300"/>
      <c r="V49" s="300"/>
      <c r="W49" s="300"/>
      <c r="X49" s="300"/>
      <c r="Y49" s="300"/>
      <c r="Z49" s="301"/>
    </row>
    <row r="50" spans="1:26">
      <c r="A50" s="307"/>
      <c r="B50" s="1104"/>
      <c r="C50" s="371">
        <v>2</v>
      </c>
      <c r="D50" s="309" t="s">
        <v>1104</v>
      </c>
      <c r="E50" s="310" t="s">
        <v>1105</v>
      </c>
      <c r="F50" s="536">
        <v>5.1999999999999998E-2</v>
      </c>
      <c r="G50" s="536">
        <v>2.2700000000000001E-2</v>
      </c>
      <c r="H50" s="536">
        <v>0.41299999999999998</v>
      </c>
      <c r="I50" s="536">
        <v>4.2999999999999997E-2</v>
      </c>
      <c r="J50" s="536">
        <v>0.159</v>
      </c>
      <c r="K50" s="537">
        <v>0.14299999999999999</v>
      </c>
      <c r="L50" s="536">
        <v>0.33600000000000002</v>
      </c>
      <c r="M50" s="484">
        <v>0.22800000000000001</v>
      </c>
      <c r="N50" s="484">
        <v>0.17899999999999999</v>
      </c>
      <c r="O50" s="484">
        <v>0.21299999999999999</v>
      </c>
      <c r="P50" s="311">
        <v>0.23899999999999999</v>
      </c>
      <c r="Q50" s="309">
        <v>9.1999999999999998E-2</v>
      </c>
      <c r="R50" s="491">
        <f t="shared" si="0"/>
        <v>0.1766416666666667</v>
      </c>
      <c r="S50" s="309">
        <v>10</v>
      </c>
      <c r="T50" s="300"/>
      <c r="U50" s="300"/>
      <c r="V50" s="300"/>
      <c r="W50" s="300"/>
      <c r="X50" s="300"/>
      <c r="Y50" s="300"/>
      <c r="Z50" s="301"/>
    </row>
    <row r="51" spans="1:26" ht="30">
      <c r="A51" s="307"/>
      <c r="B51" s="1104"/>
      <c r="C51" s="371">
        <v>3</v>
      </c>
      <c r="D51" s="309" t="s">
        <v>1106</v>
      </c>
      <c r="E51" s="310" t="s">
        <v>1107</v>
      </c>
      <c r="F51" s="536">
        <v>0.18</v>
      </c>
      <c r="G51" s="536">
        <v>0.316</v>
      </c>
      <c r="H51" s="536">
        <v>0.443</v>
      </c>
      <c r="I51" s="536">
        <v>4.2999999999999997E-2</v>
      </c>
      <c r="J51" s="536">
        <v>0.13900000000000001</v>
      </c>
      <c r="K51" s="537">
        <v>0.125</v>
      </c>
      <c r="L51" s="536">
        <v>0.51</v>
      </c>
      <c r="M51" s="484">
        <v>4.2999999999999997E-2</v>
      </c>
      <c r="N51" s="484">
        <v>0.159</v>
      </c>
      <c r="O51" s="484">
        <v>0.27500000000000002</v>
      </c>
      <c r="P51" s="311">
        <v>0.122</v>
      </c>
      <c r="Q51" s="537">
        <v>0.19</v>
      </c>
      <c r="R51" s="491">
        <f t="shared" si="0"/>
        <v>0.21208333333333332</v>
      </c>
      <c r="S51" s="309">
        <v>10</v>
      </c>
      <c r="T51" s="300"/>
      <c r="U51" s="300"/>
      <c r="V51" s="300"/>
      <c r="W51" s="300"/>
      <c r="X51" s="300"/>
      <c r="Y51" s="300"/>
      <c r="Z51" s="301"/>
    </row>
    <row r="52" spans="1:26" ht="30">
      <c r="A52" s="307"/>
      <c r="B52" s="1104"/>
      <c r="C52" s="371">
        <v>4</v>
      </c>
      <c r="D52" s="309" t="s">
        <v>1108</v>
      </c>
      <c r="E52" s="310" t="s">
        <v>1109</v>
      </c>
      <c r="F52" s="536">
        <v>0.55200000000000005</v>
      </c>
      <c r="G52" s="536">
        <v>0.71199999999999997</v>
      </c>
      <c r="H52" s="536">
        <v>0.20300000000000001</v>
      </c>
      <c r="I52" s="536">
        <v>4.2999999999999997E-2</v>
      </c>
      <c r="J52" s="536">
        <v>5.5E-2</v>
      </c>
      <c r="K52" s="537">
        <v>9.7000000000000003E-2</v>
      </c>
      <c r="L52" s="536">
        <v>0.56499999999999995</v>
      </c>
      <c r="M52" s="484">
        <v>1.34E-2</v>
      </c>
      <c r="N52" s="484">
        <v>0.22</v>
      </c>
      <c r="O52" s="484">
        <v>0.40699999999999997</v>
      </c>
      <c r="P52" s="311">
        <v>9.6000000000000002E-2</v>
      </c>
      <c r="Q52" s="309">
        <v>4.7E-2</v>
      </c>
      <c r="R52" s="491">
        <f t="shared" si="0"/>
        <v>0.25086666666666668</v>
      </c>
      <c r="S52" s="309">
        <v>10</v>
      </c>
      <c r="T52" s="300"/>
      <c r="U52" s="300"/>
      <c r="V52" s="300"/>
      <c r="W52" s="300"/>
      <c r="X52" s="300"/>
      <c r="Y52" s="300"/>
      <c r="Z52" s="301"/>
    </row>
    <row r="53" spans="1:26">
      <c r="A53" s="307"/>
      <c r="B53" s="1104"/>
      <c r="C53" s="371">
        <v>5</v>
      </c>
      <c r="D53" s="309" t="s">
        <v>1110</v>
      </c>
      <c r="E53" s="310" t="s">
        <v>1111</v>
      </c>
      <c r="F53" s="536">
        <v>1.1819999999999999</v>
      </c>
      <c r="G53" s="536">
        <v>0.55200000000000005</v>
      </c>
      <c r="H53" s="536">
        <v>0.156</v>
      </c>
      <c r="I53" s="536">
        <v>4.2999999999999997E-2</v>
      </c>
      <c r="J53" s="536">
        <v>0.113</v>
      </c>
      <c r="K53" s="537">
        <v>0.128</v>
      </c>
      <c r="L53" s="536">
        <v>0.60799999999999998</v>
      </c>
      <c r="M53" s="484">
        <v>4.2999999999999997E-2</v>
      </c>
      <c r="N53" s="484">
        <v>0.222</v>
      </c>
      <c r="O53" s="484">
        <v>0.441</v>
      </c>
      <c r="P53" s="311">
        <v>5.6000000000000001E-2</v>
      </c>
      <c r="Q53" s="309">
        <v>0.124</v>
      </c>
      <c r="R53" s="491">
        <f t="shared" si="0"/>
        <v>0.3056666666666667</v>
      </c>
      <c r="S53" s="309">
        <v>10</v>
      </c>
      <c r="T53" s="300"/>
      <c r="U53" s="300"/>
      <c r="V53" s="300"/>
      <c r="W53" s="300"/>
      <c r="X53" s="300"/>
      <c r="Y53" s="300"/>
      <c r="Z53" s="301"/>
    </row>
    <row r="54" spans="1:26">
      <c r="A54" s="307"/>
      <c r="B54" s="1104"/>
      <c r="C54" s="371">
        <v>6</v>
      </c>
      <c r="D54" s="309" t="s">
        <v>1113</v>
      </c>
      <c r="E54" s="310" t="s">
        <v>1114</v>
      </c>
      <c r="F54" s="536">
        <v>0.126</v>
      </c>
      <c r="G54" s="536">
        <v>0.66900000000000004</v>
      </c>
      <c r="H54" s="536">
        <v>6.6000000000000003E-2</v>
      </c>
      <c r="I54" s="536">
        <v>0.109</v>
      </c>
      <c r="J54" s="536">
        <v>4.2999999999999997E-2</v>
      </c>
      <c r="K54" s="537">
        <v>4.2999999999999997E-2</v>
      </c>
      <c r="L54" s="536">
        <v>0.34499999999999997</v>
      </c>
      <c r="M54" s="484">
        <v>0.16500000000000001</v>
      </c>
      <c r="N54" s="484">
        <v>0.39300000000000002</v>
      </c>
      <c r="O54" s="484">
        <v>0.371</v>
      </c>
      <c r="P54" s="311">
        <v>0.10100000000000001</v>
      </c>
      <c r="Q54" s="309">
        <v>4.2999999999999997E-2</v>
      </c>
      <c r="R54" s="491">
        <f t="shared" si="0"/>
        <v>0.20616666666666669</v>
      </c>
      <c r="S54" s="309">
        <v>10</v>
      </c>
      <c r="T54" s="300"/>
      <c r="U54" s="300"/>
      <c r="V54" s="300"/>
      <c r="W54" s="300"/>
      <c r="X54" s="300"/>
      <c r="Y54" s="300"/>
      <c r="Z54" s="301"/>
    </row>
    <row r="55" spans="1:26">
      <c r="A55" s="307"/>
      <c r="B55" s="1105"/>
      <c r="C55" s="371">
        <v>7</v>
      </c>
      <c r="D55" s="309" t="s">
        <v>1115</v>
      </c>
      <c r="E55" s="310" t="s">
        <v>1116</v>
      </c>
      <c r="F55" s="536">
        <v>3.4000000000000002E-2</v>
      </c>
      <c r="G55" s="536">
        <v>0.109</v>
      </c>
      <c r="H55" s="536">
        <v>7.9000000000000001E-2</v>
      </c>
      <c r="I55" s="536">
        <v>4.2999999999999997E-2</v>
      </c>
      <c r="J55" s="536">
        <v>4.2999999999999997E-2</v>
      </c>
      <c r="K55" s="537">
        <v>9.4E-2</v>
      </c>
      <c r="L55" s="536">
        <v>0.315</v>
      </c>
      <c r="M55" s="484">
        <v>0.13900000000000001</v>
      </c>
      <c r="N55" s="484">
        <v>0.22500000000000001</v>
      </c>
      <c r="O55" s="484">
        <v>0.19500000000000001</v>
      </c>
      <c r="P55" s="311">
        <v>6.9000000000000006E-2</v>
      </c>
      <c r="Q55" s="309">
        <v>4.2999999999999997E-2</v>
      </c>
      <c r="R55" s="491">
        <f t="shared" si="0"/>
        <v>0.11566666666666668</v>
      </c>
      <c r="S55" s="309">
        <v>10</v>
      </c>
      <c r="T55" s="300"/>
      <c r="U55" s="300"/>
      <c r="V55" s="300"/>
      <c r="W55" s="300"/>
      <c r="X55" s="300"/>
      <c r="Y55" s="300"/>
      <c r="Z55" s="301"/>
    </row>
    <row r="56" spans="1:26">
      <c r="A56" s="307"/>
      <c r="B56" s="1106" t="s">
        <v>727</v>
      </c>
      <c r="C56" s="303">
        <v>1</v>
      </c>
      <c r="D56" s="304" t="s">
        <v>1102</v>
      </c>
      <c r="E56" s="305" t="s">
        <v>1103</v>
      </c>
      <c r="F56" s="572">
        <v>0.10100000000000001</v>
      </c>
      <c r="G56" s="572">
        <v>0.20899999999999999</v>
      </c>
      <c r="H56" s="572">
        <v>0.26900000000000002</v>
      </c>
      <c r="I56" s="572">
        <v>1.0999999999999999E-2</v>
      </c>
      <c r="J56" s="572">
        <v>0.27800000000000002</v>
      </c>
      <c r="K56" s="573">
        <v>0.16900000000000001</v>
      </c>
      <c r="L56" s="572">
        <v>0.41099999999999998</v>
      </c>
      <c r="M56" s="483">
        <v>0.14599999999999999</v>
      </c>
      <c r="N56" s="483">
        <v>0.70099999999999996</v>
      </c>
      <c r="O56" s="483">
        <v>0.17299999999999999</v>
      </c>
      <c r="P56" s="306">
        <v>0.18</v>
      </c>
      <c r="Q56" s="304">
        <v>0.151</v>
      </c>
      <c r="R56" s="490">
        <f t="shared" si="0"/>
        <v>0.23324999999999999</v>
      </c>
      <c r="S56" s="304">
        <v>0.2</v>
      </c>
      <c r="T56" s="300"/>
      <c r="U56" s="300"/>
      <c r="V56" s="300"/>
      <c r="W56" s="300"/>
      <c r="X56" s="300"/>
      <c r="Y56" s="300"/>
      <c r="Z56" s="301"/>
    </row>
    <row r="57" spans="1:26">
      <c r="A57" s="307"/>
      <c r="B57" s="1104"/>
      <c r="C57" s="371">
        <v>2</v>
      </c>
      <c r="D57" s="309" t="s">
        <v>1104</v>
      </c>
      <c r="E57" s="310" t="s">
        <v>1105</v>
      </c>
      <c r="F57" s="536">
        <v>9.6000000000000002E-2</v>
      </c>
      <c r="G57" s="536">
        <v>0.129</v>
      </c>
      <c r="H57" s="536">
        <v>0.22800000000000001</v>
      </c>
      <c r="I57" s="536">
        <v>1.0999999999999999E-2</v>
      </c>
      <c r="J57" s="536">
        <v>0.24</v>
      </c>
      <c r="K57" s="537">
        <v>0.14899999999999999</v>
      </c>
      <c r="L57" s="536">
        <v>0.38500000000000001</v>
      </c>
      <c r="M57" s="484">
        <v>0.14099999999999999</v>
      </c>
      <c r="N57" s="484">
        <v>0.60499999999999998</v>
      </c>
      <c r="O57" s="484">
        <v>0.189</v>
      </c>
      <c r="P57" s="311">
        <v>0.154</v>
      </c>
      <c r="Q57" s="309">
        <v>0.27600000000000002</v>
      </c>
      <c r="R57" s="491">
        <f t="shared" si="0"/>
        <v>0.21691666666666665</v>
      </c>
      <c r="S57" s="309">
        <v>0.2</v>
      </c>
      <c r="T57" s="300"/>
      <c r="U57" s="300"/>
      <c r="V57" s="300"/>
      <c r="W57" s="300"/>
      <c r="X57" s="300"/>
      <c r="Y57" s="300"/>
      <c r="Z57" s="301"/>
    </row>
    <row r="58" spans="1:26" ht="30">
      <c r="A58" s="307"/>
      <c r="B58" s="1104"/>
      <c r="C58" s="371">
        <v>3</v>
      </c>
      <c r="D58" s="309" t="s">
        <v>1106</v>
      </c>
      <c r="E58" s="310" t="s">
        <v>1107</v>
      </c>
      <c r="F58" s="536">
        <v>0.11600000000000001</v>
      </c>
      <c r="G58" s="536">
        <v>9.1999999999999998E-2</v>
      </c>
      <c r="H58" s="536">
        <v>0.26700000000000002</v>
      </c>
      <c r="I58" s="536">
        <v>1.0999999999999999E-2</v>
      </c>
      <c r="J58" s="536">
        <v>0.218</v>
      </c>
      <c r="K58" s="537">
        <v>0.126</v>
      </c>
      <c r="L58" s="536">
        <v>0.372</v>
      </c>
      <c r="M58" s="484">
        <v>0.107</v>
      </c>
      <c r="N58" s="484">
        <v>0.77500000000000002</v>
      </c>
      <c r="O58" s="484">
        <v>0.18</v>
      </c>
      <c r="P58" s="311">
        <v>0.161</v>
      </c>
      <c r="Q58" s="309">
        <v>0.20100000000000001</v>
      </c>
      <c r="R58" s="491">
        <f t="shared" si="0"/>
        <v>0.21883333333333335</v>
      </c>
      <c r="S58" s="309">
        <v>0.2</v>
      </c>
      <c r="T58" s="300"/>
      <c r="U58" s="300"/>
      <c r="V58" s="300"/>
      <c r="W58" s="300"/>
      <c r="X58" s="300"/>
      <c r="Y58" s="300"/>
      <c r="Z58" s="301"/>
    </row>
    <row r="59" spans="1:26" ht="30">
      <c r="A59" s="307"/>
      <c r="B59" s="1104"/>
      <c r="C59" s="371">
        <v>4</v>
      </c>
      <c r="D59" s="309" t="s">
        <v>1108</v>
      </c>
      <c r="E59" s="310" t="s">
        <v>1109</v>
      </c>
      <c r="F59" s="536">
        <v>0.159</v>
      </c>
      <c r="G59" s="536">
        <v>7.8E-2</v>
      </c>
      <c r="H59" s="536">
        <v>0.17699999999999999</v>
      </c>
      <c r="I59" s="536">
        <v>1.0999999999999999E-2</v>
      </c>
      <c r="J59" s="536">
        <v>0.14599999999999999</v>
      </c>
      <c r="K59" s="537">
        <v>0.14599999999999999</v>
      </c>
      <c r="L59" s="536">
        <v>0.38</v>
      </c>
      <c r="M59" s="484">
        <v>0.124</v>
      </c>
      <c r="N59" s="484">
        <v>0.59799999999999998</v>
      </c>
      <c r="O59" s="484">
        <v>0.19500000000000001</v>
      </c>
      <c r="P59" s="311">
        <v>0.125</v>
      </c>
      <c r="Q59" s="309">
        <v>0.214</v>
      </c>
      <c r="R59" s="491">
        <f t="shared" si="0"/>
        <v>0.1960833333333333</v>
      </c>
      <c r="S59" s="309">
        <v>0.2</v>
      </c>
      <c r="T59" s="300"/>
      <c r="U59" s="300"/>
      <c r="V59" s="300"/>
      <c r="W59" s="300"/>
      <c r="X59" s="300"/>
      <c r="Y59" s="300"/>
      <c r="Z59" s="301"/>
    </row>
    <row r="60" spans="1:26">
      <c r="A60" s="307"/>
      <c r="B60" s="1104"/>
      <c r="C60" s="371">
        <v>5</v>
      </c>
      <c r="D60" s="309" t="s">
        <v>1110</v>
      </c>
      <c r="E60" s="310" t="s">
        <v>1111</v>
      </c>
      <c r="F60" s="536">
        <v>0.20699999999999999</v>
      </c>
      <c r="G60" s="536">
        <v>4.3999999999999997E-2</v>
      </c>
      <c r="H60" s="536">
        <v>0.20599999999999999</v>
      </c>
      <c r="I60" s="536">
        <v>1.0999999999999999E-2</v>
      </c>
      <c r="J60" s="536">
        <v>9.7000000000000003E-2</v>
      </c>
      <c r="K60" s="537">
        <v>7.4999999999999997E-2</v>
      </c>
      <c r="L60" s="536">
        <v>0.42499999999999999</v>
      </c>
      <c r="M60" s="484">
        <v>8.3000000000000004E-2</v>
      </c>
      <c r="N60" s="484">
        <v>0.53100000000000003</v>
      </c>
      <c r="O60" s="484">
        <v>0.18</v>
      </c>
      <c r="P60" s="311">
        <v>9.1999999999999998E-2</v>
      </c>
      <c r="Q60" s="309">
        <v>9.2999999999999999E-2</v>
      </c>
      <c r="R60" s="491">
        <f t="shared" si="0"/>
        <v>0.17033333333333334</v>
      </c>
      <c r="S60" s="309">
        <v>0.2</v>
      </c>
      <c r="T60" s="300"/>
      <c r="U60" s="300"/>
      <c r="V60" s="300"/>
      <c r="W60" s="300"/>
      <c r="X60" s="300"/>
      <c r="Y60" s="300"/>
      <c r="Z60" s="301"/>
    </row>
    <row r="61" spans="1:26">
      <c r="A61" s="307"/>
      <c r="B61" s="1104"/>
      <c r="C61" s="371">
        <v>6</v>
      </c>
      <c r="D61" s="309" t="s">
        <v>1113</v>
      </c>
      <c r="E61" s="310" t="s">
        <v>1114</v>
      </c>
      <c r="F61" s="536">
        <v>1.4999999999999999E-2</v>
      </c>
      <c r="G61" s="536">
        <v>1.0999999999999999E-2</v>
      </c>
      <c r="H61" s="536">
        <v>4.8000000000000001E-2</v>
      </c>
      <c r="I61" s="536">
        <v>1.0999999999999999E-2</v>
      </c>
      <c r="J61" s="536">
        <v>6.3E-2</v>
      </c>
      <c r="K61" s="537">
        <v>7.1999999999999995E-2</v>
      </c>
      <c r="L61" s="536">
        <v>0.23599999999999999</v>
      </c>
      <c r="M61" s="484">
        <v>5.6000000000000001E-2</v>
      </c>
      <c r="N61" s="484">
        <v>3.5000000000000003E-2</v>
      </c>
      <c r="O61" s="484">
        <v>8.5000000000000006E-2</v>
      </c>
      <c r="P61" s="311">
        <v>3.9E-2</v>
      </c>
      <c r="Q61" s="309">
        <v>0.252</v>
      </c>
      <c r="R61" s="491">
        <f t="shared" si="0"/>
        <v>7.6916666666666675E-2</v>
      </c>
      <c r="S61" s="309">
        <v>0.2</v>
      </c>
      <c r="T61" s="300"/>
      <c r="U61" s="300"/>
      <c r="V61" s="300"/>
      <c r="W61" s="300"/>
      <c r="X61" s="300"/>
      <c r="Y61" s="300"/>
      <c r="Z61" s="301"/>
    </row>
    <row r="62" spans="1:26">
      <c r="A62" s="307"/>
      <c r="B62" s="1105"/>
      <c r="C62" s="371">
        <v>7</v>
      </c>
      <c r="D62" s="309" t="s">
        <v>1115</v>
      </c>
      <c r="E62" s="310" t="s">
        <v>1116</v>
      </c>
      <c r="F62" s="536">
        <v>1.0999999999999999E-2</v>
      </c>
      <c r="G62" s="536">
        <v>1.2E-2</v>
      </c>
      <c r="H62" s="536">
        <v>4.2000000000000003E-2</v>
      </c>
      <c r="I62" s="536">
        <v>1.2E-2</v>
      </c>
      <c r="J62" s="536">
        <v>5.3999999999999999E-2</v>
      </c>
      <c r="K62" s="537">
        <v>0.05</v>
      </c>
      <c r="L62" s="536">
        <v>0.46600000000000003</v>
      </c>
      <c r="M62" s="484">
        <v>5.6000000000000001E-2</v>
      </c>
      <c r="N62" s="484">
        <v>8.3000000000000004E-2</v>
      </c>
      <c r="O62" s="484">
        <v>1.9E-2</v>
      </c>
      <c r="P62" s="311">
        <v>5.8000000000000003E-2</v>
      </c>
      <c r="Q62" s="309">
        <v>8.3000000000000004E-2</v>
      </c>
      <c r="R62" s="491">
        <f t="shared" si="0"/>
        <v>7.8833333333333339E-2</v>
      </c>
      <c r="S62" s="309">
        <v>0.2</v>
      </c>
      <c r="T62" s="300"/>
      <c r="U62" s="300"/>
      <c r="V62" s="300"/>
      <c r="W62" s="300"/>
      <c r="X62" s="300"/>
      <c r="Y62" s="300"/>
      <c r="Z62" s="301"/>
    </row>
    <row r="63" spans="1:26">
      <c r="A63" s="319"/>
      <c r="B63" s="398"/>
      <c r="C63" s="397"/>
      <c r="D63" s="311"/>
      <c r="E63" s="311"/>
      <c r="F63" s="311"/>
      <c r="G63" s="311"/>
      <c r="H63" s="311"/>
      <c r="I63" s="311"/>
      <c r="J63" s="311"/>
      <c r="K63" s="311"/>
      <c r="L63" s="311"/>
      <c r="M63" s="505"/>
      <c r="N63" s="311"/>
      <c r="O63" s="311"/>
      <c r="P63" s="311"/>
      <c r="Q63" s="300"/>
      <c r="R63" s="300"/>
      <c r="S63" s="300"/>
      <c r="T63" s="300"/>
      <c r="U63" s="300"/>
      <c r="V63" s="300"/>
      <c r="W63" s="300"/>
      <c r="X63" s="300"/>
      <c r="Y63" s="300"/>
      <c r="Z63" s="301"/>
    </row>
    <row r="64" spans="1:26">
      <c r="A64" s="1005"/>
      <c r="B64" s="1006"/>
      <c r="C64" s="1061"/>
      <c r="D64" s="308" t="s">
        <v>314</v>
      </c>
      <c r="E64" s="311"/>
      <c r="F64" s="311"/>
      <c r="G64" s="311"/>
      <c r="H64" s="311"/>
      <c r="I64" s="311"/>
      <c r="J64" s="311"/>
      <c r="K64" s="311"/>
      <c r="L64" s="311"/>
      <c r="M64" s="505"/>
      <c r="N64" s="311"/>
      <c r="O64" s="311"/>
      <c r="P64" s="311"/>
      <c r="Q64" s="300"/>
      <c r="R64" s="300"/>
      <c r="S64" s="300"/>
      <c r="T64" s="300"/>
      <c r="U64" s="300"/>
      <c r="V64" s="300"/>
      <c r="W64" s="300"/>
      <c r="X64" s="300"/>
      <c r="Y64" s="300"/>
      <c r="Z64" s="301"/>
    </row>
    <row r="65" spans="1:26" ht="336">
      <c r="A65" s="1008"/>
      <c r="B65" s="1009"/>
      <c r="C65" s="1062"/>
      <c r="D65" s="464" t="s">
        <v>1102</v>
      </c>
      <c r="E65" s="508" t="s">
        <v>1103</v>
      </c>
      <c r="F65" s="508" t="s">
        <v>1117</v>
      </c>
      <c r="G65" s="508" t="s">
        <v>1118</v>
      </c>
      <c r="H65" s="508" t="s">
        <v>1119</v>
      </c>
      <c r="I65" s="508" t="s">
        <v>1120</v>
      </c>
      <c r="J65" s="508" t="s">
        <v>1121</v>
      </c>
      <c r="K65" s="508" t="s">
        <v>1122</v>
      </c>
      <c r="L65" s="539" t="s">
        <v>1122</v>
      </c>
      <c r="M65" s="508" t="s">
        <v>1123</v>
      </c>
      <c r="N65" s="508" t="s">
        <v>1124</v>
      </c>
      <c r="O65" s="508" t="s">
        <v>1125</v>
      </c>
      <c r="P65" s="465"/>
      <c r="Q65" s="708" t="s">
        <v>1126</v>
      </c>
      <c r="R65" s="300"/>
      <c r="S65" s="300"/>
      <c r="T65" s="300"/>
      <c r="U65" s="300"/>
      <c r="V65" s="300"/>
      <c r="W65" s="300"/>
      <c r="X65" s="300"/>
      <c r="Y65" s="300"/>
      <c r="Z65" s="301"/>
    </row>
    <row r="66" spans="1:26" ht="275.25">
      <c r="A66" s="1083"/>
      <c r="B66" s="1084"/>
      <c r="C66" s="1085"/>
      <c r="D66" s="309" t="s">
        <v>1104</v>
      </c>
      <c r="E66" s="310" t="s">
        <v>1105</v>
      </c>
      <c r="F66" s="310" t="s">
        <v>1127</v>
      </c>
      <c r="G66" s="320" t="s">
        <v>1128</v>
      </c>
      <c r="H66" s="320" t="s">
        <v>1129</v>
      </c>
      <c r="I66" s="320" t="s">
        <v>1130</v>
      </c>
      <c r="J66" s="320" t="s">
        <v>1131</v>
      </c>
      <c r="K66" s="320" t="s">
        <v>1132</v>
      </c>
      <c r="L66" s="517" t="s">
        <v>1132</v>
      </c>
      <c r="M66" s="320" t="s">
        <v>1123</v>
      </c>
      <c r="N66" s="320" t="s">
        <v>1124</v>
      </c>
      <c r="O66" s="320" t="s">
        <v>1133</v>
      </c>
      <c r="P66" s="320"/>
      <c r="Q66" s="712" t="s">
        <v>1134</v>
      </c>
      <c r="R66" s="300"/>
      <c r="S66" s="300"/>
      <c r="T66" s="300"/>
      <c r="U66" s="300"/>
      <c r="V66" s="300"/>
      <c r="W66" s="300"/>
      <c r="X66" s="300"/>
      <c r="Y66" s="300"/>
      <c r="Z66" s="301"/>
    </row>
    <row r="67" spans="1:26" ht="290.25">
      <c r="A67" s="319"/>
      <c r="B67" s="398"/>
      <c r="C67" s="301"/>
      <c r="D67" s="309" t="s">
        <v>1106</v>
      </c>
      <c r="E67" s="320" t="s">
        <v>1107</v>
      </c>
      <c r="F67" s="320" t="s">
        <v>1135</v>
      </c>
      <c r="G67" s="320" t="s">
        <v>1136</v>
      </c>
      <c r="H67" s="320" t="s">
        <v>1137</v>
      </c>
      <c r="I67" s="320" t="s">
        <v>1138</v>
      </c>
      <c r="J67" s="320" t="s">
        <v>1139</v>
      </c>
      <c r="K67" s="320" t="s">
        <v>1140</v>
      </c>
      <c r="L67" s="517" t="s">
        <v>1140</v>
      </c>
      <c r="M67" s="320" t="s">
        <v>1141</v>
      </c>
      <c r="N67" s="320" t="s">
        <v>1142</v>
      </c>
      <c r="O67" s="320" t="s">
        <v>1143</v>
      </c>
      <c r="P67" s="710"/>
      <c r="Q67" s="709" t="s">
        <v>1144</v>
      </c>
      <c r="R67" s="623"/>
      <c r="S67" s="300"/>
      <c r="T67" s="300"/>
      <c r="U67" s="300"/>
      <c r="V67" s="300"/>
      <c r="W67" s="300"/>
      <c r="X67" s="300"/>
      <c r="Y67" s="300"/>
      <c r="Z67" s="301"/>
    </row>
    <row r="68" spans="1:26" ht="137.25">
      <c r="A68" s="1005"/>
      <c r="B68" s="1006"/>
      <c r="C68" s="1061"/>
      <c r="D68" s="309" t="s">
        <v>1108</v>
      </c>
      <c r="E68" s="320" t="s">
        <v>1109</v>
      </c>
      <c r="F68" s="320" t="s">
        <v>1145</v>
      </c>
      <c r="G68" s="320" t="s">
        <v>1146</v>
      </c>
      <c r="H68" s="320" t="s">
        <v>1147</v>
      </c>
      <c r="I68" s="320" t="s">
        <v>1148</v>
      </c>
      <c r="J68" s="320" t="s">
        <v>1149</v>
      </c>
      <c r="K68" s="320" t="s">
        <v>1150</v>
      </c>
      <c r="L68" s="517" t="s">
        <v>1150</v>
      </c>
      <c r="M68" s="320" t="s">
        <v>1151</v>
      </c>
      <c r="N68" s="320" t="s">
        <v>1124</v>
      </c>
      <c r="O68" s="320" t="s">
        <v>1143</v>
      </c>
      <c r="P68" s="710"/>
      <c r="Q68" s="709" t="s">
        <v>1144</v>
      </c>
      <c r="R68" s="623"/>
      <c r="S68" s="300"/>
      <c r="T68" s="300"/>
      <c r="U68" s="300"/>
      <c r="V68" s="300"/>
      <c r="W68" s="300"/>
      <c r="X68" s="300"/>
      <c r="Y68" s="300"/>
      <c r="Z68" s="301"/>
    </row>
    <row r="69" spans="1:26" ht="275.25">
      <c r="A69" s="1008"/>
      <c r="B69" s="1009"/>
      <c r="C69" s="1062"/>
      <c r="D69" s="311" t="s">
        <v>1110</v>
      </c>
      <c r="E69" s="320" t="s">
        <v>1111</v>
      </c>
      <c r="F69" s="320" t="s">
        <v>1152</v>
      </c>
      <c r="G69" s="320" t="s">
        <v>1153</v>
      </c>
      <c r="H69" s="320" t="s">
        <v>1154</v>
      </c>
      <c r="I69" s="320" t="s">
        <v>1155</v>
      </c>
      <c r="J69" s="320" t="s">
        <v>1156</v>
      </c>
      <c r="K69" s="320" t="s">
        <v>1157</v>
      </c>
      <c r="L69" s="517" t="s">
        <v>1157</v>
      </c>
      <c r="M69" s="320" t="s">
        <v>1158</v>
      </c>
      <c r="N69" s="320" t="s">
        <v>1159</v>
      </c>
      <c r="O69" s="320" t="s">
        <v>1078</v>
      </c>
      <c r="P69" s="711"/>
      <c r="Q69" s="709" t="s">
        <v>1144</v>
      </c>
      <c r="R69" s="623"/>
      <c r="S69" s="300"/>
      <c r="T69" s="300"/>
      <c r="U69" s="300"/>
      <c r="V69" s="300"/>
      <c r="W69" s="300"/>
      <c r="X69" s="300"/>
      <c r="Y69" s="300"/>
      <c r="Z69" s="301"/>
    </row>
    <row r="70" spans="1:26" ht="336">
      <c r="A70" s="319"/>
      <c r="B70" s="398"/>
      <c r="C70" s="301"/>
      <c r="D70" s="311" t="s">
        <v>1113</v>
      </c>
      <c r="E70" s="320" t="s">
        <v>1114</v>
      </c>
      <c r="F70" s="320" t="s">
        <v>1160</v>
      </c>
      <c r="G70" s="320" t="s">
        <v>1161</v>
      </c>
      <c r="H70" s="320" t="s">
        <v>1162</v>
      </c>
      <c r="I70" s="320" t="s">
        <v>1163</v>
      </c>
      <c r="J70" s="320" t="s">
        <v>1164</v>
      </c>
      <c r="K70" s="320" t="s">
        <v>1165</v>
      </c>
      <c r="L70" s="517" t="s">
        <v>1165</v>
      </c>
      <c r="M70" s="320" t="s">
        <v>1166</v>
      </c>
      <c r="N70" s="320" t="s">
        <v>1167</v>
      </c>
      <c r="O70" s="320" t="s">
        <v>1168</v>
      </c>
      <c r="P70" s="710"/>
      <c r="Q70" s="709" t="s">
        <v>1144</v>
      </c>
      <c r="R70" s="623"/>
      <c r="S70" s="300"/>
      <c r="T70" s="300"/>
      <c r="U70" s="300"/>
      <c r="V70" s="300"/>
      <c r="W70" s="300"/>
      <c r="X70" s="300"/>
      <c r="Y70" s="300"/>
      <c r="Z70" s="301"/>
    </row>
    <row r="71" spans="1:26" ht="229.5">
      <c r="A71" s="1005"/>
      <c r="B71" s="1006"/>
      <c r="C71" s="1061"/>
      <c r="D71" s="311" t="s">
        <v>1115</v>
      </c>
      <c r="E71" s="320" t="s">
        <v>1116</v>
      </c>
      <c r="F71" s="320" t="s">
        <v>1169</v>
      </c>
      <c r="G71" s="320" t="s">
        <v>1170</v>
      </c>
      <c r="H71" s="320" t="s">
        <v>1171</v>
      </c>
      <c r="I71" s="320" t="s">
        <v>1172</v>
      </c>
      <c r="J71" s="320" t="s">
        <v>1173</v>
      </c>
      <c r="K71" s="320" t="s">
        <v>1174</v>
      </c>
      <c r="L71" s="517" t="s">
        <v>1174</v>
      </c>
      <c r="M71" s="320" t="s">
        <v>1175</v>
      </c>
      <c r="N71" s="320" t="s">
        <v>1176</v>
      </c>
      <c r="O71" s="320" t="s">
        <v>1177</v>
      </c>
      <c r="P71" s="710"/>
      <c r="Q71" s="709" t="s">
        <v>1144</v>
      </c>
      <c r="R71" s="623"/>
      <c r="S71" s="300"/>
      <c r="T71" s="300"/>
      <c r="U71" s="300"/>
      <c r="V71" s="300"/>
      <c r="W71" s="300"/>
      <c r="X71" s="300"/>
      <c r="Y71" s="300"/>
      <c r="Z71" s="301"/>
    </row>
    <row r="72" spans="1:26">
      <c r="A72" s="1059"/>
      <c r="B72" s="1101"/>
      <c r="C72" s="1102"/>
      <c r="D72" s="313"/>
      <c r="E72" s="313"/>
      <c r="F72" s="313"/>
      <c r="G72" s="313"/>
      <c r="H72" s="313"/>
      <c r="I72" s="313"/>
      <c r="J72" s="313"/>
      <c r="K72" s="313"/>
      <c r="L72" s="313"/>
      <c r="M72" s="518">
        <v>45881</v>
      </c>
      <c r="N72" s="518">
        <v>45916</v>
      </c>
      <c r="O72" s="518">
        <v>45951</v>
      </c>
      <c r="P72" s="313"/>
      <c r="Q72" s="713"/>
      <c r="R72" s="313"/>
      <c r="S72" s="313"/>
      <c r="T72" s="313"/>
      <c r="U72" s="313"/>
      <c r="V72" s="313"/>
      <c r="W72" s="313"/>
      <c r="X72" s="313"/>
      <c r="Y72" s="313"/>
      <c r="Z72" s="311"/>
    </row>
    <row r="74" spans="1:26">
      <c r="D74" s="630" t="s">
        <v>1178</v>
      </c>
      <c r="E74" s="630"/>
      <c r="F74" s="232"/>
      <c r="G74" s="232"/>
      <c r="H74" s="232"/>
      <c r="I74" s="232"/>
      <c r="J74" s="232"/>
      <c r="K74" s="232"/>
      <c r="L74" s="232"/>
      <c r="M74" s="232"/>
      <c r="N74" s="232"/>
      <c r="O74" s="232"/>
      <c r="P74" s="232"/>
      <c r="Q74" s="232"/>
      <c r="R74" s="232"/>
      <c r="S74" s="232"/>
    </row>
    <row r="75" spans="1:26">
      <c r="C75" s="631"/>
      <c r="D75" s="873" t="s">
        <v>1179</v>
      </c>
      <c r="E75" s="874"/>
      <c r="F75" s="874"/>
      <c r="G75" s="874"/>
      <c r="H75" s="874"/>
      <c r="I75" s="874"/>
      <c r="J75" s="874"/>
      <c r="K75" s="874"/>
      <c r="L75" s="874"/>
      <c r="M75" s="874"/>
      <c r="N75" s="874"/>
      <c r="O75" s="874"/>
      <c r="P75" s="874"/>
      <c r="Q75" s="874"/>
      <c r="R75" s="874"/>
      <c r="S75" s="875"/>
      <c r="T75" s="232"/>
    </row>
    <row r="76" spans="1:26">
      <c r="C76" s="631"/>
      <c r="D76" s="876"/>
      <c r="E76" s="877"/>
      <c r="F76" s="877"/>
      <c r="G76" s="877"/>
      <c r="H76" s="877"/>
      <c r="I76" s="877"/>
      <c r="J76" s="877"/>
      <c r="K76" s="877"/>
      <c r="L76" s="877"/>
      <c r="M76" s="877"/>
      <c r="N76" s="877"/>
      <c r="O76" s="877"/>
      <c r="P76" s="877"/>
      <c r="Q76" s="877"/>
      <c r="R76" s="877"/>
      <c r="S76" s="878"/>
      <c r="T76" s="232"/>
    </row>
    <row r="77" spans="1:26">
      <c r="C77" s="631"/>
      <c r="D77" s="876"/>
      <c r="E77" s="877"/>
      <c r="F77" s="877"/>
      <c r="G77" s="877"/>
      <c r="H77" s="877"/>
      <c r="I77" s="877"/>
      <c r="J77" s="877"/>
      <c r="K77" s="877"/>
      <c r="L77" s="877"/>
      <c r="M77" s="877"/>
      <c r="N77" s="877"/>
      <c r="O77" s="877"/>
      <c r="P77" s="877"/>
      <c r="Q77" s="877"/>
      <c r="R77" s="877"/>
      <c r="S77" s="878"/>
      <c r="T77" s="232"/>
    </row>
    <row r="78" spans="1:26">
      <c r="C78" s="631"/>
      <c r="D78" s="876"/>
      <c r="E78" s="877"/>
      <c r="F78" s="877"/>
      <c r="G78" s="877"/>
      <c r="H78" s="877"/>
      <c r="I78" s="877"/>
      <c r="J78" s="877"/>
      <c r="K78" s="877"/>
      <c r="L78" s="877"/>
      <c r="M78" s="877"/>
      <c r="N78" s="877"/>
      <c r="O78" s="877"/>
      <c r="P78" s="877"/>
      <c r="Q78" s="877"/>
      <c r="R78" s="877"/>
      <c r="S78" s="878"/>
      <c r="T78" s="232"/>
    </row>
    <row r="79" spans="1:26">
      <c r="C79" s="631"/>
      <c r="D79" s="876"/>
      <c r="E79" s="877"/>
      <c r="F79" s="877"/>
      <c r="G79" s="877"/>
      <c r="H79" s="877"/>
      <c r="I79" s="877"/>
      <c r="J79" s="877"/>
      <c r="K79" s="877"/>
      <c r="L79" s="877"/>
      <c r="M79" s="877"/>
      <c r="N79" s="877"/>
      <c r="O79" s="877"/>
      <c r="P79" s="877"/>
      <c r="Q79" s="877"/>
      <c r="R79" s="877"/>
      <c r="S79" s="878"/>
      <c r="T79" s="232"/>
    </row>
    <row r="80" spans="1:26">
      <c r="C80" s="631"/>
      <c r="D80" s="876"/>
      <c r="E80" s="877"/>
      <c r="F80" s="877"/>
      <c r="G80" s="877"/>
      <c r="H80" s="877"/>
      <c r="I80" s="877"/>
      <c r="J80" s="877"/>
      <c r="K80" s="877"/>
      <c r="L80" s="877"/>
      <c r="M80" s="877"/>
      <c r="N80" s="877"/>
      <c r="O80" s="877"/>
      <c r="P80" s="877"/>
      <c r="Q80" s="877"/>
      <c r="R80" s="877"/>
      <c r="S80" s="878"/>
      <c r="T80" s="232"/>
    </row>
    <row r="81" spans="3:20">
      <c r="C81" s="631"/>
      <c r="D81" s="876"/>
      <c r="E81" s="877"/>
      <c r="F81" s="877"/>
      <c r="G81" s="877"/>
      <c r="H81" s="877"/>
      <c r="I81" s="877"/>
      <c r="J81" s="877"/>
      <c r="K81" s="877"/>
      <c r="L81" s="877"/>
      <c r="M81" s="877"/>
      <c r="N81" s="877"/>
      <c r="O81" s="877"/>
      <c r="P81" s="877"/>
      <c r="Q81" s="877"/>
      <c r="R81" s="877"/>
      <c r="S81" s="878"/>
      <c r="T81" s="232"/>
    </row>
    <row r="82" spans="3:20">
      <c r="C82" s="631"/>
      <c r="D82" s="876"/>
      <c r="E82" s="877"/>
      <c r="F82" s="877"/>
      <c r="G82" s="877"/>
      <c r="H82" s="877"/>
      <c r="I82" s="877"/>
      <c r="J82" s="877"/>
      <c r="K82" s="877"/>
      <c r="L82" s="877"/>
      <c r="M82" s="877"/>
      <c r="N82" s="877"/>
      <c r="O82" s="877"/>
      <c r="P82" s="877"/>
      <c r="Q82" s="877"/>
      <c r="R82" s="877"/>
      <c r="S82" s="878"/>
      <c r="T82" s="232"/>
    </row>
    <row r="83" spans="3:20">
      <c r="C83" s="631"/>
      <c r="D83" s="876"/>
      <c r="E83" s="877"/>
      <c r="F83" s="877"/>
      <c r="G83" s="877"/>
      <c r="H83" s="877"/>
      <c r="I83" s="877"/>
      <c r="J83" s="877"/>
      <c r="K83" s="877"/>
      <c r="L83" s="877"/>
      <c r="M83" s="877"/>
      <c r="N83" s="877"/>
      <c r="O83" s="877"/>
      <c r="P83" s="877"/>
      <c r="Q83" s="877"/>
      <c r="R83" s="877"/>
      <c r="S83" s="878"/>
      <c r="T83" s="232"/>
    </row>
    <row r="84" spans="3:20">
      <c r="C84" s="631"/>
      <c r="D84" s="876"/>
      <c r="E84" s="877"/>
      <c r="F84" s="877"/>
      <c r="G84" s="877"/>
      <c r="H84" s="877"/>
      <c r="I84" s="877"/>
      <c r="J84" s="877"/>
      <c r="K84" s="877"/>
      <c r="L84" s="877"/>
      <c r="M84" s="877"/>
      <c r="N84" s="877"/>
      <c r="O84" s="877"/>
      <c r="P84" s="877"/>
      <c r="Q84" s="877"/>
      <c r="R84" s="877"/>
      <c r="S84" s="878"/>
      <c r="T84" s="232"/>
    </row>
    <row r="85" spans="3:20">
      <c r="C85" s="631"/>
      <c r="D85" s="876"/>
      <c r="E85" s="877"/>
      <c r="F85" s="877"/>
      <c r="G85" s="877"/>
      <c r="H85" s="877"/>
      <c r="I85" s="877"/>
      <c r="J85" s="877"/>
      <c r="K85" s="877"/>
      <c r="L85" s="877"/>
      <c r="M85" s="877"/>
      <c r="N85" s="877"/>
      <c r="O85" s="877"/>
      <c r="P85" s="877"/>
      <c r="Q85" s="877"/>
      <c r="R85" s="877"/>
      <c r="S85" s="878"/>
      <c r="T85" s="232"/>
    </row>
    <row r="86" spans="3:20">
      <c r="C86" s="631"/>
      <c r="D86" s="876"/>
      <c r="E86" s="877"/>
      <c r="F86" s="877"/>
      <c r="G86" s="877"/>
      <c r="H86" s="877"/>
      <c r="I86" s="877"/>
      <c r="J86" s="877"/>
      <c r="K86" s="877"/>
      <c r="L86" s="877"/>
      <c r="M86" s="877"/>
      <c r="N86" s="877"/>
      <c r="O86" s="877"/>
      <c r="P86" s="877"/>
      <c r="Q86" s="877"/>
      <c r="R86" s="877"/>
      <c r="S86" s="878"/>
      <c r="T86" s="232"/>
    </row>
    <row r="87" spans="3:20">
      <c r="C87" s="631"/>
      <c r="D87" s="876"/>
      <c r="E87" s="877"/>
      <c r="F87" s="877"/>
      <c r="G87" s="877"/>
      <c r="H87" s="877"/>
      <c r="I87" s="877"/>
      <c r="J87" s="877"/>
      <c r="K87" s="877"/>
      <c r="L87" s="877"/>
      <c r="M87" s="877"/>
      <c r="N87" s="877"/>
      <c r="O87" s="877"/>
      <c r="P87" s="877"/>
      <c r="Q87" s="877"/>
      <c r="R87" s="877"/>
      <c r="S87" s="878"/>
      <c r="T87" s="232"/>
    </row>
    <row r="88" spans="3:20">
      <c r="C88" s="631"/>
      <c r="D88" s="876"/>
      <c r="E88" s="877"/>
      <c r="F88" s="877"/>
      <c r="G88" s="877"/>
      <c r="H88" s="877"/>
      <c r="I88" s="877"/>
      <c r="J88" s="877"/>
      <c r="K88" s="877"/>
      <c r="L88" s="877"/>
      <c r="M88" s="877"/>
      <c r="N88" s="877"/>
      <c r="O88" s="877"/>
      <c r="P88" s="877"/>
      <c r="Q88" s="877"/>
      <c r="R88" s="877"/>
      <c r="S88" s="878"/>
      <c r="T88" s="232"/>
    </row>
    <row r="89" spans="3:20">
      <c r="C89" s="631"/>
      <c r="D89" s="876"/>
      <c r="E89" s="877"/>
      <c r="F89" s="877"/>
      <c r="G89" s="877"/>
      <c r="H89" s="877"/>
      <c r="I89" s="877"/>
      <c r="J89" s="877"/>
      <c r="K89" s="877"/>
      <c r="L89" s="877"/>
      <c r="M89" s="877"/>
      <c r="N89" s="877"/>
      <c r="O89" s="877"/>
      <c r="P89" s="877"/>
      <c r="Q89" s="877"/>
      <c r="R89" s="877"/>
      <c r="S89" s="878"/>
      <c r="T89" s="232"/>
    </row>
    <row r="90" spans="3:20">
      <c r="C90" s="631"/>
      <c r="D90" s="876"/>
      <c r="E90" s="877"/>
      <c r="F90" s="877"/>
      <c r="G90" s="877"/>
      <c r="H90" s="877"/>
      <c r="I90" s="877"/>
      <c r="J90" s="877"/>
      <c r="K90" s="877"/>
      <c r="L90" s="877"/>
      <c r="M90" s="877"/>
      <c r="N90" s="877"/>
      <c r="O90" s="877"/>
      <c r="P90" s="877"/>
      <c r="Q90" s="877"/>
      <c r="R90" s="877"/>
      <c r="S90" s="878"/>
      <c r="T90" s="232"/>
    </row>
    <row r="91" spans="3:20">
      <c r="C91" s="631"/>
      <c r="D91" s="879"/>
      <c r="E91" s="880"/>
      <c r="F91" s="880"/>
      <c r="G91" s="880"/>
      <c r="H91" s="880"/>
      <c r="I91" s="880"/>
      <c r="J91" s="880"/>
      <c r="K91" s="880"/>
      <c r="L91" s="880"/>
      <c r="M91" s="880"/>
      <c r="N91" s="880"/>
      <c r="O91" s="880"/>
      <c r="P91" s="880"/>
      <c r="Q91" s="880"/>
      <c r="R91" s="880"/>
      <c r="S91" s="881"/>
      <c r="T91" s="232"/>
    </row>
    <row r="92" spans="3:20">
      <c r="D92" s="630"/>
      <c r="E92" s="630"/>
      <c r="F92" s="232"/>
      <c r="G92" s="232"/>
      <c r="H92" s="232"/>
      <c r="I92" s="232"/>
      <c r="J92" s="232"/>
      <c r="K92" s="232"/>
      <c r="L92" s="232"/>
      <c r="M92" s="232"/>
      <c r="N92" s="232"/>
      <c r="O92" s="232"/>
      <c r="P92" s="232"/>
      <c r="Q92" s="232"/>
      <c r="R92" s="232"/>
      <c r="S92" s="232"/>
    </row>
  </sheetData>
  <mergeCells count="27">
    <mergeCell ref="D75:S91"/>
    <mergeCell ref="B7:B13"/>
    <mergeCell ref="A71:C72"/>
    <mergeCell ref="B14:B20"/>
    <mergeCell ref="B21:B27"/>
    <mergeCell ref="B28:B34"/>
    <mergeCell ref="B35:B41"/>
    <mergeCell ref="B42:B48"/>
    <mergeCell ref="B49:B55"/>
    <mergeCell ref="B56:B62"/>
    <mergeCell ref="A64:C65"/>
    <mergeCell ref="A66:C66"/>
    <mergeCell ref="A68:C69"/>
    <mergeCell ref="X7:AL7"/>
    <mergeCell ref="X8:AL8"/>
    <mergeCell ref="X9:AB9"/>
    <mergeCell ref="AC9:AL9"/>
    <mergeCell ref="E1:S1"/>
    <mergeCell ref="E2:S2"/>
    <mergeCell ref="E3:S3"/>
    <mergeCell ref="E4:S4"/>
    <mergeCell ref="E5:S5"/>
    <mergeCell ref="Y19:AB22"/>
    <mergeCell ref="X18:AL18"/>
    <mergeCell ref="Y11:Y17"/>
    <mergeCell ref="X11:X17"/>
    <mergeCell ref="Z11:Z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1020-5919-4D30-A0C5-F9BF54393196}">
  <sheetPr>
    <tabColor theme="9" tint="-0.499984740745262"/>
  </sheetPr>
  <dimension ref="A1:AS1003"/>
  <sheetViews>
    <sheetView workbookViewId="0">
      <pane xSplit="5" ySplit="6" topLeftCell="F46" activePane="bottomRight" state="frozen"/>
      <selection pane="bottomRight" activeCell="R12" sqref="R12:R16"/>
      <selection pane="bottomLeft"/>
      <selection pane="topRight"/>
    </sheetView>
  </sheetViews>
  <sheetFormatPr defaultRowHeight="15"/>
  <cols>
    <col min="2" max="2" width="12.5703125" style="221" customWidth="1"/>
    <col min="3" max="3" width="9.140625" style="382"/>
    <col min="4" max="5" width="19.28515625" style="370" customWidth="1"/>
    <col min="7" max="7" width="9.28515625" bestFit="1" customWidth="1"/>
    <col min="10" max="12" width="9.28515625" bestFit="1" customWidth="1"/>
    <col min="16" max="16" width="9.28515625" bestFit="1" customWidth="1"/>
    <col min="17" max="17" width="10.42578125" bestFit="1" customWidth="1"/>
    <col min="34" max="34" width="21.85546875" bestFit="1" customWidth="1"/>
    <col min="38" max="38" width="15.28515625" bestFit="1" customWidth="1"/>
  </cols>
  <sheetData>
    <row r="1" spans="1:27" s="374" customFormat="1">
      <c r="A1" s="575"/>
      <c r="B1" s="576"/>
      <c r="C1" s="576"/>
      <c r="D1" s="576"/>
      <c r="E1" s="576"/>
      <c r="F1" s="1108" t="s">
        <v>40</v>
      </c>
      <c r="G1" s="1108"/>
      <c r="H1" s="1108"/>
      <c r="I1" s="1108"/>
      <c r="J1" s="1108"/>
      <c r="K1" s="1108"/>
      <c r="L1" s="1108"/>
      <c r="M1" s="1108"/>
      <c r="N1" s="1108"/>
      <c r="O1" s="1108"/>
      <c r="P1" s="1108"/>
      <c r="Q1" s="1108"/>
      <c r="R1" s="1108"/>
      <c r="S1" s="1108"/>
      <c r="T1" s="584"/>
      <c r="U1" s="372"/>
      <c r="V1" s="372"/>
      <c r="W1" s="372"/>
      <c r="X1" s="372"/>
      <c r="Y1" s="372"/>
      <c r="Z1" s="372"/>
      <c r="AA1" s="373"/>
    </row>
    <row r="2" spans="1:27" s="374" customFormat="1">
      <c r="A2" s="575"/>
      <c r="B2" s="576"/>
      <c r="C2" s="576"/>
      <c r="D2" s="576"/>
      <c r="E2" s="576"/>
      <c r="F2" s="1108" t="s">
        <v>41</v>
      </c>
      <c r="G2" s="1108"/>
      <c r="H2" s="1108"/>
      <c r="I2" s="1108"/>
      <c r="J2" s="1108"/>
      <c r="K2" s="1108"/>
      <c r="L2" s="1108"/>
      <c r="M2" s="1108"/>
      <c r="N2" s="1108"/>
      <c r="O2" s="1108"/>
      <c r="P2" s="1108"/>
      <c r="Q2" s="1108"/>
      <c r="R2" s="1108"/>
      <c r="S2" s="1108"/>
      <c r="T2" s="585"/>
      <c r="U2" s="375"/>
      <c r="V2" s="375"/>
      <c r="W2" s="375"/>
      <c r="X2" s="375"/>
      <c r="Y2" s="375"/>
      <c r="Z2" s="375"/>
      <c r="AA2" s="376"/>
    </row>
    <row r="3" spans="1:27" s="374" customFormat="1">
      <c r="A3" s="575"/>
      <c r="B3" s="576"/>
      <c r="C3" s="576"/>
      <c r="D3" s="576"/>
      <c r="E3" s="576"/>
      <c r="F3" s="1108" t="s">
        <v>42</v>
      </c>
      <c r="G3" s="1108"/>
      <c r="H3" s="1108"/>
      <c r="I3" s="1108"/>
      <c r="J3" s="1108"/>
      <c r="K3" s="1108"/>
      <c r="L3" s="1108"/>
      <c r="M3" s="1108"/>
      <c r="N3" s="1108"/>
      <c r="O3" s="1108"/>
      <c r="P3" s="1108"/>
      <c r="Q3" s="1108"/>
      <c r="R3" s="1108"/>
      <c r="S3" s="1108"/>
      <c r="T3" s="585"/>
      <c r="U3" s="375"/>
      <c r="V3" s="375"/>
      <c r="W3" s="375"/>
      <c r="X3" s="375"/>
      <c r="Y3" s="375"/>
      <c r="Z3" s="375"/>
      <c r="AA3" s="376"/>
    </row>
    <row r="4" spans="1:27" s="374" customFormat="1">
      <c r="A4" s="577"/>
      <c r="B4" s="577"/>
      <c r="C4" s="577"/>
      <c r="D4" s="577"/>
      <c r="E4" s="577"/>
      <c r="F4" s="1108" t="s">
        <v>1180</v>
      </c>
      <c r="G4" s="1108"/>
      <c r="H4" s="1108"/>
      <c r="I4" s="1108"/>
      <c r="J4" s="1108"/>
      <c r="K4" s="1108"/>
      <c r="L4" s="1108"/>
      <c r="M4" s="1108"/>
      <c r="N4" s="1108"/>
      <c r="O4" s="1108"/>
      <c r="P4" s="1108"/>
      <c r="Q4" s="1108"/>
      <c r="R4" s="1108"/>
      <c r="S4" s="1108"/>
      <c r="T4" s="585"/>
      <c r="U4" s="375"/>
      <c r="V4" s="375"/>
      <c r="W4" s="375"/>
      <c r="X4" s="375"/>
      <c r="Y4" s="375"/>
      <c r="Z4" s="375"/>
      <c r="AA4" s="376"/>
    </row>
    <row r="5" spans="1:27" s="374" customFormat="1">
      <c r="A5" s="577"/>
      <c r="B5" s="577"/>
      <c r="C5" s="577"/>
      <c r="D5" s="577"/>
      <c r="E5" s="577"/>
      <c r="F5" s="1108" t="s">
        <v>1181</v>
      </c>
      <c r="G5" s="1108"/>
      <c r="H5" s="1108"/>
      <c r="I5" s="1108"/>
      <c r="J5" s="1108"/>
      <c r="K5" s="1108"/>
      <c r="L5" s="1108"/>
      <c r="M5" s="1108"/>
      <c r="N5" s="1108"/>
      <c r="O5" s="1108"/>
      <c r="P5" s="1108"/>
      <c r="Q5" s="1108"/>
      <c r="R5" s="1108"/>
      <c r="S5" s="1108"/>
      <c r="T5" s="585"/>
      <c r="U5" s="375"/>
      <c r="V5" s="375"/>
      <c r="W5" s="375"/>
      <c r="X5" s="375"/>
      <c r="Y5" s="375"/>
      <c r="Z5" s="375"/>
      <c r="AA5" s="376"/>
    </row>
    <row r="6" spans="1:27" s="374" customFormat="1">
      <c r="A6" s="580" t="s">
        <v>45</v>
      </c>
      <c r="B6" s="745" t="s">
        <v>46</v>
      </c>
      <c r="C6" s="746" t="s">
        <v>47</v>
      </c>
      <c r="D6" s="747" t="s">
        <v>48</v>
      </c>
      <c r="E6" s="582" t="s">
        <v>49</v>
      </c>
      <c r="F6" s="586" t="s">
        <v>50</v>
      </c>
      <c r="G6" s="579" t="s">
        <v>51</v>
      </c>
      <c r="H6" s="579" t="s">
        <v>52</v>
      </c>
      <c r="I6" s="579" t="s">
        <v>53</v>
      </c>
      <c r="J6" s="579" t="s">
        <v>54</v>
      </c>
      <c r="K6" s="579" t="s">
        <v>55</v>
      </c>
      <c r="L6" s="579" t="s">
        <v>56</v>
      </c>
      <c r="M6" s="579" t="s">
        <v>57</v>
      </c>
      <c r="N6" s="579" t="s">
        <v>58</v>
      </c>
      <c r="O6" s="579" t="s">
        <v>59</v>
      </c>
      <c r="P6" s="579" t="s">
        <v>60</v>
      </c>
      <c r="Q6" s="579" t="s">
        <v>61</v>
      </c>
      <c r="R6" s="579" t="s">
        <v>62</v>
      </c>
      <c r="S6" s="579" t="s">
        <v>63</v>
      </c>
      <c r="T6" s="375"/>
      <c r="U6" s="375"/>
      <c r="V6" s="375"/>
      <c r="W6" s="375"/>
      <c r="X6" s="375"/>
      <c r="Y6" s="375"/>
      <c r="Z6" s="375"/>
      <c r="AA6" s="376"/>
    </row>
    <row r="7" spans="1:27" ht="15" customHeight="1">
      <c r="A7" s="738" t="s">
        <v>65</v>
      </c>
      <c r="B7" s="1112" t="s">
        <v>66</v>
      </c>
      <c r="C7" s="731">
        <v>1</v>
      </c>
      <c r="D7" s="732" t="s">
        <v>1182</v>
      </c>
      <c r="E7" s="740" t="s">
        <v>1183</v>
      </c>
      <c r="F7" s="493">
        <v>5.67</v>
      </c>
      <c r="G7" s="493">
        <v>5.08</v>
      </c>
      <c r="H7" s="493">
        <v>4.6900000000000004</v>
      </c>
      <c r="I7" s="493">
        <v>4.97</v>
      </c>
      <c r="J7" s="493">
        <v>5.8</v>
      </c>
      <c r="K7" s="511">
        <v>5.52</v>
      </c>
      <c r="L7" s="493">
        <v>5.71</v>
      </c>
      <c r="M7" s="506">
        <v>11</v>
      </c>
      <c r="N7" s="506">
        <v>5.8</v>
      </c>
      <c r="O7" s="506">
        <v>11</v>
      </c>
      <c r="P7" s="506">
        <v>5.45</v>
      </c>
      <c r="Q7" s="677">
        <v>6</v>
      </c>
      <c r="R7" s="555">
        <f>AVERAGE(F7:Q7)</f>
        <v>6.3908333333333331</v>
      </c>
      <c r="S7" s="304">
        <v>6</v>
      </c>
      <c r="T7" s="300"/>
      <c r="U7" s="300"/>
      <c r="V7" s="300"/>
      <c r="W7" s="300"/>
      <c r="X7" s="300"/>
      <c r="Y7" s="300"/>
      <c r="Z7" s="300"/>
      <c r="AA7" s="301"/>
    </row>
    <row r="8" spans="1:27" ht="30">
      <c r="A8" s="739"/>
      <c r="B8" s="1113"/>
      <c r="C8" s="733">
        <v>2</v>
      </c>
      <c r="D8" s="734" t="s">
        <v>1184</v>
      </c>
      <c r="E8" s="741" t="s">
        <v>1185</v>
      </c>
      <c r="F8" s="492">
        <v>5.26</v>
      </c>
      <c r="G8" s="492">
        <v>5</v>
      </c>
      <c r="H8" s="492">
        <v>4.58</v>
      </c>
      <c r="I8" s="492">
        <v>4.9000000000000004</v>
      </c>
      <c r="J8" s="492">
        <v>5</v>
      </c>
      <c r="K8" s="512">
        <v>5.62</v>
      </c>
      <c r="L8" s="492">
        <v>5.8</v>
      </c>
      <c r="M8" s="505">
        <v>8.3000000000000007</v>
      </c>
      <c r="N8" s="505">
        <v>6.1</v>
      </c>
      <c r="O8" s="505">
        <v>8.3000000000000007</v>
      </c>
      <c r="P8" s="505">
        <v>5.28</v>
      </c>
      <c r="Q8" s="678">
        <v>6</v>
      </c>
      <c r="R8" s="512">
        <f t="shared" ref="R8:R31" si="0">AVERAGE(F8:Q8)</f>
        <v>5.8450000000000015</v>
      </c>
      <c r="S8" s="309">
        <v>6</v>
      </c>
      <c r="T8" s="300"/>
      <c r="U8" s="300"/>
      <c r="V8" s="300"/>
      <c r="W8" s="300"/>
      <c r="X8" s="300"/>
      <c r="Y8" s="300"/>
      <c r="Z8" s="300"/>
      <c r="AA8" s="301"/>
    </row>
    <row r="9" spans="1:27" ht="15" customHeight="1">
      <c r="A9" s="739"/>
      <c r="B9" s="1113"/>
      <c r="C9" s="733">
        <v>3</v>
      </c>
      <c r="D9" s="735" t="s">
        <v>1186</v>
      </c>
      <c r="E9" s="742" t="s">
        <v>1187</v>
      </c>
      <c r="F9" s="492">
        <v>4.87</v>
      </c>
      <c r="G9" s="492">
        <v>4.71</v>
      </c>
      <c r="H9" s="492">
        <v>4.21</v>
      </c>
      <c r="I9" s="492">
        <v>4.5</v>
      </c>
      <c r="J9" s="492">
        <v>5.7</v>
      </c>
      <c r="K9" s="512">
        <v>5.28</v>
      </c>
      <c r="L9" s="492">
        <v>4.71</v>
      </c>
      <c r="M9" s="505">
        <v>6.9</v>
      </c>
      <c r="N9" s="505">
        <v>6.2</v>
      </c>
      <c r="O9" s="505">
        <v>6.9</v>
      </c>
      <c r="P9" s="505">
        <v>6.05</v>
      </c>
      <c r="Q9" s="678">
        <v>5.5</v>
      </c>
      <c r="R9" s="512">
        <f t="shared" si="0"/>
        <v>5.4608333333333334</v>
      </c>
      <c r="S9" s="309">
        <v>6</v>
      </c>
      <c r="T9" s="300"/>
      <c r="U9" s="300"/>
      <c r="V9" s="300"/>
      <c r="W9" s="300"/>
      <c r="X9" s="300"/>
      <c r="Y9" s="300"/>
      <c r="Z9" s="300"/>
      <c r="AA9" s="301"/>
    </row>
    <row r="10" spans="1:27" ht="15" customHeight="1">
      <c r="A10" s="739"/>
      <c r="B10" s="1113"/>
      <c r="C10" s="733">
        <v>4</v>
      </c>
      <c r="D10" s="734" t="s">
        <v>1188</v>
      </c>
      <c r="E10" s="741" t="s">
        <v>1189</v>
      </c>
      <c r="F10" s="492">
        <v>4.79</v>
      </c>
      <c r="G10" s="492">
        <v>4.68</v>
      </c>
      <c r="H10" s="492">
        <v>4.5</v>
      </c>
      <c r="I10" s="492">
        <v>4.6100000000000003</v>
      </c>
      <c r="J10" s="492">
        <v>6</v>
      </c>
      <c r="K10" s="512">
        <v>5.19</v>
      </c>
      <c r="L10" s="492">
        <v>4.57</v>
      </c>
      <c r="M10" s="505">
        <v>6.2</v>
      </c>
      <c r="N10" s="505">
        <v>6.2</v>
      </c>
      <c r="O10" s="505">
        <v>6.2</v>
      </c>
      <c r="P10" s="505">
        <v>5.65</v>
      </c>
      <c r="Q10" s="678">
        <v>5.9</v>
      </c>
      <c r="R10" s="512">
        <f t="shared" si="0"/>
        <v>5.3741666666666674</v>
      </c>
      <c r="S10" s="309">
        <v>6</v>
      </c>
      <c r="T10" s="300"/>
      <c r="U10" s="300"/>
      <c r="V10" s="300"/>
      <c r="W10" s="300"/>
      <c r="X10" s="300"/>
      <c r="Y10" s="300"/>
      <c r="Z10" s="300"/>
      <c r="AA10" s="301"/>
    </row>
    <row r="11" spans="1:27" ht="15" customHeight="1">
      <c r="A11" s="739"/>
      <c r="B11" s="1114"/>
      <c r="C11" s="733">
        <v>5</v>
      </c>
      <c r="D11" s="734" t="s">
        <v>1190</v>
      </c>
      <c r="E11" s="741" t="s">
        <v>1191</v>
      </c>
      <c r="F11" s="492">
        <v>5.76</v>
      </c>
      <c r="G11" s="492">
        <v>5.1100000000000003</v>
      </c>
      <c r="H11" s="492">
        <v>4.8099999999999996</v>
      </c>
      <c r="I11" s="492">
        <v>4.8899999999999997</v>
      </c>
      <c r="J11" s="492">
        <v>5.6</v>
      </c>
      <c r="K11" s="512">
        <v>5.8</v>
      </c>
      <c r="L11" s="492">
        <v>5.78</v>
      </c>
      <c r="M11" s="505">
        <v>7.7</v>
      </c>
      <c r="N11" s="505">
        <v>6.3</v>
      </c>
      <c r="O11" s="505">
        <v>7.7</v>
      </c>
      <c r="P11" s="505">
        <v>5.38</v>
      </c>
      <c r="Q11" s="678">
        <v>6</v>
      </c>
      <c r="R11" s="512">
        <f t="shared" si="0"/>
        <v>5.9024999999999999</v>
      </c>
      <c r="S11" s="309">
        <v>6</v>
      </c>
      <c r="T11" s="300"/>
      <c r="U11" s="300"/>
      <c r="V11" s="300"/>
      <c r="W11" s="300"/>
      <c r="X11" s="300"/>
      <c r="Y11" s="300"/>
      <c r="Z11" s="300"/>
      <c r="AA11" s="301"/>
    </row>
    <row r="12" spans="1:27" ht="15" customHeight="1">
      <c r="A12" s="739"/>
      <c r="B12" s="1112" t="s">
        <v>92</v>
      </c>
      <c r="C12" s="731">
        <v>1</v>
      </c>
      <c r="D12" s="732" t="s">
        <v>1182</v>
      </c>
      <c r="E12" s="743" t="s">
        <v>1183</v>
      </c>
      <c r="F12" s="493">
        <v>8</v>
      </c>
      <c r="G12" s="493">
        <v>43</v>
      </c>
      <c r="H12" s="493">
        <v>36</v>
      </c>
      <c r="I12" s="493">
        <v>15</v>
      </c>
      <c r="J12" s="493">
        <v>81</v>
      </c>
      <c r="K12" s="511">
        <v>8</v>
      </c>
      <c r="L12" s="493">
        <v>108</v>
      </c>
      <c r="M12" s="506">
        <v>42</v>
      </c>
      <c r="N12" s="506">
        <v>26</v>
      </c>
      <c r="O12" s="506">
        <v>79</v>
      </c>
      <c r="P12" s="506">
        <v>91</v>
      </c>
      <c r="Q12" s="506">
        <v>56</v>
      </c>
      <c r="R12" s="555">
        <f t="shared" si="0"/>
        <v>49.416666666666664</v>
      </c>
      <c r="S12" s="304">
        <v>50</v>
      </c>
      <c r="T12" s="300"/>
      <c r="U12" s="300"/>
      <c r="V12" s="300"/>
      <c r="W12" s="300"/>
      <c r="X12" s="300"/>
      <c r="Y12" s="300"/>
      <c r="Z12" s="300"/>
      <c r="AA12" s="301"/>
    </row>
    <row r="13" spans="1:27" ht="15" customHeight="1">
      <c r="A13" s="739"/>
      <c r="B13" s="1113"/>
      <c r="C13" s="733">
        <v>2</v>
      </c>
      <c r="D13" s="734" t="s">
        <v>1184</v>
      </c>
      <c r="E13" s="741" t="s">
        <v>1185</v>
      </c>
      <c r="F13" s="492">
        <v>25</v>
      </c>
      <c r="G13" s="492">
        <v>28</v>
      </c>
      <c r="H13" s="492">
        <v>26</v>
      </c>
      <c r="I13" s="492">
        <v>15</v>
      </c>
      <c r="J13" s="492">
        <v>57</v>
      </c>
      <c r="K13" s="512">
        <v>17</v>
      </c>
      <c r="L13" s="492">
        <v>68</v>
      </c>
      <c r="M13" s="505">
        <v>41</v>
      </c>
      <c r="N13" s="505">
        <v>32</v>
      </c>
      <c r="O13" s="505">
        <v>107</v>
      </c>
      <c r="P13" s="505">
        <v>63</v>
      </c>
      <c r="Q13" s="505">
        <v>34</v>
      </c>
      <c r="R13" s="512">
        <f t="shared" si="0"/>
        <v>42.75</v>
      </c>
      <c r="S13" s="309">
        <v>50</v>
      </c>
      <c r="T13" s="300"/>
      <c r="U13" s="300"/>
      <c r="V13" s="300"/>
      <c r="W13" s="300"/>
      <c r="X13" s="300"/>
      <c r="Y13" s="300"/>
      <c r="Z13" s="300"/>
      <c r="AA13" s="301"/>
    </row>
    <row r="14" spans="1:27" ht="15" customHeight="1">
      <c r="A14" s="739"/>
      <c r="B14" s="1113"/>
      <c r="C14" s="733">
        <v>3</v>
      </c>
      <c r="D14" s="735" t="s">
        <v>1186</v>
      </c>
      <c r="E14" s="742" t="s">
        <v>1187</v>
      </c>
      <c r="F14" s="492">
        <v>17</v>
      </c>
      <c r="G14" s="492">
        <v>25</v>
      </c>
      <c r="H14" s="492">
        <v>16</v>
      </c>
      <c r="I14" s="492">
        <v>32</v>
      </c>
      <c r="J14" s="492">
        <v>48</v>
      </c>
      <c r="K14" s="512">
        <v>15</v>
      </c>
      <c r="L14" s="492">
        <v>137</v>
      </c>
      <c r="M14" s="505">
        <v>31</v>
      </c>
      <c r="N14" s="505">
        <v>46</v>
      </c>
      <c r="O14" s="505">
        <v>112</v>
      </c>
      <c r="P14" s="505">
        <v>37</v>
      </c>
      <c r="Q14" s="505">
        <v>38</v>
      </c>
      <c r="R14" s="512">
        <f t="shared" si="0"/>
        <v>46.166666666666664</v>
      </c>
      <c r="S14" s="309">
        <v>50</v>
      </c>
      <c r="T14" s="300"/>
      <c r="U14" s="300"/>
      <c r="V14" s="300"/>
      <c r="W14" s="300"/>
      <c r="X14" s="300"/>
      <c r="Y14" s="300"/>
      <c r="Z14" s="300"/>
      <c r="AA14" s="301"/>
    </row>
    <row r="15" spans="1:27" ht="15" customHeight="1">
      <c r="A15" s="739"/>
      <c r="B15" s="1113"/>
      <c r="C15" s="733">
        <v>4</v>
      </c>
      <c r="D15" s="734" t="s">
        <v>1188</v>
      </c>
      <c r="E15" s="741" t="s">
        <v>1189</v>
      </c>
      <c r="F15" s="492">
        <v>23</v>
      </c>
      <c r="G15" s="492">
        <v>36</v>
      </c>
      <c r="H15" s="492">
        <v>27</v>
      </c>
      <c r="I15" s="492">
        <v>27</v>
      </c>
      <c r="J15" s="492">
        <v>62</v>
      </c>
      <c r="K15" s="512">
        <v>12</v>
      </c>
      <c r="L15" s="492">
        <v>34</v>
      </c>
      <c r="M15" s="505">
        <v>24</v>
      </c>
      <c r="N15" s="505">
        <v>37</v>
      </c>
      <c r="O15" s="505">
        <v>35</v>
      </c>
      <c r="P15" s="505">
        <v>47</v>
      </c>
      <c r="Q15" s="505">
        <v>83</v>
      </c>
      <c r="R15" s="512">
        <f t="shared" si="0"/>
        <v>37.25</v>
      </c>
      <c r="S15" s="309">
        <v>50</v>
      </c>
      <c r="T15" s="300"/>
      <c r="U15" s="300"/>
      <c r="V15" s="300"/>
      <c r="W15" s="300"/>
      <c r="X15" s="300"/>
      <c r="Y15" s="300"/>
      <c r="Z15" s="300"/>
      <c r="AA15" s="301"/>
    </row>
    <row r="16" spans="1:27" ht="15" customHeight="1">
      <c r="A16" s="739"/>
      <c r="B16" s="1113"/>
      <c r="C16" s="733">
        <v>5</v>
      </c>
      <c r="D16" s="734" t="s">
        <v>1190</v>
      </c>
      <c r="E16" s="741" t="s">
        <v>1191</v>
      </c>
      <c r="F16" s="492">
        <v>32</v>
      </c>
      <c r="G16" s="492">
        <v>34</v>
      </c>
      <c r="H16" s="492">
        <v>24</v>
      </c>
      <c r="I16" s="492">
        <v>29</v>
      </c>
      <c r="J16" s="492">
        <v>61</v>
      </c>
      <c r="K16" s="512">
        <v>17</v>
      </c>
      <c r="L16" s="492">
        <v>63</v>
      </c>
      <c r="M16" s="505">
        <v>43</v>
      </c>
      <c r="N16" s="505">
        <v>42</v>
      </c>
      <c r="O16" s="505">
        <v>37</v>
      </c>
      <c r="P16" s="505">
        <v>39</v>
      </c>
      <c r="Q16" s="505">
        <v>90</v>
      </c>
      <c r="R16" s="512">
        <f t="shared" si="0"/>
        <v>42.583333333333336</v>
      </c>
      <c r="S16" s="309">
        <v>50</v>
      </c>
      <c r="T16" s="300"/>
      <c r="U16" s="300"/>
      <c r="V16" s="300"/>
      <c r="W16" s="300"/>
      <c r="X16" s="300"/>
      <c r="Y16" s="300"/>
      <c r="Z16" s="300"/>
      <c r="AA16" s="301"/>
    </row>
    <row r="17" spans="1:27" ht="15" customHeight="1">
      <c r="A17" s="739"/>
      <c r="B17" s="1115" t="s">
        <v>7</v>
      </c>
      <c r="C17" s="767">
        <v>1</v>
      </c>
      <c r="D17" s="732" t="s">
        <v>1182</v>
      </c>
      <c r="E17" s="743" t="s">
        <v>1183</v>
      </c>
      <c r="F17" s="493">
        <v>7.73</v>
      </c>
      <c r="G17" s="493">
        <v>8.15</v>
      </c>
      <c r="H17" s="493">
        <v>8.61</v>
      </c>
      <c r="I17" s="493">
        <v>8.7100000000000009</v>
      </c>
      <c r="J17" s="493">
        <v>8.11</v>
      </c>
      <c r="K17" s="511">
        <v>7.68</v>
      </c>
      <c r="L17" s="493">
        <v>7.85</v>
      </c>
      <c r="M17" s="506">
        <v>8.4600000000000009</v>
      </c>
      <c r="N17" s="506">
        <v>7.98</v>
      </c>
      <c r="O17" s="506">
        <v>8.4600000000000009</v>
      </c>
      <c r="P17" s="506">
        <v>7.63</v>
      </c>
      <c r="Q17" s="306">
        <v>7.1</v>
      </c>
      <c r="R17" s="555">
        <f>AVERAGE(F17:Q17)</f>
        <v>8.0391666666666666</v>
      </c>
      <c r="S17" s="304" t="s">
        <v>908</v>
      </c>
      <c r="T17" s="300"/>
      <c r="U17" s="300"/>
      <c r="V17" s="300"/>
      <c r="W17" s="300"/>
      <c r="X17" s="300"/>
      <c r="Y17" s="300"/>
      <c r="Z17" s="300"/>
      <c r="AA17" s="301"/>
    </row>
    <row r="18" spans="1:27" ht="15" customHeight="1">
      <c r="A18" s="739"/>
      <c r="B18" s="1115"/>
      <c r="C18" s="768">
        <v>2</v>
      </c>
      <c r="D18" s="734" t="s">
        <v>1184</v>
      </c>
      <c r="E18" s="741" t="s">
        <v>1185</v>
      </c>
      <c r="F18" s="492">
        <v>7.85</v>
      </c>
      <c r="G18" s="492">
        <v>8.1</v>
      </c>
      <c r="H18" s="492">
        <v>8.2799999999999994</v>
      </c>
      <c r="I18" s="492">
        <v>8.68</v>
      </c>
      <c r="J18" s="492">
        <v>8.15</v>
      </c>
      <c r="K18" s="512">
        <v>7.7</v>
      </c>
      <c r="L18" s="492">
        <v>7.81</v>
      </c>
      <c r="M18" s="505">
        <v>8.33</v>
      </c>
      <c r="N18" s="505">
        <v>8.01</v>
      </c>
      <c r="O18" s="505">
        <v>8.33</v>
      </c>
      <c r="P18" s="505">
        <v>7.59</v>
      </c>
      <c r="Q18" s="311">
        <v>6.97</v>
      </c>
      <c r="R18" s="512">
        <f t="shared" si="0"/>
        <v>7.9833333333333343</v>
      </c>
      <c r="S18" s="309" t="s">
        <v>908</v>
      </c>
      <c r="T18" s="300"/>
      <c r="U18" s="300"/>
      <c r="V18" s="300"/>
      <c r="W18" s="300"/>
      <c r="X18" s="300"/>
      <c r="Y18" s="300"/>
      <c r="Z18" s="300"/>
      <c r="AA18" s="301"/>
    </row>
    <row r="19" spans="1:27" ht="30.75">
      <c r="A19" s="739"/>
      <c r="B19" s="1115"/>
      <c r="C19" s="768">
        <v>3</v>
      </c>
      <c r="D19" s="735" t="s">
        <v>1186</v>
      </c>
      <c r="E19" s="742" t="s">
        <v>1187</v>
      </c>
      <c r="F19" s="492">
        <v>7.87</v>
      </c>
      <c r="G19" s="492">
        <v>8.25</v>
      </c>
      <c r="H19" s="492">
        <v>8.35</v>
      </c>
      <c r="I19" s="492">
        <v>8.74</v>
      </c>
      <c r="J19" s="492">
        <v>8.2799999999999994</v>
      </c>
      <c r="K19" s="512">
        <v>7.95</v>
      </c>
      <c r="L19" s="492">
        <v>7.69</v>
      </c>
      <c r="M19" s="505">
        <v>7.87</v>
      </c>
      <c r="N19" s="505" t="s">
        <v>1192</v>
      </c>
      <c r="O19" s="505">
        <v>7.87</v>
      </c>
      <c r="P19" s="505">
        <v>7.61</v>
      </c>
      <c r="Q19" s="311">
        <v>7.09</v>
      </c>
      <c r="R19" s="512">
        <f t="shared" si="0"/>
        <v>7.9609090909090918</v>
      </c>
      <c r="S19" s="309" t="s">
        <v>908</v>
      </c>
      <c r="T19" s="300"/>
      <c r="U19" s="300"/>
      <c r="V19" s="300"/>
      <c r="W19" s="300"/>
      <c r="X19" s="300"/>
      <c r="Y19" s="300"/>
      <c r="Z19" s="300"/>
      <c r="AA19" s="301"/>
    </row>
    <row r="20" spans="1:27" ht="15" customHeight="1">
      <c r="A20" s="739"/>
      <c r="B20" s="1115"/>
      <c r="C20" s="768">
        <v>4</v>
      </c>
      <c r="D20" s="734" t="s">
        <v>1188</v>
      </c>
      <c r="E20" s="741" t="s">
        <v>1189</v>
      </c>
      <c r="F20" s="492">
        <v>7.96</v>
      </c>
      <c r="G20" s="492">
        <v>8.31</v>
      </c>
      <c r="H20" s="492">
        <v>8.49</v>
      </c>
      <c r="I20" s="492">
        <v>8.7200000000000006</v>
      </c>
      <c r="J20" s="492">
        <v>8.23</v>
      </c>
      <c r="K20" s="512">
        <v>7.93</v>
      </c>
      <c r="L20" s="492">
        <v>7.67</v>
      </c>
      <c r="M20" s="505">
        <v>8.0399999999999991</v>
      </c>
      <c r="N20" s="505">
        <v>8.18</v>
      </c>
      <c r="O20" s="505">
        <v>8.0399999999999991</v>
      </c>
      <c r="P20" s="505">
        <v>7.53</v>
      </c>
      <c r="Q20" s="311">
        <v>7.12</v>
      </c>
      <c r="R20" s="512">
        <f t="shared" si="0"/>
        <v>8.0183333333333326</v>
      </c>
      <c r="S20" s="309" t="s">
        <v>908</v>
      </c>
      <c r="T20" s="300"/>
      <c r="U20" s="300"/>
      <c r="V20" s="300"/>
      <c r="W20" s="300"/>
      <c r="X20" s="300"/>
      <c r="Y20" s="300"/>
      <c r="Z20" s="300"/>
      <c r="AA20" s="301"/>
    </row>
    <row r="21" spans="1:27" ht="15" customHeight="1">
      <c r="A21" s="739"/>
      <c r="B21" s="1115"/>
      <c r="C21" s="768">
        <v>5</v>
      </c>
      <c r="D21" s="734" t="s">
        <v>1190</v>
      </c>
      <c r="E21" s="741" t="s">
        <v>1191</v>
      </c>
      <c r="F21" s="492">
        <v>7.69</v>
      </c>
      <c r="G21" s="492">
        <v>8.1300000000000008</v>
      </c>
      <c r="H21" s="492">
        <v>8.2200000000000006</v>
      </c>
      <c r="I21" s="492">
        <v>8.69</v>
      </c>
      <c r="J21" s="492">
        <v>8.19</v>
      </c>
      <c r="K21" s="512">
        <v>8.17</v>
      </c>
      <c r="L21" s="492">
        <v>7.79</v>
      </c>
      <c r="M21" s="505">
        <v>8.17</v>
      </c>
      <c r="N21" s="505">
        <v>8.15</v>
      </c>
      <c r="O21" s="505">
        <v>8.17</v>
      </c>
      <c r="P21" s="505">
        <v>7.54</v>
      </c>
      <c r="Q21" s="311">
        <v>6.85</v>
      </c>
      <c r="R21" s="512">
        <f t="shared" si="0"/>
        <v>7.98</v>
      </c>
      <c r="S21" s="309" t="s">
        <v>908</v>
      </c>
      <c r="T21" s="300"/>
      <c r="U21" s="300"/>
      <c r="V21" s="300"/>
      <c r="W21" s="300"/>
      <c r="X21" s="300"/>
      <c r="Y21" s="300"/>
      <c r="Z21" s="300"/>
      <c r="AA21" s="301"/>
    </row>
    <row r="22" spans="1:27" ht="15" customHeight="1">
      <c r="A22" s="739"/>
      <c r="B22" s="1115" t="s">
        <v>1193</v>
      </c>
      <c r="C22" s="767">
        <v>1</v>
      </c>
      <c r="D22" s="732" t="s">
        <v>1182</v>
      </c>
      <c r="E22" s="743" t="s">
        <v>1183</v>
      </c>
      <c r="F22" s="769">
        <v>28.68</v>
      </c>
      <c r="G22" s="769">
        <v>28.81</v>
      </c>
      <c r="H22" s="769">
        <v>28.11</v>
      </c>
      <c r="I22" s="769">
        <v>28.79</v>
      </c>
      <c r="J22" s="769">
        <v>28.61</v>
      </c>
      <c r="K22" s="770">
        <v>29.05</v>
      </c>
      <c r="L22" s="769">
        <v>27.61</v>
      </c>
      <c r="M22" s="760">
        <v>32.1</v>
      </c>
      <c r="N22" s="760">
        <v>28.3</v>
      </c>
      <c r="O22" s="760">
        <v>32.1</v>
      </c>
      <c r="P22" s="760">
        <v>27.4</v>
      </c>
      <c r="Q22" s="465">
        <v>28.5</v>
      </c>
      <c r="R22" s="555">
        <f>AVERAGE(F22:P22)</f>
        <v>29.050909090909091</v>
      </c>
      <c r="S22" s="464"/>
      <c r="T22" s="300"/>
      <c r="U22" s="300"/>
      <c r="V22" s="300"/>
      <c r="W22" s="300"/>
      <c r="X22" s="300"/>
      <c r="Y22" s="300"/>
      <c r="Z22" s="300"/>
      <c r="AA22" s="301"/>
    </row>
    <row r="23" spans="1:27" ht="15" customHeight="1">
      <c r="A23" s="739"/>
      <c r="B23" s="1115"/>
      <c r="C23" s="768">
        <v>2</v>
      </c>
      <c r="D23" s="734" t="s">
        <v>1184</v>
      </c>
      <c r="E23" s="741" t="s">
        <v>1185</v>
      </c>
      <c r="F23" s="492">
        <v>28.75</v>
      </c>
      <c r="G23" s="492">
        <v>28.75</v>
      </c>
      <c r="H23" s="492">
        <v>28.26</v>
      </c>
      <c r="I23" s="492">
        <v>28.82</v>
      </c>
      <c r="J23" s="492">
        <v>28.73</v>
      </c>
      <c r="K23" s="512">
        <v>29.1</v>
      </c>
      <c r="L23" s="492">
        <v>27.58</v>
      </c>
      <c r="M23" s="505">
        <v>32.4</v>
      </c>
      <c r="N23" s="505">
        <v>29.3</v>
      </c>
      <c r="O23" s="505">
        <v>32.4</v>
      </c>
      <c r="P23" s="505">
        <v>27.3</v>
      </c>
      <c r="Q23" s="311">
        <v>28.4</v>
      </c>
      <c r="R23" s="512">
        <f t="shared" si="0"/>
        <v>29.149166666666662</v>
      </c>
      <c r="S23" s="310" t="s">
        <v>777</v>
      </c>
      <c r="T23" s="300"/>
      <c r="U23" s="300"/>
      <c r="V23" s="300"/>
      <c r="W23" s="300"/>
      <c r="X23" s="300"/>
      <c r="Y23" s="300"/>
      <c r="Z23" s="300"/>
      <c r="AA23" s="301"/>
    </row>
    <row r="24" spans="1:27" ht="30.75">
      <c r="A24" s="739"/>
      <c r="B24" s="1115"/>
      <c r="C24" s="768">
        <v>3</v>
      </c>
      <c r="D24" s="735" t="s">
        <v>1186</v>
      </c>
      <c r="E24" s="742" t="s">
        <v>1187</v>
      </c>
      <c r="F24" s="492">
        <v>28.81</v>
      </c>
      <c r="G24" s="492">
        <v>28.9</v>
      </c>
      <c r="H24" s="492">
        <v>28.23</v>
      </c>
      <c r="I24" s="492">
        <v>29.01</v>
      </c>
      <c r="J24" s="492">
        <v>28.64</v>
      </c>
      <c r="K24" s="512">
        <v>29.11</v>
      </c>
      <c r="L24" s="492">
        <v>27.43</v>
      </c>
      <c r="M24" s="505">
        <v>33.1</v>
      </c>
      <c r="N24" s="505">
        <v>27.9</v>
      </c>
      <c r="O24" s="505">
        <v>33.1</v>
      </c>
      <c r="P24" s="505">
        <v>26.9</v>
      </c>
      <c r="Q24" s="311">
        <v>27.8</v>
      </c>
      <c r="R24" s="512">
        <f t="shared" si="0"/>
        <v>29.077500000000001</v>
      </c>
      <c r="S24" s="310" t="s">
        <v>777</v>
      </c>
      <c r="T24" s="300"/>
      <c r="U24" s="300"/>
      <c r="V24" s="300"/>
      <c r="W24" s="300"/>
      <c r="X24" s="300"/>
      <c r="Y24" s="300"/>
      <c r="Z24" s="300"/>
      <c r="AA24" s="301"/>
    </row>
    <row r="25" spans="1:27" ht="30">
      <c r="A25" s="739"/>
      <c r="B25" s="1115"/>
      <c r="C25" s="768">
        <v>4</v>
      </c>
      <c r="D25" s="734" t="s">
        <v>1188</v>
      </c>
      <c r="E25" s="741" t="s">
        <v>1189</v>
      </c>
      <c r="F25" s="492">
        <v>28.76</v>
      </c>
      <c r="G25" s="492">
        <v>28.89</v>
      </c>
      <c r="H25" s="492">
        <v>28.25</v>
      </c>
      <c r="I25" s="492">
        <v>29.04</v>
      </c>
      <c r="J25" s="492">
        <v>28.29</v>
      </c>
      <c r="K25" s="512">
        <v>29.07</v>
      </c>
      <c r="L25" s="492">
        <v>27.5</v>
      </c>
      <c r="M25" s="505">
        <v>33.200000000000003</v>
      </c>
      <c r="N25" s="505">
        <v>28.3</v>
      </c>
      <c r="O25" s="505">
        <v>33.200000000000003</v>
      </c>
      <c r="P25" s="505">
        <v>26.8</v>
      </c>
      <c r="Q25" s="311">
        <v>28.8</v>
      </c>
      <c r="R25" s="512">
        <f t="shared" si="0"/>
        <v>29.175000000000001</v>
      </c>
      <c r="S25" s="310" t="s">
        <v>777</v>
      </c>
      <c r="T25" s="300"/>
      <c r="U25" s="300"/>
      <c r="V25" s="300"/>
      <c r="W25" s="300"/>
      <c r="X25" s="300"/>
      <c r="Y25" s="300"/>
      <c r="Z25" s="300"/>
      <c r="AA25" s="301"/>
    </row>
    <row r="26" spans="1:27" ht="30">
      <c r="A26" s="739"/>
      <c r="B26" s="1115"/>
      <c r="C26" s="768">
        <v>5</v>
      </c>
      <c r="D26" s="734" t="s">
        <v>1190</v>
      </c>
      <c r="E26" s="741" t="s">
        <v>1191</v>
      </c>
      <c r="F26" s="492">
        <v>28.72</v>
      </c>
      <c r="G26" s="492">
        <v>28.71</v>
      </c>
      <c r="H26" s="492">
        <v>28.12</v>
      </c>
      <c r="I26" s="492">
        <v>29</v>
      </c>
      <c r="J26" s="492">
        <v>28.32</v>
      </c>
      <c r="K26" s="512">
        <v>29.12</v>
      </c>
      <c r="L26" s="492">
        <v>27.65</v>
      </c>
      <c r="M26" s="505">
        <v>32.700000000000003</v>
      </c>
      <c r="N26" s="505">
        <v>29.1</v>
      </c>
      <c r="O26" s="505">
        <v>32.700000000000003</v>
      </c>
      <c r="P26" s="505">
        <v>26.8</v>
      </c>
      <c r="Q26" s="311">
        <v>28.7</v>
      </c>
      <c r="R26" s="512">
        <f t="shared" si="0"/>
        <v>29.13666666666667</v>
      </c>
      <c r="S26" s="310" t="s">
        <v>777</v>
      </c>
      <c r="T26" s="300"/>
      <c r="U26" s="300"/>
      <c r="V26" s="300"/>
      <c r="W26" s="300"/>
      <c r="X26" s="300"/>
      <c r="Y26" s="300"/>
      <c r="Z26" s="300"/>
      <c r="AA26" s="301"/>
    </row>
    <row r="27" spans="1:27" ht="30">
      <c r="A27" s="739"/>
      <c r="B27" s="1113" t="s">
        <v>110</v>
      </c>
      <c r="C27" s="731">
        <v>1</v>
      </c>
      <c r="D27" s="732" t="s">
        <v>1182</v>
      </c>
      <c r="E27" s="743" t="s">
        <v>1183</v>
      </c>
      <c r="F27" s="493">
        <v>5</v>
      </c>
      <c r="G27" s="493">
        <v>5</v>
      </c>
      <c r="H27" s="493">
        <v>5</v>
      </c>
      <c r="I27" s="493">
        <v>5</v>
      </c>
      <c r="J27" s="493">
        <v>5</v>
      </c>
      <c r="K27" s="511">
        <v>5</v>
      </c>
      <c r="L27" s="493">
        <v>20</v>
      </c>
      <c r="M27" s="506">
        <v>5</v>
      </c>
      <c r="N27" s="506">
        <v>10</v>
      </c>
      <c r="O27" s="506">
        <v>5</v>
      </c>
      <c r="P27" s="506">
        <v>10</v>
      </c>
      <c r="Q27" s="506">
        <v>5</v>
      </c>
      <c r="R27" s="555">
        <f t="shared" si="0"/>
        <v>7.083333333333333</v>
      </c>
      <c r="S27" s="305">
        <v>50</v>
      </c>
      <c r="T27" s="300"/>
      <c r="U27" s="300"/>
      <c r="V27" s="300"/>
      <c r="W27" s="300"/>
      <c r="X27" s="300"/>
      <c r="Y27" s="300"/>
      <c r="Z27" s="300"/>
      <c r="AA27" s="301"/>
    </row>
    <row r="28" spans="1:27" ht="30">
      <c r="A28" s="739"/>
      <c r="B28" s="1113"/>
      <c r="C28" s="733">
        <v>2</v>
      </c>
      <c r="D28" s="734" t="s">
        <v>1184</v>
      </c>
      <c r="E28" s="741" t="s">
        <v>1185</v>
      </c>
      <c r="F28" s="492">
        <v>5</v>
      </c>
      <c r="G28" s="492">
        <v>5</v>
      </c>
      <c r="H28" s="492">
        <v>5</v>
      </c>
      <c r="I28" s="492">
        <v>5</v>
      </c>
      <c r="J28" s="492">
        <v>5</v>
      </c>
      <c r="K28" s="512">
        <v>5</v>
      </c>
      <c r="L28" s="492">
        <v>20</v>
      </c>
      <c r="M28" s="505">
        <v>10</v>
      </c>
      <c r="N28" s="505">
        <v>15</v>
      </c>
      <c r="O28" s="505">
        <v>5</v>
      </c>
      <c r="P28" s="505">
        <v>10</v>
      </c>
      <c r="Q28" s="505">
        <v>10</v>
      </c>
      <c r="R28" s="512">
        <f t="shared" si="0"/>
        <v>8.3333333333333339</v>
      </c>
      <c r="S28" s="310">
        <v>50</v>
      </c>
      <c r="T28" s="300"/>
      <c r="U28" s="300"/>
      <c r="V28" s="300"/>
      <c r="W28" s="300"/>
      <c r="X28" s="300"/>
      <c r="Y28" s="300"/>
      <c r="Z28" s="300"/>
      <c r="AA28" s="301"/>
    </row>
    <row r="29" spans="1:27" ht="30.75">
      <c r="A29" s="739"/>
      <c r="B29" s="1113"/>
      <c r="C29" s="733">
        <v>3</v>
      </c>
      <c r="D29" s="735" t="s">
        <v>1186</v>
      </c>
      <c r="E29" s="742" t="s">
        <v>1187</v>
      </c>
      <c r="F29" s="492">
        <v>5</v>
      </c>
      <c r="G29" s="492">
        <v>5</v>
      </c>
      <c r="H29" s="492">
        <v>5</v>
      </c>
      <c r="I29" s="492">
        <v>5</v>
      </c>
      <c r="J29" s="492">
        <v>5</v>
      </c>
      <c r="K29" s="512">
        <v>5</v>
      </c>
      <c r="L29" s="492">
        <v>20</v>
      </c>
      <c r="M29" s="505">
        <v>10</v>
      </c>
      <c r="N29" s="505">
        <v>15</v>
      </c>
      <c r="O29" s="505">
        <v>5</v>
      </c>
      <c r="P29" s="505">
        <v>5</v>
      </c>
      <c r="Q29" s="505">
        <v>10</v>
      </c>
      <c r="R29" s="512">
        <f t="shared" si="0"/>
        <v>7.916666666666667</v>
      </c>
      <c r="S29" s="310">
        <v>50</v>
      </c>
      <c r="T29" s="300"/>
      <c r="U29" s="300"/>
      <c r="V29" s="300"/>
      <c r="W29" s="300"/>
      <c r="X29" s="300"/>
      <c r="Y29" s="300"/>
      <c r="Z29" s="300"/>
      <c r="AA29" s="301"/>
    </row>
    <row r="30" spans="1:27" ht="30">
      <c r="A30" s="739"/>
      <c r="B30" s="1113"/>
      <c r="C30" s="733">
        <v>4</v>
      </c>
      <c r="D30" s="734" t="s">
        <v>1188</v>
      </c>
      <c r="E30" s="741" t="s">
        <v>1189</v>
      </c>
      <c r="F30" s="492">
        <v>5</v>
      </c>
      <c r="G30" s="492">
        <v>5</v>
      </c>
      <c r="H30" s="492">
        <v>5</v>
      </c>
      <c r="I30" s="492">
        <v>5</v>
      </c>
      <c r="J30" s="492">
        <v>5</v>
      </c>
      <c r="K30" s="512">
        <v>5</v>
      </c>
      <c r="L30" s="492">
        <v>20</v>
      </c>
      <c r="M30" s="505">
        <v>10</v>
      </c>
      <c r="N30" s="505">
        <v>15</v>
      </c>
      <c r="O30" s="505">
        <v>10</v>
      </c>
      <c r="P30" s="505">
        <v>5</v>
      </c>
      <c r="Q30" s="505">
        <v>10</v>
      </c>
      <c r="R30" s="512">
        <f t="shared" si="0"/>
        <v>8.3333333333333339</v>
      </c>
      <c r="S30" s="310">
        <v>50</v>
      </c>
      <c r="T30" s="300"/>
      <c r="U30" s="300"/>
      <c r="V30" s="300"/>
      <c r="W30" s="300"/>
      <c r="X30" s="300"/>
      <c r="Y30" s="300"/>
      <c r="Z30" s="300"/>
      <c r="AA30" s="301"/>
    </row>
    <row r="31" spans="1:27" ht="30">
      <c r="A31" s="739"/>
      <c r="B31" s="1114"/>
      <c r="C31" s="733">
        <v>5</v>
      </c>
      <c r="D31" s="734" t="s">
        <v>1190</v>
      </c>
      <c r="E31" s="741" t="s">
        <v>1191</v>
      </c>
      <c r="F31" s="492">
        <v>5</v>
      </c>
      <c r="G31" s="492">
        <v>5</v>
      </c>
      <c r="H31" s="492">
        <v>5</v>
      </c>
      <c r="I31" s="492">
        <v>5</v>
      </c>
      <c r="J31" s="492">
        <v>5</v>
      </c>
      <c r="K31" s="512">
        <v>5</v>
      </c>
      <c r="L31" s="492">
        <v>20</v>
      </c>
      <c r="M31" s="505">
        <v>5</v>
      </c>
      <c r="N31" s="505">
        <v>10</v>
      </c>
      <c r="O31" s="505">
        <v>10</v>
      </c>
      <c r="P31" s="505">
        <v>5</v>
      </c>
      <c r="Q31" s="505">
        <v>5</v>
      </c>
      <c r="R31" s="512">
        <f t="shared" si="0"/>
        <v>7.083333333333333</v>
      </c>
      <c r="S31" s="310">
        <v>50</v>
      </c>
      <c r="T31" s="300"/>
      <c r="U31" s="300"/>
      <c r="V31" s="300"/>
      <c r="W31" s="300"/>
      <c r="X31" s="300"/>
      <c r="Y31" s="300"/>
      <c r="Z31" s="300"/>
      <c r="AA31" s="301"/>
    </row>
    <row r="32" spans="1:27">
      <c r="A32" s="739"/>
      <c r="B32" s="736"/>
      <c r="C32" s="737"/>
      <c r="D32" s="735"/>
      <c r="E32" s="744"/>
      <c r="F32" s="509"/>
      <c r="G32" s="509"/>
      <c r="H32" s="509"/>
      <c r="I32" s="509"/>
      <c r="J32" s="509"/>
      <c r="K32" s="509"/>
      <c r="L32" s="509"/>
      <c r="M32" s="509"/>
      <c r="N32" s="509"/>
      <c r="O32" s="509"/>
      <c r="P32" s="313"/>
      <c r="Q32" s="313"/>
      <c r="R32" s="313"/>
      <c r="S32" s="311"/>
      <c r="T32" s="300"/>
      <c r="U32" s="300"/>
      <c r="V32" s="300"/>
      <c r="W32" s="300"/>
      <c r="X32" s="300"/>
      <c r="Y32" s="300"/>
      <c r="Z32" s="300"/>
      <c r="AA32" s="301"/>
    </row>
    <row r="33" spans="1:27" ht="30" customHeight="1">
      <c r="A33" s="739"/>
      <c r="B33" s="1112" t="s">
        <v>111</v>
      </c>
      <c r="C33" s="731">
        <v>1</v>
      </c>
      <c r="D33" s="732" t="s">
        <v>1182</v>
      </c>
      <c r="E33" s="743" t="s">
        <v>1183</v>
      </c>
      <c r="F33" s="493">
        <v>23</v>
      </c>
      <c r="G33" s="493">
        <v>49</v>
      </c>
      <c r="H33" s="506">
        <v>33</v>
      </c>
      <c r="I33" s="493">
        <v>11</v>
      </c>
      <c r="J33" s="493">
        <v>350</v>
      </c>
      <c r="K33" s="511">
        <v>49</v>
      </c>
      <c r="L33" s="493">
        <v>84</v>
      </c>
      <c r="M33" s="506">
        <v>13</v>
      </c>
      <c r="N33" s="506">
        <v>110</v>
      </c>
      <c r="O33" s="506">
        <v>170</v>
      </c>
      <c r="P33" s="760">
        <v>170</v>
      </c>
      <c r="Q33" s="506">
        <v>280</v>
      </c>
      <c r="R33" s="304">
        <f>GEOMEAN(F33:Q33)</f>
        <v>65.990358631998092</v>
      </c>
      <c r="S33" s="304">
        <v>100</v>
      </c>
      <c r="T33" s="300"/>
      <c r="U33" s="300"/>
      <c r="V33" s="300"/>
      <c r="W33" s="300"/>
      <c r="X33" s="300"/>
      <c r="Y33" s="300"/>
      <c r="Z33" s="300"/>
      <c r="AA33" s="301"/>
    </row>
    <row r="34" spans="1:27" ht="30">
      <c r="A34" s="739"/>
      <c r="B34" s="1113"/>
      <c r="C34" s="733">
        <v>2</v>
      </c>
      <c r="D34" s="734" t="s">
        <v>1184</v>
      </c>
      <c r="E34" s="741" t="s">
        <v>1185</v>
      </c>
      <c r="F34" s="492">
        <v>13</v>
      </c>
      <c r="G34" s="492">
        <v>33</v>
      </c>
      <c r="H34" s="505">
        <v>27</v>
      </c>
      <c r="I34" s="492">
        <v>4.5</v>
      </c>
      <c r="J34" s="492">
        <v>49</v>
      </c>
      <c r="K34" s="512">
        <v>23</v>
      </c>
      <c r="L34" s="492">
        <v>94</v>
      </c>
      <c r="M34" s="505">
        <v>23</v>
      </c>
      <c r="N34" s="505">
        <v>1700</v>
      </c>
      <c r="O34" s="505">
        <v>11</v>
      </c>
      <c r="P34" s="505">
        <v>1600</v>
      </c>
      <c r="Q34" s="505">
        <v>140</v>
      </c>
      <c r="R34" s="309">
        <f t="shared" ref="R34:R37" si="1">GEOMEAN(F34:Q34)</f>
        <v>53.352965874087893</v>
      </c>
      <c r="S34" s="309">
        <v>100</v>
      </c>
      <c r="T34" s="300"/>
      <c r="U34" s="300"/>
      <c r="V34" s="300"/>
      <c r="W34" s="300"/>
      <c r="X34" s="300"/>
      <c r="Y34" s="300"/>
      <c r="Z34" s="300"/>
      <c r="AA34" s="301"/>
    </row>
    <row r="35" spans="1:27" ht="30.75">
      <c r="A35" s="739"/>
      <c r="B35" s="1113"/>
      <c r="C35" s="733">
        <v>3</v>
      </c>
      <c r="D35" s="735" t="s">
        <v>1186</v>
      </c>
      <c r="E35" s="742" t="s">
        <v>1187</v>
      </c>
      <c r="F35" s="492">
        <v>240</v>
      </c>
      <c r="G35" s="492">
        <v>1600</v>
      </c>
      <c r="H35" s="505">
        <v>36</v>
      </c>
      <c r="I35" s="492">
        <v>22</v>
      </c>
      <c r="J35" s="492">
        <v>110</v>
      </c>
      <c r="K35" s="512">
        <v>350</v>
      </c>
      <c r="L35" s="492">
        <v>170</v>
      </c>
      <c r="M35" s="505">
        <v>700</v>
      </c>
      <c r="N35" s="505">
        <v>9200</v>
      </c>
      <c r="O35" s="505">
        <v>9200</v>
      </c>
      <c r="P35" s="505">
        <v>1700</v>
      </c>
      <c r="Q35" s="505">
        <v>170</v>
      </c>
      <c r="R35" s="309">
        <f t="shared" si="1"/>
        <v>424.3375515901235</v>
      </c>
      <c r="S35" s="309">
        <v>100</v>
      </c>
      <c r="T35" s="300"/>
      <c r="U35" s="300"/>
      <c r="V35" s="300"/>
      <c r="W35" s="300"/>
      <c r="X35" s="300"/>
      <c r="Y35" s="300"/>
      <c r="Z35" s="300"/>
      <c r="AA35" s="301"/>
    </row>
    <row r="36" spans="1:27" ht="30">
      <c r="A36" s="739"/>
      <c r="B36" s="1113"/>
      <c r="C36" s="733">
        <v>4</v>
      </c>
      <c r="D36" s="734" t="s">
        <v>1188</v>
      </c>
      <c r="E36" s="741" t="s">
        <v>1189</v>
      </c>
      <c r="F36" s="492">
        <v>33</v>
      </c>
      <c r="G36" s="492">
        <v>240</v>
      </c>
      <c r="H36" s="505">
        <v>130</v>
      </c>
      <c r="I36" s="492">
        <v>9</v>
      </c>
      <c r="J36" s="492">
        <v>130</v>
      </c>
      <c r="K36" s="512">
        <v>130</v>
      </c>
      <c r="L36" s="492">
        <v>350</v>
      </c>
      <c r="M36" s="505">
        <v>540</v>
      </c>
      <c r="N36" s="505">
        <v>490</v>
      </c>
      <c r="O36" s="505">
        <v>2200</v>
      </c>
      <c r="P36" s="505">
        <v>3500</v>
      </c>
      <c r="Q36" s="505">
        <v>170</v>
      </c>
      <c r="R36" s="309">
        <f t="shared" si="1"/>
        <v>227.26520023519595</v>
      </c>
      <c r="S36" s="309">
        <v>100</v>
      </c>
      <c r="T36" s="300"/>
      <c r="U36" s="300"/>
      <c r="V36" s="300"/>
      <c r="W36" s="300"/>
      <c r="X36" s="300"/>
      <c r="Y36" s="300"/>
      <c r="Z36" s="300"/>
      <c r="AA36" s="301"/>
    </row>
    <row r="37" spans="1:27" ht="30">
      <c r="A37" s="739"/>
      <c r="B37" s="1114"/>
      <c r="C37" s="733">
        <v>5</v>
      </c>
      <c r="D37" s="734" t="s">
        <v>1190</v>
      </c>
      <c r="E37" s="741" t="s">
        <v>1191</v>
      </c>
      <c r="F37" s="492">
        <v>49</v>
      </c>
      <c r="G37" s="492">
        <v>46</v>
      </c>
      <c r="H37" s="505">
        <v>46</v>
      </c>
      <c r="I37" s="492">
        <v>17</v>
      </c>
      <c r="J37" s="492">
        <v>220</v>
      </c>
      <c r="K37" s="512">
        <v>540</v>
      </c>
      <c r="L37" s="492">
        <v>31</v>
      </c>
      <c r="M37" s="505">
        <v>33</v>
      </c>
      <c r="N37" s="505">
        <v>490</v>
      </c>
      <c r="O37" s="505">
        <v>9200</v>
      </c>
      <c r="P37" s="505">
        <v>310</v>
      </c>
      <c r="Q37" s="505">
        <v>220</v>
      </c>
      <c r="R37" s="309">
        <f t="shared" si="1"/>
        <v>141.75936258585585</v>
      </c>
      <c r="S37" s="309">
        <v>100</v>
      </c>
      <c r="T37" s="300"/>
      <c r="U37" s="300"/>
      <c r="V37" s="300"/>
      <c r="W37" s="300"/>
      <c r="X37" s="300"/>
      <c r="Y37" s="300"/>
      <c r="Z37" s="300"/>
      <c r="AA37" s="301"/>
    </row>
    <row r="38" spans="1:27">
      <c r="A38" s="739"/>
      <c r="B38" s="1109" t="s">
        <v>1068</v>
      </c>
      <c r="C38" s="1110"/>
      <c r="D38" s="1111"/>
      <c r="E38" s="317"/>
      <c r="F38" s="510">
        <f t="shared" ref="F38:Q38" si="2">GEOMEAN(F33:F37)</f>
        <v>41.012712157175137</v>
      </c>
      <c r="G38" s="510">
        <f t="shared" si="2"/>
        <v>123.35586846056397</v>
      </c>
      <c r="H38" s="510">
        <f t="shared" si="2"/>
        <v>45.349894153820955</v>
      </c>
      <c r="I38" s="510">
        <f t="shared" si="2"/>
        <v>11.075003244243195</v>
      </c>
      <c r="J38" s="510">
        <f t="shared" si="2"/>
        <v>140.08917204685278</v>
      </c>
      <c r="K38" s="510">
        <f t="shared" si="2"/>
        <v>122.59303997554024</v>
      </c>
      <c r="L38" s="510">
        <f t="shared" si="2"/>
        <v>107.80953176875479</v>
      </c>
      <c r="M38" s="510">
        <f>GEOMEAN(M33:M37)</f>
        <v>82.098530869226565</v>
      </c>
      <c r="N38" s="510">
        <f t="shared" si="2"/>
        <v>837.92340002270078</v>
      </c>
      <c r="O38" s="510">
        <f t="shared" si="2"/>
        <v>809.78175659040619</v>
      </c>
      <c r="P38" s="510">
        <f t="shared" si="2"/>
        <v>871.14312333187127</v>
      </c>
      <c r="Q38" s="510">
        <f t="shared" si="2"/>
        <v>190.24853365463065</v>
      </c>
      <c r="R38" s="318">
        <v>65</v>
      </c>
      <c r="S38" s="338">
        <v>100</v>
      </c>
      <c r="T38" s="300"/>
      <c r="U38" s="300"/>
      <c r="V38" s="300"/>
      <c r="W38" s="300"/>
      <c r="X38" s="300"/>
      <c r="Y38" s="300"/>
      <c r="Z38" s="300"/>
      <c r="AA38" s="301"/>
    </row>
    <row r="39" spans="1:27">
      <c r="A39" s="739"/>
      <c r="B39" s="736"/>
      <c r="C39" s="737"/>
      <c r="D39" s="735"/>
      <c r="E39" s="744"/>
      <c r="F39" s="313"/>
      <c r="G39" s="313"/>
      <c r="H39" s="313"/>
      <c r="I39" s="313"/>
      <c r="J39" s="313"/>
      <c r="K39" s="313"/>
      <c r="L39" s="313"/>
      <c r="M39" s="313"/>
      <c r="N39" s="313"/>
      <c r="O39" s="313"/>
      <c r="P39" s="313"/>
      <c r="Q39" s="313"/>
      <c r="R39" s="313"/>
      <c r="S39" s="311"/>
      <c r="T39" s="300"/>
      <c r="U39" s="300"/>
      <c r="V39" s="300"/>
      <c r="W39" s="300"/>
      <c r="X39" s="300"/>
      <c r="Y39" s="300"/>
      <c r="Z39" s="300"/>
      <c r="AA39" s="301"/>
    </row>
    <row r="40" spans="1:27" ht="30">
      <c r="A40" s="739"/>
      <c r="B40" s="1112" t="s">
        <v>726</v>
      </c>
      <c r="C40" s="731">
        <v>1</v>
      </c>
      <c r="D40" s="732" t="s">
        <v>1182</v>
      </c>
      <c r="E40" s="743" t="s">
        <v>1183</v>
      </c>
      <c r="F40" s="305">
        <v>4.3999999999999997E-2</v>
      </c>
      <c r="G40" s="305">
        <v>0.47099999999999997</v>
      </c>
      <c r="H40" s="305">
        <v>0.17299999999999999</v>
      </c>
      <c r="I40" s="305">
        <v>4.2999999999999997E-2</v>
      </c>
      <c r="J40" s="305">
        <v>0.182</v>
      </c>
      <c r="K40" s="353">
        <v>0.23400000000000001</v>
      </c>
      <c r="L40" s="305">
        <v>0.70399999999999996</v>
      </c>
      <c r="M40" s="306">
        <v>4.2999999999999997E-2</v>
      </c>
      <c r="N40" s="306">
        <v>0.52600000000000002</v>
      </c>
      <c r="O40" s="306">
        <v>0.107</v>
      </c>
      <c r="P40" s="306">
        <v>0.28699999999999998</v>
      </c>
      <c r="Q40" s="306">
        <v>0.215</v>
      </c>
      <c r="R40" s="304">
        <f>AVERAGE(F40:Q40)</f>
        <v>0.25241666666666668</v>
      </c>
      <c r="S40" s="304">
        <v>10</v>
      </c>
      <c r="T40" s="300"/>
      <c r="U40" s="300"/>
      <c r="V40" s="300"/>
      <c r="W40" s="300"/>
      <c r="X40" s="300"/>
      <c r="Y40" s="300"/>
      <c r="Z40" s="300"/>
      <c r="AA40" s="301"/>
    </row>
    <row r="41" spans="1:27" ht="30">
      <c r="A41" s="739"/>
      <c r="B41" s="1113"/>
      <c r="C41" s="733">
        <v>2</v>
      </c>
      <c r="D41" s="734" t="s">
        <v>1184</v>
      </c>
      <c r="E41" s="741" t="s">
        <v>1185</v>
      </c>
      <c r="F41" s="310">
        <v>4.3999999999999997E-2</v>
      </c>
      <c r="G41" s="310">
        <v>0.49</v>
      </c>
      <c r="H41" s="310">
        <v>0.20799999999999999</v>
      </c>
      <c r="I41" s="310">
        <v>4.2999999999999997E-2</v>
      </c>
      <c r="J41" s="310">
        <v>0.29799999999999999</v>
      </c>
      <c r="K41" s="309">
        <v>5.0999999999999997E-2</v>
      </c>
      <c r="L41" s="310">
        <v>0.73</v>
      </c>
      <c r="M41" s="311">
        <v>4.2999999999999997E-2</v>
      </c>
      <c r="N41" s="311">
        <v>0.2</v>
      </c>
      <c r="O41" s="311">
        <v>0.107</v>
      </c>
      <c r="P41" s="311">
        <v>0.112</v>
      </c>
      <c r="Q41" s="311">
        <v>0.47299999999999998</v>
      </c>
      <c r="R41" s="309">
        <f t="shared" ref="R41:R49" si="3">AVERAGE(F41:Q41)</f>
        <v>0.23324999999999999</v>
      </c>
      <c r="S41" s="309">
        <v>10</v>
      </c>
      <c r="T41" s="300"/>
      <c r="U41" s="300"/>
      <c r="V41" s="300"/>
      <c r="W41" s="300"/>
      <c r="X41" s="300"/>
      <c r="Y41" s="300"/>
      <c r="Z41" s="300"/>
      <c r="AA41" s="301"/>
    </row>
    <row r="42" spans="1:27" ht="30.75">
      <c r="A42" s="739"/>
      <c r="B42" s="1113"/>
      <c r="C42" s="733">
        <v>3</v>
      </c>
      <c r="D42" s="735" t="s">
        <v>1186</v>
      </c>
      <c r="E42" s="742" t="s">
        <v>1187</v>
      </c>
      <c r="F42" s="310">
        <v>0.15</v>
      </c>
      <c r="G42" s="310">
        <v>0.21199999999999999</v>
      </c>
      <c r="H42" s="310">
        <v>0.23799999999999999</v>
      </c>
      <c r="I42" s="310">
        <v>4.2999999999999997E-2</v>
      </c>
      <c r="J42" s="310">
        <v>6.0999999999999999E-2</v>
      </c>
      <c r="K42" s="309">
        <v>4.2999999999999997E-2</v>
      </c>
      <c r="L42" s="310">
        <v>0.502</v>
      </c>
      <c r="M42" s="311">
        <v>4.2999999999999997E-2</v>
      </c>
      <c r="N42" s="311">
        <v>0.45600000000000002</v>
      </c>
      <c r="O42" s="311">
        <v>0.39100000000000001</v>
      </c>
      <c r="P42" s="311">
        <v>0.214</v>
      </c>
      <c r="Q42" s="311">
        <v>0.42799999999999999</v>
      </c>
      <c r="R42" s="309">
        <f t="shared" si="3"/>
        <v>0.23175000000000001</v>
      </c>
      <c r="S42" s="309">
        <v>10</v>
      </c>
      <c r="T42" s="300"/>
      <c r="U42" s="300"/>
      <c r="V42" s="300"/>
      <c r="W42" s="300"/>
      <c r="X42" s="300"/>
      <c r="Y42" s="300"/>
      <c r="Z42" s="300"/>
      <c r="AA42" s="301"/>
    </row>
    <row r="43" spans="1:27" ht="30">
      <c r="A43" s="739"/>
      <c r="B43" s="1113"/>
      <c r="C43" s="733">
        <v>4</v>
      </c>
      <c r="D43" s="734" t="s">
        <v>1188</v>
      </c>
      <c r="E43" s="741" t="s">
        <v>1189</v>
      </c>
      <c r="F43" s="310">
        <v>4.3999999999999997E-2</v>
      </c>
      <c r="G43" s="310">
        <v>0.23100000000000001</v>
      </c>
      <c r="H43" s="310">
        <v>0.255</v>
      </c>
      <c r="I43" s="310">
        <v>4.2999999999999997E-2</v>
      </c>
      <c r="J43" s="310">
        <v>9.2999999999999999E-2</v>
      </c>
      <c r="K43" s="309">
        <v>8.5000000000000006E-2</v>
      </c>
      <c r="L43" s="310">
        <v>0.51200000000000001</v>
      </c>
      <c r="M43" s="311">
        <v>4.2999999999999997E-2</v>
      </c>
      <c r="N43" s="311">
        <v>0.43099999999999999</v>
      </c>
      <c r="O43" s="311">
        <v>0.441</v>
      </c>
      <c r="P43" s="311">
        <v>0.192</v>
      </c>
      <c r="Q43" s="311">
        <v>0.251</v>
      </c>
      <c r="R43" s="309">
        <f t="shared" si="3"/>
        <v>0.21841666666666668</v>
      </c>
      <c r="S43" s="309">
        <v>10</v>
      </c>
      <c r="T43" s="300"/>
      <c r="U43" s="300"/>
      <c r="V43" s="300"/>
      <c r="W43" s="300"/>
      <c r="X43" s="300"/>
      <c r="Y43" s="300"/>
      <c r="Z43" s="300"/>
      <c r="AA43" s="301"/>
    </row>
    <row r="44" spans="1:27" ht="30">
      <c r="A44" s="739"/>
      <c r="B44" s="1114"/>
      <c r="C44" s="733">
        <v>5</v>
      </c>
      <c r="D44" s="734" t="s">
        <v>1190</v>
      </c>
      <c r="E44" s="741" t="s">
        <v>1191</v>
      </c>
      <c r="F44" s="310">
        <v>0.192</v>
      </c>
      <c r="G44" s="310">
        <v>0.33500000000000002</v>
      </c>
      <c r="H44" s="310">
        <v>0.35699999999999998</v>
      </c>
      <c r="I44" s="310">
        <v>4.2999999999999997E-2</v>
      </c>
      <c r="J44" s="310">
        <v>9.2999999999999999E-2</v>
      </c>
      <c r="K44" s="309">
        <v>0.216</v>
      </c>
      <c r="L44" s="310">
        <v>0.64700000000000002</v>
      </c>
      <c r="M44" s="311">
        <v>4.2999999999999997E-2</v>
      </c>
      <c r="N44" s="311">
        <v>0.112</v>
      </c>
      <c r="O44" s="311">
        <v>0.251</v>
      </c>
      <c r="P44" s="311">
        <v>0.105</v>
      </c>
      <c r="Q44" s="311">
        <v>0.30299999999999999</v>
      </c>
      <c r="R44" s="309">
        <f t="shared" si="3"/>
        <v>0.22474999999999998</v>
      </c>
      <c r="S44" s="309">
        <v>10</v>
      </c>
      <c r="T44" s="300"/>
      <c r="U44" s="300"/>
      <c r="V44" s="300"/>
      <c r="W44" s="300"/>
      <c r="X44" s="300"/>
      <c r="Y44" s="300"/>
      <c r="Z44" s="300"/>
      <c r="AA44" s="301"/>
    </row>
    <row r="45" spans="1:27" ht="30">
      <c r="A45" s="739"/>
      <c r="B45" s="1112" t="s">
        <v>727</v>
      </c>
      <c r="C45" s="731">
        <v>1</v>
      </c>
      <c r="D45" s="732" t="s">
        <v>1182</v>
      </c>
      <c r="E45" s="743" t="s">
        <v>1194</v>
      </c>
      <c r="F45" s="305">
        <v>0.10299999999999999</v>
      </c>
      <c r="G45" s="305">
        <v>0.123</v>
      </c>
      <c r="H45" s="305">
        <v>7.6999999999999999E-2</v>
      </c>
      <c r="I45" s="305">
        <v>3.9E-2</v>
      </c>
      <c r="J45" s="305">
        <v>8.6999999999999994E-2</v>
      </c>
      <c r="K45" s="353">
        <v>0.23200000000000001</v>
      </c>
      <c r="L45" s="305">
        <v>0.34100000000000003</v>
      </c>
      <c r="M45" s="306">
        <v>5.1999999999999998E-2</v>
      </c>
      <c r="N45" s="306">
        <v>0.247</v>
      </c>
      <c r="O45" s="306">
        <v>7.3999999999999996E-2</v>
      </c>
      <c r="P45" s="306">
        <v>0.113</v>
      </c>
      <c r="Q45" s="483">
        <v>0.11</v>
      </c>
      <c r="R45" s="304">
        <f t="shared" si="3"/>
        <v>0.13316666666666668</v>
      </c>
      <c r="S45" s="304">
        <v>0.2</v>
      </c>
      <c r="T45" s="300"/>
      <c r="U45" s="300"/>
      <c r="V45" s="300"/>
      <c r="W45" s="300"/>
      <c r="X45" s="300"/>
      <c r="Y45" s="300"/>
      <c r="Z45" s="300"/>
      <c r="AA45" s="301"/>
    </row>
    <row r="46" spans="1:27" ht="30">
      <c r="A46" s="739"/>
      <c r="B46" s="1113"/>
      <c r="C46" s="733">
        <v>2</v>
      </c>
      <c r="D46" s="734" t="s">
        <v>1184</v>
      </c>
      <c r="E46" s="741" t="s">
        <v>1194</v>
      </c>
      <c r="F46" s="310">
        <v>5.2999999999999999E-2</v>
      </c>
      <c r="G46" s="310">
        <v>1.7999999999999999E-2</v>
      </c>
      <c r="H46" s="310">
        <v>8.7999999999999995E-2</v>
      </c>
      <c r="I46" s="310">
        <v>0.20799999999999999</v>
      </c>
      <c r="J46" s="310">
        <v>6.8000000000000005E-2</v>
      </c>
      <c r="K46" s="309">
        <v>0.2</v>
      </c>
      <c r="L46" s="310">
        <v>0.29099999999999998</v>
      </c>
      <c r="M46" s="311">
        <v>0.11</v>
      </c>
      <c r="N46" s="311">
        <v>0.161</v>
      </c>
      <c r="O46" s="311">
        <v>5.8000000000000003E-2</v>
      </c>
      <c r="P46" s="311">
        <v>8.5000000000000006E-2</v>
      </c>
      <c r="Q46" s="311">
        <v>7.3999999999999996E-2</v>
      </c>
      <c r="R46" s="309">
        <f t="shared" si="3"/>
        <v>0.11783333333333335</v>
      </c>
      <c r="S46" s="309">
        <v>0.2</v>
      </c>
      <c r="T46" s="300"/>
      <c r="U46" s="300"/>
      <c r="V46" s="300"/>
      <c r="W46" s="300"/>
      <c r="X46" s="300"/>
      <c r="Y46" s="300"/>
      <c r="Z46" s="300"/>
      <c r="AA46" s="301"/>
    </row>
    <row r="47" spans="1:27" ht="30.75">
      <c r="A47" s="739"/>
      <c r="B47" s="1113"/>
      <c r="C47" s="733">
        <v>3</v>
      </c>
      <c r="D47" s="735" t="s">
        <v>1186</v>
      </c>
      <c r="E47" s="742" t="s">
        <v>1195</v>
      </c>
      <c r="F47" s="310">
        <v>6.5000000000000002E-2</v>
      </c>
      <c r="G47" s="310">
        <v>7.5999999999999998E-2</v>
      </c>
      <c r="H47" s="310">
        <v>0.151</v>
      </c>
      <c r="I47" s="310">
        <v>0.19900000000000001</v>
      </c>
      <c r="J47" s="310">
        <v>0.10299999999999999</v>
      </c>
      <c r="K47" s="309">
        <v>0.21099999999999999</v>
      </c>
      <c r="L47" s="310">
        <v>0.34599999999999997</v>
      </c>
      <c r="M47" s="311">
        <v>0.11700000000000001</v>
      </c>
      <c r="N47" s="311">
        <v>0.155</v>
      </c>
      <c r="O47" s="311">
        <v>0.11600000000000001</v>
      </c>
      <c r="P47" s="311">
        <v>9.1999999999999998E-2</v>
      </c>
      <c r="Q47" s="311">
        <v>0.14099999999999999</v>
      </c>
      <c r="R47" s="309">
        <f t="shared" si="3"/>
        <v>0.1476666666666667</v>
      </c>
      <c r="S47" s="309">
        <v>0.2</v>
      </c>
      <c r="T47" s="300"/>
      <c r="U47" s="300"/>
      <c r="V47" s="300"/>
      <c r="W47" s="300"/>
      <c r="X47" s="300"/>
      <c r="Y47" s="300"/>
      <c r="Z47" s="300"/>
      <c r="AA47" s="301"/>
    </row>
    <row r="48" spans="1:27" ht="30">
      <c r="A48" s="739"/>
      <c r="B48" s="1113"/>
      <c r="C48" s="733">
        <v>4</v>
      </c>
      <c r="D48" s="734" t="s">
        <v>1188</v>
      </c>
      <c r="E48" s="741" t="s">
        <v>1196</v>
      </c>
      <c r="F48" s="310">
        <v>0.08</v>
      </c>
      <c r="G48" s="310">
        <v>6.8000000000000005E-2</v>
      </c>
      <c r="H48" s="310">
        <v>0.127</v>
      </c>
      <c r="I48" s="310">
        <v>0.14899999999999999</v>
      </c>
      <c r="J48" s="310">
        <v>8.5000000000000006E-2</v>
      </c>
      <c r="K48" s="309">
        <v>0.185</v>
      </c>
      <c r="L48" s="310">
        <v>0.33</v>
      </c>
      <c r="M48" s="311">
        <v>0.114</v>
      </c>
      <c r="N48" s="311">
        <v>0.18099999999999999</v>
      </c>
      <c r="O48" s="311">
        <v>0.112</v>
      </c>
      <c r="P48" s="311">
        <v>7.9000000000000001E-2</v>
      </c>
      <c r="Q48" s="311">
        <v>6.0999999999999999E-2</v>
      </c>
      <c r="R48" s="309">
        <f t="shared" si="3"/>
        <v>0.13091666666666668</v>
      </c>
      <c r="S48" s="309">
        <v>0.2</v>
      </c>
      <c r="T48" s="300"/>
      <c r="U48" s="300"/>
      <c r="V48" s="300"/>
      <c r="W48" s="300"/>
      <c r="X48" s="300"/>
      <c r="Y48" s="300"/>
      <c r="Z48" s="300"/>
      <c r="AA48" s="301"/>
    </row>
    <row r="49" spans="1:45" ht="30">
      <c r="A49" s="739"/>
      <c r="B49" s="1114"/>
      <c r="C49" s="733">
        <v>5</v>
      </c>
      <c r="D49" s="734" t="s">
        <v>1190</v>
      </c>
      <c r="E49" s="741" t="s">
        <v>1196</v>
      </c>
      <c r="F49" s="310">
        <v>5.5E-2</v>
      </c>
      <c r="G49" s="310">
        <v>0.06</v>
      </c>
      <c r="H49" s="310">
        <v>0.19500000000000001</v>
      </c>
      <c r="I49" s="310">
        <v>0.154</v>
      </c>
      <c r="J49" s="310">
        <v>8.5000000000000006E-2</v>
      </c>
      <c r="K49" s="309">
        <v>0.19700000000000001</v>
      </c>
      <c r="L49" s="310">
        <v>0.26600000000000001</v>
      </c>
      <c r="M49" s="311">
        <v>6.8000000000000005E-2</v>
      </c>
      <c r="N49" s="311">
        <v>0.153</v>
      </c>
      <c r="O49" s="311">
        <v>0.16900000000000001</v>
      </c>
      <c r="P49" s="311">
        <v>0.13800000000000001</v>
      </c>
      <c r="Q49" s="311">
        <v>0.127</v>
      </c>
      <c r="R49" s="309">
        <f t="shared" si="3"/>
        <v>0.13891666666666666</v>
      </c>
      <c r="S49" s="309">
        <v>0.2</v>
      </c>
      <c r="T49" s="300"/>
      <c r="U49" s="300"/>
      <c r="V49" s="300"/>
      <c r="W49" s="300"/>
      <c r="X49" s="300"/>
      <c r="Y49" s="300"/>
      <c r="Z49" s="300"/>
      <c r="AA49" s="301"/>
    </row>
    <row r="50" spans="1:45">
      <c r="A50" s="319"/>
      <c r="B50" s="626"/>
      <c r="C50" s="748"/>
      <c r="D50" s="749"/>
      <c r="E50" s="367"/>
      <c r="F50" s="311"/>
      <c r="G50" s="311"/>
      <c r="H50" s="311"/>
      <c r="I50" s="311"/>
      <c r="J50" s="311"/>
      <c r="K50" s="311"/>
      <c r="L50" s="311"/>
      <c r="M50" s="311"/>
      <c r="N50" s="311"/>
      <c r="O50" s="311"/>
      <c r="P50" s="311"/>
      <c r="Q50" s="311"/>
      <c r="R50" s="300"/>
      <c r="S50" s="300"/>
      <c r="T50" s="300"/>
      <c r="U50" s="300"/>
      <c r="V50" s="300"/>
      <c r="W50" s="300"/>
      <c r="X50" s="300"/>
      <c r="Y50" s="300"/>
      <c r="Z50" s="300"/>
      <c r="AA50" s="301"/>
    </row>
    <row r="51" spans="1:45">
      <c r="A51" s="1005"/>
      <c r="B51" s="1005"/>
      <c r="C51" s="1005"/>
      <c r="D51" s="368" t="s">
        <v>314</v>
      </c>
      <c r="E51" s="368"/>
      <c r="F51" s="311"/>
      <c r="G51" s="311"/>
      <c r="H51" s="311"/>
      <c r="I51" s="311"/>
      <c r="J51" s="311"/>
      <c r="K51" s="311"/>
      <c r="L51" s="311"/>
      <c r="M51" s="311"/>
      <c r="N51" s="311"/>
      <c r="O51" s="311"/>
      <c r="P51" s="311"/>
      <c r="Q51" s="311"/>
      <c r="R51" s="300"/>
      <c r="S51" s="300"/>
      <c r="T51" s="300"/>
      <c r="U51" s="300"/>
      <c r="V51" s="300"/>
      <c r="W51" s="300"/>
      <c r="X51" s="300"/>
      <c r="Y51" s="300"/>
      <c r="Z51" s="300"/>
      <c r="AA51" s="301"/>
    </row>
    <row r="52" spans="1:45" ht="244.5">
      <c r="A52" s="1005"/>
      <c r="B52" s="1005"/>
      <c r="C52" s="1005"/>
      <c r="D52" s="365" t="s">
        <v>1182</v>
      </c>
      <c r="E52" s="364" t="s">
        <v>1194</v>
      </c>
      <c r="F52" s="320" t="s">
        <v>1197</v>
      </c>
      <c r="G52" s="320" t="s">
        <v>1198</v>
      </c>
      <c r="H52" s="320" t="s">
        <v>1199</v>
      </c>
      <c r="I52" s="320" t="s">
        <v>1200</v>
      </c>
      <c r="J52" s="320" t="s">
        <v>1201</v>
      </c>
      <c r="K52" s="320" t="s">
        <v>1202</v>
      </c>
      <c r="L52" s="320" t="s">
        <v>1203</v>
      </c>
      <c r="M52" s="320" t="s">
        <v>1204</v>
      </c>
      <c r="N52" s="320" t="s">
        <v>1205</v>
      </c>
      <c r="O52" s="320"/>
      <c r="P52" s="320"/>
      <c r="Q52" s="320" t="s">
        <v>1206</v>
      </c>
      <c r="R52" s="300"/>
      <c r="S52" s="300"/>
      <c r="T52" s="300"/>
      <c r="U52" s="300"/>
      <c r="V52" s="300"/>
      <c r="W52" s="300"/>
      <c r="X52" s="300"/>
      <c r="Y52" s="300"/>
      <c r="Z52" s="300"/>
      <c r="AA52" s="301"/>
    </row>
    <row r="53" spans="1:45" ht="244.5">
      <c r="A53" s="1083"/>
      <c r="B53" s="1083"/>
      <c r="C53" s="1083"/>
      <c r="D53" s="367" t="s">
        <v>1184</v>
      </c>
      <c r="E53" s="365" t="s">
        <v>1194</v>
      </c>
      <c r="F53" s="320" t="s">
        <v>1207</v>
      </c>
      <c r="G53" s="320" t="s">
        <v>1208</v>
      </c>
      <c r="H53" s="320" t="s">
        <v>1209</v>
      </c>
      <c r="I53" s="320" t="s">
        <v>1210</v>
      </c>
      <c r="J53" s="320" t="s">
        <v>1211</v>
      </c>
      <c r="K53" s="320" t="s">
        <v>1212</v>
      </c>
      <c r="L53" s="320" t="s">
        <v>1213</v>
      </c>
      <c r="M53" s="320" t="s">
        <v>1214</v>
      </c>
      <c r="N53" s="320" t="s">
        <v>1215</v>
      </c>
      <c r="O53" s="320"/>
      <c r="P53" s="320"/>
      <c r="Q53" s="320" t="s">
        <v>1216</v>
      </c>
      <c r="R53" s="300"/>
      <c r="S53" s="300"/>
      <c r="T53" s="300"/>
      <c r="U53" s="300"/>
      <c r="V53" s="300"/>
      <c r="W53" s="300"/>
      <c r="X53" s="300"/>
      <c r="Y53" s="300"/>
      <c r="Z53" s="300"/>
      <c r="AA53" s="301"/>
    </row>
    <row r="54" spans="1:45" ht="290.25">
      <c r="A54" s="1005"/>
      <c r="B54" s="1005"/>
      <c r="C54" s="1005"/>
      <c r="D54" s="367" t="s">
        <v>1186</v>
      </c>
      <c r="E54" s="367" t="s">
        <v>1195</v>
      </c>
      <c r="F54" s="320" t="s">
        <v>1217</v>
      </c>
      <c r="G54" s="320" t="s">
        <v>1218</v>
      </c>
      <c r="H54" s="320" t="s">
        <v>1219</v>
      </c>
      <c r="I54" s="320" t="s">
        <v>1220</v>
      </c>
      <c r="J54" s="320" t="s">
        <v>1221</v>
      </c>
      <c r="K54" s="320" t="s">
        <v>1222</v>
      </c>
      <c r="L54" s="320" t="s">
        <v>1223</v>
      </c>
      <c r="M54" s="320" t="s">
        <v>1224</v>
      </c>
      <c r="N54" s="320" t="s">
        <v>1225</v>
      </c>
      <c r="O54" s="320"/>
      <c r="P54" s="320"/>
      <c r="Q54" s="320" t="s">
        <v>1226</v>
      </c>
      <c r="R54" s="300"/>
      <c r="S54" s="300"/>
      <c r="T54" s="300"/>
      <c r="U54" s="300"/>
      <c r="V54" s="300"/>
      <c r="W54" s="300"/>
      <c r="X54" s="300"/>
      <c r="Y54" s="300"/>
      <c r="Z54" s="300"/>
      <c r="AA54" s="301"/>
    </row>
    <row r="55" spans="1:45" ht="244.5">
      <c r="A55" s="1005"/>
      <c r="B55" s="1005"/>
      <c r="C55" s="1005"/>
      <c r="D55" s="367" t="s">
        <v>1188</v>
      </c>
      <c r="E55" s="365" t="s">
        <v>1196</v>
      </c>
      <c r="F55" s="320" t="s">
        <v>1227</v>
      </c>
      <c r="G55" s="320" t="s">
        <v>1228</v>
      </c>
      <c r="H55" s="320" t="s">
        <v>1229</v>
      </c>
      <c r="I55" s="320" t="s">
        <v>1230</v>
      </c>
      <c r="J55" s="320" t="s">
        <v>1231</v>
      </c>
      <c r="K55" s="320" t="s">
        <v>1232</v>
      </c>
      <c r="L55" s="320" t="s">
        <v>1223</v>
      </c>
      <c r="M55" s="320" t="s">
        <v>1233</v>
      </c>
      <c r="N55" s="320" t="s">
        <v>1234</v>
      </c>
      <c r="O55" s="320"/>
      <c r="P55" s="320"/>
      <c r="Q55" s="320" t="s">
        <v>1226</v>
      </c>
      <c r="R55" s="300"/>
      <c r="S55" s="300"/>
      <c r="T55" s="300"/>
      <c r="U55" s="300"/>
      <c r="V55" s="300"/>
      <c r="W55" s="300"/>
      <c r="X55" s="300"/>
      <c r="Y55" s="300"/>
      <c r="Z55" s="300"/>
      <c r="AA55" s="301"/>
    </row>
    <row r="56" spans="1:45" ht="152.25">
      <c r="A56" s="319"/>
      <c r="B56" s="351"/>
      <c r="C56" s="380"/>
      <c r="D56" s="367" t="s">
        <v>1190</v>
      </c>
      <c r="E56" s="365" t="s">
        <v>1196</v>
      </c>
      <c r="F56" s="320" t="s">
        <v>1235</v>
      </c>
      <c r="G56" s="320" t="s">
        <v>1236</v>
      </c>
      <c r="H56" s="320" t="s">
        <v>1237</v>
      </c>
      <c r="I56" s="320" t="s">
        <v>1238</v>
      </c>
      <c r="J56" s="320" t="s">
        <v>1239</v>
      </c>
      <c r="K56" s="320" t="s">
        <v>1240</v>
      </c>
      <c r="L56" s="320" t="s">
        <v>1241</v>
      </c>
      <c r="M56" s="320" t="s">
        <v>1242</v>
      </c>
      <c r="N56" s="320" t="s">
        <v>1243</v>
      </c>
      <c r="O56" s="320"/>
      <c r="P56" s="320"/>
      <c r="Q56" s="320" t="s">
        <v>1226</v>
      </c>
      <c r="R56" s="300"/>
      <c r="S56" s="300"/>
      <c r="T56" s="300"/>
      <c r="U56" s="300"/>
      <c r="V56" s="300"/>
      <c r="W56" s="300"/>
      <c r="X56" s="300"/>
      <c r="Y56" s="300"/>
      <c r="Z56" s="300"/>
      <c r="AA56" s="301"/>
    </row>
    <row r="57" spans="1:45">
      <c r="A57" s="319"/>
      <c r="B57" s="351"/>
      <c r="C57" s="381"/>
      <c r="D57" s="369"/>
      <c r="E57" s="369"/>
      <c r="F57" s="300"/>
      <c r="G57" s="300"/>
      <c r="H57" s="300"/>
      <c r="I57" s="300"/>
      <c r="J57" s="300"/>
      <c r="K57" s="300"/>
      <c r="L57" s="300"/>
      <c r="M57" s="300"/>
      <c r="N57" s="300">
        <v>25</v>
      </c>
      <c r="O57" s="300"/>
      <c r="P57" s="300"/>
      <c r="Q57" s="300"/>
      <c r="R57" s="300"/>
      <c r="S57" s="300"/>
      <c r="T57" s="300"/>
      <c r="U57" s="300"/>
      <c r="V57" s="300"/>
      <c r="W57" s="300"/>
      <c r="X57" s="300"/>
      <c r="Y57" s="300"/>
      <c r="Z57" s="300"/>
      <c r="AA57" s="301"/>
    </row>
    <row r="58" spans="1:45">
      <c r="A58" s="319"/>
      <c r="B58" s="351"/>
      <c r="C58" s="381"/>
      <c r="D58" s="369"/>
      <c r="E58" s="369"/>
      <c r="F58" s="300"/>
      <c r="G58" s="300"/>
      <c r="H58" s="300"/>
      <c r="I58" s="300"/>
      <c r="J58" s="300"/>
      <c r="K58" s="300"/>
      <c r="L58" s="300"/>
      <c r="M58" s="300"/>
      <c r="N58" s="300"/>
      <c r="O58" s="300"/>
      <c r="P58" s="300"/>
      <c r="Q58" s="300"/>
      <c r="R58" s="300"/>
      <c r="S58" s="300"/>
      <c r="T58" s="300"/>
      <c r="U58" s="300"/>
      <c r="V58" s="300"/>
      <c r="W58" s="300"/>
      <c r="X58" s="300"/>
      <c r="Y58" s="300"/>
      <c r="Z58" s="300"/>
      <c r="AA58" s="301"/>
    </row>
    <row r="59" spans="1:45">
      <c r="A59" s="319"/>
      <c r="B59" s="624" t="s">
        <v>175</v>
      </c>
      <c r="C59" s="632"/>
      <c r="D59" s="633"/>
      <c r="E59" s="633"/>
      <c r="F59" s="625"/>
      <c r="G59" s="625"/>
      <c r="H59" s="625"/>
      <c r="I59" s="625"/>
      <c r="J59" s="625"/>
      <c r="K59" s="625"/>
      <c r="L59" s="625"/>
      <c r="M59" s="625"/>
      <c r="N59" s="625"/>
      <c r="O59" s="625"/>
      <c r="P59" s="625"/>
      <c r="Q59" s="625"/>
      <c r="R59" s="625"/>
      <c r="S59" s="625"/>
      <c r="T59" s="300"/>
      <c r="U59" s="300"/>
      <c r="V59" s="300"/>
      <c r="W59" s="300"/>
      <c r="X59" s="300"/>
      <c r="Y59" s="300"/>
      <c r="Z59" s="300"/>
      <c r="AA59" s="301"/>
    </row>
    <row r="60" spans="1:45">
      <c r="A60" s="618"/>
      <c r="B60" s="996" t="s">
        <v>1244</v>
      </c>
      <c r="C60" s="996"/>
      <c r="D60" s="996"/>
      <c r="E60" s="996"/>
      <c r="F60" s="996"/>
      <c r="G60" s="996"/>
      <c r="H60" s="996"/>
      <c r="I60" s="996"/>
      <c r="J60" s="996"/>
      <c r="K60" s="996"/>
      <c r="L60" s="996"/>
      <c r="M60" s="996"/>
      <c r="N60" s="996"/>
      <c r="O60" s="996"/>
      <c r="P60" s="996"/>
      <c r="Q60" s="996"/>
      <c r="R60" s="996"/>
      <c r="S60" s="996"/>
      <c r="T60" s="623"/>
      <c r="U60" s="300"/>
      <c r="V60" s="300"/>
      <c r="W60" s="300"/>
      <c r="X60" s="300"/>
      <c r="Y60" s="300"/>
      <c r="Z60" s="300"/>
      <c r="AA60" s="301"/>
    </row>
    <row r="61" spans="1:45">
      <c r="A61" s="618"/>
      <c r="B61" s="996"/>
      <c r="C61" s="996"/>
      <c r="D61" s="996"/>
      <c r="E61" s="996"/>
      <c r="F61" s="996"/>
      <c r="G61" s="996"/>
      <c r="H61" s="996"/>
      <c r="I61" s="996"/>
      <c r="J61" s="996"/>
      <c r="K61" s="996"/>
      <c r="L61" s="996"/>
      <c r="M61" s="996"/>
      <c r="N61" s="996"/>
      <c r="O61" s="996"/>
      <c r="P61" s="996"/>
      <c r="Q61" s="996"/>
      <c r="R61" s="996"/>
      <c r="S61" s="996"/>
      <c r="T61" s="623"/>
      <c r="U61" s="300"/>
      <c r="V61" s="300"/>
      <c r="W61" s="300"/>
      <c r="X61" s="300"/>
      <c r="Y61" s="300"/>
      <c r="Z61" s="300"/>
      <c r="AA61" s="301"/>
      <c r="AE61" s="970" t="s">
        <v>70</v>
      </c>
      <c r="AF61" s="970"/>
      <c r="AG61" s="970"/>
      <c r="AH61" s="970"/>
      <c r="AI61" s="970"/>
      <c r="AJ61" s="970"/>
      <c r="AK61" s="970"/>
      <c r="AL61" s="970"/>
      <c r="AM61" s="970"/>
      <c r="AN61" s="970"/>
      <c r="AO61" s="970"/>
      <c r="AP61" s="970"/>
      <c r="AQ61" s="970"/>
      <c r="AR61" s="970"/>
      <c r="AS61" s="970"/>
    </row>
    <row r="62" spans="1:45">
      <c r="A62" s="618"/>
      <c r="B62" s="996"/>
      <c r="C62" s="996"/>
      <c r="D62" s="996"/>
      <c r="E62" s="996"/>
      <c r="F62" s="996"/>
      <c r="G62" s="996"/>
      <c r="H62" s="996"/>
      <c r="I62" s="996"/>
      <c r="J62" s="996"/>
      <c r="K62" s="996"/>
      <c r="L62" s="996"/>
      <c r="M62" s="996"/>
      <c r="N62" s="996"/>
      <c r="O62" s="996"/>
      <c r="P62" s="996"/>
      <c r="Q62" s="996"/>
      <c r="R62" s="996"/>
      <c r="S62" s="996"/>
      <c r="T62" s="623"/>
      <c r="U62" s="300"/>
      <c r="V62" s="300"/>
      <c r="W62" s="300"/>
      <c r="X62" s="300"/>
      <c r="Y62" s="300"/>
      <c r="Z62" s="300"/>
      <c r="AA62" s="301"/>
      <c r="AE62" s="970" t="s">
        <v>107</v>
      </c>
      <c r="AF62" s="970"/>
      <c r="AG62" s="970"/>
      <c r="AH62" s="970"/>
      <c r="AI62" s="970"/>
      <c r="AJ62" s="970"/>
      <c r="AK62" s="970"/>
      <c r="AL62" s="970"/>
      <c r="AM62" s="970"/>
      <c r="AN62" s="970"/>
      <c r="AO62" s="970"/>
      <c r="AP62" s="970"/>
      <c r="AQ62" s="970"/>
      <c r="AR62" s="970"/>
      <c r="AS62" s="970"/>
    </row>
    <row r="63" spans="1:45">
      <c r="A63" s="618"/>
      <c r="B63" s="996"/>
      <c r="C63" s="996"/>
      <c r="D63" s="996"/>
      <c r="E63" s="996"/>
      <c r="F63" s="996"/>
      <c r="G63" s="996"/>
      <c r="H63" s="996"/>
      <c r="I63" s="996"/>
      <c r="J63" s="996"/>
      <c r="K63" s="996"/>
      <c r="L63" s="996"/>
      <c r="M63" s="996"/>
      <c r="N63" s="996"/>
      <c r="O63" s="996"/>
      <c r="P63" s="996"/>
      <c r="Q63" s="996"/>
      <c r="R63" s="996"/>
      <c r="S63" s="996"/>
      <c r="T63" s="623"/>
      <c r="U63" s="300"/>
      <c r="V63" s="300"/>
      <c r="W63" s="300"/>
      <c r="X63" s="300"/>
      <c r="Y63" s="300"/>
      <c r="Z63" s="300"/>
      <c r="AA63" s="301"/>
      <c r="AE63" s="848"/>
      <c r="AF63" s="848"/>
      <c r="AG63" s="848"/>
      <c r="AH63" s="848"/>
      <c r="AI63" s="848"/>
      <c r="AJ63" s="848" t="s">
        <v>78</v>
      </c>
      <c r="AK63" s="1161"/>
      <c r="AL63" s="1161"/>
      <c r="AM63" s="1161"/>
      <c r="AN63" s="1161"/>
      <c r="AO63" s="1161"/>
      <c r="AP63" s="1161"/>
      <c r="AQ63" s="1161"/>
      <c r="AR63" s="1161"/>
      <c r="AS63" s="1161"/>
    </row>
    <row r="64" spans="1:45">
      <c r="A64" s="618"/>
      <c r="B64" s="996"/>
      <c r="C64" s="996"/>
      <c r="D64" s="996"/>
      <c r="E64" s="996"/>
      <c r="F64" s="996"/>
      <c r="G64" s="996"/>
      <c r="H64" s="996"/>
      <c r="I64" s="996"/>
      <c r="J64" s="996"/>
      <c r="K64" s="996"/>
      <c r="L64" s="996"/>
      <c r="M64" s="996"/>
      <c r="N64" s="996"/>
      <c r="O64" s="996"/>
      <c r="P64" s="996"/>
      <c r="Q64" s="996"/>
      <c r="R64" s="996"/>
      <c r="S64" s="996"/>
      <c r="T64" s="623"/>
      <c r="U64" s="300"/>
      <c r="V64" s="300"/>
      <c r="W64" s="300"/>
      <c r="X64" s="300"/>
      <c r="Y64" s="300"/>
      <c r="Z64" s="300"/>
      <c r="AA64" s="301"/>
      <c r="AE64" s="729" t="s">
        <v>82</v>
      </c>
      <c r="AF64" s="729" t="s">
        <v>83</v>
      </c>
      <c r="AG64" s="729" t="s">
        <v>84</v>
      </c>
      <c r="AH64" s="729" t="s">
        <v>85</v>
      </c>
      <c r="AI64" s="729" t="s">
        <v>86</v>
      </c>
      <c r="AJ64" s="729" t="s">
        <v>4</v>
      </c>
      <c r="AK64" s="729" t="s">
        <v>5</v>
      </c>
      <c r="AL64" s="729" t="s">
        <v>6</v>
      </c>
      <c r="AM64" s="729" t="s">
        <v>7</v>
      </c>
      <c r="AN64" s="729" t="s">
        <v>8</v>
      </c>
      <c r="AO64" s="729" t="s">
        <v>9</v>
      </c>
      <c r="AP64" s="729" t="s">
        <v>10</v>
      </c>
      <c r="AQ64" s="729" t="s">
        <v>11</v>
      </c>
      <c r="AR64" s="729" t="s">
        <v>12</v>
      </c>
      <c r="AS64" s="729" t="s">
        <v>13</v>
      </c>
    </row>
    <row r="65" spans="1:45" ht="45.75">
      <c r="A65" s="618"/>
      <c r="B65" s="996"/>
      <c r="C65" s="996"/>
      <c r="D65" s="996"/>
      <c r="E65" s="996"/>
      <c r="F65" s="996"/>
      <c r="G65" s="996"/>
      <c r="H65" s="996"/>
      <c r="I65" s="996"/>
      <c r="J65" s="996"/>
      <c r="K65" s="996"/>
      <c r="L65" s="996"/>
      <c r="M65" s="996"/>
      <c r="N65" s="996"/>
      <c r="O65" s="996"/>
      <c r="P65" s="996"/>
      <c r="Q65" s="996"/>
      <c r="R65" s="996"/>
      <c r="S65" s="996"/>
      <c r="T65" s="623"/>
      <c r="U65" s="300"/>
      <c r="V65" s="300"/>
      <c r="W65" s="300"/>
      <c r="X65" s="300"/>
      <c r="Y65" s="300"/>
      <c r="Z65" s="300"/>
      <c r="AA65" s="301"/>
      <c r="AE65" s="883" t="s">
        <v>1112</v>
      </c>
      <c r="AF65" s="883" t="s">
        <v>1180</v>
      </c>
      <c r="AG65" s="883" t="s">
        <v>29</v>
      </c>
      <c r="AH65" s="32">
        <v>1</v>
      </c>
      <c r="AI65" s="365" t="s">
        <v>1182</v>
      </c>
      <c r="AJ65" s="309">
        <f>R7</f>
        <v>6.3908333333333331</v>
      </c>
      <c r="AK65" s="14" t="s">
        <v>905</v>
      </c>
      <c r="AL65" s="35">
        <f>R12</f>
        <v>49.416666666666664</v>
      </c>
      <c r="AM65" s="309">
        <f>R17</f>
        <v>8.0391666666666666</v>
      </c>
      <c r="AN65" s="35">
        <f>R23</f>
        <v>29.149166666666662</v>
      </c>
      <c r="AO65" s="35">
        <f>R27</f>
        <v>7.083333333333333</v>
      </c>
      <c r="AP65" s="35">
        <f>R17</f>
        <v>8.0391666666666666</v>
      </c>
      <c r="AQ65" s="34">
        <f>R40</f>
        <v>0.25241666666666668</v>
      </c>
      <c r="AR65" s="34">
        <f>R45</f>
        <v>0.13316666666666668</v>
      </c>
      <c r="AS65" s="14" t="s">
        <v>905</v>
      </c>
    </row>
    <row r="66" spans="1:45" ht="45.75">
      <c r="A66" s="618"/>
      <c r="B66" s="996"/>
      <c r="C66" s="996"/>
      <c r="D66" s="996"/>
      <c r="E66" s="996"/>
      <c r="F66" s="996"/>
      <c r="G66" s="996"/>
      <c r="H66" s="996"/>
      <c r="I66" s="996"/>
      <c r="J66" s="996"/>
      <c r="K66" s="996"/>
      <c r="L66" s="996"/>
      <c r="M66" s="996"/>
      <c r="N66" s="996"/>
      <c r="O66" s="996"/>
      <c r="P66" s="996"/>
      <c r="Q66" s="996"/>
      <c r="R66" s="996"/>
      <c r="S66" s="996"/>
      <c r="T66" s="623"/>
      <c r="U66" s="300"/>
      <c r="V66" s="300"/>
      <c r="W66" s="300"/>
      <c r="X66" s="300"/>
      <c r="Y66" s="300"/>
      <c r="Z66" s="300"/>
      <c r="AA66" s="301"/>
      <c r="AE66" s="884"/>
      <c r="AF66" s="884"/>
      <c r="AG66" s="884"/>
      <c r="AH66" s="32">
        <v>2</v>
      </c>
      <c r="AI66" s="365" t="s">
        <v>1184</v>
      </c>
      <c r="AJ66" s="309">
        <f>R8</f>
        <v>5.8450000000000015</v>
      </c>
      <c r="AK66" s="14" t="s">
        <v>905</v>
      </c>
      <c r="AL66" s="35">
        <f>R13</f>
        <v>42.75</v>
      </c>
      <c r="AM66" s="309">
        <f>R18</f>
        <v>7.9833333333333343</v>
      </c>
      <c r="AN66" s="35">
        <f>R24</f>
        <v>29.077500000000001</v>
      </c>
      <c r="AO66" s="35">
        <f>R28</f>
        <v>8.3333333333333339</v>
      </c>
      <c r="AP66" s="35">
        <f>R18</f>
        <v>7.9833333333333343</v>
      </c>
      <c r="AQ66" s="34">
        <f>R41</f>
        <v>0.23324999999999999</v>
      </c>
      <c r="AR66" s="34">
        <f>R46</f>
        <v>0.11783333333333335</v>
      </c>
      <c r="AS66" s="14" t="s">
        <v>905</v>
      </c>
    </row>
    <row r="67" spans="1:45" ht="45.75">
      <c r="A67" s="618"/>
      <c r="B67" s="996"/>
      <c r="C67" s="996"/>
      <c r="D67" s="996"/>
      <c r="E67" s="996"/>
      <c r="F67" s="996"/>
      <c r="G67" s="996"/>
      <c r="H67" s="996"/>
      <c r="I67" s="996"/>
      <c r="J67" s="996"/>
      <c r="K67" s="996"/>
      <c r="L67" s="996"/>
      <c r="M67" s="996"/>
      <c r="N67" s="996"/>
      <c r="O67" s="996"/>
      <c r="P67" s="996"/>
      <c r="Q67" s="996"/>
      <c r="R67" s="996"/>
      <c r="S67" s="996"/>
      <c r="T67" s="623"/>
      <c r="U67" s="300"/>
      <c r="V67" s="300"/>
      <c r="W67" s="300"/>
      <c r="X67" s="300"/>
      <c r="Y67" s="300"/>
      <c r="Z67" s="300"/>
      <c r="AA67" s="301"/>
      <c r="AE67" s="884"/>
      <c r="AF67" s="884"/>
      <c r="AG67" s="884"/>
      <c r="AH67" s="32">
        <v>3</v>
      </c>
      <c r="AI67" s="367" t="s">
        <v>1186</v>
      </c>
      <c r="AJ67" s="309">
        <f>R9</f>
        <v>5.4608333333333334</v>
      </c>
      <c r="AK67" s="14" t="s">
        <v>905</v>
      </c>
      <c r="AL67" s="35">
        <f>R14</f>
        <v>46.166666666666664</v>
      </c>
      <c r="AM67" s="309">
        <f>R19</f>
        <v>7.9609090909090918</v>
      </c>
      <c r="AN67" s="35">
        <f>R25</f>
        <v>29.175000000000001</v>
      </c>
      <c r="AO67" s="35">
        <f>R29</f>
        <v>7.916666666666667</v>
      </c>
      <c r="AP67" s="35">
        <f>R19</f>
        <v>7.9609090909090918</v>
      </c>
      <c r="AQ67" s="34">
        <f>R42</f>
        <v>0.23175000000000001</v>
      </c>
      <c r="AR67" s="34">
        <f>R47</f>
        <v>0.1476666666666667</v>
      </c>
      <c r="AS67" s="14" t="s">
        <v>905</v>
      </c>
    </row>
    <row r="68" spans="1:45" ht="45.75">
      <c r="A68" s="618"/>
      <c r="B68" s="996"/>
      <c r="C68" s="996"/>
      <c r="D68" s="996"/>
      <c r="E68" s="996"/>
      <c r="F68" s="996"/>
      <c r="G68" s="996"/>
      <c r="H68" s="996"/>
      <c r="I68" s="996"/>
      <c r="J68" s="996"/>
      <c r="K68" s="996"/>
      <c r="L68" s="996"/>
      <c r="M68" s="996"/>
      <c r="N68" s="996"/>
      <c r="O68" s="996"/>
      <c r="P68" s="996"/>
      <c r="Q68" s="996"/>
      <c r="R68" s="996"/>
      <c r="S68" s="996"/>
      <c r="T68" s="623"/>
      <c r="U68" s="300"/>
      <c r="V68" s="300"/>
      <c r="W68" s="300"/>
      <c r="X68" s="300"/>
      <c r="Y68" s="300"/>
      <c r="Z68" s="300"/>
      <c r="AA68" s="301"/>
      <c r="AE68" s="884"/>
      <c r="AF68" s="884"/>
      <c r="AG68" s="884"/>
      <c r="AH68" s="730">
        <v>4</v>
      </c>
      <c r="AI68" s="365" t="s">
        <v>1188</v>
      </c>
      <c r="AJ68" s="309">
        <f>R10</f>
        <v>5.3741666666666674</v>
      </c>
      <c r="AK68" s="14" t="s">
        <v>905</v>
      </c>
      <c r="AL68" s="35">
        <f>R15</f>
        <v>37.25</v>
      </c>
      <c r="AM68" s="309">
        <f>R20</f>
        <v>8.0183333333333326</v>
      </c>
      <c r="AN68" s="35">
        <f>R26</f>
        <v>29.13666666666667</v>
      </c>
      <c r="AO68" s="35">
        <f>R30</f>
        <v>8.3333333333333339</v>
      </c>
      <c r="AP68" s="35">
        <f>R20</f>
        <v>8.0183333333333326</v>
      </c>
      <c r="AQ68" s="34">
        <f>R43</f>
        <v>0.21841666666666668</v>
      </c>
      <c r="AR68" s="34">
        <f>R48</f>
        <v>0.13091666666666668</v>
      </c>
      <c r="AS68" s="14" t="s">
        <v>905</v>
      </c>
    </row>
    <row r="69" spans="1:45" ht="60.75">
      <c r="A69" s="618"/>
      <c r="B69" s="996"/>
      <c r="C69" s="996"/>
      <c r="D69" s="996"/>
      <c r="E69" s="996"/>
      <c r="F69" s="996"/>
      <c r="G69" s="996"/>
      <c r="H69" s="996"/>
      <c r="I69" s="996"/>
      <c r="J69" s="996"/>
      <c r="K69" s="996"/>
      <c r="L69" s="996"/>
      <c r="M69" s="996"/>
      <c r="N69" s="996"/>
      <c r="O69" s="996"/>
      <c r="P69" s="996"/>
      <c r="Q69" s="996"/>
      <c r="R69" s="996"/>
      <c r="S69" s="996"/>
      <c r="T69" s="623"/>
      <c r="U69" s="300"/>
      <c r="V69" s="300"/>
      <c r="W69" s="300"/>
      <c r="X69" s="300"/>
      <c r="Y69" s="300"/>
      <c r="Z69" s="300"/>
      <c r="AA69" s="301"/>
      <c r="AE69" s="884"/>
      <c r="AF69" s="884"/>
      <c r="AG69" s="884"/>
      <c r="AH69" s="730">
        <v>5</v>
      </c>
      <c r="AI69" s="365" t="s">
        <v>1190</v>
      </c>
      <c r="AJ69" s="309">
        <f>R11</f>
        <v>5.9024999999999999</v>
      </c>
      <c r="AK69" s="14" t="s">
        <v>905</v>
      </c>
      <c r="AL69" s="35">
        <f>R16</f>
        <v>42.583333333333336</v>
      </c>
      <c r="AM69" s="309">
        <f>R23</f>
        <v>29.149166666666662</v>
      </c>
      <c r="AN69" s="35">
        <f>R27</f>
        <v>7.083333333333333</v>
      </c>
      <c r="AO69" s="35">
        <f>R31</f>
        <v>7.083333333333333</v>
      </c>
      <c r="AP69" s="35">
        <f>R23</f>
        <v>29.149166666666662</v>
      </c>
      <c r="AQ69" s="34">
        <f>R44</f>
        <v>0.22474999999999998</v>
      </c>
      <c r="AR69" s="34">
        <f>R49</f>
        <v>0.13891666666666666</v>
      </c>
      <c r="AS69" s="14" t="s">
        <v>905</v>
      </c>
    </row>
    <row r="70" spans="1:45">
      <c r="A70" s="618"/>
      <c r="B70" s="996"/>
      <c r="C70" s="996"/>
      <c r="D70" s="996"/>
      <c r="E70" s="996"/>
      <c r="F70" s="996"/>
      <c r="G70" s="996"/>
      <c r="H70" s="996"/>
      <c r="I70" s="996"/>
      <c r="J70" s="996"/>
      <c r="K70" s="996"/>
      <c r="L70" s="996"/>
      <c r="M70" s="996"/>
      <c r="N70" s="996"/>
      <c r="O70" s="996"/>
      <c r="P70" s="996"/>
      <c r="Q70" s="996"/>
      <c r="R70" s="996"/>
      <c r="S70" s="996"/>
      <c r="T70" s="623"/>
      <c r="U70" s="300"/>
      <c r="V70" s="300"/>
      <c r="W70" s="300"/>
      <c r="X70" s="300"/>
      <c r="Y70" s="300"/>
      <c r="Z70" s="300"/>
      <c r="AA70" s="301"/>
      <c r="AE70" s="967"/>
      <c r="AF70" s="968"/>
      <c r="AG70" s="968"/>
      <c r="AH70" s="968"/>
      <c r="AI70" s="968"/>
      <c r="AJ70" s="968"/>
      <c r="AK70" s="968"/>
      <c r="AL70" s="968"/>
      <c r="AM70" s="968"/>
      <c r="AN70" s="968"/>
      <c r="AO70" s="968"/>
      <c r="AP70" s="968"/>
      <c r="AQ70" s="968"/>
      <c r="AR70" s="968"/>
      <c r="AS70" s="969"/>
    </row>
    <row r="71" spans="1:45">
      <c r="A71" s="618"/>
      <c r="B71" s="996"/>
      <c r="C71" s="996"/>
      <c r="D71" s="996"/>
      <c r="E71" s="996"/>
      <c r="F71" s="996"/>
      <c r="G71" s="996"/>
      <c r="H71" s="996"/>
      <c r="I71" s="996"/>
      <c r="J71" s="996"/>
      <c r="K71" s="996"/>
      <c r="L71" s="996"/>
      <c r="M71" s="996"/>
      <c r="N71" s="996"/>
      <c r="O71" s="996"/>
      <c r="P71" s="996"/>
      <c r="Q71" s="996"/>
      <c r="R71" s="996"/>
      <c r="S71" s="996"/>
      <c r="T71" s="623"/>
      <c r="U71" s="300"/>
      <c r="V71" s="300"/>
      <c r="W71" s="300"/>
      <c r="X71" s="300"/>
      <c r="Y71" s="300"/>
      <c r="Z71" s="300"/>
      <c r="AA71" s="301"/>
      <c r="AE71" s="14" t="s">
        <v>93</v>
      </c>
      <c r="AF71" s="961"/>
      <c r="AG71" s="962"/>
      <c r="AH71" s="962"/>
      <c r="AI71" s="963"/>
      <c r="AJ71" s="35">
        <f>AVERAGE(AJ65:AJ69)</f>
        <v>5.7946666666666671</v>
      </c>
      <c r="AK71" s="14" t="s">
        <v>905</v>
      </c>
      <c r="AL71" s="35">
        <f>AVERAGE(AL65:AL69)</f>
        <v>43.633333333333333</v>
      </c>
      <c r="AM71" s="35">
        <f>AVERAGE(AM65:AM69)</f>
        <v>12.230181818181816</v>
      </c>
      <c r="AN71" s="35">
        <f>AVERAGE(AN65:AN69)</f>
        <v>24.72433333333333</v>
      </c>
      <c r="AO71" s="35">
        <f>AVERAGE(AO65:AO67)</f>
        <v>7.7777777777777786</v>
      </c>
      <c r="AP71" s="35">
        <f>AVERAGE(AP65:AP69)</f>
        <v>12.230181818181816</v>
      </c>
      <c r="AQ71" s="34">
        <f>AVERAGE(AQ65:AQ69)</f>
        <v>0.23211666666666667</v>
      </c>
      <c r="AR71" s="34">
        <f>AVERAGE(AR65:AR69)</f>
        <v>0.13370000000000001</v>
      </c>
      <c r="AS71" s="14" t="s">
        <v>905</v>
      </c>
    </row>
    <row r="72" spans="1:45">
      <c r="A72" s="618"/>
      <c r="B72" s="996"/>
      <c r="C72" s="996"/>
      <c r="D72" s="996"/>
      <c r="E72" s="996"/>
      <c r="F72" s="996"/>
      <c r="G72" s="996"/>
      <c r="H72" s="996"/>
      <c r="I72" s="996"/>
      <c r="J72" s="996"/>
      <c r="K72" s="996"/>
      <c r="L72" s="996"/>
      <c r="M72" s="996"/>
      <c r="N72" s="996"/>
      <c r="O72" s="996"/>
      <c r="P72" s="996"/>
      <c r="Q72" s="996"/>
      <c r="R72" s="996"/>
      <c r="S72" s="996"/>
      <c r="T72" s="623"/>
      <c r="U72" s="300"/>
      <c r="V72" s="300"/>
      <c r="W72" s="300"/>
      <c r="X72" s="300"/>
      <c r="Y72" s="300"/>
      <c r="Z72" s="300"/>
      <c r="AA72" s="301"/>
      <c r="AE72" s="14" t="s">
        <v>94</v>
      </c>
      <c r="AF72" s="964"/>
      <c r="AG72" s="1107"/>
      <c r="AH72" s="1107"/>
      <c r="AI72" s="966"/>
      <c r="AJ72" s="35">
        <f>MIN(AJ65:AJ69)</f>
        <v>5.3741666666666674</v>
      </c>
      <c r="AK72" s="14" t="s">
        <v>905</v>
      </c>
      <c r="AL72" s="35">
        <f>MIN(AL65:AL69)</f>
        <v>37.25</v>
      </c>
      <c r="AM72" s="35">
        <f>MIN(AM65:AM69)</f>
        <v>7.9609090909090918</v>
      </c>
      <c r="AN72" s="35">
        <f>MIN(AN65:AN69)</f>
        <v>7.083333333333333</v>
      </c>
      <c r="AO72" s="35">
        <f>MIN(AO65:AO67)</f>
        <v>7.083333333333333</v>
      </c>
      <c r="AP72" s="35">
        <f>MIN(AP65:AP69)</f>
        <v>7.9609090909090918</v>
      </c>
      <c r="AQ72" s="34">
        <f>MIN(AQ65:AQ69)</f>
        <v>0.21841666666666668</v>
      </c>
      <c r="AR72" s="34">
        <f>MIN(AR65:AR69)</f>
        <v>0.11783333333333335</v>
      </c>
      <c r="AS72" s="14" t="s">
        <v>905</v>
      </c>
    </row>
    <row r="73" spans="1:45">
      <c r="A73" s="319"/>
      <c r="B73" s="626"/>
      <c r="C73" s="634"/>
      <c r="D73" s="635"/>
      <c r="E73" s="635"/>
      <c r="F73" s="627"/>
      <c r="G73" s="627"/>
      <c r="H73" s="627"/>
      <c r="I73" s="627"/>
      <c r="J73" s="627"/>
      <c r="K73" s="627"/>
      <c r="L73" s="627"/>
      <c r="M73" s="627"/>
      <c r="N73" s="627"/>
      <c r="O73" s="627"/>
      <c r="P73" s="627"/>
      <c r="Q73" s="627"/>
      <c r="R73" s="627"/>
      <c r="S73" s="627"/>
      <c r="T73" s="300"/>
      <c r="U73" s="300"/>
      <c r="V73" s="300"/>
      <c r="W73" s="300"/>
      <c r="X73" s="300"/>
      <c r="Y73" s="300"/>
      <c r="Z73" s="300"/>
      <c r="AA73" s="301"/>
      <c r="AE73" s="14" t="s">
        <v>95</v>
      </c>
      <c r="AF73" s="964"/>
      <c r="AG73" s="1107"/>
      <c r="AH73" s="1107"/>
      <c r="AI73" s="966"/>
      <c r="AJ73" s="35">
        <f>MAX(AJ65:AJ67)</f>
        <v>6.3908333333333331</v>
      </c>
      <c r="AK73" s="14" t="s">
        <v>905</v>
      </c>
      <c r="AL73" s="35">
        <f>MAX(AL65:AL69)</f>
        <v>49.416666666666664</v>
      </c>
      <c r="AM73" s="35">
        <f>MAX(AM65:AM69)</f>
        <v>29.149166666666662</v>
      </c>
      <c r="AN73" s="35">
        <f>MAX(AN65:AN69)</f>
        <v>29.175000000000001</v>
      </c>
      <c r="AO73" s="35">
        <f>MAX(AO65:AO67)</f>
        <v>8.3333333333333339</v>
      </c>
      <c r="AP73" s="35">
        <f>MAX(AP65:AP69)</f>
        <v>29.149166666666662</v>
      </c>
      <c r="AQ73" s="34">
        <f>MAX(AQ65:AQ69)</f>
        <v>0.25241666666666668</v>
      </c>
      <c r="AR73" s="34">
        <f>MAX(AR65:AR69)</f>
        <v>0.1476666666666667</v>
      </c>
      <c r="AS73" s="14" t="s">
        <v>905</v>
      </c>
    </row>
    <row r="74" spans="1:45">
      <c r="A74" s="319"/>
      <c r="B74" s="351"/>
      <c r="C74" s="381"/>
      <c r="D74" s="369"/>
      <c r="E74" s="369"/>
      <c r="F74" s="300"/>
      <c r="G74" s="300"/>
      <c r="H74" s="300"/>
      <c r="I74" s="300"/>
      <c r="J74" s="300"/>
      <c r="K74" s="300"/>
      <c r="L74" s="300"/>
      <c r="M74" s="300"/>
      <c r="N74" s="300"/>
      <c r="O74" s="300"/>
      <c r="P74" s="300"/>
      <c r="Q74" s="300"/>
      <c r="R74" s="300"/>
      <c r="S74" s="300"/>
      <c r="T74" s="300"/>
      <c r="U74" s="300"/>
      <c r="V74" s="300"/>
      <c r="W74" s="300"/>
      <c r="X74" s="300"/>
      <c r="Y74" s="300"/>
      <c r="Z74" s="300"/>
      <c r="AA74" s="301"/>
      <c r="AE74" s="14" t="s">
        <v>96</v>
      </c>
      <c r="AF74" s="967"/>
      <c r="AG74" s="968"/>
      <c r="AH74" s="968"/>
      <c r="AI74" s="969"/>
      <c r="AJ74" s="118" t="s">
        <v>906</v>
      </c>
      <c r="AK74" s="118" t="s">
        <v>905</v>
      </c>
      <c r="AL74" s="118" t="s">
        <v>907</v>
      </c>
      <c r="AM74" s="118" t="s">
        <v>908</v>
      </c>
      <c r="AN74" s="29" t="s">
        <v>909</v>
      </c>
      <c r="AO74" s="118" t="s">
        <v>699</v>
      </c>
      <c r="AP74" s="118" t="s">
        <v>700</v>
      </c>
      <c r="AQ74" s="118" t="s">
        <v>910</v>
      </c>
      <c r="AR74" s="118" t="s">
        <v>911</v>
      </c>
      <c r="AS74" s="118" t="s">
        <v>905</v>
      </c>
    </row>
    <row r="75" spans="1:45">
      <c r="A75" s="319"/>
      <c r="B75" s="351"/>
      <c r="C75" s="381"/>
      <c r="D75" s="369"/>
      <c r="E75" s="369"/>
      <c r="F75" s="300"/>
      <c r="G75" s="300"/>
      <c r="H75" s="300"/>
      <c r="I75" s="300"/>
      <c r="J75" s="300"/>
      <c r="K75" s="300"/>
      <c r="L75" s="300"/>
      <c r="M75" s="300"/>
      <c r="N75" s="300"/>
      <c r="O75" s="300"/>
      <c r="P75" s="300"/>
      <c r="Q75" s="300"/>
      <c r="R75" s="300"/>
      <c r="S75" s="300"/>
      <c r="T75" s="300"/>
      <c r="U75" s="300"/>
      <c r="V75" s="300"/>
      <c r="W75" s="300"/>
      <c r="X75" s="300"/>
      <c r="Y75" s="300"/>
      <c r="Z75" s="300"/>
      <c r="AA75" s="301"/>
    </row>
    <row r="76" spans="1:45">
      <c r="A76" s="319"/>
      <c r="B76" s="351"/>
      <c r="C76" s="381"/>
      <c r="D76" s="369"/>
      <c r="E76" s="369"/>
      <c r="F76" s="300"/>
      <c r="G76" s="300"/>
      <c r="H76" s="300"/>
      <c r="I76" s="300"/>
      <c r="J76" s="300"/>
      <c r="K76" s="300"/>
      <c r="L76" s="300"/>
      <c r="M76" s="300"/>
      <c r="N76" s="300"/>
      <c r="O76" s="300"/>
      <c r="P76" s="300"/>
      <c r="Q76" s="300"/>
      <c r="R76" s="300"/>
      <c r="S76" s="300"/>
      <c r="T76" s="300"/>
      <c r="U76" s="300"/>
      <c r="V76" s="300"/>
      <c r="W76" s="300"/>
      <c r="X76" s="300"/>
      <c r="Y76" s="300"/>
      <c r="Z76" s="300"/>
      <c r="AA76" s="301"/>
    </row>
    <row r="77" spans="1:45">
      <c r="A77" s="319"/>
      <c r="B77" s="351"/>
      <c r="C77" s="381"/>
      <c r="D77" s="369"/>
      <c r="E77" s="369"/>
      <c r="F77" s="300"/>
      <c r="G77" s="300"/>
      <c r="H77" s="300"/>
      <c r="I77" s="300"/>
      <c r="J77" s="300"/>
      <c r="K77" s="300"/>
      <c r="L77" s="300"/>
      <c r="M77" s="300"/>
      <c r="N77" s="300"/>
      <c r="O77" s="300"/>
      <c r="P77" s="300"/>
      <c r="Q77" s="300"/>
      <c r="R77" s="300"/>
      <c r="S77" s="300"/>
      <c r="T77" s="300"/>
      <c r="U77" s="300"/>
      <c r="V77" s="300"/>
      <c r="W77" s="300"/>
      <c r="X77" s="300"/>
      <c r="Y77" s="300"/>
      <c r="Z77" s="300"/>
      <c r="AA77" s="301"/>
    </row>
    <row r="78" spans="1:45">
      <c r="A78" s="319"/>
      <c r="B78" s="351"/>
      <c r="C78" s="381"/>
      <c r="D78" s="369"/>
      <c r="E78" s="369"/>
      <c r="F78" s="300"/>
      <c r="G78" s="300"/>
      <c r="H78" s="300"/>
      <c r="I78" s="300"/>
      <c r="J78" s="300"/>
      <c r="K78" s="300"/>
      <c r="L78" s="300"/>
      <c r="M78" s="300"/>
      <c r="N78" s="300"/>
      <c r="O78" s="300"/>
      <c r="P78" s="300"/>
      <c r="Q78" s="300"/>
      <c r="R78" s="300"/>
      <c r="S78" s="300"/>
      <c r="T78" s="300"/>
      <c r="U78" s="300"/>
      <c r="V78" s="300"/>
      <c r="W78" s="300"/>
      <c r="X78" s="300"/>
      <c r="Y78" s="300"/>
      <c r="Z78" s="300"/>
      <c r="AA78" s="301"/>
    </row>
    <row r="79" spans="1:45">
      <c r="A79" s="319"/>
      <c r="B79" s="351"/>
      <c r="C79" s="381"/>
      <c r="D79" s="369"/>
      <c r="E79" s="369"/>
      <c r="F79" s="300"/>
      <c r="G79" s="300"/>
      <c r="H79" s="300"/>
      <c r="I79" s="300"/>
      <c r="J79" s="300"/>
      <c r="K79" s="300"/>
      <c r="L79" s="300"/>
      <c r="M79" s="300"/>
      <c r="N79" s="300"/>
      <c r="O79" s="300"/>
      <c r="P79" s="300"/>
      <c r="Q79" s="300"/>
      <c r="R79" s="300"/>
      <c r="S79" s="300"/>
      <c r="T79" s="300"/>
      <c r="U79" s="300"/>
      <c r="V79" s="300"/>
      <c r="W79" s="300"/>
      <c r="X79" s="300"/>
      <c r="Y79" s="300"/>
      <c r="Z79" s="300"/>
      <c r="AA79" s="301"/>
    </row>
    <row r="80" spans="1:45">
      <c r="A80" s="319"/>
      <c r="B80" s="351"/>
      <c r="C80" s="381"/>
      <c r="D80" s="369"/>
      <c r="E80" s="369"/>
      <c r="F80" s="300"/>
      <c r="G80" s="300"/>
      <c r="H80" s="300"/>
      <c r="I80" s="300"/>
      <c r="J80" s="300"/>
      <c r="K80" s="300"/>
      <c r="L80" s="300"/>
      <c r="M80" s="300"/>
      <c r="N80" s="300"/>
      <c r="O80" s="300"/>
      <c r="P80" s="300"/>
      <c r="Q80" s="300"/>
      <c r="R80" s="300"/>
      <c r="S80" s="300"/>
      <c r="T80" s="300"/>
      <c r="U80" s="300"/>
      <c r="V80" s="300"/>
      <c r="W80" s="300"/>
      <c r="X80" s="300"/>
      <c r="Y80" s="300"/>
      <c r="Z80" s="300"/>
      <c r="AA80" s="301"/>
    </row>
    <row r="81" spans="1:27">
      <c r="A81" s="319"/>
      <c r="B81" s="351"/>
      <c r="C81" s="381"/>
      <c r="D81" s="369"/>
      <c r="E81" s="369"/>
      <c r="F81" s="300"/>
      <c r="G81" s="300"/>
      <c r="H81" s="300"/>
      <c r="I81" s="300"/>
      <c r="J81" s="300"/>
      <c r="K81" s="300"/>
      <c r="L81" s="300"/>
      <c r="M81" s="300"/>
      <c r="N81" s="300"/>
      <c r="O81" s="300"/>
      <c r="P81" s="300"/>
      <c r="Q81" s="300"/>
      <c r="R81" s="300"/>
      <c r="S81" s="300"/>
      <c r="T81" s="300"/>
      <c r="U81" s="300"/>
      <c r="V81" s="300"/>
      <c r="W81" s="300"/>
      <c r="X81" s="300"/>
      <c r="Y81" s="300"/>
      <c r="Z81" s="300"/>
      <c r="AA81" s="301"/>
    </row>
    <row r="82" spans="1:27">
      <c r="A82" s="319"/>
      <c r="B82" s="351"/>
      <c r="C82" s="381"/>
      <c r="D82" s="369"/>
      <c r="E82" s="369"/>
      <c r="F82" s="300"/>
      <c r="G82" s="300"/>
      <c r="H82" s="300"/>
      <c r="I82" s="300"/>
      <c r="J82" s="300"/>
      <c r="K82" s="300"/>
      <c r="L82" s="300"/>
      <c r="M82" s="300"/>
      <c r="N82" s="300"/>
      <c r="O82" s="300"/>
      <c r="P82" s="300"/>
      <c r="Q82" s="300"/>
      <c r="R82" s="300"/>
      <c r="S82" s="300"/>
      <c r="T82" s="300"/>
      <c r="U82" s="300"/>
      <c r="V82" s="300"/>
      <c r="W82" s="300"/>
      <c r="X82" s="300"/>
      <c r="Y82" s="300"/>
      <c r="Z82" s="300"/>
      <c r="AA82" s="301"/>
    </row>
    <row r="83" spans="1:27">
      <c r="A83" s="319"/>
      <c r="B83" s="351"/>
      <c r="C83" s="381"/>
      <c r="D83" s="369"/>
      <c r="E83" s="369"/>
      <c r="F83" s="300"/>
      <c r="G83" s="300"/>
      <c r="H83" s="300"/>
      <c r="I83" s="300"/>
      <c r="J83" s="300"/>
      <c r="K83" s="300"/>
      <c r="L83" s="300"/>
      <c r="M83" s="300"/>
      <c r="N83" s="300"/>
      <c r="O83" s="300"/>
      <c r="P83" s="300"/>
      <c r="Q83" s="300"/>
      <c r="R83" s="300"/>
      <c r="S83" s="300"/>
      <c r="T83" s="300"/>
      <c r="U83" s="300"/>
      <c r="V83" s="300"/>
      <c r="W83" s="300"/>
      <c r="X83" s="300"/>
      <c r="Y83" s="300"/>
      <c r="Z83" s="300"/>
      <c r="AA83" s="301"/>
    </row>
    <row r="84" spans="1:27">
      <c r="A84" s="319"/>
      <c r="B84" s="351"/>
      <c r="C84" s="381"/>
      <c r="D84" s="369"/>
      <c r="E84" s="369"/>
      <c r="F84" s="300"/>
      <c r="G84" s="300"/>
      <c r="H84" s="300"/>
      <c r="I84" s="300"/>
      <c r="J84" s="300"/>
      <c r="K84" s="300"/>
      <c r="L84" s="300"/>
      <c r="M84" s="300"/>
      <c r="N84" s="300"/>
      <c r="O84" s="300"/>
      <c r="P84" s="300"/>
      <c r="Q84" s="300"/>
      <c r="R84" s="300"/>
      <c r="S84" s="300"/>
      <c r="T84" s="300"/>
      <c r="U84" s="300"/>
      <c r="V84" s="300"/>
      <c r="W84" s="300"/>
      <c r="X84" s="300"/>
      <c r="Y84" s="300"/>
      <c r="Z84" s="300"/>
      <c r="AA84" s="301"/>
    </row>
    <row r="85" spans="1:27">
      <c r="A85" s="319"/>
      <c r="B85" s="351"/>
      <c r="C85" s="381"/>
      <c r="D85" s="369"/>
      <c r="E85" s="369"/>
      <c r="F85" s="300"/>
      <c r="G85" s="300"/>
      <c r="H85" s="300"/>
      <c r="I85" s="300"/>
      <c r="J85" s="300"/>
      <c r="K85" s="300"/>
      <c r="L85" s="300"/>
      <c r="M85" s="300"/>
      <c r="N85" s="300"/>
      <c r="O85" s="300"/>
      <c r="P85" s="300"/>
      <c r="Q85" s="300"/>
      <c r="R85" s="300"/>
      <c r="S85" s="300"/>
      <c r="T85" s="300"/>
      <c r="U85" s="300"/>
      <c r="V85" s="300"/>
      <c r="W85" s="300"/>
      <c r="X85" s="300"/>
      <c r="Y85" s="300"/>
      <c r="Z85" s="300"/>
      <c r="AA85" s="301"/>
    </row>
    <row r="86" spans="1:27">
      <c r="A86" s="319"/>
      <c r="B86" s="351"/>
      <c r="C86" s="381"/>
      <c r="D86" s="369"/>
      <c r="E86" s="369"/>
      <c r="F86" s="300"/>
      <c r="G86" s="300"/>
      <c r="H86" s="300"/>
      <c r="I86" s="300"/>
      <c r="J86" s="300"/>
      <c r="K86" s="300"/>
      <c r="L86" s="300"/>
      <c r="M86" s="300"/>
      <c r="N86" s="300"/>
      <c r="O86" s="300"/>
      <c r="P86" s="300"/>
      <c r="Q86" s="300"/>
      <c r="R86" s="300"/>
      <c r="S86" s="300"/>
      <c r="T86" s="300"/>
      <c r="U86" s="300"/>
      <c r="V86" s="300"/>
      <c r="W86" s="300"/>
      <c r="X86" s="300"/>
      <c r="Y86" s="300"/>
      <c r="Z86" s="300"/>
      <c r="AA86" s="301"/>
    </row>
    <row r="87" spans="1:27">
      <c r="A87" s="319"/>
      <c r="B87" s="351"/>
      <c r="C87" s="381"/>
      <c r="D87" s="369"/>
      <c r="E87" s="369"/>
      <c r="F87" s="300"/>
      <c r="G87" s="300"/>
      <c r="H87" s="300"/>
      <c r="I87" s="300"/>
      <c r="J87" s="300"/>
      <c r="K87" s="300"/>
      <c r="L87" s="300"/>
      <c r="M87" s="300"/>
      <c r="N87" s="300"/>
      <c r="O87" s="300"/>
      <c r="P87" s="300"/>
      <c r="Q87" s="300"/>
      <c r="R87" s="300"/>
      <c r="S87" s="300"/>
      <c r="T87" s="300"/>
      <c r="U87" s="300"/>
      <c r="V87" s="300"/>
      <c r="W87" s="300"/>
      <c r="X87" s="300"/>
      <c r="Y87" s="300"/>
      <c r="Z87" s="300"/>
      <c r="AA87" s="301"/>
    </row>
    <row r="88" spans="1:27">
      <c r="A88" s="319"/>
      <c r="B88" s="351"/>
      <c r="C88" s="381"/>
      <c r="D88" s="369"/>
      <c r="E88" s="369"/>
      <c r="F88" s="300"/>
      <c r="G88" s="300"/>
      <c r="H88" s="300"/>
      <c r="I88" s="300"/>
      <c r="J88" s="300"/>
      <c r="K88" s="300"/>
      <c r="L88" s="300"/>
      <c r="M88" s="300"/>
      <c r="N88" s="300"/>
      <c r="O88" s="300"/>
      <c r="P88" s="300"/>
      <c r="Q88" s="300"/>
      <c r="R88" s="300"/>
      <c r="S88" s="300"/>
      <c r="T88" s="300"/>
      <c r="U88" s="300"/>
      <c r="V88" s="300"/>
      <c r="W88" s="300"/>
      <c r="X88" s="300"/>
      <c r="Y88" s="300"/>
      <c r="Z88" s="300"/>
      <c r="AA88" s="301"/>
    </row>
    <row r="89" spans="1:27">
      <c r="A89" s="319"/>
      <c r="B89" s="351"/>
      <c r="C89" s="381"/>
      <c r="D89" s="369"/>
      <c r="E89" s="369"/>
      <c r="F89" s="300"/>
      <c r="G89" s="300"/>
      <c r="H89" s="300"/>
      <c r="I89" s="300"/>
      <c r="J89" s="300"/>
      <c r="K89" s="300"/>
      <c r="L89" s="300"/>
      <c r="M89" s="300"/>
      <c r="N89" s="300"/>
      <c r="O89" s="300"/>
      <c r="P89" s="300"/>
      <c r="Q89" s="300"/>
      <c r="R89" s="300"/>
      <c r="S89" s="300"/>
      <c r="T89" s="300"/>
      <c r="U89" s="300"/>
      <c r="V89" s="300"/>
      <c r="W89" s="300"/>
      <c r="X89" s="300"/>
      <c r="Y89" s="300"/>
      <c r="Z89" s="300"/>
      <c r="AA89" s="301"/>
    </row>
    <row r="90" spans="1:27">
      <c r="A90" s="319"/>
      <c r="B90" s="351"/>
      <c r="C90" s="381"/>
      <c r="D90" s="369"/>
      <c r="E90" s="369"/>
      <c r="F90" s="300"/>
      <c r="G90" s="300"/>
      <c r="H90" s="300"/>
      <c r="I90" s="300"/>
      <c r="J90" s="300"/>
      <c r="K90" s="300"/>
      <c r="L90" s="300"/>
      <c r="M90" s="300"/>
      <c r="N90" s="300"/>
      <c r="O90" s="300"/>
      <c r="P90" s="300"/>
      <c r="Q90" s="300"/>
      <c r="R90" s="300"/>
      <c r="S90" s="300"/>
      <c r="T90" s="300"/>
      <c r="U90" s="300"/>
      <c r="V90" s="300"/>
      <c r="W90" s="300"/>
      <c r="X90" s="300"/>
      <c r="Y90" s="300"/>
      <c r="Z90" s="300"/>
      <c r="AA90" s="301"/>
    </row>
    <row r="91" spans="1:27">
      <c r="A91" s="319"/>
      <c r="B91" s="351"/>
      <c r="C91" s="381"/>
      <c r="D91" s="369"/>
      <c r="E91" s="369"/>
      <c r="F91" s="300"/>
      <c r="G91" s="300"/>
      <c r="H91" s="300"/>
      <c r="I91" s="300"/>
      <c r="J91" s="300"/>
      <c r="K91" s="300"/>
      <c r="L91" s="300"/>
      <c r="M91" s="300"/>
      <c r="N91" s="300"/>
      <c r="O91" s="300"/>
      <c r="P91" s="300"/>
      <c r="Q91" s="300"/>
      <c r="R91" s="300"/>
      <c r="S91" s="300"/>
      <c r="T91" s="300"/>
      <c r="U91" s="300"/>
      <c r="V91" s="300"/>
      <c r="W91" s="300"/>
      <c r="X91" s="300"/>
      <c r="Y91" s="300"/>
      <c r="Z91" s="300"/>
      <c r="AA91" s="301"/>
    </row>
    <row r="92" spans="1:27">
      <c r="A92" s="319"/>
      <c r="B92" s="351"/>
      <c r="C92" s="381"/>
      <c r="D92" s="369"/>
      <c r="E92" s="369"/>
      <c r="F92" s="300"/>
      <c r="G92" s="300"/>
      <c r="H92" s="300"/>
      <c r="I92" s="300"/>
      <c r="J92" s="300"/>
      <c r="K92" s="300"/>
      <c r="L92" s="300"/>
      <c r="M92" s="300"/>
      <c r="N92" s="300"/>
      <c r="O92" s="300"/>
      <c r="P92" s="300"/>
      <c r="Q92" s="300"/>
      <c r="R92" s="300"/>
      <c r="S92" s="300"/>
      <c r="T92" s="300"/>
      <c r="U92" s="300"/>
      <c r="V92" s="300"/>
      <c r="W92" s="300"/>
      <c r="X92" s="300"/>
      <c r="Y92" s="300"/>
      <c r="Z92" s="300"/>
      <c r="AA92" s="301"/>
    </row>
    <row r="93" spans="1:27">
      <c r="A93" s="319"/>
      <c r="B93" s="351"/>
      <c r="C93" s="381"/>
      <c r="D93" s="369"/>
      <c r="E93" s="369"/>
      <c r="F93" s="300"/>
      <c r="G93" s="300"/>
      <c r="H93" s="300"/>
      <c r="I93" s="300"/>
      <c r="J93" s="300"/>
      <c r="K93" s="300"/>
      <c r="L93" s="300"/>
      <c r="M93" s="300"/>
      <c r="N93" s="300"/>
      <c r="O93" s="300"/>
      <c r="P93" s="300"/>
      <c r="Q93" s="300"/>
      <c r="R93" s="300"/>
      <c r="S93" s="300"/>
      <c r="T93" s="300"/>
      <c r="U93" s="300"/>
      <c r="V93" s="300"/>
      <c r="W93" s="300"/>
      <c r="X93" s="300"/>
      <c r="Y93" s="300"/>
      <c r="Z93" s="300"/>
      <c r="AA93" s="301"/>
    </row>
    <row r="94" spans="1:27">
      <c r="A94" s="319"/>
      <c r="B94" s="351"/>
      <c r="C94" s="381"/>
      <c r="D94" s="369"/>
      <c r="E94" s="369"/>
      <c r="F94" s="300"/>
      <c r="G94" s="300"/>
      <c r="H94" s="300"/>
      <c r="I94" s="300"/>
      <c r="J94" s="300"/>
      <c r="K94" s="300"/>
      <c r="L94" s="300"/>
      <c r="M94" s="300"/>
      <c r="N94" s="300"/>
      <c r="O94" s="300"/>
      <c r="P94" s="300"/>
      <c r="Q94" s="300"/>
      <c r="R94" s="300"/>
      <c r="S94" s="300"/>
      <c r="T94" s="300"/>
      <c r="U94" s="300"/>
      <c r="V94" s="300"/>
      <c r="W94" s="300"/>
      <c r="X94" s="300"/>
      <c r="Y94" s="300"/>
      <c r="Z94" s="300"/>
      <c r="AA94" s="301"/>
    </row>
    <row r="95" spans="1:27">
      <c r="A95" s="319"/>
      <c r="B95" s="351"/>
      <c r="C95" s="381"/>
      <c r="D95" s="369"/>
      <c r="E95" s="369"/>
      <c r="F95" s="300"/>
      <c r="G95" s="300"/>
      <c r="H95" s="300"/>
      <c r="I95" s="300"/>
      <c r="J95" s="300"/>
      <c r="K95" s="300"/>
      <c r="L95" s="300"/>
      <c r="M95" s="300"/>
      <c r="N95" s="300"/>
      <c r="O95" s="300"/>
      <c r="P95" s="300"/>
      <c r="Q95" s="300"/>
      <c r="R95" s="300"/>
      <c r="S95" s="300"/>
      <c r="T95" s="300"/>
      <c r="U95" s="300"/>
      <c r="V95" s="300"/>
      <c r="W95" s="300"/>
      <c r="X95" s="300"/>
      <c r="Y95" s="300"/>
      <c r="Z95" s="300"/>
      <c r="AA95" s="301"/>
    </row>
    <row r="96" spans="1:27">
      <c r="A96" s="319"/>
      <c r="B96" s="351"/>
      <c r="C96" s="381"/>
      <c r="D96" s="369"/>
      <c r="E96" s="369"/>
      <c r="F96" s="300"/>
      <c r="G96" s="300"/>
      <c r="H96" s="300"/>
      <c r="I96" s="300"/>
      <c r="J96" s="300"/>
      <c r="K96" s="300"/>
      <c r="L96" s="300"/>
      <c r="M96" s="300"/>
      <c r="N96" s="300"/>
      <c r="O96" s="300"/>
      <c r="P96" s="300"/>
      <c r="Q96" s="300"/>
      <c r="R96" s="300"/>
      <c r="S96" s="300"/>
      <c r="T96" s="300"/>
      <c r="U96" s="300"/>
      <c r="V96" s="300"/>
      <c r="W96" s="300"/>
      <c r="X96" s="300"/>
      <c r="Y96" s="300"/>
      <c r="Z96" s="300"/>
      <c r="AA96" s="301"/>
    </row>
    <row r="97" spans="1:27">
      <c r="A97" s="319"/>
      <c r="B97" s="351"/>
      <c r="C97" s="381"/>
      <c r="D97" s="369"/>
      <c r="E97" s="369"/>
      <c r="F97" s="300"/>
      <c r="G97" s="300"/>
      <c r="H97" s="300"/>
      <c r="I97" s="300"/>
      <c r="J97" s="300"/>
      <c r="K97" s="300"/>
      <c r="L97" s="300"/>
      <c r="M97" s="300"/>
      <c r="N97" s="300"/>
      <c r="O97" s="300"/>
      <c r="P97" s="300"/>
      <c r="Q97" s="300"/>
      <c r="R97" s="300"/>
      <c r="S97" s="300"/>
      <c r="T97" s="300"/>
      <c r="U97" s="300"/>
      <c r="V97" s="300"/>
      <c r="W97" s="300"/>
      <c r="X97" s="300"/>
      <c r="Y97" s="300"/>
      <c r="Z97" s="300"/>
      <c r="AA97" s="301"/>
    </row>
    <row r="98" spans="1:27">
      <c r="A98" s="319"/>
      <c r="B98" s="351"/>
      <c r="C98" s="381"/>
      <c r="D98" s="369"/>
      <c r="E98" s="369"/>
      <c r="F98" s="300"/>
      <c r="G98" s="300"/>
      <c r="H98" s="300"/>
      <c r="I98" s="300"/>
      <c r="J98" s="300"/>
      <c r="K98" s="300"/>
      <c r="L98" s="300"/>
      <c r="M98" s="300"/>
      <c r="N98" s="300"/>
      <c r="O98" s="300"/>
      <c r="P98" s="300"/>
      <c r="Q98" s="300"/>
      <c r="R98" s="300"/>
      <c r="S98" s="300"/>
      <c r="T98" s="300"/>
      <c r="U98" s="300"/>
      <c r="V98" s="300"/>
      <c r="W98" s="300"/>
      <c r="X98" s="300"/>
      <c r="Y98" s="300"/>
      <c r="Z98" s="300"/>
      <c r="AA98" s="301"/>
    </row>
    <row r="99" spans="1:27">
      <c r="A99" s="319"/>
      <c r="B99" s="351"/>
      <c r="C99" s="381"/>
      <c r="D99" s="369"/>
      <c r="E99" s="369"/>
      <c r="F99" s="300"/>
      <c r="G99" s="300"/>
      <c r="H99" s="300"/>
      <c r="I99" s="300"/>
      <c r="J99" s="300"/>
      <c r="K99" s="300"/>
      <c r="L99" s="300"/>
      <c r="M99" s="300"/>
      <c r="N99" s="300"/>
      <c r="O99" s="300"/>
      <c r="P99" s="300"/>
      <c r="Q99" s="300"/>
      <c r="R99" s="300"/>
      <c r="S99" s="300"/>
      <c r="T99" s="300"/>
      <c r="U99" s="300"/>
      <c r="V99" s="300"/>
      <c r="W99" s="300"/>
      <c r="X99" s="300"/>
      <c r="Y99" s="300"/>
      <c r="Z99" s="300"/>
      <c r="AA99" s="301"/>
    </row>
    <row r="100" spans="1:27">
      <c r="A100" s="319"/>
      <c r="B100" s="351"/>
      <c r="C100" s="381"/>
      <c r="D100" s="369"/>
      <c r="E100" s="369"/>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1"/>
    </row>
    <row r="101" spans="1:27">
      <c r="A101" s="319"/>
      <c r="B101" s="351"/>
      <c r="C101" s="381"/>
      <c r="D101" s="369"/>
      <c r="E101" s="369"/>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1"/>
    </row>
    <row r="102" spans="1:27">
      <c r="A102" s="319"/>
      <c r="B102" s="351"/>
      <c r="C102" s="381"/>
      <c r="D102" s="369"/>
      <c r="E102" s="369"/>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1"/>
    </row>
    <row r="103" spans="1:27">
      <c r="A103" s="319"/>
      <c r="B103" s="351"/>
      <c r="C103" s="381"/>
      <c r="D103" s="369"/>
      <c r="E103" s="369"/>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1"/>
    </row>
    <row r="104" spans="1:27">
      <c r="A104" s="319"/>
      <c r="B104" s="351"/>
      <c r="C104" s="381"/>
      <c r="D104" s="369"/>
      <c r="E104" s="369"/>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1"/>
    </row>
    <row r="105" spans="1:27">
      <c r="A105" s="319"/>
      <c r="B105" s="351"/>
      <c r="C105" s="381"/>
      <c r="D105" s="369"/>
      <c r="E105" s="369"/>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1"/>
    </row>
    <row r="106" spans="1:27">
      <c r="A106" s="319"/>
      <c r="B106" s="351"/>
      <c r="C106" s="381"/>
      <c r="D106" s="369"/>
      <c r="E106" s="369"/>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1"/>
    </row>
    <row r="107" spans="1:27">
      <c r="A107" s="319"/>
      <c r="B107" s="351"/>
      <c r="C107" s="381"/>
      <c r="D107" s="369"/>
      <c r="E107" s="369"/>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1"/>
    </row>
    <row r="108" spans="1:27">
      <c r="A108" s="319"/>
      <c r="B108" s="351"/>
      <c r="C108" s="381"/>
      <c r="D108" s="369"/>
      <c r="E108" s="369"/>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1"/>
    </row>
    <row r="109" spans="1:27">
      <c r="A109" s="319"/>
      <c r="B109" s="351"/>
      <c r="C109" s="381"/>
      <c r="D109" s="369"/>
      <c r="E109" s="369"/>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1"/>
    </row>
    <row r="110" spans="1:27">
      <c r="A110" s="319"/>
      <c r="B110" s="351"/>
      <c r="C110" s="381"/>
      <c r="D110" s="369"/>
      <c r="E110" s="369"/>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1"/>
    </row>
    <row r="111" spans="1:27">
      <c r="A111" s="319"/>
      <c r="B111" s="351"/>
      <c r="C111" s="381"/>
      <c r="D111" s="369"/>
      <c r="E111" s="369"/>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1"/>
    </row>
    <row r="112" spans="1:27">
      <c r="A112" s="319"/>
      <c r="B112" s="351"/>
      <c r="C112" s="381"/>
      <c r="D112" s="369"/>
      <c r="E112" s="369"/>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1"/>
    </row>
    <row r="113" spans="1:27">
      <c r="A113" s="319"/>
      <c r="B113" s="351"/>
      <c r="C113" s="381"/>
      <c r="D113" s="369"/>
      <c r="E113" s="369"/>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1"/>
    </row>
    <row r="114" spans="1:27">
      <c r="A114" s="319"/>
      <c r="B114" s="351"/>
      <c r="C114" s="381"/>
      <c r="D114" s="369"/>
      <c r="E114" s="369"/>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1"/>
    </row>
    <row r="115" spans="1:27">
      <c r="A115" s="319"/>
      <c r="B115" s="351"/>
      <c r="C115" s="381"/>
      <c r="D115" s="369"/>
      <c r="E115" s="369"/>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1"/>
    </row>
    <row r="116" spans="1:27">
      <c r="A116" s="319"/>
      <c r="B116" s="351"/>
      <c r="C116" s="381"/>
      <c r="D116" s="369"/>
      <c r="E116" s="369"/>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1"/>
    </row>
    <row r="117" spans="1:27">
      <c r="A117" s="319"/>
      <c r="B117" s="351"/>
      <c r="C117" s="381"/>
      <c r="D117" s="369"/>
      <c r="E117" s="369"/>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1"/>
    </row>
    <row r="118" spans="1:27">
      <c r="A118" s="319"/>
      <c r="B118" s="351"/>
      <c r="C118" s="381"/>
      <c r="D118" s="369"/>
      <c r="E118" s="369"/>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1"/>
    </row>
    <row r="119" spans="1:27">
      <c r="A119" s="319"/>
      <c r="B119" s="351"/>
      <c r="C119" s="381"/>
      <c r="D119" s="369"/>
      <c r="E119" s="369"/>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1"/>
    </row>
    <row r="120" spans="1:27">
      <c r="A120" s="319"/>
      <c r="B120" s="351"/>
      <c r="C120" s="381"/>
      <c r="D120" s="369"/>
      <c r="E120" s="369"/>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1"/>
    </row>
    <row r="121" spans="1:27">
      <c r="A121" s="319"/>
      <c r="B121" s="351"/>
      <c r="C121" s="381"/>
      <c r="D121" s="369"/>
      <c r="E121" s="369"/>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1"/>
    </row>
    <row r="122" spans="1:27">
      <c r="A122" s="319"/>
      <c r="B122" s="351"/>
      <c r="C122" s="381"/>
      <c r="D122" s="369"/>
      <c r="E122" s="369"/>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1"/>
    </row>
    <row r="123" spans="1:27">
      <c r="A123" s="319"/>
      <c r="B123" s="351"/>
      <c r="C123" s="381"/>
      <c r="D123" s="369"/>
      <c r="E123" s="369"/>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1"/>
    </row>
    <row r="124" spans="1:27">
      <c r="A124" s="319"/>
      <c r="B124" s="351"/>
      <c r="C124" s="381"/>
      <c r="D124" s="369"/>
      <c r="E124" s="369"/>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1"/>
    </row>
    <row r="125" spans="1:27">
      <c r="A125" s="319"/>
      <c r="B125" s="351"/>
      <c r="C125" s="381"/>
      <c r="D125" s="369"/>
      <c r="E125" s="369"/>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1"/>
    </row>
    <row r="126" spans="1:27">
      <c r="A126" s="319"/>
      <c r="B126" s="351"/>
      <c r="C126" s="381"/>
      <c r="D126" s="369"/>
      <c r="E126" s="369"/>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1"/>
    </row>
    <row r="127" spans="1:27">
      <c r="A127" s="319"/>
      <c r="B127" s="351"/>
      <c r="C127" s="381"/>
      <c r="D127" s="369"/>
      <c r="E127" s="369"/>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1"/>
    </row>
    <row r="128" spans="1:27">
      <c r="A128" s="319"/>
      <c r="B128" s="351"/>
      <c r="C128" s="381"/>
      <c r="D128" s="369"/>
      <c r="E128" s="369"/>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1"/>
    </row>
    <row r="129" spans="1:27">
      <c r="A129" s="319"/>
      <c r="B129" s="351"/>
      <c r="C129" s="381"/>
      <c r="D129" s="369"/>
      <c r="E129" s="369"/>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1"/>
    </row>
    <row r="130" spans="1:27">
      <c r="A130" s="319"/>
      <c r="B130" s="351"/>
      <c r="C130" s="381"/>
      <c r="D130" s="369"/>
      <c r="E130" s="369"/>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1"/>
    </row>
    <row r="131" spans="1:27">
      <c r="A131" s="319"/>
      <c r="B131" s="351"/>
      <c r="C131" s="381"/>
      <c r="D131" s="369"/>
      <c r="E131" s="369"/>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1"/>
    </row>
    <row r="132" spans="1:27">
      <c r="A132" s="319"/>
      <c r="B132" s="351"/>
      <c r="C132" s="381"/>
      <c r="D132" s="369"/>
      <c r="E132" s="369"/>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1"/>
    </row>
    <row r="133" spans="1:27">
      <c r="A133" s="319"/>
      <c r="B133" s="351"/>
      <c r="C133" s="381"/>
      <c r="D133" s="369"/>
      <c r="E133" s="369"/>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1"/>
    </row>
    <row r="134" spans="1:27">
      <c r="A134" s="319"/>
      <c r="B134" s="351"/>
      <c r="C134" s="381"/>
      <c r="D134" s="369"/>
      <c r="E134" s="369"/>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1"/>
    </row>
    <row r="135" spans="1:27">
      <c r="A135" s="319"/>
      <c r="B135" s="351"/>
      <c r="C135" s="381"/>
      <c r="D135" s="369"/>
      <c r="E135" s="369"/>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1"/>
    </row>
    <row r="136" spans="1:27">
      <c r="A136" s="319"/>
      <c r="B136" s="351"/>
      <c r="C136" s="381"/>
      <c r="D136" s="369"/>
      <c r="E136" s="369"/>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1"/>
    </row>
    <row r="137" spans="1:27">
      <c r="A137" s="319"/>
      <c r="B137" s="351"/>
      <c r="C137" s="381"/>
      <c r="D137" s="369"/>
      <c r="E137" s="369"/>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1"/>
    </row>
    <row r="138" spans="1:27">
      <c r="A138" s="319"/>
      <c r="B138" s="351"/>
      <c r="C138" s="381"/>
      <c r="D138" s="369"/>
      <c r="E138" s="369"/>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1"/>
    </row>
    <row r="139" spans="1:27">
      <c r="A139" s="319"/>
      <c r="B139" s="351"/>
      <c r="C139" s="381"/>
      <c r="D139" s="369"/>
      <c r="E139" s="369"/>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1"/>
    </row>
    <row r="140" spans="1:27">
      <c r="A140" s="319"/>
      <c r="B140" s="351"/>
      <c r="C140" s="381"/>
      <c r="D140" s="369"/>
      <c r="E140" s="369"/>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1"/>
    </row>
    <row r="141" spans="1:27">
      <c r="A141" s="319"/>
      <c r="B141" s="351"/>
      <c r="C141" s="381"/>
      <c r="D141" s="369"/>
      <c r="E141" s="369"/>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1"/>
    </row>
    <row r="142" spans="1:27">
      <c r="A142" s="319"/>
      <c r="B142" s="351"/>
      <c r="C142" s="381"/>
      <c r="D142" s="369"/>
      <c r="E142" s="369"/>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1"/>
    </row>
    <row r="143" spans="1:27">
      <c r="A143" s="319"/>
      <c r="B143" s="351"/>
      <c r="C143" s="381"/>
      <c r="D143" s="369"/>
      <c r="E143" s="369"/>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1"/>
    </row>
    <row r="144" spans="1:27">
      <c r="A144" s="319"/>
      <c r="B144" s="351"/>
      <c r="C144" s="381"/>
      <c r="D144" s="369"/>
      <c r="E144" s="369"/>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1"/>
    </row>
    <row r="145" spans="1:27">
      <c r="A145" s="319"/>
      <c r="B145" s="351"/>
      <c r="C145" s="381"/>
      <c r="D145" s="369"/>
      <c r="E145" s="369"/>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1"/>
    </row>
    <row r="146" spans="1:27">
      <c r="A146" s="319"/>
      <c r="B146" s="351"/>
      <c r="C146" s="381"/>
      <c r="D146" s="369"/>
      <c r="E146" s="369"/>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1"/>
    </row>
    <row r="147" spans="1:27">
      <c r="A147" s="319"/>
      <c r="B147" s="351"/>
      <c r="C147" s="381"/>
      <c r="D147" s="369"/>
      <c r="E147" s="369"/>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1"/>
    </row>
    <row r="148" spans="1:27">
      <c r="A148" s="319"/>
      <c r="B148" s="351"/>
      <c r="C148" s="381"/>
      <c r="D148" s="369"/>
      <c r="E148" s="369"/>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1"/>
    </row>
    <row r="149" spans="1:27">
      <c r="A149" s="319"/>
      <c r="B149" s="351"/>
      <c r="C149" s="381"/>
      <c r="D149" s="369"/>
      <c r="E149" s="369"/>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1"/>
    </row>
    <row r="150" spans="1:27">
      <c r="A150" s="319"/>
      <c r="B150" s="351"/>
      <c r="C150" s="381"/>
      <c r="D150" s="369"/>
      <c r="E150" s="369"/>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1"/>
    </row>
    <row r="151" spans="1:27">
      <c r="A151" s="319"/>
      <c r="B151" s="351"/>
      <c r="C151" s="381"/>
      <c r="D151" s="369"/>
      <c r="E151" s="369"/>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1"/>
    </row>
    <row r="152" spans="1:27">
      <c r="A152" s="319"/>
      <c r="B152" s="351"/>
      <c r="C152" s="381"/>
      <c r="D152" s="369"/>
      <c r="E152" s="369"/>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1"/>
    </row>
    <row r="153" spans="1:27">
      <c r="A153" s="319"/>
      <c r="B153" s="351"/>
      <c r="C153" s="381"/>
      <c r="D153" s="369"/>
      <c r="E153" s="369"/>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1"/>
    </row>
    <row r="154" spans="1:27">
      <c r="A154" s="319"/>
      <c r="B154" s="351"/>
      <c r="C154" s="381"/>
      <c r="D154" s="369"/>
      <c r="E154" s="369"/>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1"/>
    </row>
    <row r="155" spans="1:27">
      <c r="A155" s="319"/>
      <c r="B155" s="351"/>
      <c r="C155" s="381"/>
      <c r="D155" s="369"/>
      <c r="E155" s="369"/>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1"/>
    </row>
    <row r="156" spans="1:27">
      <c r="A156" s="319"/>
      <c r="B156" s="351"/>
      <c r="C156" s="381"/>
      <c r="D156" s="369"/>
      <c r="E156" s="369"/>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1"/>
    </row>
    <row r="157" spans="1:27">
      <c r="A157" s="319"/>
      <c r="B157" s="351"/>
      <c r="C157" s="381"/>
      <c r="D157" s="369"/>
      <c r="E157" s="369"/>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1"/>
    </row>
    <row r="158" spans="1:27">
      <c r="A158" s="319"/>
      <c r="B158" s="351"/>
      <c r="C158" s="381"/>
      <c r="D158" s="369"/>
      <c r="E158" s="369"/>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1"/>
    </row>
    <row r="159" spans="1:27">
      <c r="A159" s="319"/>
      <c r="B159" s="351"/>
      <c r="C159" s="381"/>
      <c r="D159" s="369"/>
      <c r="E159" s="369"/>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1"/>
    </row>
    <row r="160" spans="1:27">
      <c r="A160" s="319"/>
      <c r="B160" s="351"/>
      <c r="C160" s="381"/>
      <c r="D160" s="369"/>
      <c r="E160" s="369"/>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1"/>
    </row>
    <row r="161" spans="1:27">
      <c r="A161" s="319"/>
      <c r="B161" s="351"/>
      <c r="C161" s="381"/>
      <c r="D161" s="369"/>
      <c r="E161" s="369"/>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1"/>
    </row>
    <row r="162" spans="1:27">
      <c r="A162" s="319"/>
      <c r="B162" s="351"/>
      <c r="C162" s="381"/>
      <c r="D162" s="369"/>
      <c r="E162" s="369"/>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1"/>
    </row>
    <row r="163" spans="1:27">
      <c r="A163" s="319"/>
      <c r="B163" s="351"/>
      <c r="C163" s="381"/>
      <c r="D163" s="369"/>
      <c r="E163" s="369"/>
      <c r="F163" s="300"/>
      <c r="G163" s="300"/>
      <c r="H163" s="300"/>
      <c r="I163" s="300"/>
      <c r="J163" s="300"/>
      <c r="K163" s="300"/>
      <c r="L163" s="300"/>
      <c r="M163" s="300"/>
      <c r="N163" s="300"/>
      <c r="O163" s="300"/>
      <c r="P163" s="300"/>
      <c r="Q163" s="300"/>
      <c r="R163" s="300"/>
      <c r="S163" s="300"/>
      <c r="T163" s="300"/>
      <c r="U163" s="300"/>
      <c r="V163" s="300"/>
      <c r="W163" s="300"/>
      <c r="X163" s="300"/>
      <c r="Y163" s="300"/>
      <c r="Z163" s="300"/>
      <c r="AA163" s="301"/>
    </row>
    <row r="164" spans="1:27">
      <c r="A164" s="319"/>
      <c r="B164" s="351"/>
      <c r="C164" s="381"/>
      <c r="D164" s="369"/>
      <c r="E164" s="369"/>
      <c r="F164" s="300"/>
      <c r="G164" s="300"/>
      <c r="H164" s="300"/>
      <c r="I164" s="300"/>
      <c r="J164" s="300"/>
      <c r="K164" s="300"/>
      <c r="L164" s="300"/>
      <c r="M164" s="300"/>
      <c r="N164" s="300"/>
      <c r="O164" s="300"/>
      <c r="P164" s="300"/>
      <c r="Q164" s="300"/>
      <c r="R164" s="300"/>
      <c r="S164" s="300"/>
      <c r="T164" s="300"/>
      <c r="U164" s="300"/>
      <c r="V164" s="300"/>
      <c r="W164" s="300"/>
      <c r="X164" s="300"/>
      <c r="Y164" s="300"/>
      <c r="Z164" s="300"/>
      <c r="AA164" s="301"/>
    </row>
    <row r="165" spans="1:27">
      <c r="A165" s="319"/>
      <c r="B165" s="351"/>
      <c r="C165" s="381"/>
      <c r="D165" s="369"/>
      <c r="E165" s="369"/>
      <c r="F165" s="300"/>
      <c r="G165" s="300"/>
      <c r="H165" s="300"/>
      <c r="I165" s="300"/>
      <c r="J165" s="300"/>
      <c r="K165" s="300"/>
      <c r="L165" s="300"/>
      <c r="M165" s="300"/>
      <c r="N165" s="300"/>
      <c r="O165" s="300"/>
      <c r="P165" s="300"/>
      <c r="Q165" s="300"/>
      <c r="R165" s="300"/>
      <c r="S165" s="300"/>
      <c r="T165" s="300"/>
      <c r="U165" s="300"/>
      <c r="V165" s="300"/>
      <c r="W165" s="300"/>
      <c r="X165" s="300"/>
      <c r="Y165" s="300"/>
      <c r="Z165" s="300"/>
      <c r="AA165" s="301"/>
    </row>
    <row r="166" spans="1:27">
      <c r="A166" s="319"/>
      <c r="B166" s="351"/>
      <c r="C166" s="381"/>
      <c r="D166" s="369"/>
      <c r="E166" s="369"/>
      <c r="F166" s="300"/>
      <c r="G166" s="300"/>
      <c r="H166" s="300"/>
      <c r="I166" s="300"/>
      <c r="J166" s="300"/>
      <c r="K166" s="300"/>
      <c r="L166" s="300"/>
      <c r="M166" s="300"/>
      <c r="N166" s="300"/>
      <c r="O166" s="300"/>
      <c r="P166" s="300"/>
      <c r="Q166" s="300"/>
      <c r="R166" s="300"/>
      <c r="S166" s="300"/>
      <c r="T166" s="300"/>
      <c r="U166" s="300"/>
      <c r="V166" s="300"/>
      <c r="W166" s="300"/>
      <c r="X166" s="300"/>
      <c r="Y166" s="300"/>
      <c r="Z166" s="300"/>
      <c r="AA166" s="301"/>
    </row>
    <row r="167" spans="1:27">
      <c r="A167" s="319"/>
      <c r="B167" s="351"/>
      <c r="C167" s="381"/>
      <c r="D167" s="369"/>
      <c r="E167" s="369"/>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1"/>
    </row>
    <row r="168" spans="1:27">
      <c r="A168" s="319"/>
      <c r="B168" s="351"/>
      <c r="C168" s="381"/>
      <c r="D168" s="369"/>
      <c r="E168" s="369"/>
      <c r="F168" s="300"/>
      <c r="G168" s="300"/>
      <c r="H168" s="300"/>
      <c r="I168" s="300"/>
      <c r="J168" s="300"/>
      <c r="K168" s="300"/>
      <c r="L168" s="300"/>
      <c r="M168" s="300"/>
      <c r="N168" s="300"/>
      <c r="O168" s="300"/>
      <c r="P168" s="300"/>
      <c r="Q168" s="300"/>
      <c r="R168" s="300"/>
      <c r="S168" s="300"/>
      <c r="T168" s="300"/>
      <c r="U168" s="300"/>
      <c r="V168" s="300"/>
      <c r="W168" s="300"/>
      <c r="X168" s="300"/>
      <c r="Y168" s="300"/>
      <c r="Z168" s="300"/>
      <c r="AA168" s="301"/>
    </row>
    <row r="169" spans="1:27">
      <c r="A169" s="319"/>
      <c r="B169" s="351"/>
      <c r="C169" s="381"/>
      <c r="D169" s="369"/>
      <c r="E169" s="369"/>
      <c r="F169" s="300"/>
      <c r="G169" s="300"/>
      <c r="H169" s="300"/>
      <c r="I169" s="300"/>
      <c r="J169" s="300"/>
      <c r="K169" s="300"/>
      <c r="L169" s="300"/>
      <c r="M169" s="300"/>
      <c r="N169" s="300"/>
      <c r="O169" s="300"/>
      <c r="P169" s="300"/>
      <c r="Q169" s="300"/>
      <c r="R169" s="300"/>
      <c r="S169" s="300"/>
      <c r="T169" s="300"/>
      <c r="U169" s="300"/>
      <c r="V169" s="300"/>
      <c r="W169" s="300"/>
      <c r="X169" s="300"/>
      <c r="Y169" s="300"/>
      <c r="Z169" s="300"/>
      <c r="AA169" s="301"/>
    </row>
    <row r="170" spans="1:27">
      <c r="A170" s="319"/>
      <c r="B170" s="351"/>
      <c r="C170" s="381"/>
      <c r="D170" s="369"/>
      <c r="E170" s="369"/>
      <c r="F170" s="300"/>
      <c r="G170" s="300"/>
      <c r="H170" s="300"/>
      <c r="I170" s="300"/>
      <c r="J170" s="300"/>
      <c r="K170" s="300"/>
      <c r="L170" s="300"/>
      <c r="M170" s="300"/>
      <c r="N170" s="300"/>
      <c r="O170" s="300"/>
      <c r="P170" s="300"/>
      <c r="Q170" s="300"/>
      <c r="R170" s="300"/>
      <c r="S170" s="300"/>
      <c r="T170" s="300"/>
      <c r="U170" s="300"/>
      <c r="V170" s="300"/>
      <c r="W170" s="300"/>
      <c r="X170" s="300"/>
      <c r="Y170" s="300"/>
      <c r="Z170" s="300"/>
      <c r="AA170" s="301"/>
    </row>
    <row r="171" spans="1:27">
      <c r="A171" s="319"/>
      <c r="B171" s="351"/>
      <c r="C171" s="381"/>
      <c r="D171" s="369"/>
      <c r="E171" s="369"/>
      <c r="F171" s="300"/>
      <c r="G171" s="300"/>
      <c r="H171" s="300"/>
      <c r="I171" s="300"/>
      <c r="J171" s="300"/>
      <c r="K171" s="300"/>
      <c r="L171" s="300"/>
      <c r="M171" s="300"/>
      <c r="N171" s="300"/>
      <c r="O171" s="300"/>
      <c r="P171" s="300"/>
      <c r="Q171" s="300"/>
      <c r="R171" s="300"/>
      <c r="S171" s="300"/>
      <c r="T171" s="300"/>
      <c r="U171" s="300"/>
      <c r="V171" s="300"/>
      <c r="W171" s="300"/>
      <c r="X171" s="300"/>
      <c r="Y171" s="300"/>
      <c r="Z171" s="300"/>
      <c r="AA171" s="301"/>
    </row>
    <row r="172" spans="1:27">
      <c r="A172" s="319"/>
      <c r="B172" s="351"/>
      <c r="C172" s="381"/>
      <c r="D172" s="369"/>
      <c r="E172" s="369"/>
      <c r="F172" s="300"/>
      <c r="G172" s="300"/>
      <c r="H172" s="300"/>
      <c r="I172" s="300"/>
      <c r="J172" s="300"/>
      <c r="K172" s="300"/>
      <c r="L172" s="300"/>
      <c r="M172" s="300"/>
      <c r="N172" s="300"/>
      <c r="O172" s="300"/>
      <c r="P172" s="300"/>
      <c r="Q172" s="300"/>
      <c r="R172" s="300"/>
      <c r="S172" s="300"/>
      <c r="T172" s="300"/>
      <c r="U172" s="300"/>
      <c r="V172" s="300"/>
      <c r="W172" s="300"/>
      <c r="X172" s="300"/>
      <c r="Y172" s="300"/>
      <c r="Z172" s="300"/>
      <c r="AA172" s="301"/>
    </row>
    <row r="173" spans="1:27">
      <c r="A173" s="319"/>
      <c r="B173" s="351"/>
      <c r="C173" s="381"/>
      <c r="D173" s="369"/>
      <c r="E173" s="369"/>
      <c r="F173" s="300"/>
      <c r="G173" s="300"/>
      <c r="H173" s="300"/>
      <c r="I173" s="300"/>
      <c r="J173" s="300"/>
      <c r="K173" s="300"/>
      <c r="L173" s="300"/>
      <c r="M173" s="300"/>
      <c r="N173" s="300"/>
      <c r="O173" s="300"/>
      <c r="P173" s="300"/>
      <c r="Q173" s="300"/>
      <c r="R173" s="300"/>
      <c r="S173" s="300"/>
      <c r="T173" s="300"/>
      <c r="U173" s="300"/>
      <c r="V173" s="300"/>
      <c r="W173" s="300"/>
      <c r="X173" s="300"/>
      <c r="Y173" s="300"/>
      <c r="Z173" s="300"/>
      <c r="AA173" s="301"/>
    </row>
    <row r="174" spans="1:27">
      <c r="A174" s="319"/>
      <c r="B174" s="351"/>
      <c r="C174" s="381"/>
      <c r="D174" s="369"/>
      <c r="E174" s="369"/>
      <c r="F174" s="300"/>
      <c r="G174" s="300"/>
      <c r="H174" s="300"/>
      <c r="I174" s="300"/>
      <c r="J174" s="300"/>
      <c r="K174" s="300"/>
      <c r="L174" s="300"/>
      <c r="M174" s="300"/>
      <c r="N174" s="300"/>
      <c r="O174" s="300"/>
      <c r="P174" s="300"/>
      <c r="Q174" s="300"/>
      <c r="R174" s="300"/>
      <c r="S174" s="300"/>
      <c r="T174" s="300"/>
      <c r="U174" s="300"/>
      <c r="V174" s="300"/>
      <c r="W174" s="300"/>
      <c r="X174" s="300"/>
      <c r="Y174" s="300"/>
      <c r="Z174" s="300"/>
      <c r="AA174" s="301"/>
    </row>
    <row r="175" spans="1:27">
      <c r="A175" s="319"/>
      <c r="B175" s="351"/>
      <c r="C175" s="381"/>
      <c r="D175" s="369"/>
      <c r="E175" s="369"/>
      <c r="F175" s="300"/>
      <c r="G175" s="300"/>
      <c r="H175" s="300"/>
      <c r="I175" s="300"/>
      <c r="J175" s="300"/>
      <c r="K175" s="300"/>
      <c r="L175" s="300"/>
      <c r="M175" s="300"/>
      <c r="N175" s="300"/>
      <c r="O175" s="300"/>
      <c r="P175" s="300"/>
      <c r="Q175" s="300"/>
      <c r="R175" s="300"/>
      <c r="S175" s="300"/>
      <c r="T175" s="300"/>
      <c r="U175" s="300"/>
      <c r="V175" s="300"/>
      <c r="W175" s="300"/>
      <c r="X175" s="300"/>
      <c r="Y175" s="300"/>
      <c r="Z175" s="300"/>
      <c r="AA175" s="301"/>
    </row>
    <row r="176" spans="1:27">
      <c r="A176" s="319"/>
      <c r="B176" s="351"/>
      <c r="C176" s="381"/>
      <c r="D176" s="369"/>
      <c r="E176" s="369"/>
      <c r="F176" s="300"/>
      <c r="G176" s="300"/>
      <c r="H176" s="300"/>
      <c r="I176" s="300"/>
      <c r="J176" s="300"/>
      <c r="K176" s="300"/>
      <c r="L176" s="300"/>
      <c r="M176" s="300"/>
      <c r="N176" s="300"/>
      <c r="O176" s="300"/>
      <c r="P176" s="300"/>
      <c r="Q176" s="300"/>
      <c r="R176" s="300"/>
      <c r="S176" s="300"/>
      <c r="T176" s="300"/>
      <c r="U176" s="300"/>
      <c r="V176" s="300"/>
      <c r="W176" s="300"/>
      <c r="X176" s="300"/>
      <c r="Y176" s="300"/>
      <c r="Z176" s="300"/>
      <c r="AA176" s="301"/>
    </row>
    <row r="177" spans="1:27">
      <c r="A177" s="319"/>
      <c r="B177" s="351"/>
      <c r="C177" s="381"/>
      <c r="D177" s="369"/>
      <c r="E177" s="369"/>
      <c r="F177" s="300"/>
      <c r="G177" s="300"/>
      <c r="H177" s="300"/>
      <c r="I177" s="300"/>
      <c r="J177" s="300"/>
      <c r="K177" s="300"/>
      <c r="L177" s="300"/>
      <c r="M177" s="300"/>
      <c r="N177" s="300"/>
      <c r="O177" s="300"/>
      <c r="P177" s="300"/>
      <c r="Q177" s="300"/>
      <c r="R177" s="300"/>
      <c r="S177" s="300"/>
      <c r="T177" s="300"/>
      <c r="U177" s="300"/>
      <c r="V177" s="300"/>
      <c r="W177" s="300"/>
      <c r="X177" s="300"/>
      <c r="Y177" s="300"/>
      <c r="Z177" s="300"/>
      <c r="AA177" s="301"/>
    </row>
    <row r="178" spans="1:27">
      <c r="A178" s="319"/>
      <c r="B178" s="351"/>
      <c r="C178" s="381"/>
      <c r="D178" s="369"/>
      <c r="E178" s="369"/>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1"/>
    </row>
    <row r="179" spans="1:27">
      <c r="A179" s="319"/>
      <c r="B179" s="351"/>
      <c r="C179" s="381"/>
      <c r="D179" s="369"/>
      <c r="E179" s="369"/>
      <c r="F179" s="300"/>
      <c r="G179" s="300"/>
      <c r="H179" s="300"/>
      <c r="I179" s="300"/>
      <c r="J179" s="300"/>
      <c r="K179" s="300"/>
      <c r="L179" s="300"/>
      <c r="M179" s="300"/>
      <c r="N179" s="300"/>
      <c r="O179" s="300"/>
      <c r="P179" s="300"/>
      <c r="Q179" s="300"/>
      <c r="R179" s="300"/>
      <c r="S179" s="300"/>
      <c r="T179" s="300"/>
      <c r="U179" s="300"/>
      <c r="V179" s="300"/>
      <c r="W179" s="300"/>
      <c r="X179" s="300"/>
      <c r="Y179" s="300"/>
      <c r="Z179" s="300"/>
      <c r="AA179" s="301"/>
    </row>
    <row r="180" spans="1:27">
      <c r="A180" s="319"/>
      <c r="B180" s="351"/>
      <c r="C180" s="381"/>
      <c r="D180" s="369"/>
      <c r="E180" s="369"/>
      <c r="F180" s="300"/>
      <c r="G180" s="300"/>
      <c r="H180" s="300"/>
      <c r="I180" s="300"/>
      <c r="J180" s="300"/>
      <c r="K180" s="300"/>
      <c r="L180" s="300"/>
      <c r="M180" s="300"/>
      <c r="N180" s="300"/>
      <c r="O180" s="300"/>
      <c r="P180" s="300"/>
      <c r="Q180" s="300"/>
      <c r="R180" s="300"/>
      <c r="S180" s="300"/>
      <c r="T180" s="300"/>
      <c r="U180" s="300"/>
      <c r="V180" s="300"/>
      <c r="W180" s="300"/>
      <c r="X180" s="300"/>
      <c r="Y180" s="300"/>
      <c r="Z180" s="300"/>
      <c r="AA180" s="301"/>
    </row>
    <row r="181" spans="1:27">
      <c r="A181" s="319"/>
      <c r="B181" s="351"/>
      <c r="C181" s="381"/>
      <c r="D181" s="369"/>
      <c r="E181" s="369"/>
      <c r="F181" s="300"/>
      <c r="G181" s="300"/>
      <c r="H181" s="300"/>
      <c r="I181" s="300"/>
      <c r="J181" s="300"/>
      <c r="K181" s="300"/>
      <c r="L181" s="300"/>
      <c r="M181" s="300"/>
      <c r="N181" s="300"/>
      <c r="O181" s="300"/>
      <c r="P181" s="300"/>
      <c r="Q181" s="300"/>
      <c r="R181" s="300"/>
      <c r="S181" s="300"/>
      <c r="T181" s="300"/>
      <c r="U181" s="300"/>
      <c r="V181" s="300"/>
      <c r="W181" s="300"/>
      <c r="X181" s="300"/>
      <c r="Y181" s="300"/>
      <c r="Z181" s="300"/>
      <c r="AA181" s="301"/>
    </row>
    <row r="182" spans="1:27">
      <c r="A182" s="319"/>
      <c r="B182" s="351"/>
      <c r="C182" s="381"/>
      <c r="D182" s="369"/>
      <c r="E182" s="369"/>
      <c r="F182" s="300"/>
      <c r="G182" s="300"/>
      <c r="H182" s="300"/>
      <c r="I182" s="300"/>
      <c r="J182" s="300"/>
      <c r="K182" s="300"/>
      <c r="L182" s="300"/>
      <c r="M182" s="300"/>
      <c r="N182" s="300"/>
      <c r="O182" s="300"/>
      <c r="P182" s="300"/>
      <c r="Q182" s="300"/>
      <c r="R182" s="300"/>
      <c r="S182" s="300"/>
      <c r="T182" s="300"/>
      <c r="U182" s="300"/>
      <c r="V182" s="300"/>
      <c r="W182" s="300"/>
      <c r="X182" s="300"/>
      <c r="Y182" s="300"/>
      <c r="Z182" s="300"/>
      <c r="AA182" s="301"/>
    </row>
    <row r="183" spans="1:27">
      <c r="A183" s="319"/>
      <c r="B183" s="351"/>
      <c r="C183" s="381"/>
      <c r="D183" s="369"/>
      <c r="E183" s="369"/>
      <c r="F183" s="300"/>
      <c r="G183" s="300"/>
      <c r="H183" s="300"/>
      <c r="I183" s="300"/>
      <c r="J183" s="300"/>
      <c r="K183" s="300"/>
      <c r="L183" s="300"/>
      <c r="M183" s="300"/>
      <c r="N183" s="300"/>
      <c r="O183" s="300"/>
      <c r="P183" s="300"/>
      <c r="Q183" s="300"/>
      <c r="R183" s="300"/>
      <c r="S183" s="300"/>
      <c r="T183" s="300"/>
      <c r="U183" s="300"/>
      <c r="V183" s="300"/>
      <c r="W183" s="300"/>
      <c r="X183" s="300"/>
      <c r="Y183" s="300"/>
      <c r="Z183" s="300"/>
      <c r="AA183" s="301"/>
    </row>
    <row r="184" spans="1:27">
      <c r="A184" s="319"/>
      <c r="B184" s="351"/>
      <c r="C184" s="381"/>
      <c r="D184" s="369"/>
      <c r="E184" s="369"/>
      <c r="F184" s="300"/>
      <c r="G184" s="300"/>
      <c r="H184" s="300"/>
      <c r="I184" s="300"/>
      <c r="J184" s="300"/>
      <c r="K184" s="300"/>
      <c r="L184" s="300"/>
      <c r="M184" s="300"/>
      <c r="N184" s="300"/>
      <c r="O184" s="300"/>
      <c r="P184" s="300"/>
      <c r="Q184" s="300"/>
      <c r="R184" s="300"/>
      <c r="S184" s="300"/>
      <c r="T184" s="300"/>
      <c r="U184" s="300"/>
      <c r="V184" s="300"/>
      <c r="W184" s="300"/>
      <c r="X184" s="300"/>
      <c r="Y184" s="300"/>
      <c r="Z184" s="300"/>
      <c r="AA184" s="301"/>
    </row>
    <row r="185" spans="1:27">
      <c r="A185" s="319"/>
      <c r="B185" s="351"/>
      <c r="C185" s="381"/>
      <c r="D185" s="369"/>
      <c r="E185" s="369"/>
      <c r="F185" s="300"/>
      <c r="G185" s="300"/>
      <c r="H185" s="300"/>
      <c r="I185" s="300"/>
      <c r="J185" s="300"/>
      <c r="K185" s="300"/>
      <c r="L185" s="300"/>
      <c r="M185" s="300"/>
      <c r="N185" s="300"/>
      <c r="O185" s="300"/>
      <c r="P185" s="300"/>
      <c r="Q185" s="300"/>
      <c r="R185" s="300"/>
      <c r="S185" s="300"/>
      <c r="T185" s="300"/>
      <c r="U185" s="300"/>
      <c r="V185" s="300"/>
      <c r="W185" s="300"/>
      <c r="X185" s="300"/>
      <c r="Y185" s="300"/>
      <c r="Z185" s="300"/>
      <c r="AA185" s="301"/>
    </row>
    <row r="186" spans="1:27">
      <c r="A186" s="319"/>
      <c r="B186" s="351"/>
      <c r="C186" s="381"/>
      <c r="D186" s="369"/>
      <c r="E186" s="369"/>
      <c r="F186" s="300"/>
      <c r="G186" s="300"/>
      <c r="H186" s="300"/>
      <c r="I186" s="300"/>
      <c r="J186" s="300"/>
      <c r="K186" s="300"/>
      <c r="L186" s="300"/>
      <c r="M186" s="300"/>
      <c r="N186" s="300"/>
      <c r="O186" s="300"/>
      <c r="P186" s="300"/>
      <c r="Q186" s="300"/>
      <c r="R186" s="300"/>
      <c r="S186" s="300"/>
      <c r="T186" s="300"/>
      <c r="U186" s="300"/>
      <c r="V186" s="300"/>
      <c r="W186" s="300"/>
      <c r="X186" s="300"/>
      <c r="Y186" s="300"/>
      <c r="Z186" s="300"/>
      <c r="AA186" s="301"/>
    </row>
    <row r="187" spans="1:27">
      <c r="A187" s="319"/>
      <c r="B187" s="351"/>
      <c r="C187" s="381"/>
      <c r="D187" s="369"/>
      <c r="E187" s="369"/>
      <c r="F187" s="300"/>
      <c r="G187" s="300"/>
      <c r="H187" s="300"/>
      <c r="I187" s="300"/>
      <c r="J187" s="300"/>
      <c r="K187" s="300"/>
      <c r="L187" s="300"/>
      <c r="M187" s="300"/>
      <c r="N187" s="300"/>
      <c r="O187" s="300"/>
      <c r="P187" s="300"/>
      <c r="Q187" s="300"/>
      <c r="R187" s="300"/>
      <c r="S187" s="300"/>
      <c r="T187" s="300"/>
      <c r="U187" s="300"/>
      <c r="V187" s="300"/>
      <c r="W187" s="300"/>
      <c r="X187" s="300"/>
      <c r="Y187" s="300"/>
      <c r="Z187" s="300"/>
      <c r="AA187" s="301"/>
    </row>
    <row r="188" spans="1:27">
      <c r="A188" s="319"/>
      <c r="B188" s="351"/>
      <c r="C188" s="381"/>
      <c r="D188" s="369"/>
      <c r="E188" s="369"/>
      <c r="F188" s="300"/>
      <c r="G188" s="300"/>
      <c r="H188" s="300"/>
      <c r="I188" s="300"/>
      <c r="J188" s="300"/>
      <c r="K188" s="300"/>
      <c r="L188" s="300"/>
      <c r="M188" s="300"/>
      <c r="N188" s="300"/>
      <c r="O188" s="300"/>
      <c r="P188" s="300"/>
      <c r="Q188" s="300"/>
      <c r="R188" s="300"/>
      <c r="S188" s="300"/>
      <c r="T188" s="300"/>
      <c r="U188" s="300"/>
      <c r="V188" s="300"/>
      <c r="W188" s="300"/>
      <c r="X188" s="300"/>
      <c r="Y188" s="300"/>
      <c r="Z188" s="300"/>
      <c r="AA188" s="301"/>
    </row>
    <row r="189" spans="1:27">
      <c r="A189" s="319"/>
      <c r="B189" s="351"/>
      <c r="C189" s="381"/>
      <c r="D189" s="369"/>
      <c r="E189" s="369"/>
      <c r="F189" s="300"/>
      <c r="G189" s="300"/>
      <c r="H189" s="300"/>
      <c r="I189" s="300"/>
      <c r="J189" s="300"/>
      <c r="K189" s="300"/>
      <c r="L189" s="300"/>
      <c r="M189" s="300"/>
      <c r="N189" s="300"/>
      <c r="O189" s="300"/>
      <c r="P189" s="300"/>
      <c r="Q189" s="300"/>
      <c r="R189" s="300"/>
      <c r="S189" s="300"/>
      <c r="T189" s="300"/>
      <c r="U189" s="300"/>
      <c r="V189" s="300"/>
      <c r="W189" s="300"/>
      <c r="X189" s="300"/>
      <c r="Y189" s="300"/>
      <c r="Z189" s="300"/>
      <c r="AA189" s="301"/>
    </row>
    <row r="190" spans="1:27">
      <c r="A190" s="319"/>
      <c r="B190" s="351"/>
      <c r="C190" s="381"/>
      <c r="D190" s="369"/>
      <c r="E190" s="369"/>
      <c r="F190" s="300"/>
      <c r="G190" s="300"/>
      <c r="H190" s="300"/>
      <c r="I190" s="300"/>
      <c r="J190" s="300"/>
      <c r="K190" s="300"/>
      <c r="L190" s="300"/>
      <c r="M190" s="300"/>
      <c r="N190" s="300"/>
      <c r="O190" s="300"/>
      <c r="P190" s="300"/>
      <c r="Q190" s="300"/>
      <c r="R190" s="300"/>
      <c r="S190" s="300"/>
      <c r="T190" s="300"/>
      <c r="U190" s="300"/>
      <c r="V190" s="300"/>
      <c r="W190" s="300"/>
      <c r="X190" s="300"/>
      <c r="Y190" s="300"/>
      <c r="Z190" s="300"/>
      <c r="AA190" s="301"/>
    </row>
    <row r="191" spans="1:27">
      <c r="A191" s="319"/>
      <c r="B191" s="351"/>
      <c r="C191" s="381"/>
      <c r="D191" s="369"/>
      <c r="E191" s="369"/>
      <c r="F191" s="300"/>
      <c r="G191" s="300"/>
      <c r="H191" s="300"/>
      <c r="I191" s="300"/>
      <c r="J191" s="300"/>
      <c r="K191" s="300"/>
      <c r="L191" s="300"/>
      <c r="M191" s="300"/>
      <c r="N191" s="300"/>
      <c r="O191" s="300"/>
      <c r="P191" s="300"/>
      <c r="Q191" s="300"/>
      <c r="R191" s="300"/>
      <c r="S191" s="300"/>
      <c r="T191" s="300"/>
      <c r="U191" s="300"/>
      <c r="V191" s="300"/>
      <c r="W191" s="300"/>
      <c r="X191" s="300"/>
      <c r="Y191" s="300"/>
      <c r="Z191" s="300"/>
      <c r="AA191" s="301"/>
    </row>
    <row r="192" spans="1:27">
      <c r="A192" s="319"/>
      <c r="B192" s="351"/>
      <c r="C192" s="381"/>
      <c r="D192" s="369"/>
      <c r="E192" s="369"/>
      <c r="F192" s="300"/>
      <c r="G192" s="300"/>
      <c r="H192" s="300"/>
      <c r="I192" s="300"/>
      <c r="J192" s="300"/>
      <c r="K192" s="300"/>
      <c r="L192" s="300"/>
      <c r="M192" s="300"/>
      <c r="N192" s="300"/>
      <c r="O192" s="300"/>
      <c r="P192" s="300"/>
      <c r="Q192" s="300"/>
      <c r="R192" s="300"/>
      <c r="S192" s="300"/>
      <c r="T192" s="300"/>
      <c r="U192" s="300"/>
      <c r="V192" s="300"/>
      <c r="W192" s="300"/>
      <c r="X192" s="300"/>
      <c r="Y192" s="300"/>
      <c r="Z192" s="300"/>
      <c r="AA192" s="301"/>
    </row>
    <row r="193" spans="1:27">
      <c r="A193" s="319"/>
      <c r="B193" s="351"/>
      <c r="C193" s="381"/>
      <c r="D193" s="369"/>
      <c r="E193" s="369"/>
      <c r="F193" s="300"/>
      <c r="G193" s="300"/>
      <c r="H193" s="300"/>
      <c r="I193" s="300"/>
      <c r="J193" s="300"/>
      <c r="K193" s="300"/>
      <c r="L193" s="300"/>
      <c r="M193" s="300"/>
      <c r="N193" s="300"/>
      <c r="O193" s="300"/>
      <c r="P193" s="300"/>
      <c r="Q193" s="300"/>
      <c r="R193" s="300"/>
      <c r="S193" s="300"/>
      <c r="T193" s="300"/>
      <c r="U193" s="300"/>
      <c r="V193" s="300"/>
      <c r="W193" s="300"/>
      <c r="X193" s="300"/>
      <c r="Y193" s="300"/>
      <c r="Z193" s="300"/>
      <c r="AA193" s="301"/>
    </row>
    <row r="194" spans="1:27">
      <c r="A194" s="319"/>
      <c r="B194" s="351"/>
      <c r="C194" s="381"/>
      <c r="D194" s="369"/>
      <c r="E194" s="369"/>
      <c r="F194" s="300"/>
      <c r="G194" s="300"/>
      <c r="H194" s="300"/>
      <c r="I194" s="300"/>
      <c r="J194" s="300"/>
      <c r="K194" s="300"/>
      <c r="L194" s="300"/>
      <c r="M194" s="300"/>
      <c r="N194" s="300"/>
      <c r="O194" s="300"/>
      <c r="P194" s="300"/>
      <c r="Q194" s="300"/>
      <c r="R194" s="300"/>
      <c r="S194" s="300"/>
      <c r="T194" s="300"/>
      <c r="U194" s="300"/>
      <c r="V194" s="300"/>
      <c r="W194" s="300"/>
      <c r="X194" s="300"/>
      <c r="Y194" s="300"/>
      <c r="Z194" s="300"/>
      <c r="AA194" s="301"/>
    </row>
    <row r="195" spans="1:27">
      <c r="A195" s="319"/>
      <c r="B195" s="351"/>
      <c r="C195" s="381"/>
      <c r="D195" s="369"/>
      <c r="E195" s="369"/>
      <c r="F195" s="300"/>
      <c r="G195" s="300"/>
      <c r="H195" s="300"/>
      <c r="I195" s="300"/>
      <c r="J195" s="300"/>
      <c r="K195" s="300"/>
      <c r="L195" s="300"/>
      <c r="M195" s="300"/>
      <c r="N195" s="300"/>
      <c r="O195" s="300"/>
      <c r="P195" s="300"/>
      <c r="Q195" s="300"/>
      <c r="R195" s="300"/>
      <c r="S195" s="300"/>
      <c r="T195" s="300"/>
      <c r="U195" s="300"/>
      <c r="V195" s="300"/>
      <c r="W195" s="300"/>
      <c r="X195" s="300"/>
      <c r="Y195" s="300"/>
      <c r="Z195" s="300"/>
      <c r="AA195" s="301"/>
    </row>
    <row r="196" spans="1:27">
      <c r="A196" s="319"/>
      <c r="B196" s="351"/>
      <c r="C196" s="381"/>
      <c r="D196" s="369"/>
      <c r="E196" s="369"/>
      <c r="F196" s="300"/>
      <c r="G196" s="300"/>
      <c r="H196" s="300"/>
      <c r="I196" s="300"/>
      <c r="J196" s="300"/>
      <c r="K196" s="300"/>
      <c r="L196" s="300"/>
      <c r="M196" s="300"/>
      <c r="N196" s="300"/>
      <c r="O196" s="300"/>
      <c r="P196" s="300"/>
      <c r="Q196" s="300"/>
      <c r="R196" s="300"/>
      <c r="S196" s="300"/>
      <c r="T196" s="300"/>
      <c r="U196" s="300"/>
      <c r="V196" s="300"/>
      <c r="W196" s="300"/>
      <c r="X196" s="300"/>
      <c r="Y196" s="300"/>
      <c r="Z196" s="300"/>
      <c r="AA196" s="301"/>
    </row>
    <row r="197" spans="1:27">
      <c r="A197" s="319"/>
      <c r="B197" s="351"/>
      <c r="C197" s="381"/>
      <c r="D197" s="369"/>
      <c r="E197" s="369"/>
      <c r="F197" s="300"/>
      <c r="G197" s="300"/>
      <c r="H197" s="300"/>
      <c r="I197" s="300"/>
      <c r="J197" s="300"/>
      <c r="K197" s="300"/>
      <c r="L197" s="300"/>
      <c r="M197" s="300"/>
      <c r="N197" s="300"/>
      <c r="O197" s="300"/>
      <c r="P197" s="300"/>
      <c r="Q197" s="300"/>
      <c r="R197" s="300"/>
      <c r="S197" s="300"/>
      <c r="T197" s="300"/>
      <c r="U197" s="300"/>
      <c r="V197" s="300"/>
      <c r="W197" s="300"/>
      <c r="X197" s="300"/>
      <c r="Y197" s="300"/>
      <c r="Z197" s="300"/>
      <c r="AA197" s="301"/>
    </row>
    <row r="198" spans="1:27">
      <c r="A198" s="319"/>
      <c r="B198" s="351"/>
      <c r="C198" s="381"/>
      <c r="D198" s="369"/>
      <c r="E198" s="369"/>
      <c r="F198" s="300"/>
      <c r="G198" s="300"/>
      <c r="H198" s="300"/>
      <c r="I198" s="300"/>
      <c r="J198" s="300"/>
      <c r="K198" s="300"/>
      <c r="L198" s="300"/>
      <c r="M198" s="300"/>
      <c r="N198" s="300"/>
      <c r="O198" s="300"/>
      <c r="P198" s="300"/>
      <c r="Q198" s="300"/>
      <c r="R198" s="300"/>
      <c r="S198" s="300"/>
      <c r="T198" s="300"/>
      <c r="U198" s="300"/>
      <c r="V198" s="300"/>
      <c r="W198" s="300"/>
      <c r="X198" s="300"/>
      <c r="Y198" s="300"/>
      <c r="Z198" s="300"/>
      <c r="AA198" s="301"/>
    </row>
    <row r="199" spans="1:27">
      <c r="A199" s="319"/>
      <c r="B199" s="351"/>
      <c r="C199" s="381"/>
      <c r="D199" s="369"/>
      <c r="E199" s="369"/>
      <c r="F199" s="300"/>
      <c r="G199" s="300"/>
      <c r="H199" s="300"/>
      <c r="I199" s="300"/>
      <c r="J199" s="300"/>
      <c r="K199" s="300"/>
      <c r="L199" s="300"/>
      <c r="M199" s="300"/>
      <c r="N199" s="300"/>
      <c r="O199" s="300"/>
      <c r="P199" s="300"/>
      <c r="Q199" s="300"/>
      <c r="R199" s="300"/>
      <c r="S199" s="300"/>
      <c r="T199" s="300"/>
      <c r="U199" s="300"/>
      <c r="V199" s="300"/>
      <c r="W199" s="300"/>
      <c r="X199" s="300"/>
      <c r="Y199" s="300"/>
      <c r="Z199" s="300"/>
      <c r="AA199" s="301"/>
    </row>
    <row r="200" spans="1:27">
      <c r="A200" s="319"/>
      <c r="B200" s="351"/>
      <c r="C200" s="381"/>
      <c r="D200" s="369"/>
      <c r="E200" s="369"/>
      <c r="F200" s="300"/>
      <c r="G200" s="300"/>
      <c r="H200" s="300"/>
      <c r="I200" s="300"/>
      <c r="J200" s="300"/>
      <c r="K200" s="300"/>
      <c r="L200" s="300"/>
      <c r="M200" s="300"/>
      <c r="N200" s="300"/>
      <c r="O200" s="300"/>
      <c r="P200" s="300"/>
      <c r="Q200" s="300"/>
      <c r="R200" s="300"/>
      <c r="S200" s="300"/>
      <c r="T200" s="300"/>
      <c r="U200" s="300"/>
      <c r="V200" s="300"/>
      <c r="W200" s="300"/>
      <c r="X200" s="300"/>
      <c r="Y200" s="300"/>
      <c r="Z200" s="300"/>
      <c r="AA200" s="301"/>
    </row>
    <row r="201" spans="1:27">
      <c r="A201" s="319"/>
      <c r="B201" s="351"/>
      <c r="C201" s="381"/>
      <c r="D201" s="369"/>
      <c r="E201" s="369"/>
      <c r="F201" s="300"/>
      <c r="G201" s="300"/>
      <c r="H201" s="300"/>
      <c r="I201" s="300"/>
      <c r="J201" s="300"/>
      <c r="K201" s="300"/>
      <c r="L201" s="300"/>
      <c r="M201" s="300"/>
      <c r="N201" s="300"/>
      <c r="O201" s="300"/>
      <c r="P201" s="300"/>
      <c r="Q201" s="300"/>
      <c r="R201" s="300"/>
      <c r="S201" s="300"/>
      <c r="T201" s="300"/>
      <c r="U201" s="300"/>
      <c r="V201" s="300"/>
      <c r="W201" s="300"/>
      <c r="X201" s="300"/>
      <c r="Y201" s="300"/>
      <c r="Z201" s="300"/>
      <c r="AA201" s="301"/>
    </row>
    <row r="202" spans="1:27">
      <c r="A202" s="319"/>
      <c r="B202" s="351"/>
      <c r="C202" s="381"/>
      <c r="D202" s="369"/>
      <c r="E202" s="369"/>
      <c r="F202" s="300"/>
      <c r="G202" s="300"/>
      <c r="H202" s="300"/>
      <c r="I202" s="300"/>
      <c r="J202" s="300"/>
      <c r="K202" s="300"/>
      <c r="L202" s="300"/>
      <c r="M202" s="300"/>
      <c r="N202" s="300"/>
      <c r="O202" s="300"/>
      <c r="P202" s="300"/>
      <c r="Q202" s="300"/>
      <c r="R202" s="300"/>
      <c r="S202" s="300"/>
      <c r="T202" s="300"/>
      <c r="U202" s="300"/>
      <c r="V202" s="300"/>
      <c r="W202" s="300"/>
      <c r="X202" s="300"/>
      <c r="Y202" s="300"/>
      <c r="Z202" s="300"/>
      <c r="AA202" s="301"/>
    </row>
    <row r="203" spans="1:27">
      <c r="A203" s="319"/>
      <c r="B203" s="351"/>
      <c r="C203" s="381"/>
      <c r="D203" s="369"/>
      <c r="E203" s="369"/>
      <c r="F203" s="300"/>
      <c r="G203" s="300"/>
      <c r="H203" s="300"/>
      <c r="I203" s="300"/>
      <c r="J203" s="300"/>
      <c r="K203" s="300"/>
      <c r="L203" s="300"/>
      <c r="M203" s="300"/>
      <c r="N203" s="300"/>
      <c r="O203" s="300"/>
      <c r="P203" s="300"/>
      <c r="Q203" s="300"/>
      <c r="R203" s="300"/>
      <c r="S203" s="300"/>
      <c r="T203" s="300"/>
      <c r="U203" s="300"/>
      <c r="V203" s="300"/>
      <c r="W203" s="300"/>
      <c r="X203" s="300"/>
      <c r="Y203" s="300"/>
      <c r="Z203" s="300"/>
      <c r="AA203" s="301"/>
    </row>
    <row r="204" spans="1:27">
      <c r="A204" s="319"/>
      <c r="B204" s="351"/>
      <c r="C204" s="381"/>
      <c r="D204" s="369"/>
      <c r="E204" s="369"/>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1"/>
    </row>
    <row r="205" spans="1:27">
      <c r="A205" s="319"/>
      <c r="B205" s="351"/>
      <c r="C205" s="381"/>
      <c r="D205" s="369"/>
      <c r="E205" s="369"/>
      <c r="F205" s="300"/>
      <c r="G205" s="300"/>
      <c r="H205" s="300"/>
      <c r="I205" s="300"/>
      <c r="J205" s="300"/>
      <c r="K205" s="300"/>
      <c r="L205" s="300"/>
      <c r="M205" s="300"/>
      <c r="N205" s="300"/>
      <c r="O205" s="300"/>
      <c r="P205" s="300"/>
      <c r="Q205" s="300"/>
      <c r="R205" s="300"/>
      <c r="S205" s="300"/>
      <c r="T205" s="300"/>
      <c r="U205" s="300"/>
      <c r="V205" s="300"/>
      <c r="W205" s="300"/>
      <c r="X205" s="300"/>
      <c r="Y205" s="300"/>
      <c r="Z205" s="300"/>
      <c r="AA205" s="301"/>
    </row>
    <row r="206" spans="1:27">
      <c r="A206" s="319"/>
      <c r="B206" s="351"/>
      <c r="C206" s="381"/>
      <c r="D206" s="369"/>
      <c r="E206" s="369"/>
      <c r="F206" s="300"/>
      <c r="G206" s="300"/>
      <c r="H206" s="300"/>
      <c r="I206" s="300"/>
      <c r="J206" s="300"/>
      <c r="K206" s="300"/>
      <c r="L206" s="300"/>
      <c r="M206" s="300"/>
      <c r="N206" s="300"/>
      <c r="O206" s="300"/>
      <c r="P206" s="300"/>
      <c r="Q206" s="300"/>
      <c r="R206" s="300"/>
      <c r="S206" s="300"/>
      <c r="T206" s="300"/>
      <c r="U206" s="300"/>
      <c r="V206" s="300"/>
      <c r="W206" s="300"/>
      <c r="X206" s="300"/>
      <c r="Y206" s="300"/>
      <c r="Z206" s="300"/>
      <c r="AA206" s="301"/>
    </row>
    <row r="207" spans="1:27">
      <c r="A207" s="319"/>
      <c r="B207" s="351"/>
      <c r="C207" s="381"/>
      <c r="D207" s="369"/>
      <c r="E207" s="369"/>
      <c r="F207" s="300"/>
      <c r="G207" s="300"/>
      <c r="H207" s="300"/>
      <c r="I207" s="300"/>
      <c r="J207" s="300"/>
      <c r="K207" s="300"/>
      <c r="L207" s="300"/>
      <c r="M207" s="300"/>
      <c r="N207" s="300"/>
      <c r="O207" s="300"/>
      <c r="P207" s="300"/>
      <c r="Q207" s="300"/>
      <c r="R207" s="300"/>
      <c r="S207" s="300"/>
      <c r="T207" s="300"/>
      <c r="U207" s="300"/>
      <c r="V207" s="300"/>
      <c r="W207" s="300"/>
      <c r="X207" s="300"/>
      <c r="Y207" s="300"/>
      <c r="Z207" s="300"/>
      <c r="AA207" s="301"/>
    </row>
    <row r="208" spans="1:27">
      <c r="A208" s="319"/>
      <c r="B208" s="351"/>
      <c r="C208" s="381"/>
      <c r="D208" s="369"/>
      <c r="E208" s="369"/>
      <c r="F208" s="300"/>
      <c r="G208" s="300"/>
      <c r="H208" s="300"/>
      <c r="I208" s="300"/>
      <c r="J208" s="300"/>
      <c r="K208" s="300"/>
      <c r="L208" s="300"/>
      <c r="M208" s="300"/>
      <c r="N208" s="300"/>
      <c r="O208" s="300"/>
      <c r="P208" s="300"/>
      <c r="Q208" s="300"/>
      <c r="R208" s="300"/>
      <c r="S208" s="300"/>
      <c r="T208" s="300"/>
      <c r="U208" s="300"/>
      <c r="V208" s="300"/>
      <c r="W208" s="300"/>
      <c r="X208" s="300"/>
      <c r="Y208" s="300"/>
      <c r="Z208" s="300"/>
      <c r="AA208" s="301"/>
    </row>
    <row r="209" spans="1:27">
      <c r="A209" s="319"/>
      <c r="B209" s="351"/>
      <c r="C209" s="381"/>
      <c r="D209" s="369"/>
      <c r="E209" s="369"/>
      <c r="F209" s="300"/>
      <c r="G209" s="300"/>
      <c r="H209" s="300"/>
      <c r="I209" s="300"/>
      <c r="J209" s="300"/>
      <c r="K209" s="300"/>
      <c r="L209" s="300"/>
      <c r="M209" s="300"/>
      <c r="N209" s="300"/>
      <c r="O209" s="300"/>
      <c r="P209" s="300"/>
      <c r="Q209" s="300"/>
      <c r="R209" s="300"/>
      <c r="S209" s="300"/>
      <c r="T209" s="300"/>
      <c r="U209" s="300"/>
      <c r="V209" s="300"/>
      <c r="W209" s="300"/>
      <c r="X209" s="300"/>
      <c r="Y209" s="300"/>
      <c r="Z209" s="300"/>
      <c r="AA209" s="301"/>
    </row>
    <row r="210" spans="1:27">
      <c r="A210" s="319"/>
      <c r="B210" s="351"/>
      <c r="C210" s="381"/>
      <c r="D210" s="369"/>
      <c r="E210" s="369"/>
      <c r="F210" s="300"/>
      <c r="G210" s="300"/>
      <c r="H210" s="300"/>
      <c r="I210" s="300"/>
      <c r="J210" s="300"/>
      <c r="K210" s="300"/>
      <c r="L210" s="300"/>
      <c r="M210" s="300"/>
      <c r="N210" s="300"/>
      <c r="O210" s="300"/>
      <c r="P210" s="300"/>
      <c r="Q210" s="300"/>
      <c r="R210" s="300"/>
      <c r="S210" s="300"/>
      <c r="T210" s="300"/>
      <c r="U210" s="300"/>
      <c r="V210" s="300"/>
      <c r="W210" s="300"/>
      <c r="X210" s="300"/>
      <c r="Y210" s="300"/>
      <c r="Z210" s="300"/>
      <c r="AA210" s="301"/>
    </row>
    <row r="211" spans="1:27">
      <c r="A211" s="319"/>
      <c r="B211" s="351"/>
      <c r="C211" s="381"/>
      <c r="D211" s="369"/>
      <c r="E211" s="369"/>
      <c r="F211" s="300"/>
      <c r="G211" s="300"/>
      <c r="H211" s="300"/>
      <c r="I211" s="300"/>
      <c r="J211" s="300"/>
      <c r="K211" s="300"/>
      <c r="L211" s="300"/>
      <c r="M211" s="300"/>
      <c r="N211" s="300"/>
      <c r="O211" s="300"/>
      <c r="P211" s="300"/>
      <c r="Q211" s="300"/>
      <c r="R211" s="300"/>
      <c r="S211" s="300"/>
      <c r="T211" s="300"/>
      <c r="U211" s="300"/>
      <c r="V211" s="300"/>
      <c r="W211" s="300"/>
      <c r="X211" s="300"/>
      <c r="Y211" s="300"/>
      <c r="Z211" s="300"/>
      <c r="AA211" s="301"/>
    </row>
    <row r="212" spans="1:27">
      <c r="A212" s="319"/>
      <c r="B212" s="351"/>
      <c r="C212" s="381"/>
      <c r="D212" s="369"/>
      <c r="E212" s="369"/>
      <c r="F212" s="300"/>
      <c r="G212" s="300"/>
      <c r="H212" s="300"/>
      <c r="I212" s="300"/>
      <c r="J212" s="300"/>
      <c r="K212" s="300"/>
      <c r="L212" s="300"/>
      <c r="M212" s="300"/>
      <c r="N212" s="300"/>
      <c r="O212" s="300"/>
      <c r="P212" s="300"/>
      <c r="Q212" s="300"/>
      <c r="R212" s="300"/>
      <c r="S212" s="300"/>
      <c r="T212" s="300"/>
      <c r="U212" s="300"/>
      <c r="V212" s="300"/>
      <c r="W212" s="300"/>
      <c r="X212" s="300"/>
      <c r="Y212" s="300"/>
      <c r="Z212" s="300"/>
      <c r="AA212" s="301"/>
    </row>
    <row r="213" spans="1:27">
      <c r="A213" s="319"/>
      <c r="B213" s="351"/>
      <c r="C213" s="381"/>
      <c r="D213" s="369"/>
      <c r="E213" s="369"/>
      <c r="F213" s="300"/>
      <c r="G213" s="300"/>
      <c r="H213" s="300"/>
      <c r="I213" s="300"/>
      <c r="J213" s="300"/>
      <c r="K213" s="300"/>
      <c r="L213" s="300"/>
      <c r="M213" s="300"/>
      <c r="N213" s="300"/>
      <c r="O213" s="300"/>
      <c r="P213" s="300"/>
      <c r="Q213" s="300"/>
      <c r="R213" s="300"/>
      <c r="S213" s="300"/>
      <c r="T213" s="300"/>
      <c r="U213" s="300"/>
      <c r="V213" s="300"/>
      <c r="W213" s="300"/>
      <c r="X213" s="300"/>
      <c r="Y213" s="300"/>
      <c r="Z213" s="300"/>
      <c r="AA213" s="301"/>
    </row>
    <row r="214" spans="1:27">
      <c r="A214" s="319"/>
      <c r="B214" s="351"/>
      <c r="C214" s="381"/>
      <c r="D214" s="369"/>
      <c r="E214" s="369"/>
      <c r="F214" s="300"/>
      <c r="G214" s="300"/>
      <c r="H214" s="300"/>
      <c r="I214" s="300"/>
      <c r="J214" s="300"/>
      <c r="K214" s="300"/>
      <c r="L214" s="300"/>
      <c r="M214" s="300"/>
      <c r="N214" s="300"/>
      <c r="O214" s="300"/>
      <c r="P214" s="300"/>
      <c r="Q214" s="300"/>
      <c r="R214" s="300"/>
      <c r="S214" s="300"/>
      <c r="T214" s="300"/>
      <c r="U214" s="300"/>
      <c r="V214" s="300"/>
      <c r="W214" s="300"/>
      <c r="X214" s="300"/>
      <c r="Y214" s="300"/>
      <c r="Z214" s="300"/>
      <c r="AA214" s="301"/>
    </row>
    <row r="215" spans="1:27">
      <c r="A215" s="319"/>
      <c r="B215" s="351"/>
      <c r="C215" s="381"/>
      <c r="D215" s="369"/>
      <c r="E215" s="369"/>
      <c r="F215" s="300"/>
      <c r="G215" s="300"/>
      <c r="H215" s="300"/>
      <c r="I215" s="300"/>
      <c r="J215" s="300"/>
      <c r="K215" s="300"/>
      <c r="L215" s="300"/>
      <c r="M215" s="300"/>
      <c r="N215" s="300"/>
      <c r="O215" s="300"/>
      <c r="P215" s="300"/>
      <c r="Q215" s="300"/>
      <c r="R215" s="300"/>
      <c r="S215" s="300"/>
      <c r="T215" s="300"/>
      <c r="U215" s="300"/>
      <c r="V215" s="300"/>
      <c r="W215" s="300"/>
      <c r="X215" s="300"/>
      <c r="Y215" s="300"/>
      <c r="Z215" s="300"/>
      <c r="AA215" s="301"/>
    </row>
    <row r="216" spans="1:27">
      <c r="A216" s="319"/>
      <c r="B216" s="351"/>
      <c r="C216" s="381"/>
      <c r="D216" s="369"/>
      <c r="E216" s="369"/>
      <c r="F216" s="300"/>
      <c r="G216" s="300"/>
      <c r="H216" s="300"/>
      <c r="I216" s="300"/>
      <c r="J216" s="300"/>
      <c r="K216" s="300"/>
      <c r="L216" s="300"/>
      <c r="M216" s="300"/>
      <c r="N216" s="300"/>
      <c r="O216" s="300"/>
      <c r="P216" s="300"/>
      <c r="Q216" s="300"/>
      <c r="R216" s="300"/>
      <c r="S216" s="300"/>
      <c r="T216" s="300"/>
      <c r="U216" s="300"/>
      <c r="V216" s="300"/>
      <c r="W216" s="300"/>
      <c r="X216" s="300"/>
      <c r="Y216" s="300"/>
      <c r="Z216" s="300"/>
      <c r="AA216" s="301"/>
    </row>
    <row r="217" spans="1:27">
      <c r="A217" s="319"/>
      <c r="B217" s="351"/>
      <c r="C217" s="381"/>
      <c r="D217" s="369"/>
      <c r="E217" s="369"/>
      <c r="F217" s="300"/>
      <c r="G217" s="300"/>
      <c r="H217" s="300"/>
      <c r="I217" s="300"/>
      <c r="J217" s="300"/>
      <c r="K217" s="300"/>
      <c r="L217" s="300"/>
      <c r="M217" s="300"/>
      <c r="N217" s="300"/>
      <c r="O217" s="300"/>
      <c r="P217" s="300"/>
      <c r="Q217" s="300"/>
      <c r="R217" s="300"/>
      <c r="S217" s="300"/>
      <c r="T217" s="300"/>
      <c r="U217" s="300"/>
      <c r="V217" s="300"/>
      <c r="W217" s="300"/>
      <c r="X217" s="300"/>
      <c r="Y217" s="300"/>
      <c r="Z217" s="300"/>
      <c r="AA217" s="301"/>
    </row>
    <row r="218" spans="1:27">
      <c r="A218" s="319"/>
      <c r="B218" s="351"/>
      <c r="C218" s="381"/>
      <c r="D218" s="369"/>
      <c r="E218" s="369"/>
      <c r="F218" s="300"/>
      <c r="G218" s="300"/>
      <c r="H218" s="300"/>
      <c r="I218" s="300"/>
      <c r="J218" s="300"/>
      <c r="K218" s="300"/>
      <c r="L218" s="300"/>
      <c r="M218" s="300"/>
      <c r="N218" s="300"/>
      <c r="O218" s="300"/>
      <c r="P218" s="300"/>
      <c r="Q218" s="300"/>
      <c r="R218" s="300"/>
      <c r="S218" s="300"/>
      <c r="T218" s="300"/>
      <c r="U218" s="300"/>
      <c r="V218" s="300"/>
      <c r="W218" s="300"/>
      <c r="X218" s="300"/>
      <c r="Y218" s="300"/>
      <c r="Z218" s="300"/>
      <c r="AA218" s="301"/>
    </row>
    <row r="219" spans="1:27">
      <c r="A219" s="319"/>
      <c r="B219" s="351"/>
      <c r="C219" s="381"/>
      <c r="D219" s="369"/>
      <c r="E219" s="369"/>
      <c r="F219" s="300"/>
      <c r="G219" s="300"/>
      <c r="H219" s="300"/>
      <c r="I219" s="300"/>
      <c r="J219" s="300"/>
      <c r="K219" s="300"/>
      <c r="L219" s="300"/>
      <c r="M219" s="300"/>
      <c r="N219" s="300"/>
      <c r="O219" s="300"/>
      <c r="P219" s="300"/>
      <c r="Q219" s="300"/>
      <c r="R219" s="300"/>
      <c r="S219" s="300"/>
      <c r="T219" s="300"/>
      <c r="U219" s="300"/>
      <c r="V219" s="300"/>
      <c r="W219" s="300"/>
      <c r="X219" s="300"/>
      <c r="Y219" s="300"/>
      <c r="Z219" s="300"/>
      <c r="AA219" s="301"/>
    </row>
    <row r="220" spans="1:27">
      <c r="A220" s="319"/>
      <c r="B220" s="351"/>
      <c r="C220" s="381"/>
      <c r="D220" s="369"/>
      <c r="E220" s="369"/>
      <c r="F220" s="300"/>
      <c r="G220" s="300"/>
      <c r="H220" s="300"/>
      <c r="I220" s="300"/>
      <c r="J220" s="300"/>
      <c r="K220" s="300"/>
      <c r="L220" s="300"/>
      <c r="M220" s="300"/>
      <c r="N220" s="300"/>
      <c r="O220" s="300"/>
      <c r="P220" s="300"/>
      <c r="Q220" s="300"/>
      <c r="R220" s="300"/>
      <c r="S220" s="300"/>
      <c r="T220" s="300"/>
      <c r="U220" s="300"/>
      <c r="V220" s="300"/>
      <c r="W220" s="300"/>
      <c r="X220" s="300"/>
      <c r="Y220" s="300"/>
      <c r="Z220" s="300"/>
      <c r="AA220" s="301"/>
    </row>
    <row r="221" spans="1:27">
      <c r="A221" s="319"/>
      <c r="B221" s="351"/>
      <c r="C221" s="381"/>
      <c r="D221" s="369"/>
      <c r="E221" s="369"/>
      <c r="F221" s="300"/>
      <c r="G221" s="300"/>
      <c r="H221" s="300"/>
      <c r="I221" s="300"/>
      <c r="J221" s="300"/>
      <c r="K221" s="300"/>
      <c r="L221" s="300"/>
      <c r="M221" s="300"/>
      <c r="N221" s="300"/>
      <c r="O221" s="300"/>
      <c r="P221" s="300"/>
      <c r="Q221" s="300"/>
      <c r="R221" s="300"/>
      <c r="S221" s="300"/>
      <c r="T221" s="300"/>
      <c r="U221" s="300"/>
      <c r="V221" s="300"/>
      <c r="W221" s="300"/>
      <c r="X221" s="300"/>
      <c r="Y221" s="300"/>
      <c r="Z221" s="300"/>
      <c r="AA221" s="301"/>
    </row>
    <row r="222" spans="1:27">
      <c r="A222" s="319"/>
      <c r="B222" s="351"/>
      <c r="C222" s="381"/>
      <c r="D222" s="369"/>
      <c r="E222" s="369"/>
      <c r="F222" s="300"/>
      <c r="G222" s="300"/>
      <c r="H222" s="300"/>
      <c r="I222" s="300"/>
      <c r="J222" s="300"/>
      <c r="K222" s="300"/>
      <c r="L222" s="300"/>
      <c r="M222" s="300"/>
      <c r="N222" s="300"/>
      <c r="O222" s="300"/>
      <c r="P222" s="300"/>
      <c r="Q222" s="300"/>
      <c r="R222" s="300"/>
      <c r="S222" s="300"/>
      <c r="T222" s="300"/>
      <c r="U222" s="300"/>
      <c r="V222" s="300"/>
      <c r="W222" s="300"/>
      <c r="X222" s="300"/>
      <c r="Y222" s="300"/>
      <c r="Z222" s="300"/>
      <c r="AA222" s="301"/>
    </row>
    <row r="223" spans="1:27">
      <c r="A223" s="319"/>
      <c r="B223" s="351"/>
      <c r="C223" s="381"/>
      <c r="D223" s="369"/>
      <c r="E223" s="369"/>
      <c r="F223" s="300"/>
      <c r="G223" s="300"/>
      <c r="H223" s="300"/>
      <c r="I223" s="300"/>
      <c r="J223" s="300"/>
      <c r="K223" s="300"/>
      <c r="L223" s="300"/>
      <c r="M223" s="300"/>
      <c r="N223" s="300"/>
      <c r="O223" s="300"/>
      <c r="P223" s="300"/>
      <c r="Q223" s="300"/>
      <c r="R223" s="300"/>
      <c r="S223" s="300"/>
      <c r="T223" s="300"/>
      <c r="U223" s="300"/>
      <c r="V223" s="300"/>
      <c r="W223" s="300"/>
      <c r="X223" s="300"/>
      <c r="Y223" s="300"/>
      <c r="Z223" s="300"/>
      <c r="AA223" s="301"/>
    </row>
    <row r="224" spans="1:27">
      <c r="A224" s="319"/>
      <c r="B224" s="351"/>
      <c r="C224" s="381"/>
      <c r="D224" s="369"/>
      <c r="E224" s="369"/>
      <c r="F224" s="300"/>
      <c r="G224" s="300"/>
      <c r="H224" s="300"/>
      <c r="I224" s="300"/>
      <c r="J224" s="300"/>
      <c r="K224" s="300"/>
      <c r="L224" s="300"/>
      <c r="M224" s="300"/>
      <c r="N224" s="300"/>
      <c r="O224" s="300"/>
      <c r="P224" s="300"/>
      <c r="Q224" s="300"/>
      <c r="R224" s="300"/>
      <c r="S224" s="300"/>
      <c r="T224" s="300"/>
      <c r="U224" s="300"/>
      <c r="V224" s="300"/>
      <c r="W224" s="300"/>
      <c r="X224" s="300"/>
      <c r="Y224" s="300"/>
      <c r="Z224" s="300"/>
      <c r="AA224" s="301"/>
    </row>
    <row r="225" spans="1:27">
      <c r="A225" s="319"/>
      <c r="B225" s="351"/>
      <c r="C225" s="381"/>
      <c r="D225" s="369"/>
      <c r="E225" s="369"/>
      <c r="F225" s="300"/>
      <c r="G225" s="300"/>
      <c r="H225" s="300"/>
      <c r="I225" s="300"/>
      <c r="J225" s="300"/>
      <c r="K225" s="300"/>
      <c r="L225" s="300"/>
      <c r="M225" s="300"/>
      <c r="N225" s="300"/>
      <c r="O225" s="300"/>
      <c r="P225" s="300"/>
      <c r="Q225" s="300"/>
      <c r="R225" s="300"/>
      <c r="S225" s="300"/>
      <c r="T225" s="300"/>
      <c r="U225" s="300"/>
      <c r="V225" s="300"/>
      <c r="W225" s="300"/>
      <c r="X225" s="300"/>
      <c r="Y225" s="300"/>
      <c r="Z225" s="300"/>
      <c r="AA225" s="301"/>
    </row>
    <row r="226" spans="1:27">
      <c r="A226" s="319"/>
      <c r="B226" s="351"/>
      <c r="C226" s="381"/>
      <c r="D226" s="369"/>
      <c r="E226" s="369"/>
      <c r="F226" s="300"/>
      <c r="G226" s="300"/>
      <c r="H226" s="300"/>
      <c r="I226" s="300"/>
      <c r="J226" s="300"/>
      <c r="K226" s="300"/>
      <c r="L226" s="300"/>
      <c r="M226" s="300"/>
      <c r="N226" s="300"/>
      <c r="O226" s="300"/>
      <c r="P226" s="300"/>
      <c r="Q226" s="300"/>
      <c r="R226" s="300"/>
      <c r="S226" s="300"/>
      <c r="T226" s="300"/>
      <c r="U226" s="300"/>
      <c r="V226" s="300"/>
      <c r="W226" s="300"/>
      <c r="X226" s="300"/>
      <c r="Y226" s="300"/>
      <c r="Z226" s="300"/>
      <c r="AA226" s="301"/>
    </row>
    <row r="227" spans="1:27">
      <c r="A227" s="319"/>
      <c r="B227" s="351"/>
      <c r="C227" s="381"/>
      <c r="D227" s="369"/>
      <c r="E227" s="369"/>
      <c r="F227" s="300"/>
      <c r="G227" s="300"/>
      <c r="H227" s="300"/>
      <c r="I227" s="300"/>
      <c r="J227" s="300"/>
      <c r="K227" s="300"/>
      <c r="L227" s="300"/>
      <c r="M227" s="300"/>
      <c r="N227" s="300"/>
      <c r="O227" s="300"/>
      <c r="P227" s="300"/>
      <c r="Q227" s="300"/>
      <c r="R227" s="300"/>
      <c r="S227" s="300"/>
      <c r="T227" s="300"/>
      <c r="U227" s="300"/>
      <c r="V227" s="300"/>
      <c r="W227" s="300"/>
      <c r="X227" s="300"/>
      <c r="Y227" s="300"/>
      <c r="Z227" s="300"/>
      <c r="AA227" s="301"/>
    </row>
    <row r="228" spans="1:27">
      <c r="A228" s="319"/>
      <c r="B228" s="351"/>
      <c r="C228" s="381"/>
      <c r="D228" s="369"/>
      <c r="E228" s="369"/>
      <c r="F228" s="300"/>
      <c r="G228" s="300"/>
      <c r="H228" s="300"/>
      <c r="I228" s="300"/>
      <c r="J228" s="300"/>
      <c r="K228" s="300"/>
      <c r="L228" s="300"/>
      <c r="M228" s="300"/>
      <c r="N228" s="300"/>
      <c r="O228" s="300"/>
      <c r="P228" s="300"/>
      <c r="Q228" s="300"/>
      <c r="R228" s="300"/>
      <c r="S228" s="300"/>
      <c r="T228" s="300"/>
      <c r="U228" s="300"/>
      <c r="V228" s="300"/>
      <c r="W228" s="300"/>
      <c r="X228" s="300"/>
      <c r="Y228" s="300"/>
      <c r="Z228" s="300"/>
      <c r="AA228" s="301"/>
    </row>
    <row r="229" spans="1:27">
      <c r="A229" s="319"/>
      <c r="B229" s="351"/>
      <c r="C229" s="381"/>
      <c r="D229" s="369"/>
      <c r="E229" s="369"/>
      <c r="F229" s="300"/>
      <c r="G229" s="300"/>
      <c r="H229" s="300"/>
      <c r="I229" s="300"/>
      <c r="J229" s="300"/>
      <c r="K229" s="300"/>
      <c r="L229" s="300"/>
      <c r="M229" s="300"/>
      <c r="N229" s="300"/>
      <c r="O229" s="300"/>
      <c r="P229" s="300"/>
      <c r="Q229" s="300"/>
      <c r="R229" s="300"/>
      <c r="S229" s="300"/>
      <c r="T229" s="300"/>
      <c r="U229" s="300"/>
      <c r="V229" s="300"/>
      <c r="W229" s="300"/>
      <c r="X229" s="300"/>
      <c r="Y229" s="300"/>
      <c r="Z229" s="300"/>
      <c r="AA229" s="301"/>
    </row>
    <row r="230" spans="1:27">
      <c r="A230" s="319"/>
      <c r="B230" s="351"/>
      <c r="C230" s="381"/>
      <c r="D230" s="369"/>
      <c r="E230" s="369"/>
      <c r="F230" s="300"/>
      <c r="G230" s="300"/>
      <c r="H230" s="300"/>
      <c r="I230" s="300"/>
      <c r="J230" s="300"/>
      <c r="K230" s="300"/>
      <c r="L230" s="300"/>
      <c r="M230" s="300"/>
      <c r="N230" s="300"/>
      <c r="O230" s="300"/>
      <c r="P230" s="300"/>
      <c r="Q230" s="300"/>
      <c r="R230" s="300"/>
      <c r="S230" s="300"/>
      <c r="T230" s="300"/>
      <c r="U230" s="300"/>
      <c r="V230" s="300"/>
      <c r="W230" s="300"/>
      <c r="X230" s="300"/>
      <c r="Y230" s="300"/>
      <c r="Z230" s="300"/>
      <c r="AA230" s="301"/>
    </row>
    <row r="231" spans="1:27">
      <c r="A231" s="319"/>
      <c r="B231" s="351"/>
      <c r="C231" s="381"/>
      <c r="D231" s="369"/>
      <c r="E231" s="369"/>
      <c r="F231" s="300"/>
      <c r="G231" s="300"/>
      <c r="H231" s="300"/>
      <c r="I231" s="300"/>
      <c r="J231" s="300"/>
      <c r="K231" s="300"/>
      <c r="L231" s="300"/>
      <c r="M231" s="300"/>
      <c r="N231" s="300"/>
      <c r="O231" s="300"/>
      <c r="P231" s="300"/>
      <c r="Q231" s="300"/>
      <c r="R231" s="300"/>
      <c r="S231" s="300"/>
      <c r="T231" s="300"/>
      <c r="U231" s="300"/>
      <c r="V231" s="300"/>
      <c r="W231" s="300"/>
      <c r="X231" s="300"/>
      <c r="Y231" s="300"/>
      <c r="Z231" s="300"/>
      <c r="AA231" s="301"/>
    </row>
    <row r="232" spans="1:27">
      <c r="A232" s="319"/>
      <c r="B232" s="351"/>
      <c r="C232" s="381"/>
      <c r="D232" s="369"/>
      <c r="E232" s="369"/>
      <c r="F232" s="300"/>
      <c r="G232" s="300"/>
      <c r="H232" s="300"/>
      <c r="I232" s="300"/>
      <c r="J232" s="300"/>
      <c r="K232" s="300"/>
      <c r="L232" s="300"/>
      <c r="M232" s="300"/>
      <c r="N232" s="300"/>
      <c r="O232" s="300"/>
      <c r="P232" s="300"/>
      <c r="Q232" s="300"/>
      <c r="R232" s="300"/>
      <c r="S232" s="300"/>
      <c r="T232" s="300"/>
      <c r="U232" s="300"/>
      <c r="V232" s="300"/>
      <c r="W232" s="300"/>
      <c r="X232" s="300"/>
      <c r="Y232" s="300"/>
      <c r="Z232" s="300"/>
      <c r="AA232" s="301"/>
    </row>
    <row r="233" spans="1:27">
      <c r="A233" s="319"/>
      <c r="B233" s="351"/>
      <c r="C233" s="381"/>
      <c r="D233" s="369"/>
      <c r="E233" s="369"/>
      <c r="F233" s="300"/>
      <c r="G233" s="300"/>
      <c r="H233" s="300"/>
      <c r="I233" s="300"/>
      <c r="J233" s="300"/>
      <c r="K233" s="300"/>
      <c r="L233" s="300"/>
      <c r="M233" s="300"/>
      <c r="N233" s="300"/>
      <c r="O233" s="300"/>
      <c r="P233" s="300"/>
      <c r="Q233" s="300"/>
      <c r="R233" s="300"/>
      <c r="S233" s="300"/>
      <c r="T233" s="300"/>
      <c r="U233" s="300"/>
      <c r="V233" s="300"/>
      <c r="W233" s="300"/>
      <c r="X233" s="300"/>
      <c r="Y233" s="300"/>
      <c r="Z233" s="300"/>
      <c r="AA233" s="301"/>
    </row>
    <row r="234" spans="1:27">
      <c r="A234" s="319"/>
      <c r="B234" s="351"/>
      <c r="C234" s="381"/>
      <c r="D234" s="369"/>
      <c r="E234" s="369"/>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1"/>
    </row>
    <row r="235" spans="1:27">
      <c r="A235" s="319"/>
      <c r="B235" s="351"/>
      <c r="C235" s="381"/>
      <c r="D235" s="369"/>
      <c r="E235" s="369"/>
      <c r="F235" s="300"/>
      <c r="G235" s="300"/>
      <c r="H235" s="300"/>
      <c r="I235" s="300"/>
      <c r="J235" s="300"/>
      <c r="K235" s="300"/>
      <c r="L235" s="300"/>
      <c r="M235" s="300"/>
      <c r="N235" s="300"/>
      <c r="O235" s="300"/>
      <c r="P235" s="300"/>
      <c r="Q235" s="300"/>
      <c r="R235" s="300"/>
      <c r="S235" s="300"/>
      <c r="T235" s="300"/>
      <c r="U235" s="300"/>
      <c r="V235" s="300"/>
      <c r="W235" s="300"/>
      <c r="X235" s="300"/>
      <c r="Y235" s="300"/>
      <c r="Z235" s="300"/>
      <c r="AA235" s="301"/>
    </row>
    <row r="236" spans="1:27">
      <c r="A236" s="319"/>
      <c r="B236" s="351"/>
      <c r="C236" s="381"/>
      <c r="D236" s="369"/>
      <c r="E236" s="369"/>
      <c r="F236" s="300"/>
      <c r="G236" s="300"/>
      <c r="H236" s="300"/>
      <c r="I236" s="300"/>
      <c r="J236" s="300"/>
      <c r="K236" s="300"/>
      <c r="L236" s="300"/>
      <c r="M236" s="300"/>
      <c r="N236" s="300"/>
      <c r="O236" s="300"/>
      <c r="P236" s="300"/>
      <c r="Q236" s="300"/>
      <c r="R236" s="300"/>
      <c r="S236" s="300"/>
      <c r="T236" s="300"/>
      <c r="U236" s="300"/>
      <c r="V236" s="300"/>
      <c r="W236" s="300"/>
      <c r="X236" s="300"/>
      <c r="Y236" s="300"/>
      <c r="Z236" s="300"/>
      <c r="AA236" s="301"/>
    </row>
    <row r="237" spans="1:27">
      <c r="A237" s="319"/>
      <c r="B237" s="351"/>
      <c r="C237" s="381"/>
      <c r="D237" s="369"/>
      <c r="E237" s="369"/>
      <c r="F237" s="300"/>
      <c r="G237" s="300"/>
      <c r="H237" s="300"/>
      <c r="I237" s="300"/>
      <c r="J237" s="300"/>
      <c r="K237" s="300"/>
      <c r="L237" s="300"/>
      <c r="M237" s="300"/>
      <c r="N237" s="300"/>
      <c r="O237" s="300"/>
      <c r="P237" s="300"/>
      <c r="Q237" s="300"/>
      <c r="R237" s="300"/>
      <c r="S237" s="300"/>
      <c r="T237" s="300"/>
      <c r="U237" s="300"/>
      <c r="V237" s="300"/>
      <c r="W237" s="300"/>
      <c r="X237" s="300"/>
      <c r="Y237" s="300"/>
      <c r="Z237" s="300"/>
      <c r="AA237" s="301"/>
    </row>
    <row r="238" spans="1:27">
      <c r="A238" s="319"/>
      <c r="B238" s="351"/>
      <c r="C238" s="381"/>
      <c r="D238" s="369"/>
      <c r="E238" s="369"/>
      <c r="F238" s="300"/>
      <c r="G238" s="300"/>
      <c r="H238" s="300"/>
      <c r="I238" s="300"/>
      <c r="J238" s="300"/>
      <c r="K238" s="300"/>
      <c r="L238" s="300"/>
      <c r="M238" s="300"/>
      <c r="N238" s="300"/>
      <c r="O238" s="300"/>
      <c r="P238" s="300"/>
      <c r="Q238" s="300"/>
      <c r="R238" s="300"/>
      <c r="S238" s="300"/>
      <c r="T238" s="300"/>
      <c r="U238" s="300"/>
      <c r="V238" s="300"/>
      <c r="W238" s="300"/>
      <c r="X238" s="300"/>
      <c r="Y238" s="300"/>
      <c r="Z238" s="300"/>
      <c r="AA238" s="301"/>
    </row>
    <row r="239" spans="1:27">
      <c r="A239" s="319"/>
      <c r="B239" s="351"/>
      <c r="C239" s="381"/>
      <c r="D239" s="369"/>
      <c r="E239" s="369"/>
      <c r="F239" s="300"/>
      <c r="G239" s="300"/>
      <c r="H239" s="300"/>
      <c r="I239" s="300"/>
      <c r="J239" s="300"/>
      <c r="K239" s="300"/>
      <c r="L239" s="300"/>
      <c r="M239" s="300"/>
      <c r="N239" s="300"/>
      <c r="O239" s="300"/>
      <c r="P239" s="300"/>
      <c r="Q239" s="300"/>
      <c r="R239" s="300"/>
      <c r="S239" s="300"/>
      <c r="T239" s="300"/>
      <c r="U239" s="300"/>
      <c r="V239" s="300"/>
      <c r="W239" s="300"/>
      <c r="X239" s="300"/>
      <c r="Y239" s="300"/>
      <c r="Z239" s="300"/>
      <c r="AA239" s="301"/>
    </row>
    <row r="240" spans="1:27">
      <c r="A240" s="319"/>
      <c r="B240" s="351"/>
      <c r="C240" s="381"/>
      <c r="D240" s="369"/>
      <c r="E240" s="369"/>
      <c r="F240" s="300"/>
      <c r="G240" s="300"/>
      <c r="H240" s="300"/>
      <c r="I240" s="300"/>
      <c r="J240" s="300"/>
      <c r="K240" s="300"/>
      <c r="L240" s="300"/>
      <c r="M240" s="300"/>
      <c r="N240" s="300"/>
      <c r="O240" s="300"/>
      <c r="P240" s="300"/>
      <c r="Q240" s="300"/>
      <c r="R240" s="300"/>
      <c r="S240" s="300"/>
      <c r="T240" s="300"/>
      <c r="U240" s="300"/>
      <c r="V240" s="300"/>
      <c r="W240" s="300"/>
      <c r="X240" s="300"/>
      <c r="Y240" s="300"/>
      <c r="Z240" s="300"/>
      <c r="AA240" s="301"/>
    </row>
    <row r="241" spans="1:27">
      <c r="A241" s="319"/>
      <c r="B241" s="351"/>
      <c r="C241" s="381"/>
      <c r="D241" s="369"/>
      <c r="E241" s="369"/>
      <c r="F241" s="300"/>
      <c r="G241" s="300"/>
      <c r="H241" s="300"/>
      <c r="I241" s="300"/>
      <c r="J241" s="300"/>
      <c r="K241" s="300"/>
      <c r="L241" s="300"/>
      <c r="M241" s="300"/>
      <c r="N241" s="300"/>
      <c r="O241" s="300"/>
      <c r="P241" s="300"/>
      <c r="Q241" s="300"/>
      <c r="R241" s="300"/>
      <c r="S241" s="300"/>
      <c r="T241" s="300"/>
      <c r="U241" s="300"/>
      <c r="V241" s="300"/>
      <c r="W241" s="300"/>
      <c r="X241" s="300"/>
      <c r="Y241" s="300"/>
      <c r="Z241" s="300"/>
      <c r="AA241" s="301"/>
    </row>
    <row r="242" spans="1:27">
      <c r="A242" s="319"/>
      <c r="B242" s="351"/>
      <c r="C242" s="381"/>
      <c r="D242" s="369"/>
      <c r="E242" s="369"/>
      <c r="F242" s="300"/>
      <c r="G242" s="300"/>
      <c r="H242" s="300"/>
      <c r="I242" s="300"/>
      <c r="J242" s="300"/>
      <c r="K242" s="300"/>
      <c r="L242" s="300"/>
      <c r="M242" s="300"/>
      <c r="N242" s="300"/>
      <c r="O242" s="300"/>
      <c r="P242" s="300"/>
      <c r="Q242" s="300"/>
      <c r="R242" s="300"/>
      <c r="S242" s="300"/>
      <c r="T242" s="300"/>
      <c r="U242" s="300"/>
      <c r="V242" s="300"/>
      <c r="W242" s="300"/>
      <c r="X242" s="300"/>
      <c r="Y242" s="300"/>
      <c r="Z242" s="300"/>
      <c r="AA242" s="301"/>
    </row>
    <row r="243" spans="1:27">
      <c r="A243" s="319"/>
      <c r="B243" s="351"/>
      <c r="C243" s="381"/>
      <c r="D243" s="369"/>
      <c r="E243" s="369"/>
      <c r="F243" s="300"/>
      <c r="G243" s="300"/>
      <c r="H243" s="300"/>
      <c r="I243" s="300"/>
      <c r="J243" s="300"/>
      <c r="K243" s="300"/>
      <c r="L243" s="300"/>
      <c r="M243" s="300"/>
      <c r="N243" s="300"/>
      <c r="O243" s="300"/>
      <c r="P243" s="300"/>
      <c r="Q243" s="300"/>
      <c r="R243" s="300"/>
      <c r="S243" s="300"/>
      <c r="T243" s="300"/>
      <c r="U243" s="300"/>
      <c r="V243" s="300"/>
      <c r="W243" s="300"/>
      <c r="X243" s="300"/>
      <c r="Y243" s="300"/>
      <c r="Z243" s="300"/>
      <c r="AA243" s="301"/>
    </row>
    <row r="244" spans="1:27">
      <c r="A244" s="319"/>
      <c r="B244" s="351"/>
      <c r="C244" s="381"/>
      <c r="D244" s="369"/>
      <c r="E244" s="369"/>
      <c r="F244" s="300"/>
      <c r="G244" s="300"/>
      <c r="H244" s="300"/>
      <c r="I244" s="300"/>
      <c r="J244" s="300"/>
      <c r="K244" s="300"/>
      <c r="L244" s="300"/>
      <c r="M244" s="300"/>
      <c r="N244" s="300"/>
      <c r="O244" s="300"/>
      <c r="P244" s="300"/>
      <c r="Q244" s="300"/>
      <c r="R244" s="300"/>
      <c r="S244" s="300"/>
      <c r="T244" s="300"/>
      <c r="U244" s="300"/>
      <c r="V244" s="300"/>
      <c r="W244" s="300"/>
      <c r="X244" s="300"/>
      <c r="Y244" s="300"/>
      <c r="Z244" s="300"/>
      <c r="AA244" s="301"/>
    </row>
    <row r="245" spans="1:27">
      <c r="A245" s="319"/>
      <c r="B245" s="351"/>
      <c r="C245" s="381"/>
      <c r="D245" s="369"/>
      <c r="E245" s="369"/>
      <c r="F245" s="300"/>
      <c r="G245" s="300"/>
      <c r="H245" s="300"/>
      <c r="I245" s="300"/>
      <c r="J245" s="300"/>
      <c r="K245" s="300"/>
      <c r="L245" s="300"/>
      <c r="M245" s="300"/>
      <c r="N245" s="300"/>
      <c r="O245" s="300"/>
      <c r="P245" s="300"/>
      <c r="Q245" s="300"/>
      <c r="R245" s="300"/>
      <c r="S245" s="300"/>
      <c r="T245" s="300"/>
      <c r="U245" s="300"/>
      <c r="V245" s="300"/>
      <c r="W245" s="300"/>
      <c r="X245" s="300"/>
      <c r="Y245" s="300"/>
      <c r="Z245" s="300"/>
      <c r="AA245" s="301"/>
    </row>
    <row r="246" spans="1:27">
      <c r="A246" s="319"/>
      <c r="B246" s="351"/>
      <c r="C246" s="381"/>
      <c r="D246" s="369"/>
      <c r="E246" s="369"/>
      <c r="F246" s="300"/>
      <c r="G246" s="300"/>
      <c r="H246" s="300"/>
      <c r="I246" s="300"/>
      <c r="J246" s="300"/>
      <c r="K246" s="300"/>
      <c r="L246" s="300"/>
      <c r="M246" s="300"/>
      <c r="N246" s="300"/>
      <c r="O246" s="300"/>
      <c r="P246" s="300"/>
      <c r="Q246" s="300"/>
      <c r="R246" s="300"/>
      <c r="S246" s="300"/>
      <c r="T246" s="300"/>
      <c r="U246" s="300"/>
      <c r="V246" s="300"/>
      <c r="W246" s="300"/>
      <c r="X246" s="300"/>
      <c r="Y246" s="300"/>
      <c r="Z246" s="300"/>
      <c r="AA246" s="301"/>
    </row>
    <row r="247" spans="1:27">
      <c r="A247" s="319"/>
      <c r="B247" s="351"/>
      <c r="C247" s="381"/>
      <c r="D247" s="369"/>
      <c r="E247" s="369"/>
      <c r="F247" s="300"/>
      <c r="G247" s="300"/>
      <c r="H247" s="300"/>
      <c r="I247" s="300"/>
      <c r="J247" s="300"/>
      <c r="K247" s="300"/>
      <c r="L247" s="300"/>
      <c r="M247" s="300"/>
      <c r="N247" s="300"/>
      <c r="O247" s="300"/>
      <c r="P247" s="300"/>
      <c r="Q247" s="300"/>
      <c r="R247" s="300"/>
      <c r="S247" s="300"/>
      <c r="T247" s="300"/>
      <c r="U247" s="300"/>
      <c r="V247" s="300"/>
      <c r="W247" s="300"/>
      <c r="X247" s="300"/>
      <c r="Y247" s="300"/>
      <c r="Z247" s="300"/>
      <c r="AA247" s="301"/>
    </row>
    <row r="248" spans="1:27">
      <c r="A248" s="319"/>
      <c r="B248" s="351"/>
      <c r="C248" s="381"/>
      <c r="D248" s="369"/>
      <c r="E248" s="369"/>
      <c r="F248" s="300"/>
      <c r="G248" s="300"/>
      <c r="H248" s="300"/>
      <c r="I248" s="300"/>
      <c r="J248" s="300"/>
      <c r="K248" s="300"/>
      <c r="L248" s="300"/>
      <c r="M248" s="300"/>
      <c r="N248" s="300"/>
      <c r="O248" s="300"/>
      <c r="P248" s="300"/>
      <c r="Q248" s="300"/>
      <c r="R248" s="300"/>
      <c r="S248" s="300"/>
      <c r="T248" s="300"/>
      <c r="U248" s="300"/>
      <c r="V248" s="300"/>
      <c r="W248" s="300"/>
      <c r="X248" s="300"/>
      <c r="Y248" s="300"/>
      <c r="Z248" s="300"/>
      <c r="AA248" s="301"/>
    </row>
    <row r="249" spans="1:27">
      <c r="A249" s="319"/>
      <c r="B249" s="351"/>
      <c r="C249" s="381"/>
      <c r="D249" s="369"/>
      <c r="E249" s="369"/>
      <c r="F249" s="300"/>
      <c r="G249" s="300"/>
      <c r="H249" s="300"/>
      <c r="I249" s="300"/>
      <c r="J249" s="300"/>
      <c r="K249" s="300"/>
      <c r="L249" s="300"/>
      <c r="M249" s="300"/>
      <c r="N249" s="300"/>
      <c r="O249" s="300"/>
      <c r="P249" s="300"/>
      <c r="Q249" s="300"/>
      <c r="R249" s="300"/>
      <c r="S249" s="300"/>
      <c r="T249" s="300"/>
      <c r="U249" s="300"/>
      <c r="V249" s="300"/>
      <c r="W249" s="300"/>
      <c r="X249" s="300"/>
      <c r="Y249" s="300"/>
      <c r="Z249" s="300"/>
      <c r="AA249" s="301"/>
    </row>
    <row r="250" spans="1:27">
      <c r="A250" s="319"/>
      <c r="B250" s="351"/>
      <c r="C250" s="381"/>
      <c r="D250" s="369"/>
      <c r="E250" s="369"/>
      <c r="F250" s="300"/>
      <c r="G250" s="300"/>
      <c r="H250" s="300"/>
      <c r="I250" s="300"/>
      <c r="J250" s="300"/>
      <c r="K250" s="300"/>
      <c r="L250" s="300"/>
      <c r="M250" s="300"/>
      <c r="N250" s="300"/>
      <c r="O250" s="300"/>
      <c r="P250" s="300"/>
      <c r="Q250" s="300"/>
      <c r="R250" s="300"/>
      <c r="S250" s="300"/>
      <c r="T250" s="300"/>
      <c r="U250" s="300"/>
      <c r="V250" s="300"/>
      <c r="W250" s="300"/>
      <c r="X250" s="300"/>
      <c r="Y250" s="300"/>
      <c r="Z250" s="300"/>
      <c r="AA250" s="301"/>
    </row>
    <row r="251" spans="1:27">
      <c r="A251" s="319"/>
      <c r="B251" s="351"/>
      <c r="C251" s="381"/>
      <c r="D251" s="369"/>
      <c r="E251" s="369"/>
      <c r="F251" s="300"/>
      <c r="G251" s="300"/>
      <c r="H251" s="300"/>
      <c r="I251" s="300"/>
      <c r="J251" s="300"/>
      <c r="K251" s="300"/>
      <c r="L251" s="300"/>
      <c r="M251" s="300"/>
      <c r="N251" s="300"/>
      <c r="O251" s="300"/>
      <c r="P251" s="300"/>
      <c r="Q251" s="300"/>
      <c r="R251" s="300"/>
      <c r="S251" s="300"/>
      <c r="T251" s="300"/>
      <c r="U251" s="300"/>
      <c r="V251" s="300"/>
      <c r="W251" s="300"/>
      <c r="X251" s="300"/>
      <c r="Y251" s="300"/>
      <c r="Z251" s="300"/>
      <c r="AA251" s="301"/>
    </row>
    <row r="252" spans="1:27">
      <c r="A252" s="319"/>
      <c r="B252" s="351"/>
      <c r="C252" s="381"/>
      <c r="D252" s="369"/>
      <c r="E252" s="369"/>
      <c r="F252" s="300"/>
      <c r="G252" s="300"/>
      <c r="H252" s="300"/>
      <c r="I252" s="300"/>
      <c r="J252" s="300"/>
      <c r="K252" s="300"/>
      <c r="L252" s="300"/>
      <c r="M252" s="300"/>
      <c r="N252" s="300"/>
      <c r="O252" s="300"/>
      <c r="P252" s="300"/>
      <c r="Q252" s="300"/>
      <c r="R252" s="300"/>
      <c r="S252" s="300"/>
      <c r="T252" s="300"/>
      <c r="U252" s="300"/>
      <c r="V252" s="300"/>
      <c r="W252" s="300"/>
      <c r="X252" s="300"/>
      <c r="Y252" s="300"/>
      <c r="Z252" s="300"/>
      <c r="AA252" s="301"/>
    </row>
    <row r="253" spans="1:27">
      <c r="A253" s="319"/>
      <c r="B253" s="351"/>
      <c r="C253" s="381"/>
      <c r="D253" s="369"/>
      <c r="E253" s="369"/>
      <c r="F253" s="300"/>
      <c r="G253" s="300"/>
      <c r="H253" s="300"/>
      <c r="I253" s="300"/>
      <c r="J253" s="300"/>
      <c r="K253" s="300"/>
      <c r="L253" s="300"/>
      <c r="M253" s="300"/>
      <c r="N253" s="300"/>
      <c r="O253" s="300"/>
      <c r="P253" s="300"/>
      <c r="Q253" s="300"/>
      <c r="R253" s="300"/>
      <c r="S253" s="300"/>
      <c r="T253" s="300"/>
      <c r="U253" s="300"/>
      <c r="V253" s="300"/>
      <c r="W253" s="300"/>
      <c r="X253" s="300"/>
      <c r="Y253" s="300"/>
      <c r="Z253" s="300"/>
      <c r="AA253" s="301"/>
    </row>
    <row r="254" spans="1:27">
      <c r="A254" s="319"/>
      <c r="B254" s="351"/>
      <c r="C254" s="381"/>
      <c r="D254" s="369"/>
      <c r="E254" s="369"/>
      <c r="F254" s="300"/>
      <c r="G254" s="300"/>
      <c r="H254" s="300"/>
      <c r="I254" s="300"/>
      <c r="J254" s="300"/>
      <c r="K254" s="300"/>
      <c r="L254" s="300"/>
      <c r="M254" s="300"/>
      <c r="N254" s="300"/>
      <c r="O254" s="300"/>
      <c r="P254" s="300"/>
      <c r="Q254" s="300"/>
      <c r="R254" s="300"/>
      <c r="S254" s="300"/>
      <c r="T254" s="300"/>
      <c r="U254" s="300"/>
      <c r="V254" s="300"/>
      <c r="W254" s="300"/>
      <c r="X254" s="300"/>
      <c r="Y254" s="300"/>
      <c r="Z254" s="300"/>
      <c r="AA254" s="301"/>
    </row>
    <row r="255" spans="1:27">
      <c r="A255" s="319"/>
      <c r="B255" s="351"/>
      <c r="C255" s="381"/>
      <c r="D255" s="369"/>
      <c r="E255" s="369"/>
      <c r="F255" s="300"/>
      <c r="G255" s="300"/>
      <c r="H255" s="300"/>
      <c r="I255" s="300"/>
      <c r="J255" s="300"/>
      <c r="K255" s="300"/>
      <c r="L255" s="300"/>
      <c r="M255" s="300"/>
      <c r="N255" s="300"/>
      <c r="O255" s="300"/>
      <c r="P255" s="300"/>
      <c r="Q255" s="300"/>
      <c r="R255" s="300"/>
      <c r="S255" s="300"/>
      <c r="T255" s="300"/>
      <c r="U255" s="300"/>
      <c r="V255" s="300"/>
      <c r="W255" s="300"/>
      <c r="X255" s="300"/>
      <c r="Y255" s="300"/>
      <c r="Z255" s="300"/>
      <c r="AA255" s="301"/>
    </row>
    <row r="256" spans="1:27">
      <c r="A256" s="319"/>
      <c r="B256" s="351"/>
      <c r="C256" s="381"/>
      <c r="D256" s="369"/>
      <c r="E256" s="369"/>
      <c r="F256" s="300"/>
      <c r="G256" s="300"/>
      <c r="H256" s="300"/>
      <c r="I256" s="300"/>
      <c r="J256" s="300"/>
      <c r="K256" s="300"/>
      <c r="L256" s="300"/>
      <c r="M256" s="300"/>
      <c r="N256" s="300"/>
      <c r="O256" s="300"/>
      <c r="P256" s="300"/>
      <c r="Q256" s="300"/>
      <c r="R256" s="300"/>
      <c r="S256" s="300"/>
      <c r="T256" s="300"/>
      <c r="U256" s="300"/>
      <c r="V256" s="300"/>
      <c r="W256" s="300"/>
      <c r="X256" s="300"/>
      <c r="Y256" s="300"/>
      <c r="Z256" s="300"/>
      <c r="AA256" s="301"/>
    </row>
    <row r="257" spans="1:27">
      <c r="A257" s="319"/>
      <c r="B257" s="351"/>
      <c r="C257" s="381"/>
      <c r="D257" s="369"/>
      <c r="E257" s="369"/>
      <c r="F257" s="300"/>
      <c r="G257" s="300"/>
      <c r="H257" s="300"/>
      <c r="I257" s="300"/>
      <c r="J257" s="300"/>
      <c r="K257" s="300"/>
      <c r="L257" s="300"/>
      <c r="M257" s="300"/>
      <c r="N257" s="300"/>
      <c r="O257" s="300"/>
      <c r="P257" s="300"/>
      <c r="Q257" s="300"/>
      <c r="R257" s="300"/>
      <c r="S257" s="300"/>
      <c r="T257" s="300"/>
      <c r="U257" s="300"/>
      <c r="V257" s="300"/>
      <c r="W257" s="300"/>
      <c r="X257" s="300"/>
      <c r="Y257" s="300"/>
      <c r="Z257" s="300"/>
      <c r="AA257" s="301"/>
    </row>
    <row r="258" spans="1:27">
      <c r="A258" s="319"/>
      <c r="B258" s="351"/>
      <c r="C258" s="381"/>
      <c r="D258" s="369"/>
      <c r="E258" s="369"/>
      <c r="F258" s="300"/>
      <c r="G258" s="300"/>
      <c r="H258" s="300"/>
      <c r="I258" s="300"/>
      <c r="J258" s="300"/>
      <c r="K258" s="300"/>
      <c r="L258" s="300"/>
      <c r="M258" s="300"/>
      <c r="N258" s="300"/>
      <c r="O258" s="300"/>
      <c r="P258" s="300"/>
      <c r="Q258" s="300"/>
      <c r="R258" s="300"/>
      <c r="S258" s="300"/>
      <c r="T258" s="300"/>
      <c r="U258" s="300"/>
      <c r="V258" s="300"/>
      <c r="W258" s="300"/>
      <c r="X258" s="300"/>
      <c r="Y258" s="300"/>
      <c r="Z258" s="300"/>
      <c r="AA258" s="301"/>
    </row>
    <row r="259" spans="1:27">
      <c r="A259" s="319"/>
      <c r="B259" s="351"/>
      <c r="C259" s="381"/>
      <c r="D259" s="369"/>
      <c r="E259" s="369"/>
      <c r="F259" s="300"/>
      <c r="G259" s="300"/>
      <c r="H259" s="300"/>
      <c r="I259" s="300"/>
      <c r="J259" s="300"/>
      <c r="K259" s="300"/>
      <c r="L259" s="300"/>
      <c r="M259" s="300"/>
      <c r="N259" s="300"/>
      <c r="O259" s="300"/>
      <c r="P259" s="300"/>
      <c r="Q259" s="300"/>
      <c r="R259" s="300"/>
      <c r="S259" s="300"/>
      <c r="T259" s="300"/>
      <c r="U259" s="300"/>
      <c r="V259" s="300"/>
      <c r="W259" s="300"/>
      <c r="X259" s="300"/>
      <c r="Y259" s="300"/>
      <c r="Z259" s="300"/>
      <c r="AA259" s="301"/>
    </row>
    <row r="260" spans="1:27">
      <c r="A260" s="319"/>
      <c r="B260" s="351"/>
      <c r="C260" s="381"/>
      <c r="D260" s="369"/>
      <c r="E260" s="369"/>
      <c r="F260" s="300"/>
      <c r="G260" s="300"/>
      <c r="H260" s="300"/>
      <c r="I260" s="300"/>
      <c r="J260" s="300"/>
      <c r="K260" s="300"/>
      <c r="L260" s="300"/>
      <c r="M260" s="300"/>
      <c r="N260" s="300"/>
      <c r="O260" s="300"/>
      <c r="P260" s="300"/>
      <c r="Q260" s="300"/>
      <c r="R260" s="300"/>
      <c r="S260" s="300"/>
      <c r="T260" s="300"/>
      <c r="U260" s="300"/>
      <c r="V260" s="300"/>
      <c r="W260" s="300"/>
      <c r="X260" s="300"/>
      <c r="Y260" s="300"/>
      <c r="Z260" s="300"/>
      <c r="AA260" s="301"/>
    </row>
    <row r="261" spans="1:27">
      <c r="A261" s="319"/>
      <c r="B261" s="351"/>
      <c r="C261" s="381"/>
      <c r="D261" s="369"/>
      <c r="E261" s="369"/>
      <c r="F261" s="300"/>
      <c r="G261" s="300"/>
      <c r="H261" s="300"/>
      <c r="I261" s="300"/>
      <c r="J261" s="300"/>
      <c r="K261" s="300"/>
      <c r="L261" s="300"/>
      <c r="M261" s="300"/>
      <c r="N261" s="300"/>
      <c r="O261" s="300"/>
      <c r="P261" s="300"/>
      <c r="Q261" s="300"/>
      <c r="R261" s="300"/>
      <c r="S261" s="300"/>
      <c r="T261" s="300"/>
      <c r="U261" s="300"/>
      <c r="V261" s="300"/>
      <c r="W261" s="300"/>
      <c r="X261" s="300"/>
      <c r="Y261" s="300"/>
      <c r="Z261" s="300"/>
      <c r="AA261" s="301"/>
    </row>
    <row r="262" spans="1:27">
      <c r="A262" s="319"/>
      <c r="B262" s="351"/>
      <c r="C262" s="381"/>
      <c r="D262" s="369"/>
      <c r="E262" s="369"/>
      <c r="F262" s="300"/>
      <c r="G262" s="300"/>
      <c r="H262" s="300"/>
      <c r="I262" s="300"/>
      <c r="J262" s="300"/>
      <c r="K262" s="300"/>
      <c r="L262" s="300"/>
      <c r="M262" s="300"/>
      <c r="N262" s="300"/>
      <c r="O262" s="300"/>
      <c r="P262" s="300"/>
      <c r="Q262" s="300"/>
      <c r="R262" s="300"/>
      <c r="S262" s="300"/>
      <c r="T262" s="300"/>
      <c r="U262" s="300"/>
      <c r="V262" s="300"/>
      <c r="W262" s="300"/>
      <c r="X262" s="300"/>
      <c r="Y262" s="300"/>
      <c r="Z262" s="300"/>
      <c r="AA262" s="301"/>
    </row>
    <row r="263" spans="1:27">
      <c r="A263" s="319"/>
      <c r="B263" s="351"/>
      <c r="C263" s="381"/>
      <c r="D263" s="369"/>
      <c r="E263" s="369"/>
      <c r="F263" s="300"/>
      <c r="G263" s="300"/>
      <c r="H263" s="300"/>
      <c r="I263" s="300"/>
      <c r="J263" s="300"/>
      <c r="K263" s="300"/>
      <c r="L263" s="300"/>
      <c r="M263" s="300"/>
      <c r="N263" s="300"/>
      <c r="O263" s="300"/>
      <c r="P263" s="300"/>
      <c r="Q263" s="300"/>
      <c r="R263" s="300"/>
      <c r="S263" s="300"/>
      <c r="T263" s="300"/>
      <c r="U263" s="300"/>
      <c r="V263" s="300"/>
      <c r="W263" s="300"/>
      <c r="X263" s="300"/>
      <c r="Y263" s="300"/>
      <c r="Z263" s="300"/>
      <c r="AA263" s="301"/>
    </row>
    <row r="264" spans="1:27">
      <c r="A264" s="319"/>
      <c r="B264" s="351"/>
      <c r="C264" s="381"/>
      <c r="D264" s="369"/>
      <c r="E264" s="369"/>
      <c r="F264" s="300"/>
      <c r="G264" s="300"/>
      <c r="H264" s="300"/>
      <c r="I264" s="300"/>
      <c r="J264" s="300"/>
      <c r="K264" s="300"/>
      <c r="L264" s="300"/>
      <c r="M264" s="300"/>
      <c r="N264" s="300"/>
      <c r="O264" s="300"/>
      <c r="P264" s="300"/>
      <c r="Q264" s="300"/>
      <c r="R264" s="300"/>
      <c r="S264" s="300"/>
      <c r="T264" s="300"/>
      <c r="U264" s="300"/>
      <c r="V264" s="300"/>
      <c r="W264" s="300"/>
      <c r="X264" s="300"/>
      <c r="Y264" s="300"/>
      <c r="Z264" s="300"/>
      <c r="AA264" s="301"/>
    </row>
    <row r="265" spans="1:27">
      <c r="A265" s="319"/>
      <c r="B265" s="351"/>
      <c r="C265" s="381"/>
      <c r="D265" s="369"/>
      <c r="E265" s="369"/>
      <c r="F265" s="300"/>
      <c r="G265" s="300"/>
      <c r="H265" s="300"/>
      <c r="I265" s="300"/>
      <c r="J265" s="300"/>
      <c r="K265" s="300"/>
      <c r="L265" s="300"/>
      <c r="M265" s="300"/>
      <c r="N265" s="300"/>
      <c r="O265" s="300"/>
      <c r="P265" s="300"/>
      <c r="Q265" s="300"/>
      <c r="R265" s="300"/>
      <c r="S265" s="300"/>
      <c r="T265" s="300"/>
      <c r="U265" s="300"/>
      <c r="V265" s="300"/>
      <c r="W265" s="300"/>
      <c r="X265" s="300"/>
      <c r="Y265" s="300"/>
      <c r="Z265" s="300"/>
      <c r="AA265" s="301"/>
    </row>
    <row r="266" spans="1:27">
      <c r="A266" s="319"/>
      <c r="B266" s="351"/>
      <c r="C266" s="381"/>
      <c r="D266" s="369"/>
      <c r="E266" s="369"/>
      <c r="F266" s="300"/>
      <c r="G266" s="300"/>
      <c r="H266" s="300"/>
      <c r="I266" s="300"/>
      <c r="J266" s="300"/>
      <c r="K266" s="300"/>
      <c r="L266" s="300"/>
      <c r="M266" s="300"/>
      <c r="N266" s="300"/>
      <c r="O266" s="300"/>
      <c r="P266" s="300"/>
      <c r="Q266" s="300"/>
      <c r="R266" s="300"/>
      <c r="S266" s="300"/>
      <c r="T266" s="300"/>
      <c r="U266" s="300"/>
      <c r="V266" s="300"/>
      <c r="W266" s="300"/>
      <c r="X266" s="300"/>
      <c r="Y266" s="300"/>
      <c r="Z266" s="300"/>
      <c r="AA266" s="301"/>
    </row>
    <row r="267" spans="1:27">
      <c r="A267" s="319"/>
      <c r="B267" s="351"/>
      <c r="C267" s="381"/>
      <c r="D267" s="369"/>
      <c r="E267" s="369"/>
      <c r="F267" s="300"/>
      <c r="G267" s="300"/>
      <c r="H267" s="300"/>
      <c r="I267" s="300"/>
      <c r="J267" s="300"/>
      <c r="K267" s="300"/>
      <c r="L267" s="300"/>
      <c r="M267" s="300"/>
      <c r="N267" s="300"/>
      <c r="O267" s="300"/>
      <c r="P267" s="300"/>
      <c r="Q267" s="300"/>
      <c r="R267" s="300"/>
      <c r="S267" s="300"/>
      <c r="T267" s="300"/>
      <c r="U267" s="300"/>
      <c r="V267" s="300"/>
      <c r="W267" s="300"/>
      <c r="X267" s="300"/>
      <c r="Y267" s="300"/>
      <c r="Z267" s="300"/>
      <c r="AA267" s="301"/>
    </row>
    <row r="268" spans="1:27">
      <c r="A268" s="319"/>
      <c r="B268" s="351"/>
      <c r="C268" s="381"/>
      <c r="D268" s="369"/>
      <c r="E268" s="369"/>
      <c r="F268" s="300"/>
      <c r="G268" s="300"/>
      <c r="H268" s="300"/>
      <c r="I268" s="300"/>
      <c r="J268" s="300"/>
      <c r="K268" s="300"/>
      <c r="L268" s="300"/>
      <c r="M268" s="300"/>
      <c r="N268" s="300"/>
      <c r="O268" s="300"/>
      <c r="P268" s="300"/>
      <c r="Q268" s="300"/>
      <c r="R268" s="300"/>
      <c r="S268" s="300"/>
      <c r="T268" s="300"/>
      <c r="U268" s="300"/>
      <c r="V268" s="300"/>
      <c r="W268" s="300"/>
      <c r="X268" s="300"/>
      <c r="Y268" s="300"/>
      <c r="Z268" s="300"/>
      <c r="AA268" s="301"/>
    </row>
    <row r="269" spans="1:27">
      <c r="A269" s="319"/>
      <c r="B269" s="351"/>
      <c r="C269" s="381"/>
      <c r="D269" s="369"/>
      <c r="E269" s="369"/>
      <c r="F269" s="300"/>
      <c r="G269" s="300"/>
      <c r="H269" s="300"/>
      <c r="I269" s="300"/>
      <c r="J269" s="300"/>
      <c r="K269" s="300"/>
      <c r="L269" s="300"/>
      <c r="M269" s="300"/>
      <c r="N269" s="300"/>
      <c r="O269" s="300"/>
      <c r="P269" s="300"/>
      <c r="Q269" s="300"/>
      <c r="R269" s="300"/>
      <c r="S269" s="300"/>
      <c r="T269" s="300"/>
      <c r="U269" s="300"/>
      <c r="V269" s="300"/>
      <c r="W269" s="300"/>
      <c r="X269" s="300"/>
      <c r="Y269" s="300"/>
      <c r="Z269" s="300"/>
      <c r="AA269" s="301"/>
    </row>
    <row r="270" spans="1:27">
      <c r="A270" s="319"/>
      <c r="B270" s="351"/>
      <c r="C270" s="381"/>
      <c r="D270" s="369"/>
      <c r="E270" s="369"/>
      <c r="F270" s="300"/>
      <c r="G270" s="300"/>
      <c r="H270" s="300"/>
      <c r="I270" s="300"/>
      <c r="J270" s="300"/>
      <c r="K270" s="300"/>
      <c r="L270" s="300"/>
      <c r="M270" s="300"/>
      <c r="N270" s="300"/>
      <c r="O270" s="300"/>
      <c r="P270" s="300"/>
      <c r="Q270" s="300"/>
      <c r="R270" s="300"/>
      <c r="S270" s="300"/>
      <c r="T270" s="300"/>
      <c r="U270" s="300"/>
      <c r="V270" s="300"/>
      <c r="W270" s="300"/>
      <c r="X270" s="300"/>
      <c r="Y270" s="300"/>
      <c r="Z270" s="300"/>
      <c r="AA270" s="301"/>
    </row>
    <row r="271" spans="1:27">
      <c r="A271" s="319"/>
      <c r="B271" s="351"/>
      <c r="C271" s="381"/>
      <c r="D271" s="369"/>
      <c r="E271" s="369"/>
      <c r="F271" s="300"/>
      <c r="G271" s="300"/>
      <c r="H271" s="300"/>
      <c r="I271" s="300"/>
      <c r="J271" s="300"/>
      <c r="K271" s="300"/>
      <c r="L271" s="300"/>
      <c r="M271" s="300"/>
      <c r="N271" s="300"/>
      <c r="O271" s="300"/>
      <c r="P271" s="300"/>
      <c r="Q271" s="300"/>
      <c r="R271" s="300"/>
      <c r="S271" s="300"/>
      <c r="T271" s="300"/>
      <c r="U271" s="300"/>
      <c r="V271" s="300"/>
      <c r="W271" s="300"/>
      <c r="X271" s="300"/>
      <c r="Y271" s="300"/>
      <c r="Z271" s="300"/>
      <c r="AA271" s="301"/>
    </row>
    <row r="272" spans="1:27">
      <c r="A272" s="319"/>
      <c r="B272" s="351"/>
      <c r="C272" s="381"/>
      <c r="D272" s="369"/>
      <c r="E272" s="369"/>
      <c r="F272" s="300"/>
      <c r="G272" s="300"/>
      <c r="H272" s="300"/>
      <c r="I272" s="300"/>
      <c r="J272" s="300"/>
      <c r="K272" s="300"/>
      <c r="L272" s="300"/>
      <c r="M272" s="300"/>
      <c r="N272" s="300"/>
      <c r="O272" s="300"/>
      <c r="P272" s="300"/>
      <c r="Q272" s="300"/>
      <c r="R272" s="300"/>
      <c r="S272" s="300"/>
      <c r="T272" s="300"/>
      <c r="U272" s="300"/>
      <c r="V272" s="300"/>
      <c r="W272" s="300"/>
      <c r="X272" s="300"/>
      <c r="Y272" s="300"/>
      <c r="Z272" s="300"/>
      <c r="AA272" s="301"/>
    </row>
    <row r="273" spans="1:27">
      <c r="A273" s="319"/>
      <c r="B273" s="351"/>
      <c r="C273" s="381"/>
      <c r="D273" s="369"/>
      <c r="E273" s="369"/>
      <c r="F273" s="300"/>
      <c r="G273" s="300"/>
      <c r="H273" s="300"/>
      <c r="I273" s="300"/>
      <c r="J273" s="300"/>
      <c r="K273" s="300"/>
      <c r="L273" s="300"/>
      <c r="M273" s="300"/>
      <c r="N273" s="300"/>
      <c r="O273" s="300"/>
      <c r="P273" s="300"/>
      <c r="Q273" s="300"/>
      <c r="R273" s="300"/>
      <c r="S273" s="300"/>
      <c r="T273" s="300"/>
      <c r="U273" s="300"/>
      <c r="V273" s="300"/>
      <c r="W273" s="300"/>
      <c r="X273" s="300"/>
      <c r="Y273" s="300"/>
      <c r="Z273" s="300"/>
      <c r="AA273" s="301"/>
    </row>
    <row r="274" spans="1:27">
      <c r="A274" s="319"/>
      <c r="B274" s="351"/>
      <c r="C274" s="381"/>
      <c r="D274" s="369"/>
      <c r="E274" s="369"/>
      <c r="F274" s="300"/>
      <c r="G274" s="300"/>
      <c r="H274" s="300"/>
      <c r="I274" s="300"/>
      <c r="J274" s="300"/>
      <c r="K274" s="300"/>
      <c r="L274" s="300"/>
      <c r="M274" s="300"/>
      <c r="N274" s="300"/>
      <c r="O274" s="300"/>
      <c r="P274" s="300"/>
      <c r="Q274" s="300"/>
      <c r="R274" s="300"/>
      <c r="S274" s="300"/>
      <c r="T274" s="300"/>
      <c r="U274" s="300"/>
      <c r="V274" s="300"/>
      <c r="W274" s="300"/>
      <c r="X274" s="300"/>
      <c r="Y274" s="300"/>
      <c r="Z274" s="300"/>
      <c r="AA274" s="301"/>
    </row>
    <row r="275" spans="1:27">
      <c r="A275" s="319"/>
      <c r="B275" s="351"/>
      <c r="C275" s="381"/>
      <c r="D275" s="369"/>
      <c r="E275" s="369"/>
      <c r="F275" s="300"/>
      <c r="G275" s="300"/>
      <c r="H275" s="300"/>
      <c r="I275" s="300"/>
      <c r="J275" s="300"/>
      <c r="K275" s="300"/>
      <c r="L275" s="300"/>
      <c r="M275" s="300"/>
      <c r="N275" s="300"/>
      <c r="O275" s="300"/>
      <c r="P275" s="300"/>
      <c r="Q275" s="300"/>
      <c r="R275" s="300"/>
      <c r="S275" s="300"/>
      <c r="T275" s="300"/>
      <c r="U275" s="300"/>
      <c r="V275" s="300"/>
      <c r="W275" s="300"/>
      <c r="X275" s="300"/>
      <c r="Y275" s="300"/>
      <c r="Z275" s="300"/>
      <c r="AA275" s="301"/>
    </row>
    <row r="276" spans="1:27">
      <c r="A276" s="319"/>
      <c r="B276" s="351"/>
      <c r="C276" s="381"/>
      <c r="D276" s="369"/>
      <c r="E276" s="369"/>
      <c r="F276" s="300"/>
      <c r="G276" s="300"/>
      <c r="H276" s="300"/>
      <c r="I276" s="300"/>
      <c r="J276" s="300"/>
      <c r="K276" s="300"/>
      <c r="L276" s="300"/>
      <c r="M276" s="300"/>
      <c r="N276" s="300"/>
      <c r="O276" s="300"/>
      <c r="P276" s="300"/>
      <c r="Q276" s="300"/>
      <c r="R276" s="300"/>
      <c r="S276" s="300"/>
      <c r="T276" s="300"/>
      <c r="U276" s="300"/>
      <c r="V276" s="300"/>
      <c r="W276" s="300"/>
      <c r="X276" s="300"/>
      <c r="Y276" s="300"/>
      <c r="Z276" s="300"/>
      <c r="AA276" s="301"/>
    </row>
    <row r="277" spans="1:27">
      <c r="A277" s="319"/>
      <c r="B277" s="351"/>
      <c r="C277" s="381"/>
      <c r="D277" s="369"/>
      <c r="E277" s="369"/>
      <c r="F277" s="300"/>
      <c r="G277" s="300"/>
      <c r="H277" s="300"/>
      <c r="I277" s="300"/>
      <c r="J277" s="300"/>
      <c r="K277" s="300"/>
      <c r="L277" s="300"/>
      <c r="M277" s="300"/>
      <c r="N277" s="300"/>
      <c r="O277" s="300"/>
      <c r="P277" s="300"/>
      <c r="Q277" s="300"/>
      <c r="R277" s="300"/>
      <c r="S277" s="300"/>
      <c r="T277" s="300"/>
      <c r="U277" s="300"/>
      <c r="V277" s="300"/>
      <c r="W277" s="300"/>
      <c r="X277" s="300"/>
      <c r="Y277" s="300"/>
      <c r="Z277" s="300"/>
      <c r="AA277" s="301"/>
    </row>
    <row r="278" spans="1:27">
      <c r="A278" s="319"/>
      <c r="B278" s="351"/>
      <c r="C278" s="381"/>
      <c r="D278" s="369"/>
      <c r="E278" s="369"/>
      <c r="F278" s="300"/>
      <c r="G278" s="300"/>
      <c r="H278" s="300"/>
      <c r="I278" s="300"/>
      <c r="J278" s="300"/>
      <c r="K278" s="300"/>
      <c r="L278" s="300"/>
      <c r="M278" s="300"/>
      <c r="N278" s="300"/>
      <c r="O278" s="300"/>
      <c r="P278" s="300"/>
      <c r="Q278" s="300"/>
      <c r="R278" s="300"/>
      <c r="S278" s="300"/>
      <c r="T278" s="300"/>
      <c r="U278" s="300"/>
      <c r="V278" s="300"/>
      <c r="W278" s="300"/>
      <c r="X278" s="300"/>
      <c r="Y278" s="300"/>
      <c r="Z278" s="300"/>
      <c r="AA278" s="301"/>
    </row>
    <row r="279" spans="1:27">
      <c r="A279" s="319"/>
      <c r="B279" s="351"/>
      <c r="C279" s="381"/>
      <c r="D279" s="369"/>
      <c r="E279" s="369"/>
      <c r="F279" s="300"/>
      <c r="G279" s="300"/>
      <c r="H279" s="300"/>
      <c r="I279" s="300"/>
      <c r="J279" s="300"/>
      <c r="K279" s="300"/>
      <c r="L279" s="300"/>
      <c r="M279" s="300"/>
      <c r="N279" s="300"/>
      <c r="O279" s="300"/>
      <c r="P279" s="300"/>
      <c r="Q279" s="300"/>
      <c r="R279" s="300"/>
      <c r="S279" s="300"/>
      <c r="T279" s="300"/>
      <c r="U279" s="300"/>
      <c r="V279" s="300"/>
      <c r="W279" s="300"/>
      <c r="X279" s="300"/>
      <c r="Y279" s="300"/>
      <c r="Z279" s="300"/>
      <c r="AA279" s="301"/>
    </row>
    <row r="280" spans="1:27">
      <c r="A280" s="319"/>
      <c r="B280" s="351"/>
      <c r="C280" s="381"/>
      <c r="D280" s="369"/>
      <c r="E280" s="369"/>
      <c r="F280" s="300"/>
      <c r="G280" s="300"/>
      <c r="H280" s="300"/>
      <c r="I280" s="300"/>
      <c r="J280" s="300"/>
      <c r="K280" s="300"/>
      <c r="L280" s="300"/>
      <c r="M280" s="300"/>
      <c r="N280" s="300"/>
      <c r="O280" s="300"/>
      <c r="P280" s="300"/>
      <c r="Q280" s="300"/>
      <c r="R280" s="300"/>
      <c r="S280" s="300"/>
      <c r="T280" s="300"/>
      <c r="U280" s="300"/>
      <c r="V280" s="300"/>
      <c r="W280" s="300"/>
      <c r="X280" s="300"/>
      <c r="Y280" s="300"/>
      <c r="Z280" s="300"/>
      <c r="AA280" s="301"/>
    </row>
    <row r="281" spans="1:27">
      <c r="A281" s="319"/>
      <c r="B281" s="351"/>
      <c r="C281" s="381"/>
      <c r="D281" s="369"/>
      <c r="E281" s="369"/>
      <c r="F281" s="300"/>
      <c r="G281" s="300"/>
      <c r="H281" s="300"/>
      <c r="I281" s="300"/>
      <c r="J281" s="300"/>
      <c r="K281" s="300"/>
      <c r="L281" s="300"/>
      <c r="M281" s="300"/>
      <c r="N281" s="300"/>
      <c r="O281" s="300"/>
      <c r="P281" s="300"/>
      <c r="Q281" s="300"/>
      <c r="R281" s="300"/>
      <c r="S281" s="300"/>
      <c r="T281" s="300"/>
      <c r="U281" s="300"/>
      <c r="V281" s="300"/>
      <c r="W281" s="300"/>
      <c r="X281" s="300"/>
      <c r="Y281" s="300"/>
      <c r="Z281" s="300"/>
      <c r="AA281" s="301"/>
    </row>
    <row r="282" spans="1:27">
      <c r="A282" s="319"/>
      <c r="B282" s="351"/>
      <c r="C282" s="381"/>
      <c r="D282" s="369"/>
      <c r="E282" s="369"/>
      <c r="F282" s="300"/>
      <c r="G282" s="300"/>
      <c r="H282" s="300"/>
      <c r="I282" s="300"/>
      <c r="J282" s="300"/>
      <c r="K282" s="300"/>
      <c r="L282" s="300"/>
      <c r="M282" s="300"/>
      <c r="N282" s="300"/>
      <c r="O282" s="300"/>
      <c r="P282" s="300"/>
      <c r="Q282" s="300"/>
      <c r="R282" s="300"/>
      <c r="S282" s="300"/>
      <c r="T282" s="300"/>
      <c r="U282" s="300"/>
      <c r="V282" s="300"/>
      <c r="W282" s="300"/>
      <c r="X282" s="300"/>
      <c r="Y282" s="300"/>
      <c r="Z282" s="300"/>
      <c r="AA282" s="301"/>
    </row>
    <row r="283" spans="1:27">
      <c r="A283" s="319"/>
      <c r="B283" s="351"/>
      <c r="C283" s="381"/>
      <c r="D283" s="369"/>
      <c r="E283" s="369"/>
      <c r="F283" s="300"/>
      <c r="G283" s="300"/>
      <c r="H283" s="300"/>
      <c r="I283" s="300"/>
      <c r="J283" s="300"/>
      <c r="K283" s="300"/>
      <c r="L283" s="300"/>
      <c r="M283" s="300"/>
      <c r="N283" s="300"/>
      <c r="O283" s="300"/>
      <c r="P283" s="300"/>
      <c r="Q283" s="300"/>
      <c r="R283" s="300"/>
      <c r="S283" s="300"/>
      <c r="T283" s="300"/>
      <c r="U283" s="300"/>
      <c r="V283" s="300"/>
      <c r="W283" s="300"/>
      <c r="X283" s="300"/>
      <c r="Y283" s="300"/>
      <c r="Z283" s="300"/>
      <c r="AA283" s="301"/>
    </row>
    <row r="284" spans="1:27">
      <c r="A284" s="319"/>
      <c r="B284" s="351"/>
      <c r="C284" s="381"/>
      <c r="D284" s="369"/>
      <c r="E284" s="369"/>
      <c r="F284" s="300"/>
      <c r="G284" s="300"/>
      <c r="H284" s="300"/>
      <c r="I284" s="300"/>
      <c r="J284" s="300"/>
      <c r="K284" s="300"/>
      <c r="L284" s="300"/>
      <c r="M284" s="300"/>
      <c r="N284" s="300"/>
      <c r="O284" s="300"/>
      <c r="P284" s="300"/>
      <c r="Q284" s="300"/>
      <c r="R284" s="300"/>
      <c r="S284" s="300"/>
      <c r="T284" s="300"/>
      <c r="U284" s="300"/>
      <c r="V284" s="300"/>
      <c r="W284" s="300"/>
      <c r="X284" s="300"/>
      <c r="Y284" s="300"/>
      <c r="Z284" s="300"/>
      <c r="AA284" s="301"/>
    </row>
    <row r="285" spans="1:27">
      <c r="A285" s="319"/>
      <c r="B285" s="351"/>
      <c r="C285" s="381"/>
      <c r="D285" s="369"/>
      <c r="E285" s="369"/>
      <c r="F285" s="300"/>
      <c r="G285" s="300"/>
      <c r="H285" s="300"/>
      <c r="I285" s="300"/>
      <c r="J285" s="300"/>
      <c r="K285" s="300"/>
      <c r="L285" s="300"/>
      <c r="M285" s="300"/>
      <c r="N285" s="300"/>
      <c r="O285" s="300"/>
      <c r="P285" s="300"/>
      <c r="Q285" s="300"/>
      <c r="R285" s="300"/>
      <c r="S285" s="300"/>
      <c r="T285" s="300"/>
      <c r="U285" s="300"/>
      <c r="V285" s="300"/>
      <c r="W285" s="300"/>
      <c r="X285" s="300"/>
      <c r="Y285" s="300"/>
      <c r="Z285" s="300"/>
      <c r="AA285" s="301"/>
    </row>
    <row r="286" spans="1:27">
      <c r="A286" s="319"/>
      <c r="B286" s="351"/>
      <c r="C286" s="381"/>
      <c r="D286" s="369"/>
      <c r="E286" s="369"/>
      <c r="F286" s="300"/>
      <c r="G286" s="300"/>
      <c r="H286" s="300"/>
      <c r="I286" s="300"/>
      <c r="J286" s="300"/>
      <c r="K286" s="300"/>
      <c r="L286" s="300"/>
      <c r="M286" s="300"/>
      <c r="N286" s="300"/>
      <c r="O286" s="300"/>
      <c r="P286" s="300"/>
      <c r="Q286" s="300"/>
      <c r="R286" s="300"/>
      <c r="S286" s="300"/>
      <c r="T286" s="300"/>
      <c r="U286" s="300"/>
      <c r="V286" s="300"/>
      <c r="W286" s="300"/>
      <c r="X286" s="300"/>
      <c r="Y286" s="300"/>
      <c r="Z286" s="300"/>
      <c r="AA286" s="301"/>
    </row>
    <row r="287" spans="1:27">
      <c r="A287" s="319"/>
      <c r="B287" s="351"/>
      <c r="C287" s="381"/>
      <c r="D287" s="369"/>
      <c r="E287" s="369"/>
      <c r="F287" s="300"/>
      <c r="G287" s="300"/>
      <c r="H287" s="300"/>
      <c r="I287" s="300"/>
      <c r="J287" s="300"/>
      <c r="K287" s="300"/>
      <c r="L287" s="300"/>
      <c r="M287" s="300"/>
      <c r="N287" s="300"/>
      <c r="O287" s="300"/>
      <c r="P287" s="300"/>
      <c r="Q287" s="300"/>
      <c r="R287" s="300"/>
      <c r="S287" s="300"/>
      <c r="T287" s="300"/>
      <c r="U287" s="300"/>
      <c r="V287" s="300"/>
      <c r="W287" s="300"/>
      <c r="X287" s="300"/>
      <c r="Y287" s="300"/>
      <c r="Z287" s="300"/>
      <c r="AA287" s="301"/>
    </row>
    <row r="288" spans="1:27">
      <c r="A288" s="319"/>
      <c r="B288" s="351"/>
      <c r="C288" s="381"/>
      <c r="D288" s="369"/>
      <c r="E288" s="369"/>
      <c r="F288" s="300"/>
      <c r="G288" s="300"/>
      <c r="H288" s="300"/>
      <c r="I288" s="300"/>
      <c r="J288" s="300"/>
      <c r="K288" s="300"/>
      <c r="L288" s="300"/>
      <c r="M288" s="300"/>
      <c r="N288" s="300"/>
      <c r="O288" s="300"/>
      <c r="P288" s="300"/>
      <c r="Q288" s="300"/>
      <c r="R288" s="300"/>
      <c r="S288" s="300"/>
      <c r="T288" s="300"/>
      <c r="U288" s="300"/>
      <c r="V288" s="300"/>
      <c r="W288" s="300"/>
      <c r="X288" s="300"/>
      <c r="Y288" s="300"/>
      <c r="Z288" s="300"/>
      <c r="AA288" s="301"/>
    </row>
    <row r="289" spans="1:27">
      <c r="A289" s="319"/>
      <c r="B289" s="351"/>
      <c r="C289" s="381"/>
      <c r="D289" s="369"/>
      <c r="E289" s="369"/>
      <c r="F289" s="300"/>
      <c r="G289" s="300"/>
      <c r="H289" s="300"/>
      <c r="I289" s="300"/>
      <c r="J289" s="300"/>
      <c r="K289" s="300"/>
      <c r="L289" s="300"/>
      <c r="M289" s="300"/>
      <c r="N289" s="300"/>
      <c r="O289" s="300"/>
      <c r="P289" s="300"/>
      <c r="Q289" s="300"/>
      <c r="R289" s="300"/>
      <c r="S289" s="300"/>
      <c r="T289" s="300"/>
      <c r="U289" s="300"/>
      <c r="V289" s="300"/>
      <c r="W289" s="300"/>
      <c r="X289" s="300"/>
      <c r="Y289" s="300"/>
      <c r="Z289" s="300"/>
      <c r="AA289" s="301"/>
    </row>
    <row r="290" spans="1:27">
      <c r="A290" s="319"/>
      <c r="B290" s="351"/>
      <c r="C290" s="381"/>
      <c r="D290" s="369"/>
      <c r="E290" s="369"/>
      <c r="F290" s="300"/>
      <c r="G290" s="300"/>
      <c r="H290" s="300"/>
      <c r="I290" s="300"/>
      <c r="J290" s="300"/>
      <c r="K290" s="300"/>
      <c r="L290" s="300"/>
      <c r="M290" s="300"/>
      <c r="N290" s="300"/>
      <c r="O290" s="300"/>
      <c r="P290" s="300"/>
      <c r="Q290" s="300"/>
      <c r="R290" s="300"/>
      <c r="S290" s="300"/>
      <c r="T290" s="300"/>
      <c r="U290" s="300"/>
      <c r="V290" s="300"/>
      <c r="W290" s="300"/>
      <c r="X290" s="300"/>
      <c r="Y290" s="300"/>
      <c r="Z290" s="300"/>
      <c r="AA290" s="301"/>
    </row>
    <row r="291" spans="1:27">
      <c r="A291" s="319"/>
      <c r="B291" s="351"/>
      <c r="C291" s="381"/>
      <c r="D291" s="369"/>
      <c r="E291" s="369"/>
      <c r="F291" s="300"/>
      <c r="G291" s="300"/>
      <c r="H291" s="300"/>
      <c r="I291" s="300"/>
      <c r="J291" s="300"/>
      <c r="K291" s="300"/>
      <c r="L291" s="300"/>
      <c r="M291" s="300"/>
      <c r="N291" s="300"/>
      <c r="O291" s="300"/>
      <c r="P291" s="300"/>
      <c r="Q291" s="300"/>
      <c r="R291" s="300"/>
      <c r="S291" s="300"/>
      <c r="T291" s="300"/>
      <c r="U291" s="300"/>
      <c r="V291" s="300"/>
      <c r="W291" s="300"/>
      <c r="X291" s="300"/>
      <c r="Y291" s="300"/>
      <c r="Z291" s="300"/>
      <c r="AA291" s="301"/>
    </row>
    <row r="292" spans="1:27">
      <c r="A292" s="319"/>
      <c r="B292" s="351"/>
      <c r="C292" s="381"/>
      <c r="D292" s="369"/>
      <c r="E292" s="369"/>
      <c r="F292" s="300"/>
      <c r="G292" s="300"/>
      <c r="H292" s="300"/>
      <c r="I292" s="300"/>
      <c r="J292" s="300"/>
      <c r="K292" s="300"/>
      <c r="L292" s="300"/>
      <c r="M292" s="300"/>
      <c r="N292" s="300"/>
      <c r="O292" s="300"/>
      <c r="P292" s="300"/>
      <c r="Q292" s="300"/>
      <c r="R292" s="300"/>
      <c r="S292" s="300"/>
      <c r="T292" s="300"/>
      <c r="U292" s="300"/>
      <c r="V292" s="300"/>
      <c r="W292" s="300"/>
      <c r="X292" s="300"/>
      <c r="Y292" s="300"/>
      <c r="Z292" s="300"/>
      <c r="AA292" s="301"/>
    </row>
    <row r="293" spans="1:27">
      <c r="A293" s="319"/>
      <c r="B293" s="351"/>
      <c r="C293" s="381"/>
      <c r="D293" s="369"/>
      <c r="E293" s="369"/>
      <c r="F293" s="300"/>
      <c r="G293" s="300"/>
      <c r="H293" s="300"/>
      <c r="I293" s="300"/>
      <c r="J293" s="300"/>
      <c r="K293" s="300"/>
      <c r="L293" s="300"/>
      <c r="M293" s="300"/>
      <c r="N293" s="300"/>
      <c r="O293" s="300"/>
      <c r="P293" s="300"/>
      <c r="Q293" s="300"/>
      <c r="R293" s="300"/>
      <c r="S293" s="300"/>
      <c r="T293" s="300"/>
      <c r="U293" s="300"/>
      <c r="V293" s="300"/>
      <c r="W293" s="300"/>
      <c r="X293" s="300"/>
      <c r="Y293" s="300"/>
      <c r="Z293" s="300"/>
      <c r="AA293" s="301"/>
    </row>
    <row r="294" spans="1:27">
      <c r="A294" s="319"/>
      <c r="B294" s="351"/>
      <c r="C294" s="381"/>
      <c r="D294" s="369"/>
      <c r="E294" s="369"/>
      <c r="F294" s="300"/>
      <c r="G294" s="300"/>
      <c r="H294" s="300"/>
      <c r="I294" s="300"/>
      <c r="J294" s="300"/>
      <c r="K294" s="300"/>
      <c r="L294" s="300"/>
      <c r="M294" s="300"/>
      <c r="N294" s="300"/>
      <c r="O294" s="300"/>
      <c r="P294" s="300"/>
      <c r="Q294" s="300"/>
      <c r="R294" s="300"/>
      <c r="S294" s="300"/>
      <c r="T294" s="300"/>
      <c r="U294" s="300"/>
      <c r="V294" s="300"/>
      <c r="W294" s="300"/>
      <c r="X294" s="300"/>
      <c r="Y294" s="300"/>
      <c r="Z294" s="300"/>
      <c r="AA294" s="301"/>
    </row>
    <row r="295" spans="1:27">
      <c r="A295" s="319"/>
      <c r="B295" s="351"/>
      <c r="C295" s="381"/>
      <c r="D295" s="369"/>
      <c r="E295" s="369"/>
      <c r="F295" s="300"/>
      <c r="G295" s="300"/>
      <c r="H295" s="300"/>
      <c r="I295" s="300"/>
      <c r="J295" s="300"/>
      <c r="K295" s="300"/>
      <c r="L295" s="300"/>
      <c r="M295" s="300"/>
      <c r="N295" s="300"/>
      <c r="O295" s="300"/>
      <c r="P295" s="300"/>
      <c r="Q295" s="300"/>
      <c r="R295" s="300"/>
      <c r="S295" s="300"/>
      <c r="T295" s="300"/>
      <c r="U295" s="300"/>
      <c r="V295" s="300"/>
      <c r="W295" s="300"/>
      <c r="X295" s="300"/>
      <c r="Y295" s="300"/>
      <c r="Z295" s="300"/>
      <c r="AA295" s="301"/>
    </row>
    <row r="296" spans="1:27">
      <c r="A296" s="319"/>
      <c r="B296" s="351"/>
      <c r="C296" s="381"/>
      <c r="D296" s="369"/>
      <c r="E296" s="369"/>
      <c r="F296" s="300"/>
      <c r="G296" s="300"/>
      <c r="H296" s="300"/>
      <c r="I296" s="300"/>
      <c r="J296" s="300"/>
      <c r="K296" s="300"/>
      <c r="L296" s="300"/>
      <c r="M296" s="300"/>
      <c r="N296" s="300"/>
      <c r="O296" s="300"/>
      <c r="P296" s="300"/>
      <c r="Q296" s="300"/>
      <c r="R296" s="300"/>
      <c r="S296" s="300"/>
      <c r="T296" s="300"/>
      <c r="U296" s="300"/>
      <c r="V296" s="300"/>
      <c r="W296" s="300"/>
      <c r="X296" s="300"/>
      <c r="Y296" s="300"/>
      <c r="Z296" s="300"/>
      <c r="AA296" s="301"/>
    </row>
    <row r="297" spans="1:27">
      <c r="A297" s="319"/>
      <c r="B297" s="351"/>
      <c r="C297" s="381"/>
      <c r="D297" s="369"/>
      <c r="E297" s="369"/>
      <c r="F297" s="300"/>
      <c r="G297" s="300"/>
      <c r="H297" s="300"/>
      <c r="I297" s="300"/>
      <c r="J297" s="300"/>
      <c r="K297" s="300"/>
      <c r="L297" s="300"/>
      <c r="M297" s="300"/>
      <c r="N297" s="300"/>
      <c r="O297" s="300"/>
      <c r="P297" s="300"/>
      <c r="Q297" s="300"/>
      <c r="R297" s="300"/>
      <c r="S297" s="300"/>
      <c r="T297" s="300"/>
      <c r="U297" s="300"/>
      <c r="V297" s="300"/>
      <c r="W297" s="300"/>
      <c r="X297" s="300"/>
      <c r="Y297" s="300"/>
      <c r="Z297" s="300"/>
      <c r="AA297" s="301"/>
    </row>
    <row r="298" spans="1:27">
      <c r="A298" s="319"/>
      <c r="B298" s="351"/>
      <c r="C298" s="381"/>
      <c r="D298" s="369"/>
      <c r="E298" s="369"/>
      <c r="F298" s="300"/>
      <c r="G298" s="300"/>
      <c r="H298" s="300"/>
      <c r="I298" s="300"/>
      <c r="J298" s="300"/>
      <c r="K298" s="300"/>
      <c r="L298" s="300"/>
      <c r="M298" s="300"/>
      <c r="N298" s="300"/>
      <c r="O298" s="300"/>
      <c r="P298" s="300"/>
      <c r="Q298" s="300"/>
      <c r="R298" s="300"/>
      <c r="S298" s="300"/>
      <c r="T298" s="300"/>
      <c r="U298" s="300"/>
      <c r="V298" s="300"/>
      <c r="W298" s="300"/>
      <c r="X298" s="300"/>
      <c r="Y298" s="300"/>
      <c r="Z298" s="300"/>
      <c r="AA298" s="301"/>
    </row>
    <row r="299" spans="1:27">
      <c r="A299" s="319"/>
      <c r="B299" s="351"/>
      <c r="C299" s="381"/>
      <c r="D299" s="369"/>
      <c r="E299" s="369"/>
      <c r="F299" s="300"/>
      <c r="G299" s="300"/>
      <c r="H299" s="300"/>
      <c r="I299" s="300"/>
      <c r="J299" s="300"/>
      <c r="K299" s="300"/>
      <c r="L299" s="300"/>
      <c r="M299" s="300"/>
      <c r="N299" s="300"/>
      <c r="O299" s="300"/>
      <c r="P299" s="300"/>
      <c r="Q299" s="300"/>
      <c r="R299" s="300"/>
      <c r="S299" s="300"/>
      <c r="T299" s="300"/>
      <c r="U299" s="300"/>
      <c r="V299" s="300"/>
      <c r="W299" s="300"/>
      <c r="X299" s="300"/>
      <c r="Y299" s="300"/>
      <c r="Z299" s="300"/>
      <c r="AA299" s="301"/>
    </row>
    <row r="300" spans="1:27">
      <c r="A300" s="319"/>
      <c r="B300" s="351"/>
      <c r="C300" s="381"/>
      <c r="D300" s="369"/>
      <c r="E300" s="369"/>
      <c r="F300" s="300"/>
      <c r="G300" s="300"/>
      <c r="H300" s="300"/>
      <c r="I300" s="300"/>
      <c r="J300" s="300"/>
      <c r="K300" s="300"/>
      <c r="L300" s="300"/>
      <c r="M300" s="300"/>
      <c r="N300" s="300"/>
      <c r="O300" s="300"/>
      <c r="P300" s="300"/>
      <c r="Q300" s="300"/>
      <c r="R300" s="300"/>
      <c r="S300" s="300"/>
      <c r="T300" s="300"/>
      <c r="U300" s="300"/>
      <c r="V300" s="300"/>
      <c r="W300" s="300"/>
      <c r="X300" s="300"/>
      <c r="Y300" s="300"/>
      <c r="Z300" s="300"/>
      <c r="AA300" s="301"/>
    </row>
    <row r="301" spans="1:27">
      <c r="A301" s="319"/>
      <c r="B301" s="351"/>
      <c r="C301" s="381"/>
      <c r="D301" s="369"/>
      <c r="E301" s="369"/>
      <c r="F301" s="300"/>
      <c r="G301" s="300"/>
      <c r="H301" s="300"/>
      <c r="I301" s="300"/>
      <c r="J301" s="300"/>
      <c r="K301" s="300"/>
      <c r="L301" s="300"/>
      <c r="M301" s="300"/>
      <c r="N301" s="300"/>
      <c r="O301" s="300"/>
      <c r="P301" s="300"/>
      <c r="Q301" s="300"/>
      <c r="R301" s="300"/>
      <c r="S301" s="300"/>
      <c r="T301" s="300"/>
      <c r="U301" s="300"/>
      <c r="V301" s="300"/>
      <c r="W301" s="300"/>
      <c r="X301" s="300"/>
      <c r="Y301" s="300"/>
      <c r="Z301" s="300"/>
      <c r="AA301" s="301"/>
    </row>
    <row r="302" spans="1:27">
      <c r="A302" s="319"/>
      <c r="B302" s="351"/>
      <c r="C302" s="381"/>
      <c r="D302" s="369"/>
      <c r="E302" s="369"/>
      <c r="F302" s="300"/>
      <c r="G302" s="300"/>
      <c r="H302" s="300"/>
      <c r="I302" s="300"/>
      <c r="J302" s="300"/>
      <c r="K302" s="300"/>
      <c r="L302" s="300"/>
      <c r="M302" s="300"/>
      <c r="N302" s="300"/>
      <c r="O302" s="300"/>
      <c r="P302" s="300"/>
      <c r="Q302" s="300"/>
      <c r="R302" s="300"/>
      <c r="S302" s="300"/>
      <c r="T302" s="300"/>
      <c r="U302" s="300"/>
      <c r="V302" s="300"/>
      <c r="W302" s="300"/>
      <c r="X302" s="300"/>
      <c r="Y302" s="300"/>
      <c r="Z302" s="300"/>
      <c r="AA302" s="301"/>
    </row>
    <row r="303" spans="1:27">
      <c r="A303" s="319"/>
      <c r="B303" s="351"/>
      <c r="C303" s="381"/>
      <c r="D303" s="369"/>
      <c r="E303" s="369"/>
      <c r="F303" s="300"/>
      <c r="G303" s="300"/>
      <c r="H303" s="300"/>
      <c r="I303" s="300"/>
      <c r="J303" s="300"/>
      <c r="K303" s="300"/>
      <c r="L303" s="300"/>
      <c r="M303" s="300"/>
      <c r="N303" s="300"/>
      <c r="O303" s="300"/>
      <c r="P303" s="300"/>
      <c r="Q303" s="300"/>
      <c r="R303" s="300"/>
      <c r="S303" s="300"/>
      <c r="T303" s="300"/>
      <c r="U303" s="300"/>
      <c r="V303" s="300"/>
      <c r="W303" s="300"/>
      <c r="X303" s="300"/>
      <c r="Y303" s="300"/>
      <c r="Z303" s="300"/>
      <c r="AA303" s="301"/>
    </row>
    <row r="304" spans="1:27">
      <c r="A304" s="319"/>
      <c r="B304" s="351"/>
      <c r="C304" s="381"/>
      <c r="D304" s="369"/>
      <c r="E304" s="369"/>
      <c r="F304" s="300"/>
      <c r="G304" s="300"/>
      <c r="H304" s="300"/>
      <c r="I304" s="300"/>
      <c r="J304" s="300"/>
      <c r="K304" s="300"/>
      <c r="L304" s="300"/>
      <c r="M304" s="300"/>
      <c r="N304" s="300"/>
      <c r="O304" s="300"/>
      <c r="P304" s="300"/>
      <c r="Q304" s="300"/>
      <c r="R304" s="300"/>
      <c r="S304" s="300"/>
      <c r="T304" s="300"/>
      <c r="U304" s="300"/>
      <c r="V304" s="300"/>
      <c r="W304" s="300"/>
      <c r="X304" s="300"/>
      <c r="Y304" s="300"/>
      <c r="Z304" s="300"/>
      <c r="AA304" s="301"/>
    </row>
    <row r="305" spans="1:27">
      <c r="A305" s="319"/>
      <c r="B305" s="351"/>
      <c r="C305" s="381"/>
      <c r="D305" s="369"/>
      <c r="E305" s="369"/>
      <c r="F305" s="300"/>
      <c r="G305" s="300"/>
      <c r="H305" s="300"/>
      <c r="I305" s="300"/>
      <c r="J305" s="300"/>
      <c r="K305" s="300"/>
      <c r="L305" s="300"/>
      <c r="M305" s="300"/>
      <c r="N305" s="300"/>
      <c r="O305" s="300"/>
      <c r="P305" s="300"/>
      <c r="Q305" s="300"/>
      <c r="R305" s="300"/>
      <c r="S305" s="300"/>
      <c r="T305" s="300"/>
      <c r="U305" s="300"/>
      <c r="V305" s="300"/>
      <c r="W305" s="300"/>
      <c r="X305" s="300"/>
      <c r="Y305" s="300"/>
      <c r="Z305" s="300"/>
      <c r="AA305" s="301"/>
    </row>
    <row r="306" spans="1:27">
      <c r="A306" s="319"/>
      <c r="B306" s="351"/>
      <c r="C306" s="381"/>
      <c r="D306" s="369"/>
      <c r="E306" s="369"/>
      <c r="F306" s="300"/>
      <c r="G306" s="300"/>
      <c r="H306" s="300"/>
      <c r="I306" s="300"/>
      <c r="J306" s="300"/>
      <c r="K306" s="300"/>
      <c r="L306" s="300"/>
      <c r="M306" s="300"/>
      <c r="N306" s="300"/>
      <c r="O306" s="300"/>
      <c r="P306" s="300"/>
      <c r="Q306" s="300"/>
      <c r="R306" s="300"/>
      <c r="S306" s="300"/>
      <c r="T306" s="300"/>
      <c r="U306" s="300"/>
      <c r="V306" s="300"/>
      <c r="W306" s="300"/>
      <c r="X306" s="300"/>
      <c r="Y306" s="300"/>
      <c r="Z306" s="300"/>
      <c r="AA306" s="301"/>
    </row>
    <row r="307" spans="1:27">
      <c r="A307" s="319"/>
      <c r="B307" s="351"/>
      <c r="C307" s="381"/>
      <c r="D307" s="369"/>
      <c r="E307" s="369"/>
      <c r="F307" s="300"/>
      <c r="G307" s="300"/>
      <c r="H307" s="300"/>
      <c r="I307" s="300"/>
      <c r="J307" s="300"/>
      <c r="K307" s="300"/>
      <c r="L307" s="300"/>
      <c r="M307" s="300"/>
      <c r="N307" s="300"/>
      <c r="O307" s="300"/>
      <c r="P307" s="300"/>
      <c r="Q307" s="300"/>
      <c r="R307" s="300"/>
      <c r="S307" s="300"/>
      <c r="T307" s="300"/>
      <c r="U307" s="300"/>
      <c r="V307" s="300"/>
      <c r="W307" s="300"/>
      <c r="X307" s="300"/>
      <c r="Y307" s="300"/>
      <c r="Z307" s="300"/>
      <c r="AA307" s="301"/>
    </row>
    <row r="308" spans="1:27">
      <c r="A308" s="319"/>
      <c r="B308" s="351"/>
      <c r="C308" s="381"/>
      <c r="D308" s="369"/>
      <c r="E308" s="369"/>
      <c r="F308" s="300"/>
      <c r="G308" s="300"/>
      <c r="H308" s="300"/>
      <c r="I308" s="300"/>
      <c r="J308" s="300"/>
      <c r="K308" s="300"/>
      <c r="L308" s="300"/>
      <c r="M308" s="300"/>
      <c r="N308" s="300"/>
      <c r="O308" s="300"/>
      <c r="P308" s="300"/>
      <c r="Q308" s="300"/>
      <c r="R308" s="300"/>
      <c r="S308" s="300"/>
      <c r="T308" s="300"/>
      <c r="U308" s="300"/>
      <c r="V308" s="300"/>
      <c r="W308" s="300"/>
      <c r="X308" s="300"/>
      <c r="Y308" s="300"/>
      <c r="Z308" s="300"/>
      <c r="AA308" s="301"/>
    </row>
    <row r="309" spans="1:27">
      <c r="A309" s="319"/>
      <c r="B309" s="351"/>
      <c r="C309" s="381"/>
      <c r="D309" s="369"/>
      <c r="E309" s="369"/>
      <c r="F309" s="300"/>
      <c r="G309" s="300"/>
      <c r="H309" s="300"/>
      <c r="I309" s="300"/>
      <c r="J309" s="300"/>
      <c r="K309" s="300"/>
      <c r="L309" s="300"/>
      <c r="M309" s="300"/>
      <c r="N309" s="300"/>
      <c r="O309" s="300"/>
      <c r="P309" s="300"/>
      <c r="Q309" s="300"/>
      <c r="R309" s="300"/>
      <c r="S309" s="300"/>
      <c r="T309" s="300"/>
      <c r="U309" s="300"/>
      <c r="V309" s="300"/>
      <c r="W309" s="300"/>
      <c r="X309" s="300"/>
      <c r="Y309" s="300"/>
      <c r="Z309" s="300"/>
      <c r="AA309" s="301"/>
    </row>
    <row r="310" spans="1:27">
      <c r="A310" s="319"/>
      <c r="B310" s="351"/>
      <c r="C310" s="381"/>
      <c r="D310" s="369"/>
      <c r="E310" s="369"/>
      <c r="F310" s="300"/>
      <c r="G310" s="300"/>
      <c r="H310" s="300"/>
      <c r="I310" s="300"/>
      <c r="J310" s="300"/>
      <c r="K310" s="300"/>
      <c r="L310" s="300"/>
      <c r="M310" s="300"/>
      <c r="N310" s="300"/>
      <c r="O310" s="300"/>
      <c r="P310" s="300"/>
      <c r="Q310" s="300"/>
      <c r="R310" s="300"/>
      <c r="S310" s="300"/>
      <c r="T310" s="300"/>
      <c r="U310" s="300"/>
      <c r="V310" s="300"/>
      <c r="W310" s="300"/>
      <c r="X310" s="300"/>
      <c r="Y310" s="300"/>
      <c r="Z310" s="300"/>
      <c r="AA310" s="301"/>
    </row>
    <row r="311" spans="1:27">
      <c r="A311" s="319"/>
      <c r="B311" s="351"/>
      <c r="C311" s="381"/>
      <c r="D311" s="369"/>
      <c r="E311" s="369"/>
      <c r="F311" s="300"/>
      <c r="G311" s="300"/>
      <c r="H311" s="300"/>
      <c r="I311" s="300"/>
      <c r="J311" s="300"/>
      <c r="K311" s="300"/>
      <c r="L311" s="300"/>
      <c r="M311" s="300"/>
      <c r="N311" s="300"/>
      <c r="O311" s="300"/>
      <c r="P311" s="300"/>
      <c r="Q311" s="300"/>
      <c r="R311" s="300"/>
      <c r="S311" s="300"/>
      <c r="T311" s="300"/>
      <c r="U311" s="300"/>
      <c r="V311" s="300"/>
      <c r="W311" s="300"/>
      <c r="X311" s="300"/>
      <c r="Y311" s="300"/>
      <c r="Z311" s="300"/>
      <c r="AA311" s="301"/>
    </row>
    <row r="312" spans="1:27">
      <c r="A312" s="319"/>
      <c r="B312" s="351"/>
      <c r="C312" s="381"/>
      <c r="D312" s="369"/>
      <c r="E312" s="369"/>
      <c r="F312" s="300"/>
      <c r="G312" s="300"/>
      <c r="H312" s="300"/>
      <c r="I312" s="300"/>
      <c r="J312" s="300"/>
      <c r="K312" s="300"/>
      <c r="L312" s="300"/>
      <c r="M312" s="300"/>
      <c r="N312" s="300"/>
      <c r="O312" s="300"/>
      <c r="P312" s="300"/>
      <c r="Q312" s="300"/>
      <c r="R312" s="300"/>
      <c r="S312" s="300"/>
      <c r="T312" s="300"/>
      <c r="U312" s="300"/>
      <c r="V312" s="300"/>
      <c r="W312" s="300"/>
      <c r="X312" s="300"/>
      <c r="Y312" s="300"/>
      <c r="Z312" s="300"/>
      <c r="AA312" s="301"/>
    </row>
    <row r="313" spans="1:27">
      <c r="A313" s="319"/>
      <c r="B313" s="351"/>
      <c r="C313" s="381"/>
      <c r="D313" s="369"/>
      <c r="E313" s="369"/>
      <c r="F313" s="300"/>
      <c r="G313" s="300"/>
      <c r="H313" s="300"/>
      <c r="I313" s="300"/>
      <c r="J313" s="300"/>
      <c r="K313" s="300"/>
      <c r="L313" s="300"/>
      <c r="M313" s="300"/>
      <c r="N313" s="300"/>
      <c r="O313" s="300"/>
      <c r="P313" s="300"/>
      <c r="Q313" s="300"/>
      <c r="R313" s="300"/>
      <c r="S313" s="300"/>
      <c r="T313" s="300"/>
      <c r="U313" s="300"/>
      <c r="V313" s="300"/>
      <c r="W313" s="300"/>
      <c r="X313" s="300"/>
      <c r="Y313" s="300"/>
      <c r="Z313" s="300"/>
      <c r="AA313" s="301"/>
    </row>
    <row r="314" spans="1:27">
      <c r="A314" s="319"/>
      <c r="B314" s="351"/>
      <c r="C314" s="381"/>
      <c r="D314" s="369"/>
      <c r="E314" s="369"/>
      <c r="F314" s="300"/>
      <c r="G314" s="300"/>
      <c r="H314" s="300"/>
      <c r="I314" s="300"/>
      <c r="J314" s="300"/>
      <c r="K314" s="300"/>
      <c r="L314" s="300"/>
      <c r="M314" s="300"/>
      <c r="N314" s="300"/>
      <c r="O314" s="300"/>
      <c r="P314" s="300"/>
      <c r="Q314" s="300"/>
      <c r="R314" s="300"/>
      <c r="S314" s="300"/>
      <c r="T314" s="300"/>
      <c r="U314" s="300"/>
      <c r="V314" s="300"/>
      <c r="W314" s="300"/>
      <c r="X314" s="300"/>
      <c r="Y314" s="300"/>
      <c r="Z314" s="300"/>
      <c r="AA314" s="301"/>
    </row>
    <row r="315" spans="1:27">
      <c r="A315" s="319"/>
      <c r="B315" s="351"/>
      <c r="C315" s="381"/>
      <c r="D315" s="369"/>
      <c r="E315" s="369"/>
      <c r="F315" s="300"/>
      <c r="G315" s="300"/>
      <c r="H315" s="300"/>
      <c r="I315" s="300"/>
      <c r="J315" s="300"/>
      <c r="K315" s="300"/>
      <c r="L315" s="300"/>
      <c r="M315" s="300"/>
      <c r="N315" s="300"/>
      <c r="O315" s="300"/>
      <c r="P315" s="300"/>
      <c r="Q315" s="300"/>
      <c r="R315" s="300"/>
      <c r="S315" s="300"/>
      <c r="T315" s="300"/>
      <c r="U315" s="300"/>
      <c r="V315" s="300"/>
      <c r="W315" s="300"/>
      <c r="X315" s="300"/>
      <c r="Y315" s="300"/>
      <c r="Z315" s="300"/>
      <c r="AA315" s="301"/>
    </row>
    <row r="316" spans="1:27">
      <c r="A316" s="319"/>
      <c r="B316" s="351"/>
      <c r="C316" s="381"/>
      <c r="D316" s="369"/>
      <c r="E316" s="369"/>
      <c r="F316" s="300"/>
      <c r="G316" s="300"/>
      <c r="H316" s="300"/>
      <c r="I316" s="300"/>
      <c r="J316" s="300"/>
      <c r="K316" s="300"/>
      <c r="L316" s="300"/>
      <c r="M316" s="300"/>
      <c r="N316" s="300"/>
      <c r="O316" s="300"/>
      <c r="P316" s="300"/>
      <c r="Q316" s="300"/>
      <c r="R316" s="300"/>
      <c r="S316" s="300"/>
      <c r="T316" s="300"/>
      <c r="U316" s="300"/>
      <c r="V316" s="300"/>
      <c r="W316" s="300"/>
      <c r="X316" s="300"/>
      <c r="Y316" s="300"/>
      <c r="Z316" s="300"/>
      <c r="AA316" s="301"/>
    </row>
    <row r="317" spans="1:27">
      <c r="A317" s="319"/>
      <c r="B317" s="351"/>
      <c r="C317" s="381"/>
      <c r="D317" s="369"/>
      <c r="E317" s="369"/>
      <c r="F317" s="300"/>
      <c r="G317" s="300"/>
      <c r="H317" s="300"/>
      <c r="I317" s="300"/>
      <c r="J317" s="300"/>
      <c r="K317" s="300"/>
      <c r="L317" s="300"/>
      <c r="M317" s="300"/>
      <c r="N317" s="300"/>
      <c r="O317" s="300"/>
      <c r="P317" s="300"/>
      <c r="Q317" s="300"/>
      <c r="R317" s="300"/>
      <c r="S317" s="300"/>
      <c r="T317" s="300"/>
      <c r="U317" s="300"/>
      <c r="V317" s="300"/>
      <c r="W317" s="300"/>
      <c r="X317" s="300"/>
      <c r="Y317" s="300"/>
      <c r="Z317" s="300"/>
      <c r="AA317" s="301"/>
    </row>
    <row r="318" spans="1:27">
      <c r="A318" s="319"/>
      <c r="B318" s="351"/>
      <c r="C318" s="381"/>
      <c r="D318" s="369"/>
      <c r="E318" s="369"/>
      <c r="F318" s="300"/>
      <c r="G318" s="300"/>
      <c r="H318" s="300"/>
      <c r="I318" s="300"/>
      <c r="J318" s="300"/>
      <c r="K318" s="300"/>
      <c r="L318" s="300"/>
      <c r="M318" s="300"/>
      <c r="N318" s="300"/>
      <c r="O318" s="300"/>
      <c r="P318" s="300"/>
      <c r="Q318" s="300"/>
      <c r="R318" s="300"/>
      <c r="S318" s="300"/>
      <c r="T318" s="300"/>
      <c r="U318" s="300"/>
      <c r="V318" s="300"/>
      <c r="W318" s="300"/>
      <c r="X318" s="300"/>
      <c r="Y318" s="300"/>
      <c r="Z318" s="300"/>
      <c r="AA318" s="301"/>
    </row>
    <row r="319" spans="1:27">
      <c r="A319" s="319"/>
      <c r="B319" s="351"/>
      <c r="C319" s="381"/>
      <c r="D319" s="369"/>
      <c r="E319" s="369"/>
      <c r="F319" s="300"/>
      <c r="G319" s="300"/>
      <c r="H319" s="300"/>
      <c r="I319" s="300"/>
      <c r="J319" s="300"/>
      <c r="K319" s="300"/>
      <c r="L319" s="300"/>
      <c r="M319" s="300"/>
      <c r="N319" s="300"/>
      <c r="O319" s="300"/>
      <c r="P319" s="300"/>
      <c r="Q319" s="300"/>
      <c r="R319" s="300"/>
      <c r="S319" s="300"/>
      <c r="T319" s="300"/>
      <c r="U319" s="300"/>
      <c r="V319" s="300"/>
      <c r="W319" s="300"/>
      <c r="X319" s="300"/>
      <c r="Y319" s="300"/>
      <c r="Z319" s="300"/>
      <c r="AA319" s="301"/>
    </row>
    <row r="320" spans="1:27">
      <c r="A320" s="319"/>
      <c r="B320" s="351"/>
      <c r="C320" s="381"/>
      <c r="D320" s="369"/>
      <c r="E320" s="369"/>
      <c r="F320" s="300"/>
      <c r="G320" s="300"/>
      <c r="H320" s="300"/>
      <c r="I320" s="300"/>
      <c r="J320" s="300"/>
      <c r="K320" s="300"/>
      <c r="L320" s="300"/>
      <c r="M320" s="300"/>
      <c r="N320" s="300"/>
      <c r="O320" s="300"/>
      <c r="P320" s="300"/>
      <c r="Q320" s="300"/>
      <c r="R320" s="300"/>
      <c r="S320" s="300"/>
      <c r="T320" s="300"/>
      <c r="U320" s="300"/>
      <c r="V320" s="300"/>
      <c r="W320" s="300"/>
      <c r="X320" s="300"/>
      <c r="Y320" s="300"/>
      <c r="Z320" s="300"/>
      <c r="AA320" s="301"/>
    </row>
    <row r="321" spans="1:27">
      <c r="A321" s="319"/>
      <c r="B321" s="351"/>
      <c r="C321" s="381"/>
      <c r="D321" s="369"/>
      <c r="E321" s="369"/>
      <c r="F321" s="300"/>
      <c r="G321" s="300"/>
      <c r="H321" s="300"/>
      <c r="I321" s="300"/>
      <c r="J321" s="300"/>
      <c r="K321" s="300"/>
      <c r="L321" s="300"/>
      <c r="M321" s="300"/>
      <c r="N321" s="300"/>
      <c r="O321" s="300"/>
      <c r="P321" s="300"/>
      <c r="Q321" s="300"/>
      <c r="R321" s="300"/>
      <c r="S321" s="300"/>
      <c r="T321" s="300"/>
      <c r="U321" s="300"/>
      <c r="V321" s="300"/>
      <c r="W321" s="300"/>
      <c r="X321" s="300"/>
      <c r="Y321" s="300"/>
      <c r="Z321" s="300"/>
      <c r="AA321" s="301"/>
    </row>
    <row r="322" spans="1:27">
      <c r="A322" s="319"/>
      <c r="B322" s="351"/>
      <c r="C322" s="381"/>
      <c r="D322" s="369"/>
      <c r="E322" s="369"/>
      <c r="F322" s="300"/>
      <c r="G322" s="300"/>
      <c r="H322" s="300"/>
      <c r="I322" s="300"/>
      <c r="J322" s="300"/>
      <c r="K322" s="300"/>
      <c r="L322" s="300"/>
      <c r="M322" s="300"/>
      <c r="N322" s="300"/>
      <c r="O322" s="300"/>
      <c r="P322" s="300"/>
      <c r="Q322" s="300"/>
      <c r="R322" s="300"/>
      <c r="S322" s="300"/>
      <c r="T322" s="300"/>
      <c r="U322" s="300"/>
      <c r="V322" s="300"/>
      <c r="W322" s="300"/>
      <c r="X322" s="300"/>
      <c r="Y322" s="300"/>
      <c r="Z322" s="300"/>
      <c r="AA322" s="301"/>
    </row>
    <row r="323" spans="1:27">
      <c r="A323" s="319"/>
      <c r="B323" s="351"/>
      <c r="C323" s="381"/>
      <c r="D323" s="369"/>
      <c r="E323" s="369"/>
      <c r="F323" s="300"/>
      <c r="G323" s="300"/>
      <c r="H323" s="300"/>
      <c r="I323" s="300"/>
      <c r="J323" s="300"/>
      <c r="K323" s="300"/>
      <c r="L323" s="300"/>
      <c r="M323" s="300"/>
      <c r="N323" s="300"/>
      <c r="O323" s="300"/>
      <c r="P323" s="300"/>
      <c r="Q323" s="300"/>
      <c r="R323" s="300"/>
      <c r="S323" s="300"/>
      <c r="T323" s="300"/>
      <c r="U323" s="300"/>
      <c r="V323" s="300"/>
      <c r="W323" s="300"/>
      <c r="X323" s="300"/>
      <c r="Y323" s="300"/>
      <c r="Z323" s="300"/>
      <c r="AA323" s="301"/>
    </row>
    <row r="324" spans="1:27">
      <c r="A324" s="319"/>
      <c r="B324" s="351"/>
      <c r="C324" s="381"/>
      <c r="D324" s="369"/>
      <c r="E324" s="369"/>
      <c r="F324" s="300"/>
      <c r="G324" s="300"/>
      <c r="H324" s="300"/>
      <c r="I324" s="300"/>
      <c r="J324" s="300"/>
      <c r="K324" s="300"/>
      <c r="L324" s="300"/>
      <c r="M324" s="300"/>
      <c r="N324" s="300"/>
      <c r="O324" s="300"/>
      <c r="P324" s="300"/>
      <c r="Q324" s="300"/>
      <c r="R324" s="300"/>
      <c r="S324" s="300"/>
      <c r="T324" s="300"/>
      <c r="U324" s="300"/>
      <c r="V324" s="300"/>
      <c r="W324" s="300"/>
      <c r="X324" s="300"/>
      <c r="Y324" s="300"/>
      <c r="Z324" s="300"/>
      <c r="AA324" s="301"/>
    </row>
    <row r="325" spans="1:27">
      <c r="A325" s="319"/>
      <c r="B325" s="351"/>
      <c r="C325" s="381"/>
      <c r="D325" s="369"/>
      <c r="E325" s="369"/>
      <c r="F325" s="300"/>
      <c r="G325" s="300"/>
      <c r="H325" s="300"/>
      <c r="I325" s="300"/>
      <c r="J325" s="300"/>
      <c r="K325" s="300"/>
      <c r="L325" s="300"/>
      <c r="M325" s="300"/>
      <c r="N325" s="300"/>
      <c r="O325" s="300"/>
      <c r="P325" s="300"/>
      <c r="Q325" s="300"/>
      <c r="R325" s="300"/>
      <c r="S325" s="300"/>
      <c r="T325" s="300"/>
      <c r="U325" s="300"/>
      <c r="V325" s="300"/>
      <c r="W325" s="300"/>
      <c r="X325" s="300"/>
      <c r="Y325" s="300"/>
      <c r="Z325" s="300"/>
      <c r="AA325" s="301"/>
    </row>
    <row r="326" spans="1:27">
      <c r="A326" s="319"/>
      <c r="B326" s="351"/>
      <c r="C326" s="381"/>
      <c r="D326" s="369"/>
      <c r="E326" s="369"/>
      <c r="F326" s="300"/>
      <c r="G326" s="300"/>
      <c r="H326" s="300"/>
      <c r="I326" s="300"/>
      <c r="J326" s="300"/>
      <c r="K326" s="300"/>
      <c r="L326" s="300"/>
      <c r="M326" s="300"/>
      <c r="N326" s="300"/>
      <c r="O326" s="300"/>
      <c r="P326" s="300"/>
      <c r="Q326" s="300"/>
      <c r="R326" s="300"/>
      <c r="S326" s="300"/>
      <c r="T326" s="300"/>
      <c r="U326" s="300"/>
      <c r="V326" s="300"/>
      <c r="W326" s="300"/>
      <c r="X326" s="300"/>
      <c r="Y326" s="300"/>
      <c r="Z326" s="300"/>
      <c r="AA326" s="301"/>
    </row>
    <row r="327" spans="1:27">
      <c r="A327" s="319"/>
      <c r="B327" s="351"/>
      <c r="C327" s="381"/>
      <c r="D327" s="369"/>
      <c r="E327" s="369"/>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1"/>
    </row>
    <row r="328" spans="1:27">
      <c r="A328" s="319"/>
      <c r="B328" s="351"/>
      <c r="C328" s="381"/>
      <c r="D328" s="369"/>
      <c r="E328" s="369"/>
      <c r="F328" s="300"/>
      <c r="G328" s="300"/>
      <c r="H328" s="300"/>
      <c r="I328" s="300"/>
      <c r="J328" s="300"/>
      <c r="K328" s="300"/>
      <c r="L328" s="300"/>
      <c r="M328" s="300"/>
      <c r="N328" s="300"/>
      <c r="O328" s="300"/>
      <c r="P328" s="300"/>
      <c r="Q328" s="300"/>
      <c r="R328" s="300"/>
      <c r="S328" s="300"/>
      <c r="T328" s="300"/>
      <c r="U328" s="300"/>
      <c r="V328" s="300"/>
      <c r="W328" s="300"/>
      <c r="X328" s="300"/>
      <c r="Y328" s="300"/>
      <c r="Z328" s="300"/>
      <c r="AA328" s="301"/>
    </row>
    <row r="329" spans="1:27">
      <c r="A329" s="319"/>
      <c r="B329" s="351"/>
      <c r="C329" s="381"/>
      <c r="D329" s="369"/>
      <c r="E329" s="369"/>
      <c r="F329" s="300"/>
      <c r="G329" s="300"/>
      <c r="H329" s="300"/>
      <c r="I329" s="300"/>
      <c r="J329" s="300"/>
      <c r="K329" s="300"/>
      <c r="L329" s="300"/>
      <c r="M329" s="300"/>
      <c r="N329" s="300"/>
      <c r="O329" s="300"/>
      <c r="P329" s="300"/>
      <c r="Q329" s="300"/>
      <c r="R329" s="300"/>
      <c r="S329" s="300"/>
      <c r="T329" s="300"/>
      <c r="U329" s="300"/>
      <c r="V329" s="300"/>
      <c r="W329" s="300"/>
      <c r="X329" s="300"/>
      <c r="Y329" s="300"/>
      <c r="Z329" s="300"/>
      <c r="AA329" s="301"/>
    </row>
    <row r="330" spans="1:27">
      <c r="A330" s="319"/>
      <c r="B330" s="351"/>
      <c r="C330" s="381"/>
      <c r="D330" s="369"/>
      <c r="E330" s="369"/>
      <c r="F330" s="300"/>
      <c r="G330" s="300"/>
      <c r="H330" s="300"/>
      <c r="I330" s="300"/>
      <c r="J330" s="300"/>
      <c r="K330" s="300"/>
      <c r="L330" s="300"/>
      <c r="M330" s="300"/>
      <c r="N330" s="300"/>
      <c r="O330" s="300"/>
      <c r="P330" s="300"/>
      <c r="Q330" s="300"/>
      <c r="R330" s="300"/>
      <c r="S330" s="300"/>
      <c r="T330" s="300"/>
      <c r="U330" s="300"/>
      <c r="V330" s="300"/>
      <c r="W330" s="300"/>
      <c r="X330" s="300"/>
      <c r="Y330" s="300"/>
      <c r="Z330" s="300"/>
      <c r="AA330" s="301"/>
    </row>
    <row r="331" spans="1:27">
      <c r="A331" s="319"/>
      <c r="B331" s="351"/>
      <c r="C331" s="381"/>
      <c r="D331" s="369"/>
      <c r="E331" s="369"/>
      <c r="F331" s="300"/>
      <c r="G331" s="300"/>
      <c r="H331" s="300"/>
      <c r="I331" s="300"/>
      <c r="J331" s="300"/>
      <c r="K331" s="300"/>
      <c r="L331" s="300"/>
      <c r="M331" s="300"/>
      <c r="N331" s="300"/>
      <c r="O331" s="300"/>
      <c r="P331" s="300"/>
      <c r="Q331" s="300"/>
      <c r="R331" s="300"/>
      <c r="S331" s="300"/>
      <c r="T331" s="300"/>
      <c r="U331" s="300"/>
      <c r="V331" s="300"/>
      <c r="W331" s="300"/>
      <c r="X331" s="300"/>
      <c r="Y331" s="300"/>
      <c r="Z331" s="300"/>
      <c r="AA331" s="301"/>
    </row>
    <row r="332" spans="1:27">
      <c r="A332" s="319"/>
      <c r="B332" s="351"/>
      <c r="C332" s="381"/>
      <c r="D332" s="369"/>
      <c r="E332" s="369"/>
      <c r="F332" s="300"/>
      <c r="G332" s="300"/>
      <c r="H332" s="300"/>
      <c r="I332" s="300"/>
      <c r="J332" s="300"/>
      <c r="K332" s="300"/>
      <c r="L332" s="300"/>
      <c r="M332" s="300"/>
      <c r="N332" s="300"/>
      <c r="O332" s="300"/>
      <c r="P332" s="300"/>
      <c r="Q332" s="300"/>
      <c r="R332" s="300"/>
      <c r="S332" s="300"/>
      <c r="T332" s="300"/>
      <c r="U332" s="300"/>
      <c r="V332" s="300"/>
      <c r="W332" s="300"/>
      <c r="X332" s="300"/>
      <c r="Y332" s="300"/>
      <c r="Z332" s="300"/>
      <c r="AA332" s="301"/>
    </row>
    <row r="333" spans="1:27">
      <c r="A333" s="319"/>
      <c r="B333" s="351"/>
      <c r="C333" s="381"/>
      <c r="D333" s="369"/>
      <c r="E333" s="369"/>
      <c r="F333" s="300"/>
      <c r="G333" s="300"/>
      <c r="H333" s="300"/>
      <c r="I333" s="300"/>
      <c r="J333" s="300"/>
      <c r="K333" s="300"/>
      <c r="L333" s="300"/>
      <c r="M333" s="300"/>
      <c r="N333" s="300"/>
      <c r="O333" s="300"/>
      <c r="P333" s="300"/>
      <c r="Q333" s="300"/>
      <c r="R333" s="300"/>
      <c r="S333" s="300"/>
      <c r="T333" s="300"/>
      <c r="U333" s="300"/>
      <c r="V333" s="300"/>
      <c r="W333" s="300"/>
      <c r="X333" s="300"/>
      <c r="Y333" s="300"/>
      <c r="Z333" s="300"/>
      <c r="AA333" s="301"/>
    </row>
    <row r="334" spans="1:27">
      <c r="A334" s="319"/>
      <c r="B334" s="351"/>
      <c r="C334" s="381"/>
      <c r="D334" s="369"/>
      <c r="E334" s="369"/>
      <c r="F334" s="300"/>
      <c r="G334" s="300"/>
      <c r="H334" s="300"/>
      <c r="I334" s="300"/>
      <c r="J334" s="300"/>
      <c r="K334" s="300"/>
      <c r="L334" s="300"/>
      <c r="M334" s="300"/>
      <c r="N334" s="300"/>
      <c r="O334" s="300"/>
      <c r="P334" s="300"/>
      <c r="Q334" s="300"/>
      <c r="R334" s="300"/>
      <c r="S334" s="300"/>
      <c r="T334" s="300"/>
      <c r="U334" s="300"/>
      <c r="V334" s="300"/>
      <c r="W334" s="300"/>
      <c r="X334" s="300"/>
      <c r="Y334" s="300"/>
      <c r="Z334" s="300"/>
      <c r="AA334" s="301"/>
    </row>
    <row r="335" spans="1:27">
      <c r="A335" s="319"/>
      <c r="B335" s="351"/>
      <c r="C335" s="381"/>
      <c r="D335" s="369"/>
      <c r="E335" s="369"/>
      <c r="F335" s="300"/>
      <c r="G335" s="300"/>
      <c r="H335" s="300"/>
      <c r="I335" s="300"/>
      <c r="J335" s="300"/>
      <c r="K335" s="300"/>
      <c r="L335" s="300"/>
      <c r="M335" s="300"/>
      <c r="N335" s="300"/>
      <c r="O335" s="300"/>
      <c r="P335" s="300"/>
      <c r="Q335" s="300"/>
      <c r="R335" s="300"/>
      <c r="S335" s="300"/>
      <c r="T335" s="300"/>
      <c r="U335" s="300"/>
      <c r="V335" s="300"/>
      <c r="W335" s="300"/>
      <c r="X335" s="300"/>
      <c r="Y335" s="300"/>
      <c r="Z335" s="300"/>
      <c r="AA335" s="301"/>
    </row>
    <row r="336" spans="1:27">
      <c r="A336" s="319"/>
      <c r="B336" s="351"/>
      <c r="C336" s="381"/>
      <c r="D336" s="369"/>
      <c r="E336" s="369"/>
      <c r="F336" s="300"/>
      <c r="G336" s="300"/>
      <c r="H336" s="300"/>
      <c r="I336" s="300"/>
      <c r="J336" s="300"/>
      <c r="K336" s="300"/>
      <c r="L336" s="300"/>
      <c r="M336" s="300"/>
      <c r="N336" s="300"/>
      <c r="O336" s="300"/>
      <c r="P336" s="300"/>
      <c r="Q336" s="300"/>
      <c r="R336" s="300"/>
      <c r="S336" s="300"/>
      <c r="T336" s="300"/>
      <c r="U336" s="300"/>
      <c r="V336" s="300"/>
      <c r="W336" s="300"/>
      <c r="X336" s="300"/>
      <c r="Y336" s="300"/>
      <c r="Z336" s="300"/>
      <c r="AA336" s="301"/>
    </row>
    <row r="337" spans="1:27">
      <c r="A337" s="319"/>
      <c r="B337" s="351"/>
      <c r="C337" s="381"/>
      <c r="D337" s="369"/>
      <c r="E337" s="369"/>
      <c r="F337" s="300"/>
      <c r="G337" s="300"/>
      <c r="H337" s="300"/>
      <c r="I337" s="300"/>
      <c r="J337" s="300"/>
      <c r="K337" s="300"/>
      <c r="L337" s="300"/>
      <c r="M337" s="300"/>
      <c r="N337" s="300"/>
      <c r="O337" s="300"/>
      <c r="P337" s="300"/>
      <c r="Q337" s="300"/>
      <c r="R337" s="300"/>
      <c r="S337" s="300"/>
      <c r="T337" s="300"/>
      <c r="U337" s="300"/>
      <c r="V337" s="300"/>
      <c r="W337" s="300"/>
      <c r="X337" s="300"/>
      <c r="Y337" s="300"/>
      <c r="Z337" s="300"/>
      <c r="AA337" s="301"/>
    </row>
    <row r="338" spans="1:27">
      <c r="A338" s="319"/>
      <c r="B338" s="351"/>
      <c r="C338" s="381"/>
      <c r="D338" s="369"/>
      <c r="E338" s="369"/>
      <c r="F338" s="300"/>
      <c r="G338" s="300"/>
      <c r="H338" s="300"/>
      <c r="I338" s="300"/>
      <c r="J338" s="300"/>
      <c r="K338" s="300"/>
      <c r="L338" s="300"/>
      <c r="M338" s="300"/>
      <c r="N338" s="300"/>
      <c r="O338" s="300"/>
      <c r="P338" s="300"/>
      <c r="Q338" s="300"/>
      <c r="R338" s="300"/>
      <c r="S338" s="300"/>
      <c r="T338" s="300"/>
      <c r="U338" s="300"/>
      <c r="V338" s="300"/>
      <c r="W338" s="300"/>
      <c r="X338" s="300"/>
      <c r="Y338" s="300"/>
      <c r="Z338" s="300"/>
      <c r="AA338" s="301"/>
    </row>
    <row r="339" spans="1:27">
      <c r="A339" s="319"/>
      <c r="B339" s="351"/>
      <c r="C339" s="381"/>
      <c r="D339" s="369"/>
      <c r="E339" s="369"/>
      <c r="F339" s="300"/>
      <c r="G339" s="300"/>
      <c r="H339" s="300"/>
      <c r="I339" s="300"/>
      <c r="J339" s="300"/>
      <c r="K339" s="300"/>
      <c r="L339" s="300"/>
      <c r="M339" s="300"/>
      <c r="N339" s="300"/>
      <c r="O339" s="300"/>
      <c r="P339" s="300"/>
      <c r="Q339" s="300"/>
      <c r="R339" s="300"/>
      <c r="S339" s="300"/>
      <c r="T339" s="300"/>
      <c r="U339" s="300"/>
      <c r="V339" s="300"/>
      <c r="W339" s="300"/>
      <c r="X339" s="300"/>
      <c r="Y339" s="300"/>
      <c r="Z339" s="300"/>
      <c r="AA339" s="301"/>
    </row>
    <row r="340" spans="1:27">
      <c r="A340" s="319"/>
      <c r="B340" s="351"/>
      <c r="C340" s="381"/>
      <c r="D340" s="369"/>
      <c r="E340" s="369"/>
      <c r="F340" s="300"/>
      <c r="G340" s="300"/>
      <c r="H340" s="300"/>
      <c r="I340" s="300"/>
      <c r="J340" s="300"/>
      <c r="K340" s="300"/>
      <c r="L340" s="300"/>
      <c r="M340" s="300"/>
      <c r="N340" s="300"/>
      <c r="O340" s="300"/>
      <c r="P340" s="300"/>
      <c r="Q340" s="300"/>
      <c r="R340" s="300"/>
      <c r="S340" s="300"/>
      <c r="T340" s="300"/>
      <c r="U340" s="300"/>
      <c r="V340" s="300"/>
      <c r="W340" s="300"/>
      <c r="X340" s="300"/>
      <c r="Y340" s="300"/>
      <c r="Z340" s="300"/>
      <c r="AA340" s="301"/>
    </row>
    <row r="341" spans="1:27">
      <c r="A341" s="319"/>
      <c r="B341" s="351"/>
      <c r="C341" s="381"/>
      <c r="D341" s="369"/>
      <c r="E341" s="369"/>
      <c r="F341" s="300"/>
      <c r="G341" s="300"/>
      <c r="H341" s="300"/>
      <c r="I341" s="300"/>
      <c r="J341" s="300"/>
      <c r="K341" s="300"/>
      <c r="L341" s="300"/>
      <c r="M341" s="300"/>
      <c r="N341" s="300"/>
      <c r="O341" s="300"/>
      <c r="P341" s="300"/>
      <c r="Q341" s="300"/>
      <c r="R341" s="300"/>
      <c r="S341" s="300"/>
      <c r="T341" s="300"/>
      <c r="U341" s="300"/>
      <c r="V341" s="300"/>
      <c r="W341" s="300"/>
      <c r="X341" s="300"/>
      <c r="Y341" s="300"/>
      <c r="Z341" s="300"/>
      <c r="AA341" s="301"/>
    </row>
    <row r="342" spans="1:27">
      <c r="A342" s="319"/>
      <c r="B342" s="351"/>
      <c r="C342" s="381"/>
      <c r="D342" s="369"/>
      <c r="E342" s="369"/>
      <c r="F342" s="300"/>
      <c r="G342" s="300"/>
      <c r="H342" s="300"/>
      <c r="I342" s="300"/>
      <c r="J342" s="300"/>
      <c r="K342" s="300"/>
      <c r="L342" s="300"/>
      <c r="M342" s="300"/>
      <c r="N342" s="300"/>
      <c r="O342" s="300"/>
      <c r="P342" s="300"/>
      <c r="Q342" s="300"/>
      <c r="R342" s="300"/>
      <c r="S342" s="300"/>
      <c r="T342" s="300"/>
      <c r="U342" s="300"/>
      <c r="V342" s="300"/>
      <c r="W342" s="300"/>
      <c r="X342" s="300"/>
      <c r="Y342" s="300"/>
      <c r="Z342" s="300"/>
      <c r="AA342" s="301"/>
    </row>
    <row r="343" spans="1:27">
      <c r="A343" s="319"/>
      <c r="B343" s="351"/>
      <c r="C343" s="381"/>
      <c r="D343" s="369"/>
      <c r="E343" s="369"/>
      <c r="F343" s="300"/>
      <c r="G343" s="300"/>
      <c r="H343" s="300"/>
      <c r="I343" s="300"/>
      <c r="J343" s="300"/>
      <c r="K343" s="300"/>
      <c r="L343" s="300"/>
      <c r="M343" s="300"/>
      <c r="N343" s="300"/>
      <c r="O343" s="300"/>
      <c r="P343" s="300"/>
      <c r="Q343" s="300"/>
      <c r="R343" s="300"/>
      <c r="S343" s="300"/>
      <c r="T343" s="300"/>
      <c r="U343" s="300"/>
      <c r="V343" s="300"/>
      <c r="W343" s="300"/>
      <c r="X343" s="300"/>
      <c r="Y343" s="300"/>
      <c r="Z343" s="300"/>
      <c r="AA343" s="301"/>
    </row>
    <row r="344" spans="1:27">
      <c r="A344" s="319"/>
      <c r="B344" s="351"/>
      <c r="C344" s="381"/>
      <c r="D344" s="369"/>
      <c r="E344" s="369"/>
      <c r="F344" s="300"/>
      <c r="G344" s="300"/>
      <c r="H344" s="300"/>
      <c r="I344" s="300"/>
      <c r="J344" s="300"/>
      <c r="K344" s="300"/>
      <c r="L344" s="300"/>
      <c r="M344" s="300"/>
      <c r="N344" s="300"/>
      <c r="O344" s="300"/>
      <c r="P344" s="300"/>
      <c r="Q344" s="300"/>
      <c r="R344" s="300"/>
      <c r="S344" s="300"/>
      <c r="T344" s="300"/>
      <c r="U344" s="300"/>
      <c r="V344" s="300"/>
      <c r="W344" s="300"/>
      <c r="X344" s="300"/>
      <c r="Y344" s="300"/>
      <c r="Z344" s="300"/>
      <c r="AA344" s="301"/>
    </row>
    <row r="345" spans="1:27">
      <c r="A345" s="319"/>
      <c r="B345" s="351"/>
      <c r="C345" s="381"/>
      <c r="D345" s="369"/>
      <c r="E345" s="369"/>
      <c r="F345" s="300"/>
      <c r="G345" s="300"/>
      <c r="H345" s="300"/>
      <c r="I345" s="300"/>
      <c r="J345" s="300"/>
      <c r="K345" s="300"/>
      <c r="L345" s="300"/>
      <c r="M345" s="300"/>
      <c r="N345" s="300"/>
      <c r="O345" s="300"/>
      <c r="P345" s="300"/>
      <c r="Q345" s="300"/>
      <c r="R345" s="300"/>
      <c r="S345" s="300"/>
      <c r="T345" s="300"/>
      <c r="U345" s="300"/>
      <c r="V345" s="300"/>
      <c r="W345" s="300"/>
      <c r="X345" s="300"/>
      <c r="Y345" s="300"/>
      <c r="Z345" s="300"/>
      <c r="AA345" s="301"/>
    </row>
    <row r="346" spans="1:27">
      <c r="A346" s="319"/>
      <c r="B346" s="351"/>
      <c r="C346" s="381"/>
      <c r="D346" s="369"/>
      <c r="E346" s="369"/>
      <c r="F346" s="300"/>
      <c r="G346" s="300"/>
      <c r="H346" s="300"/>
      <c r="I346" s="300"/>
      <c r="J346" s="300"/>
      <c r="K346" s="300"/>
      <c r="L346" s="300"/>
      <c r="M346" s="300"/>
      <c r="N346" s="300"/>
      <c r="O346" s="300"/>
      <c r="P346" s="300"/>
      <c r="Q346" s="300"/>
      <c r="R346" s="300"/>
      <c r="S346" s="300"/>
      <c r="T346" s="300"/>
      <c r="U346" s="300"/>
      <c r="V346" s="300"/>
      <c r="W346" s="300"/>
      <c r="X346" s="300"/>
      <c r="Y346" s="300"/>
      <c r="Z346" s="300"/>
      <c r="AA346" s="301"/>
    </row>
    <row r="347" spans="1:27">
      <c r="A347" s="319"/>
      <c r="B347" s="351"/>
      <c r="C347" s="381"/>
      <c r="D347" s="369"/>
      <c r="E347" s="369"/>
      <c r="F347" s="300"/>
      <c r="G347" s="300"/>
      <c r="H347" s="300"/>
      <c r="I347" s="300"/>
      <c r="J347" s="300"/>
      <c r="K347" s="300"/>
      <c r="L347" s="300"/>
      <c r="M347" s="300"/>
      <c r="N347" s="300"/>
      <c r="O347" s="300"/>
      <c r="P347" s="300"/>
      <c r="Q347" s="300"/>
      <c r="R347" s="300"/>
      <c r="S347" s="300"/>
      <c r="T347" s="300"/>
      <c r="U347" s="300"/>
      <c r="V347" s="300"/>
      <c r="W347" s="300"/>
      <c r="X347" s="300"/>
      <c r="Y347" s="300"/>
      <c r="Z347" s="300"/>
      <c r="AA347" s="301"/>
    </row>
    <row r="348" spans="1:27">
      <c r="A348" s="319"/>
      <c r="B348" s="351"/>
      <c r="C348" s="381"/>
      <c r="D348" s="369"/>
      <c r="E348" s="369"/>
      <c r="F348" s="300"/>
      <c r="G348" s="300"/>
      <c r="H348" s="300"/>
      <c r="I348" s="300"/>
      <c r="J348" s="300"/>
      <c r="K348" s="300"/>
      <c r="L348" s="300"/>
      <c r="M348" s="300"/>
      <c r="N348" s="300"/>
      <c r="O348" s="300"/>
      <c r="P348" s="300"/>
      <c r="Q348" s="300"/>
      <c r="R348" s="300"/>
      <c r="S348" s="300"/>
      <c r="T348" s="300"/>
      <c r="U348" s="300"/>
      <c r="V348" s="300"/>
      <c r="W348" s="300"/>
      <c r="X348" s="300"/>
      <c r="Y348" s="300"/>
      <c r="Z348" s="300"/>
      <c r="AA348" s="301"/>
    </row>
    <row r="349" spans="1:27">
      <c r="A349" s="319"/>
      <c r="B349" s="351"/>
      <c r="C349" s="381"/>
      <c r="D349" s="369"/>
      <c r="E349" s="369"/>
      <c r="F349" s="300"/>
      <c r="G349" s="300"/>
      <c r="H349" s="300"/>
      <c r="I349" s="300"/>
      <c r="J349" s="300"/>
      <c r="K349" s="300"/>
      <c r="L349" s="300"/>
      <c r="M349" s="300"/>
      <c r="N349" s="300"/>
      <c r="O349" s="300"/>
      <c r="P349" s="300"/>
      <c r="Q349" s="300"/>
      <c r="R349" s="300"/>
      <c r="S349" s="300"/>
      <c r="T349" s="300"/>
      <c r="U349" s="300"/>
      <c r="V349" s="300"/>
      <c r="W349" s="300"/>
      <c r="X349" s="300"/>
      <c r="Y349" s="300"/>
      <c r="Z349" s="300"/>
      <c r="AA349" s="301"/>
    </row>
    <row r="350" spans="1:27">
      <c r="A350" s="319"/>
      <c r="B350" s="351"/>
      <c r="C350" s="381"/>
      <c r="D350" s="369"/>
      <c r="E350" s="369"/>
      <c r="F350" s="300"/>
      <c r="G350" s="300"/>
      <c r="H350" s="300"/>
      <c r="I350" s="300"/>
      <c r="J350" s="300"/>
      <c r="K350" s="300"/>
      <c r="L350" s="300"/>
      <c r="M350" s="300"/>
      <c r="N350" s="300"/>
      <c r="O350" s="300"/>
      <c r="P350" s="300"/>
      <c r="Q350" s="300"/>
      <c r="R350" s="300"/>
      <c r="S350" s="300"/>
      <c r="T350" s="300"/>
      <c r="U350" s="300"/>
      <c r="V350" s="300"/>
      <c r="W350" s="300"/>
      <c r="X350" s="300"/>
      <c r="Y350" s="300"/>
      <c r="Z350" s="300"/>
      <c r="AA350" s="301"/>
    </row>
    <row r="351" spans="1:27">
      <c r="A351" s="319"/>
      <c r="B351" s="351"/>
      <c r="C351" s="381"/>
      <c r="D351" s="369"/>
      <c r="E351" s="369"/>
      <c r="F351" s="300"/>
      <c r="G351" s="300"/>
      <c r="H351" s="300"/>
      <c r="I351" s="300"/>
      <c r="J351" s="300"/>
      <c r="K351" s="300"/>
      <c r="L351" s="300"/>
      <c r="M351" s="300"/>
      <c r="N351" s="300"/>
      <c r="O351" s="300"/>
      <c r="P351" s="300"/>
      <c r="Q351" s="300"/>
      <c r="R351" s="300"/>
      <c r="S351" s="300"/>
      <c r="T351" s="300"/>
      <c r="U351" s="300"/>
      <c r="V351" s="300"/>
      <c r="W351" s="300"/>
      <c r="X351" s="300"/>
      <c r="Y351" s="300"/>
      <c r="Z351" s="300"/>
      <c r="AA351" s="301"/>
    </row>
    <row r="352" spans="1:27">
      <c r="A352" s="319"/>
      <c r="B352" s="351"/>
      <c r="C352" s="381"/>
      <c r="D352" s="369"/>
      <c r="E352" s="369"/>
      <c r="F352" s="300"/>
      <c r="G352" s="300"/>
      <c r="H352" s="300"/>
      <c r="I352" s="300"/>
      <c r="J352" s="300"/>
      <c r="K352" s="300"/>
      <c r="L352" s="300"/>
      <c r="M352" s="300"/>
      <c r="N352" s="300"/>
      <c r="O352" s="300"/>
      <c r="P352" s="300"/>
      <c r="Q352" s="300"/>
      <c r="R352" s="300"/>
      <c r="S352" s="300"/>
      <c r="T352" s="300"/>
      <c r="U352" s="300"/>
      <c r="V352" s="300"/>
      <c r="W352" s="300"/>
      <c r="X352" s="300"/>
      <c r="Y352" s="300"/>
      <c r="Z352" s="300"/>
      <c r="AA352" s="301"/>
    </row>
    <row r="353" spans="1:27">
      <c r="A353" s="319"/>
      <c r="B353" s="351"/>
      <c r="C353" s="381"/>
      <c r="D353" s="369"/>
      <c r="E353" s="369"/>
      <c r="F353" s="300"/>
      <c r="G353" s="300"/>
      <c r="H353" s="300"/>
      <c r="I353" s="300"/>
      <c r="J353" s="300"/>
      <c r="K353" s="300"/>
      <c r="L353" s="300"/>
      <c r="M353" s="300"/>
      <c r="N353" s="300"/>
      <c r="O353" s="300"/>
      <c r="P353" s="300"/>
      <c r="Q353" s="300"/>
      <c r="R353" s="300"/>
      <c r="S353" s="300"/>
      <c r="T353" s="300"/>
      <c r="U353" s="300"/>
      <c r="V353" s="300"/>
      <c r="W353" s="300"/>
      <c r="X353" s="300"/>
      <c r="Y353" s="300"/>
      <c r="Z353" s="300"/>
      <c r="AA353" s="301"/>
    </row>
    <row r="354" spans="1:27">
      <c r="A354" s="319"/>
      <c r="B354" s="351"/>
      <c r="C354" s="381"/>
      <c r="D354" s="369"/>
      <c r="E354" s="369"/>
      <c r="F354" s="300"/>
      <c r="G354" s="300"/>
      <c r="H354" s="300"/>
      <c r="I354" s="300"/>
      <c r="J354" s="300"/>
      <c r="K354" s="300"/>
      <c r="L354" s="300"/>
      <c r="M354" s="300"/>
      <c r="N354" s="300"/>
      <c r="O354" s="300"/>
      <c r="P354" s="300"/>
      <c r="Q354" s="300"/>
      <c r="R354" s="300"/>
      <c r="S354" s="300"/>
      <c r="T354" s="300"/>
      <c r="U354" s="300"/>
      <c r="V354" s="300"/>
      <c r="W354" s="300"/>
      <c r="X354" s="300"/>
      <c r="Y354" s="300"/>
      <c r="Z354" s="300"/>
      <c r="AA354" s="301"/>
    </row>
    <row r="355" spans="1:27">
      <c r="A355" s="319"/>
      <c r="B355" s="351"/>
      <c r="C355" s="381"/>
      <c r="D355" s="369"/>
      <c r="E355" s="369"/>
      <c r="F355" s="300"/>
      <c r="G355" s="300"/>
      <c r="H355" s="300"/>
      <c r="I355" s="300"/>
      <c r="J355" s="300"/>
      <c r="K355" s="300"/>
      <c r="L355" s="300"/>
      <c r="M355" s="300"/>
      <c r="N355" s="300"/>
      <c r="O355" s="300"/>
      <c r="P355" s="300"/>
      <c r="Q355" s="300"/>
      <c r="R355" s="300"/>
      <c r="S355" s="300"/>
      <c r="T355" s="300"/>
      <c r="U355" s="300"/>
      <c r="V355" s="300"/>
      <c r="W355" s="300"/>
      <c r="X355" s="300"/>
      <c r="Y355" s="300"/>
      <c r="Z355" s="300"/>
      <c r="AA355" s="301"/>
    </row>
    <row r="356" spans="1:27">
      <c r="A356" s="319"/>
      <c r="B356" s="351"/>
      <c r="C356" s="381"/>
      <c r="D356" s="369"/>
      <c r="E356" s="369"/>
      <c r="F356" s="300"/>
      <c r="G356" s="300"/>
      <c r="H356" s="300"/>
      <c r="I356" s="300"/>
      <c r="J356" s="300"/>
      <c r="K356" s="300"/>
      <c r="L356" s="300"/>
      <c r="M356" s="300"/>
      <c r="N356" s="300"/>
      <c r="O356" s="300"/>
      <c r="P356" s="300"/>
      <c r="Q356" s="300"/>
      <c r="R356" s="300"/>
      <c r="S356" s="300"/>
      <c r="T356" s="300"/>
      <c r="U356" s="300"/>
      <c r="V356" s="300"/>
      <c r="W356" s="300"/>
      <c r="X356" s="300"/>
      <c r="Y356" s="300"/>
      <c r="Z356" s="300"/>
      <c r="AA356" s="301"/>
    </row>
    <row r="357" spans="1:27">
      <c r="A357" s="319"/>
      <c r="B357" s="351"/>
      <c r="C357" s="381"/>
      <c r="D357" s="369"/>
      <c r="E357" s="369"/>
      <c r="F357" s="300"/>
      <c r="G357" s="300"/>
      <c r="H357" s="300"/>
      <c r="I357" s="300"/>
      <c r="J357" s="300"/>
      <c r="K357" s="300"/>
      <c r="L357" s="300"/>
      <c r="M357" s="300"/>
      <c r="N357" s="300"/>
      <c r="O357" s="300"/>
      <c r="P357" s="300"/>
      <c r="Q357" s="300"/>
      <c r="R357" s="300"/>
      <c r="S357" s="300"/>
      <c r="T357" s="300"/>
      <c r="U357" s="300"/>
      <c r="V357" s="300"/>
      <c r="W357" s="300"/>
      <c r="X357" s="300"/>
      <c r="Y357" s="300"/>
      <c r="Z357" s="300"/>
      <c r="AA357" s="301"/>
    </row>
    <row r="358" spans="1:27">
      <c r="A358" s="319"/>
      <c r="B358" s="351"/>
      <c r="C358" s="381"/>
      <c r="D358" s="369"/>
      <c r="E358" s="369"/>
      <c r="F358" s="300"/>
      <c r="G358" s="300"/>
      <c r="H358" s="300"/>
      <c r="I358" s="300"/>
      <c r="J358" s="300"/>
      <c r="K358" s="300"/>
      <c r="L358" s="300"/>
      <c r="M358" s="300"/>
      <c r="N358" s="300"/>
      <c r="O358" s="300"/>
      <c r="P358" s="300"/>
      <c r="Q358" s="300"/>
      <c r="R358" s="300"/>
      <c r="S358" s="300"/>
      <c r="T358" s="300"/>
      <c r="U358" s="300"/>
      <c r="V358" s="300"/>
      <c r="W358" s="300"/>
      <c r="X358" s="300"/>
      <c r="Y358" s="300"/>
      <c r="Z358" s="300"/>
      <c r="AA358" s="301"/>
    </row>
    <row r="359" spans="1:27">
      <c r="A359" s="319"/>
      <c r="B359" s="351"/>
      <c r="C359" s="381"/>
      <c r="D359" s="369"/>
      <c r="E359" s="369"/>
      <c r="F359" s="300"/>
      <c r="G359" s="300"/>
      <c r="H359" s="300"/>
      <c r="I359" s="300"/>
      <c r="J359" s="300"/>
      <c r="K359" s="300"/>
      <c r="L359" s="300"/>
      <c r="M359" s="300"/>
      <c r="N359" s="300"/>
      <c r="O359" s="300"/>
      <c r="P359" s="300"/>
      <c r="Q359" s="300"/>
      <c r="R359" s="300"/>
      <c r="S359" s="300"/>
      <c r="T359" s="300"/>
      <c r="U359" s="300"/>
      <c r="V359" s="300"/>
      <c r="W359" s="300"/>
      <c r="X359" s="300"/>
      <c r="Y359" s="300"/>
      <c r="Z359" s="300"/>
      <c r="AA359" s="301"/>
    </row>
    <row r="360" spans="1:27">
      <c r="A360" s="319"/>
      <c r="B360" s="351"/>
      <c r="C360" s="381"/>
      <c r="D360" s="369"/>
      <c r="E360" s="369"/>
      <c r="F360" s="300"/>
      <c r="G360" s="300"/>
      <c r="H360" s="300"/>
      <c r="I360" s="300"/>
      <c r="J360" s="300"/>
      <c r="K360" s="300"/>
      <c r="L360" s="300"/>
      <c r="M360" s="300"/>
      <c r="N360" s="300"/>
      <c r="O360" s="300"/>
      <c r="P360" s="300"/>
      <c r="Q360" s="300"/>
      <c r="R360" s="300"/>
      <c r="S360" s="300"/>
      <c r="T360" s="300"/>
      <c r="U360" s="300"/>
      <c r="V360" s="300"/>
      <c r="W360" s="300"/>
      <c r="X360" s="300"/>
      <c r="Y360" s="300"/>
      <c r="Z360" s="300"/>
      <c r="AA360" s="301"/>
    </row>
    <row r="361" spans="1:27">
      <c r="A361" s="319"/>
      <c r="B361" s="351"/>
      <c r="C361" s="381"/>
      <c r="D361" s="369"/>
      <c r="E361" s="369"/>
      <c r="F361" s="300"/>
      <c r="G361" s="300"/>
      <c r="H361" s="300"/>
      <c r="I361" s="300"/>
      <c r="J361" s="300"/>
      <c r="K361" s="300"/>
      <c r="L361" s="300"/>
      <c r="M361" s="300"/>
      <c r="N361" s="300"/>
      <c r="O361" s="300"/>
      <c r="P361" s="300"/>
      <c r="Q361" s="300"/>
      <c r="R361" s="300"/>
      <c r="S361" s="300"/>
      <c r="T361" s="300"/>
      <c r="U361" s="300"/>
      <c r="V361" s="300"/>
      <c r="W361" s="300"/>
      <c r="X361" s="300"/>
      <c r="Y361" s="300"/>
      <c r="Z361" s="300"/>
      <c r="AA361" s="301"/>
    </row>
    <row r="362" spans="1:27">
      <c r="A362" s="319"/>
      <c r="B362" s="351"/>
      <c r="C362" s="381"/>
      <c r="D362" s="369"/>
      <c r="E362" s="369"/>
      <c r="F362" s="300"/>
      <c r="G362" s="300"/>
      <c r="H362" s="300"/>
      <c r="I362" s="300"/>
      <c r="J362" s="300"/>
      <c r="K362" s="300"/>
      <c r="L362" s="300"/>
      <c r="M362" s="300"/>
      <c r="N362" s="300"/>
      <c r="O362" s="300"/>
      <c r="P362" s="300"/>
      <c r="Q362" s="300"/>
      <c r="R362" s="300"/>
      <c r="S362" s="300"/>
      <c r="T362" s="300"/>
      <c r="U362" s="300"/>
      <c r="V362" s="300"/>
      <c r="W362" s="300"/>
      <c r="X362" s="300"/>
      <c r="Y362" s="300"/>
      <c r="Z362" s="300"/>
      <c r="AA362" s="301"/>
    </row>
    <row r="363" spans="1:27">
      <c r="A363" s="319"/>
      <c r="B363" s="351"/>
      <c r="C363" s="381"/>
      <c r="D363" s="369"/>
      <c r="E363" s="369"/>
      <c r="F363" s="300"/>
      <c r="G363" s="300"/>
      <c r="H363" s="300"/>
      <c r="I363" s="300"/>
      <c r="J363" s="300"/>
      <c r="K363" s="300"/>
      <c r="L363" s="300"/>
      <c r="M363" s="300"/>
      <c r="N363" s="300"/>
      <c r="O363" s="300"/>
      <c r="P363" s="300"/>
      <c r="Q363" s="300"/>
      <c r="R363" s="300"/>
      <c r="S363" s="300"/>
      <c r="T363" s="300"/>
      <c r="U363" s="300"/>
      <c r="V363" s="300"/>
      <c r="W363" s="300"/>
      <c r="X363" s="300"/>
      <c r="Y363" s="300"/>
      <c r="Z363" s="300"/>
      <c r="AA363" s="301"/>
    </row>
    <row r="364" spans="1:27">
      <c r="A364" s="319"/>
      <c r="B364" s="351"/>
      <c r="C364" s="381"/>
      <c r="D364" s="369"/>
      <c r="E364" s="369"/>
      <c r="F364" s="300"/>
      <c r="G364" s="300"/>
      <c r="H364" s="300"/>
      <c r="I364" s="300"/>
      <c r="J364" s="300"/>
      <c r="K364" s="300"/>
      <c r="L364" s="300"/>
      <c r="M364" s="300"/>
      <c r="N364" s="300"/>
      <c r="O364" s="300"/>
      <c r="P364" s="300"/>
      <c r="Q364" s="300"/>
      <c r="R364" s="300"/>
      <c r="S364" s="300"/>
      <c r="T364" s="300"/>
      <c r="U364" s="300"/>
      <c r="V364" s="300"/>
      <c r="W364" s="300"/>
      <c r="X364" s="300"/>
      <c r="Y364" s="300"/>
      <c r="Z364" s="300"/>
      <c r="AA364" s="301"/>
    </row>
    <row r="365" spans="1:27">
      <c r="A365" s="319"/>
      <c r="B365" s="351"/>
      <c r="C365" s="381"/>
      <c r="D365" s="369"/>
      <c r="E365" s="369"/>
      <c r="F365" s="300"/>
      <c r="G365" s="300"/>
      <c r="H365" s="300"/>
      <c r="I365" s="300"/>
      <c r="J365" s="300"/>
      <c r="K365" s="300"/>
      <c r="L365" s="300"/>
      <c r="M365" s="300"/>
      <c r="N365" s="300"/>
      <c r="O365" s="300"/>
      <c r="P365" s="300"/>
      <c r="Q365" s="300"/>
      <c r="R365" s="300"/>
      <c r="S365" s="300"/>
      <c r="T365" s="300"/>
      <c r="U365" s="300"/>
      <c r="V365" s="300"/>
      <c r="W365" s="300"/>
      <c r="X365" s="300"/>
      <c r="Y365" s="300"/>
      <c r="Z365" s="300"/>
      <c r="AA365" s="301"/>
    </row>
    <row r="366" spans="1:27">
      <c r="A366" s="319"/>
      <c r="B366" s="351"/>
      <c r="C366" s="381"/>
      <c r="D366" s="369"/>
      <c r="E366" s="369"/>
      <c r="F366" s="300"/>
      <c r="G366" s="300"/>
      <c r="H366" s="300"/>
      <c r="I366" s="300"/>
      <c r="J366" s="300"/>
      <c r="K366" s="300"/>
      <c r="L366" s="300"/>
      <c r="M366" s="300"/>
      <c r="N366" s="300"/>
      <c r="O366" s="300"/>
      <c r="P366" s="300"/>
      <c r="Q366" s="300"/>
      <c r="R366" s="300"/>
      <c r="S366" s="300"/>
      <c r="T366" s="300"/>
      <c r="U366" s="300"/>
      <c r="V366" s="300"/>
      <c r="W366" s="300"/>
      <c r="X366" s="300"/>
      <c r="Y366" s="300"/>
      <c r="Z366" s="300"/>
      <c r="AA366" s="301"/>
    </row>
    <row r="367" spans="1:27">
      <c r="A367" s="319"/>
      <c r="B367" s="351"/>
      <c r="C367" s="381"/>
      <c r="D367" s="369"/>
      <c r="E367" s="369"/>
      <c r="F367" s="300"/>
      <c r="G367" s="300"/>
      <c r="H367" s="300"/>
      <c r="I367" s="300"/>
      <c r="J367" s="300"/>
      <c r="K367" s="300"/>
      <c r="L367" s="300"/>
      <c r="M367" s="300"/>
      <c r="N367" s="300"/>
      <c r="O367" s="300"/>
      <c r="P367" s="300"/>
      <c r="Q367" s="300"/>
      <c r="R367" s="300"/>
      <c r="S367" s="300"/>
      <c r="T367" s="300"/>
      <c r="U367" s="300"/>
      <c r="V367" s="300"/>
      <c r="W367" s="300"/>
      <c r="X367" s="300"/>
      <c r="Y367" s="300"/>
      <c r="Z367" s="300"/>
      <c r="AA367" s="301"/>
    </row>
    <row r="368" spans="1:27">
      <c r="A368" s="319"/>
      <c r="B368" s="351"/>
      <c r="C368" s="381"/>
      <c r="D368" s="369"/>
      <c r="E368" s="369"/>
      <c r="F368" s="300"/>
      <c r="G368" s="300"/>
      <c r="H368" s="300"/>
      <c r="I368" s="300"/>
      <c r="J368" s="300"/>
      <c r="K368" s="300"/>
      <c r="L368" s="300"/>
      <c r="M368" s="300"/>
      <c r="N368" s="300"/>
      <c r="O368" s="300"/>
      <c r="P368" s="300"/>
      <c r="Q368" s="300"/>
      <c r="R368" s="300"/>
      <c r="S368" s="300"/>
      <c r="T368" s="300"/>
      <c r="U368" s="300"/>
      <c r="V368" s="300"/>
      <c r="W368" s="300"/>
      <c r="X368" s="300"/>
      <c r="Y368" s="300"/>
      <c r="Z368" s="300"/>
      <c r="AA368" s="301"/>
    </row>
    <row r="369" spans="1:27">
      <c r="A369" s="319"/>
      <c r="B369" s="351"/>
      <c r="C369" s="381"/>
      <c r="D369" s="369"/>
      <c r="E369" s="369"/>
      <c r="F369" s="300"/>
      <c r="G369" s="300"/>
      <c r="H369" s="300"/>
      <c r="I369" s="300"/>
      <c r="J369" s="300"/>
      <c r="K369" s="300"/>
      <c r="L369" s="300"/>
      <c r="M369" s="300"/>
      <c r="N369" s="300"/>
      <c r="O369" s="300"/>
      <c r="P369" s="300"/>
      <c r="Q369" s="300"/>
      <c r="R369" s="300"/>
      <c r="S369" s="300"/>
      <c r="T369" s="300"/>
      <c r="U369" s="300"/>
      <c r="V369" s="300"/>
      <c r="W369" s="300"/>
      <c r="X369" s="300"/>
      <c r="Y369" s="300"/>
      <c r="Z369" s="300"/>
      <c r="AA369" s="301"/>
    </row>
    <row r="370" spans="1:27">
      <c r="A370" s="319"/>
      <c r="B370" s="351"/>
      <c r="C370" s="381"/>
      <c r="D370" s="369"/>
      <c r="E370" s="369"/>
      <c r="F370" s="300"/>
      <c r="G370" s="300"/>
      <c r="H370" s="300"/>
      <c r="I370" s="300"/>
      <c r="J370" s="300"/>
      <c r="K370" s="300"/>
      <c r="L370" s="300"/>
      <c r="M370" s="300"/>
      <c r="N370" s="300"/>
      <c r="O370" s="300"/>
      <c r="P370" s="300"/>
      <c r="Q370" s="300"/>
      <c r="R370" s="300"/>
      <c r="S370" s="300"/>
      <c r="T370" s="300"/>
      <c r="U370" s="300"/>
      <c r="V370" s="300"/>
      <c r="W370" s="300"/>
      <c r="X370" s="300"/>
      <c r="Y370" s="300"/>
      <c r="Z370" s="300"/>
      <c r="AA370" s="301"/>
    </row>
    <row r="371" spans="1:27">
      <c r="A371" s="319"/>
      <c r="B371" s="351"/>
      <c r="C371" s="381"/>
      <c r="D371" s="369"/>
      <c r="E371" s="369"/>
      <c r="F371" s="300"/>
      <c r="G371" s="300"/>
      <c r="H371" s="300"/>
      <c r="I371" s="300"/>
      <c r="J371" s="300"/>
      <c r="K371" s="300"/>
      <c r="L371" s="300"/>
      <c r="M371" s="300"/>
      <c r="N371" s="300"/>
      <c r="O371" s="300"/>
      <c r="P371" s="300"/>
      <c r="Q371" s="300"/>
      <c r="R371" s="300"/>
      <c r="S371" s="300"/>
      <c r="T371" s="300"/>
      <c r="U371" s="300"/>
      <c r="V371" s="300"/>
      <c r="W371" s="300"/>
      <c r="X371" s="300"/>
      <c r="Y371" s="300"/>
      <c r="Z371" s="300"/>
      <c r="AA371" s="301"/>
    </row>
    <row r="372" spans="1:27">
      <c r="A372" s="319"/>
      <c r="B372" s="351"/>
      <c r="C372" s="381"/>
      <c r="D372" s="369"/>
      <c r="E372" s="369"/>
      <c r="F372" s="300"/>
      <c r="G372" s="300"/>
      <c r="H372" s="300"/>
      <c r="I372" s="300"/>
      <c r="J372" s="300"/>
      <c r="K372" s="300"/>
      <c r="L372" s="300"/>
      <c r="M372" s="300"/>
      <c r="N372" s="300"/>
      <c r="O372" s="300"/>
      <c r="P372" s="300"/>
      <c r="Q372" s="300"/>
      <c r="R372" s="300"/>
      <c r="S372" s="300"/>
      <c r="T372" s="300"/>
      <c r="U372" s="300"/>
      <c r="V372" s="300"/>
      <c r="W372" s="300"/>
      <c r="X372" s="300"/>
      <c r="Y372" s="300"/>
      <c r="Z372" s="300"/>
      <c r="AA372" s="301"/>
    </row>
    <row r="373" spans="1:27">
      <c r="A373" s="319"/>
      <c r="B373" s="351"/>
      <c r="C373" s="381"/>
      <c r="D373" s="369"/>
      <c r="E373" s="369"/>
      <c r="F373" s="300"/>
      <c r="G373" s="300"/>
      <c r="H373" s="300"/>
      <c r="I373" s="300"/>
      <c r="J373" s="300"/>
      <c r="K373" s="300"/>
      <c r="L373" s="300"/>
      <c r="M373" s="300"/>
      <c r="N373" s="300"/>
      <c r="O373" s="300"/>
      <c r="P373" s="300"/>
      <c r="Q373" s="300"/>
      <c r="R373" s="300"/>
      <c r="S373" s="300"/>
      <c r="T373" s="300"/>
      <c r="U373" s="300"/>
      <c r="V373" s="300"/>
      <c r="W373" s="300"/>
      <c r="X373" s="300"/>
      <c r="Y373" s="300"/>
      <c r="Z373" s="300"/>
      <c r="AA373" s="301"/>
    </row>
    <row r="374" spans="1:27">
      <c r="A374" s="319"/>
      <c r="B374" s="351"/>
      <c r="C374" s="381"/>
      <c r="D374" s="369"/>
      <c r="E374" s="369"/>
      <c r="F374" s="300"/>
      <c r="G374" s="300"/>
      <c r="H374" s="300"/>
      <c r="I374" s="300"/>
      <c r="J374" s="300"/>
      <c r="K374" s="300"/>
      <c r="L374" s="300"/>
      <c r="M374" s="300"/>
      <c r="N374" s="300"/>
      <c r="O374" s="300"/>
      <c r="P374" s="300"/>
      <c r="Q374" s="300"/>
      <c r="R374" s="300"/>
      <c r="S374" s="300"/>
      <c r="T374" s="300"/>
      <c r="U374" s="300"/>
      <c r="V374" s="300"/>
      <c r="W374" s="300"/>
      <c r="X374" s="300"/>
      <c r="Y374" s="300"/>
      <c r="Z374" s="300"/>
      <c r="AA374" s="301"/>
    </row>
    <row r="375" spans="1:27">
      <c r="A375" s="319"/>
      <c r="B375" s="351"/>
      <c r="C375" s="381"/>
      <c r="D375" s="369"/>
      <c r="E375" s="369"/>
      <c r="F375" s="300"/>
      <c r="G375" s="300"/>
      <c r="H375" s="300"/>
      <c r="I375" s="300"/>
      <c r="J375" s="300"/>
      <c r="K375" s="300"/>
      <c r="L375" s="300"/>
      <c r="M375" s="300"/>
      <c r="N375" s="300"/>
      <c r="O375" s="300"/>
      <c r="P375" s="300"/>
      <c r="Q375" s="300"/>
      <c r="R375" s="300"/>
      <c r="S375" s="300"/>
      <c r="T375" s="300"/>
      <c r="U375" s="300"/>
      <c r="V375" s="300"/>
      <c r="W375" s="300"/>
      <c r="X375" s="300"/>
      <c r="Y375" s="300"/>
      <c r="Z375" s="300"/>
      <c r="AA375" s="301"/>
    </row>
    <row r="376" spans="1:27">
      <c r="A376" s="319"/>
      <c r="B376" s="351"/>
      <c r="C376" s="381"/>
      <c r="D376" s="369"/>
      <c r="E376" s="369"/>
      <c r="F376" s="300"/>
      <c r="G376" s="300"/>
      <c r="H376" s="300"/>
      <c r="I376" s="300"/>
      <c r="J376" s="300"/>
      <c r="K376" s="300"/>
      <c r="L376" s="300"/>
      <c r="M376" s="300"/>
      <c r="N376" s="300"/>
      <c r="O376" s="300"/>
      <c r="P376" s="300"/>
      <c r="Q376" s="300"/>
      <c r="R376" s="300"/>
      <c r="S376" s="300"/>
      <c r="T376" s="300"/>
      <c r="U376" s="300"/>
      <c r="V376" s="300"/>
      <c r="W376" s="300"/>
      <c r="X376" s="300"/>
      <c r="Y376" s="300"/>
      <c r="Z376" s="300"/>
      <c r="AA376" s="301"/>
    </row>
    <row r="377" spans="1:27">
      <c r="A377" s="319"/>
      <c r="B377" s="351"/>
      <c r="C377" s="381"/>
      <c r="D377" s="369"/>
      <c r="E377" s="369"/>
      <c r="F377" s="300"/>
      <c r="G377" s="300"/>
      <c r="H377" s="300"/>
      <c r="I377" s="300"/>
      <c r="J377" s="300"/>
      <c r="K377" s="300"/>
      <c r="L377" s="300"/>
      <c r="M377" s="300"/>
      <c r="N377" s="300"/>
      <c r="O377" s="300"/>
      <c r="P377" s="300"/>
      <c r="Q377" s="300"/>
      <c r="R377" s="300"/>
      <c r="S377" s="300"/>
      <c r="T377" s="300"/>
      <c r="U377" s="300"/>
      <c r="V377" s="300"/>
      <c r="W377" s="300"/>
      <c r="X377" s="300"/>
      <c r="Y377" s="300"/>
      <c r="Z377" s="300"/>
      <c r="AA377" s="301"/>
    </row>
    <row r="378" spans="1:27">
      <c r="A378" s="319"/>
      <c r="B378" s="351"/>
      <c r="C378" s="381"/>
      <c r="D378" s="369"/>
      <c r="E378" s="369"/>
      <c r="F378" s="300"/>
      <c r="G378" s="300"/>
      <c r="H378" s="300"/>
      <c r="I378" s="300"/>
      <c r="J378" s="300"/>
      <c r="K378" s="300"/>
      <c r="L378" s="300"/>
      <c r="M378" s="300"/>
      <c r="N378" s="300"/>
      <c r="O378" s="300"/>
      <c r="P378" s="300"/>
      <c r="Q378" s="300"/>
      <c r="R378" s="300"/>
      <c r="S378" s="300"/>
      <c r="T378" s="300"/>
      <c r="U378" s="300"/>
      <c r="V378" s="300"/>
      <c r="W378" s="300"/>
      <c r="X378" s="300"/>
      <c r="Y378" s="300"/>
      <c r="Z378" s="300"/>
      <c r="AA378" s="301"/>
    </row>
    <row r="379" spans="1:27">
      <c r="A379" s="319"/>
      <c r="B379" s="351"/>
      <c r="C379" s="381"/>
      <c r="D379" s="369"/>
      <c r="E379" s="369"/>
      <c r="F379" s="300"/>
      <c r="G379" s="300"/>
      <c r="H379" s="300"/>
      <c r="I379" s="300"/>
      <c r="J379" s="300"/>
      <c r="K379" s="300"/>
      <c r="L379" s="300"/>
      <c r="M379" s="300"/>
      <c r="N379" s="300"/>
      <c r="O379" s="300"/>
      <c r="P379" s="300"/>
      <c r="Q379" s="300"/>
      <c r="R379" s="300"/>
      <c r="S379" s="300"/>
      <c r="T379" s="300"/>
      <c r="U379" s="300"/>
      <c r="V379" s="300"/>
      <c r="W379" s="300"/>
      <c r="X379" s="300"/>
      <c r="Y379" s="300"/>
      <c r="Z379" s="300"/>
      <c r="AA379" s="301"/>
    </row>
    <row r="380" spans="1:27">
      <c r="A380" s="319"/>
      <c r="B380" s="351"/>
      <c r="C380" s="381"/>
      <c r="D380" s="369"/>
      <c r="E380" s="369"/>
      <c r="F380" s="300"/>
      <c r="G380" s="300"/>
      <c r="H380" s="300"/>
      <c r="I380" s="300"/>
      <c r="J380" s="300"/>
      <c r="K380" s="300"/>
      <c r="L380" s="300"/>
      <c r="M380" s="300"/>
      <c r="N380" s="300"/>
      <c r="O380" s="300"/>
      <c r="P380" s="300"/>
      <c r="Q380" s="300"/>
      <c r="R380" s="300"/>
      <c r="S380" s="300"/>
      <c r="T380" s="300"/>
      <c r="U380" s="300"/>
      <c r="V380" s="300"/>
      <c r="W380" s="300"/>
      <c r="X380" s="300"/>
      <c r="Y380" s="300"/>
      <c r="Z380" s="300"/>
      <c r="AA380" s="301"/>
    </row>
    <row r="381" spans="1:27">
      <c r="A381" s="319"/>
      <c r="B381" s="351"/>
      <c r="C381" s="381"/>
      <c r="D381" s="369"/>
      <c r="E381" s="369"/>
      <c r="F381" s="300"/>
      <c r="G381" s="300"/>
      <c r="H381" s="300"/>
      <c r="I381" s="300"/>
      <c r="J381" s="300"/>
      <c r="K381" s="300"/>
      <c r="L381" s="300"/>
      <c r="M381" s="300"/>
      <c r="N381" s="300"/>
      <c r="O381" s="300"/>
      <c r="P381" s="300"/>
      <c r="Q381" s="300"/>
      <c r="R381" s="300"/>
      <c r="S381" s="300"/>
      <c r="T381" s="300"/>
      <c r="U381" s="300"/>
      <c r="V381" s="300"/>
      <c r="W381" s="300"/>
      <c r="X381" s="300"/>
      <c r="Y381" s="300"/>
      <c r="Z381" s="300"/>
      <c r="AA381" s="301"/>
    </row>
    <row r="382" spans="1:27">
      <c r="A382" s="319"/>
      <c r="B382" s="351"/>
      <c r="C382" s="381"/>
      <c r="D382" s="369"/>
      <c r="E382" s="369"/>
      <c r="F382" s="300"/>
      <c r="G382" s="300"/>
      <c r="H382" s="300"/>
      <c r="I382" s="300"/>
      <c r="J382" s="300"/>
      <c r="K382" s="300"/>
      <c r="L382" s="300"/>
      <c r="M382" s="300"/>
      <c r="N382" s="300"/>
      <c r="O382" s="300"/>
      <c r="P382" s="300"/>
      <c r="Q382" s="300"/>
      <c r="R382" s="300"/>
      <c r="S382" s="300"/>
      <c r="T382" s="300"/>
      <c r="U382" s="300"/>
      <c r="V382" s="300"/>
      <c r="W382" s="300"/>
      <c r="X382" s="300"/>
      <c r="Y382" s="300"/>
      <c r="Z382" s="300"/>
      <c r="AA382" s="301"/>
    </row>
    <row r="383" spans="1:27">
      <c r="A383" s="319"/>
      <c r="B383" s="351"/>
      <c r="C383" s="381"/>
      <c r="D383" s="369"/>
      <c r="E383" s="369"/>
      <c r="F383" s="300"/>
      <c r="G383" s="300"/>
      <c r="H383" s="300"/>
      <c r="I383" s="300"/>
      <c r="J383" s="300"/>
      <c r="K383" s="300"/>
      <c r="L383" s="300"/>
      <c r="M383" s="300"/>
      <c r="N383" s="300"/>
      <c r="O383" s="300"/>
      <c r="P383" s="300"/>
      <c r="Q383" s="300"/>
      <c r="R383" s="300"/>
      <c r="S383" s="300"/>
      <c r="T383" s="300"/>
      <c r="U383" s="300"/>
      <c r="V383" s="300"/>
      <c r="W383" s="300"/>
      <c r="X383" s="300"/>
      <c r="Y383" s="300"/>
      <c r="Z383" s="300"/>
      <c r="AA383" s="301"/>
    </row>
    <row r="384" spans="1:27">
      <c r="A384" s="319"/>
      <c r="B384" s="351"/>
      <c r="C384" s="381"/>
      <c r="D384" s="369"/>
      <c r="E384" s="369"/>
      <c r="F384" s="300"/>
      <c r="G384" s="300"/>
      <c r="H384" s="300"/>
      <c r="I384" s="300"/>
      <c r="J384" s="300"/>
      <c r="K384" s="300"/>
      <c r="L384" s="300"/>
      <c r="M384" s="300"/>
      <c r="N384" s="300"/>
      <c r="O384" s="300"/>
      <c r="P384" s="300"/>
      <c r="Q384" s="300"/>
      <c r="R384" s="300"/>
      <c r="S384" s="300"/>
      <c r="T384" s="300"/>
      <c r="U384" s="300"/>
      <c r="V384" s="300"/>
      <c r="W384" s="300"/>
      <c r="X384" s="300"/>
      <c r="Y384" s="300"/>
      <c r="Z384" s="300"/>
      <c r="AA384" s="301"/>
    </row>
    <row r="385" spans="1:27">
      <c r="A385" s="319"/>
      <c r="B385" s="351"/>
      <c r="C385" s="381"/>
      <c r="D385" s="369"/>
      <c r="E385" s="369"/>
      <c r="F385" s="300"/>
      <c r="G385" s="300"/>
      <c r="H385" s="300"/>
      <c r="I385" s="300"/>
      <c r="J385" s="300"/>
      <c r="K385" s="300"/>
      <c r="L385" s="300"/>
      <c r="M385" s="300"/>
      <c r="N385" s="300"/>
      <c r="O385" s="300"/>
      <c r="P385" s="300"/>
      <c r="Q385" s="300"/>
      <c r="R385" s="300"/>
      <c r="S385" s="300"/>
      <c r="T385" s="300"/>
      <c r="U385" s="300"/>
      <c r="V385" s="300"/>
      <c r="W385" s="300"/>
      <c r="X385" s="300"/>
      <c r="Y385" s="300"/>
      <c r="Z385" s="300"/>
      <c r="AA385" s="301"/>
    </row>
    <row r="386" spans="1:27">
      <c r="A386" s="319"/>
      <c r="B386" s="351"/>
      <c r="C386" s="381"/>
      <c r="D386" s="369"/>
      <c r="E386" s="369"/>
      <c r="F386" s="300"/>
      <c r="G386" s="300"/>
      <c r="H386" s="300"/>
      <c r="I386" s="300"/>
      <c r="J386" s="300"/>
      <c r="K386" s="300"/>
      <c r="L386" s="300"/>
      <c r="M386" s="300"/>
      <c r="N386" s="300"/>
      <c r="O386" s="300"/>
      <c r="P386" s="300"/>
      <c r="Q386" s="300"/>
      <c r="R386" s="300"/>
      <c r="S386" s="300"/>
      <c r="T386" s="300"/>
      <c r="U386" s="300"/>
      <c r="V386" s="300"/>
      <c r="W386" s="300"/>
      <c r="X386" s="300"/>
      <c r="Y386" s="300"/>
      <c r="Z386" s="300"/>
      <c r="AA386" s="301"/>
    </row>
    <row r="387" spans="1:27">
      <c r="A387" s="319"/>
      <c r="B387" s="351"/>
      <c r="C387" s="381"/>
      <c r="D387" s="369"/>
      <c r="E387" s="369"/>
      <c r="F387" s="300"/>
      <c r="G387" s="300"/>
      <c r="H387" s="300"/>
      <c r="I387" s="300"/>
      <c r="J387" s="300"/>
      <c r="K387" s="300"/>
      <c r="L387" s="300"/>
      <c r="M387" s="300"/>
      <c r="N387" s="300"/>
      <c r="O387" s="300"/>
      <c r="P387" s="300"/>
      <c r="Q387" s="300"/>
      <c r="R387" s="300"/>
      <c r="S387" s="300"/>
      <c r="T387" s="300"/>
      <c r="U387" s="300"/>
      <c r="V387" s="300"/>
      <c r="W387" s="300"/>
      <c r="X387" s="300"/>
      <c r="Y387" s="300"/>
      <c r="Z387" s="300"/>
      <c r="AA387" s="301"/>
    </row>
    <row r="388" spans="1:27">
      <c r="A388" s="319"/>
      <c r="B388" s="351"/>
      <c r="C388" s="381"/>
      <c r="D388" s="369"/>
      <c r="E388" s="369"/>
      <c r="F388" s="300"/>
      <c r="G388" s="300"/>
      <c r="H388" s="300"/>
      <c r="I388" s="300"/>
      <c r="J388" s="300"/>
      <c r="K388" s="300"/>
      <c r="L388" s="300"/>
      <c r="M388" s="300"/>
      <c r="N388" s="300"/>
      <c r="O388" s="300"/>
      <c r="P388" s="300"/>
      <c r="Q388" s="300"/>
      <c r="R388" s="300"/>
      <c r="S388" s="300"/>
      <c r="T388" s="300"/>
      <c r="U388" s="300"/>
      <c r="V388" s="300"/>
      <c r="W388" s="300"/>
      <c r="X388" s="300"/>
      <c r="Y388" s="300"/>
      <c r="Z388" s="300"/>
      <c r="AA388" s="301"/>
    </row>
    <row r="389" spans="1:27">
      <c r="A389" s="319"/>
      <c r="B389" s="351"/>
      <c r="C389" s="381"/>
      <c r="D389" s="369"/>
      <c r="E389" s="369"/>
      <c r="F389" s="300"/>
      <c r="G389" s="300"/>
      <c r="H389" s="300"/>
      <c r="I389" s="300"/>
      <c r="J389" s="300"/>
      <c r="K389" s="300"/>
      <c r="L389" s="300"/>
      <c r="M389" s="300"/>
      <c r="N389" s="300"/>
      <c r="O389" s="300"/>
      <c r="P389" s="300"/>
      <c r="Q389" s="300"/>
      <c r="R389" s="300"/>
      <c r="S389" s="300"/>
      <c r="T389" s="300"/>
      <c r="U389" s="300"/>
      <c r="V389" s="300"/>
      <c r="W389" s="300"/>
      <c r="X389" s="300"/>
      <c r="Y389" s="300"/>
      <c r="Z389" s="300"/>
      <c r="AA389" s="301"/>
    </row>
    <row r="390" spans="1:27">
      <c r="A390" s="319"/>
      <c r="B390" s="351"/>
      <c r="C390" s="381"/>
      <c r="D390" s="369"/>
      <c r="E390" s="369"/>
      <c r="F390" s="300"/>
      <c r="G390" s="300"/>
      <c r="H390" s="300"/>
      <c r="I390" s="300"/>
      <c r="J390" s="300"/>
      <c r="K390" s="300"/>
      <c r="L390" s="300"/>
      <c r="M390" s="300"/>
      <c r="N390" s="300"/>
      <c r="O390" s="300"/>
      <c r="P390" s="300"/>
      <c r="Q390" s="300"/>
      <c r="R390" s="300"/>
      <c r="S390" s="300"/>
      <c r="T390" s="300"/>
      <c r="U390" s="300"/>
      <c r="V390" s="300"/>
      <c r="W390" s="300"/>
      <c r="X390" s="300"/>
      <c r="Y390" s="300"/>
      <c r="Z390" s="300"/>
      <c r="AA390" s="301"/>
    </row>
    <row r="391" spans="1:27">
      <c r="A391" s="319"/>
      <c r="B391" s="351"/>
      <c r="C391" s="381"/>
      <c r="D391" s="369"/>
      <c r="E391" s="369"/>
      <c r="F391" s="300"/>
      <c r="G391" s="300"/>
      <c r="H391" s="300"/>
      <c r="I391" s="300"/>
      <c r="J391" s="300"/>
      <c r="K391" s="300"/>
      <c r="L391" s="300"/>
      <c r="M391" s="300"/>
      <c r="N391" s="300"/>
      <c r="O391" s="300"/>
      <c r="P391" s="300"/>
      <c r="Q391" s="300"/>
      <c r="R391" s="300"/>
      <c r="S391" s="300"/>
      <c r="T391" s="300"/>
      <c r="U391" s="300"/>
      <c r="V391" s="300"/>
      <c r="W391" s="300"/>
      <c r="X391" s="300"/>
      <c r="Y391" s="300"/>
      <c r="Z391" s="300"/>
      <c r="AA391" s="301"/>
    </row>
    <row r="392" spans="1:27">
      <c r="A392" s="319"/>
      <c r="B392" s="351"/>
      <c r="C392" s="381"/>
      <c r="D392" s="369"/>
      <c r="E392" s="369"/>
      <c r="F392" s="300"/>
      <c r="G392" s="300"/>
      <c r="H392" s="300"/>
      <c r="I392" s="300"/>
      <c r="J392" s="300"/>
      <c r="K392" s="300"/>
      <c r="L392" s="300"/>
      <c r="M392" s="300"/>
      <c r="N392" s="300"/>
      <c r="O392" s="300"/>
      <c r="P392" s="300"/>
      <c r="Q392" s="300"/>
      <c r="R392" s="300"/>
      <c r="S392" s="300"/>
      <c r="T392" s="300"/>
      <c r="U392" s="300"/>
      <c r="V392" s="300"/>
      <c r="W392" s="300"/>
      <c r="X392" s="300"/>
      <c r="Y392" s="300"/>
      <c r="Z392" s="300"/>
      <c r="AA392" s="301"/>
    </row>
    <row r="393" spans="1:27">
      <c r="A393" s="319"/>
      <c r="B393" s="351"/>
      <c r="C393" s="381"/>
      <c r="D393" s="369"/>
      <c r="E393" s="369"/>
      <c r="F393" s="300"/>
      <c r="G393" s="300"/>
      <c r="H393" s="300"/>
      <c r="I393" s="300"/>
      <c r="J393" s="300"/>
      <c r="K393" s="300"/>
      <c r="L393" s="300"/>
      <c r="M393" s="300"/>
      <c r="N393" s="300"/>
      <c r="O393" s="300"/>
      <c r="P393" s="300"/>
      <c r="Q393" s="300"/>
      <c r="R393" s="300"/>
      <c r="S393" s="300"/>
      <c r="T393" s="300"/>
      <c r="U393" s="300"/>
      <c r="V393" s="300"/>
      <c r="W393" s="300"/>
      <c r="X393" s="300"/>
      <c r="Y393" s="300"/>
      <c r="Z393" s="300"/>
      <c r="AA393" s="301"/>
    </row>
    <row r="394" spans="1:27">
      <c r="A394" s="319"/>
      <c r="B394" s="351"/>
      <c r="C394" s="381"/>
      <c r="D394" s="369"/>
      <c r="E394" s="369"/>
      <c r="F394" s="300"/>
      <c r="G394" s="300"/>
      <c r="H394" s="300"/>
      <c r="I394" s="300"/>
      <c r="J394" s="300"/>
      <c r="K394" s="300"/>
      <c r="L394" s="300"/>
      <c r="M394" s="300"/>
      <c r="N394" s="300"/>
      <c r="O394" s="300"/>
      <c r="P394" s="300"/>
      <c r="Q394" s="300"/>
      <c r="R394" s="300"/>
      <c r="S394" s="300"/>
      <c r="T394" s="300"/>
      <c r="U394" s="300"/>
      <c r="V394" s="300"/>
      <c r="W394" s="300"/>
      <c r="X394" s="300"/>
      <c r="Y394" s="300"/>
      <c r="Z394" s="300"/>
      <c r="AA394" s="301"/>
    </row>
    <row r="395" spans="1:27">
      <c r="A395" s="319"/>
      <c r="B395" s="351"/>
      <c r="C395" s="381"/>
      <c r="D395" s="369"/>
      <c r="E395" s="369"/>
      <c r="F395" s="300"/>
      <c r="G395" s="300"/>
      <c r="H395" s="300"/>
      <c r="I395" s="300"/>
      <c r="J395" s="300"/>
      <c r="K395" s="300"/>
      <c r="L395" s="300"/>
      <c r="M395" s="300"/>
      <c r="N395" s="300"/>
      <c r="O395" s="300"/>
      <c r="P395" s="300"/>
      <c r="Q395" s="300"/>
      <c r="R395" s="300"/>
      <c r="S395" s="300"/>
      <c r="T395" s="300"/>
      <c r="U395" s="300"/>
      <c r="V395" s="300"/>
      <c r="W395" s="300"/>
      <c r="X395" s="300"/>
      <c r="Y395" s="300"/>
      <c r="Z395" s="300"/>
      <c r="AA395" s="301"/>
    </row>
    <row r="396" spans="1:27">
      <c r="A396" s="319"/>
      <c r="B396" s="351"/>
      <c r="C396" s="381"/>
      <c r="D396" s="369"/>
      <c r="E396" s="369"/>
      <c r="F396" s="300"/>
      <c r="G396" s="300"/>
      <c r="H396" s="300"/>
      <c r="I396" s="300"/>
      <c r="J396" s="300"/>
      <c r="K396" s="300"/>
      <c r="L396" s="300"/>
      <c r="M396" s="300"/>
      <c r="N396" s="300"/>
      <c r="O396" s="300"/>
      <c r="P396" s="300"/>
      <c r="Q396" s="300"/>
      <c r="R396" s="300"/>
      <c r="S396" s="300"/>
      <c r="T396" s="300"/>
      <c r="U396" s="300"/>
      <c r="V396" s="300"/>
      <c r="W396" s="300"/>
      <c r="X396" s="300"/>
      <c r="Y396" s="300"/>
      <c r="Z396" s="300"/>
      <c r="AA396" s="301"/>
    </row>
    <row r="397" spans="1:27">
      <c r="A397" s="319"/>
      <c r="B397" s="351"/>
      <c r="C397" s="381"/>
      <c r="D397" s="369"/>
      <c r="E397" s="369"/>
      <c r="F397" s="300"/>
      <c r="G397" s="300"/>
      <c r="H397" s="300"/>
      <c r="I397" s="300"/>
      <c r="J397" s="300"/>
      <c r="K397" s="300"/>
      <c r="L397" s="300"/>
      <c r="M397" s="300"/>
      <c r="N397" s="300"/>
      <c r="O397" s="300"/>
      <c r="P397" s="300"/>
      <c r="Q397" s="300"/>
      <c r="R397" s="300"/>
      <c r="S397" s="300"/>
      <c r="T397" s="300"/>
      <c r="U397" s="300"/>
      <c r="V397" s="300"/>
      <c r="W397" s="300"/>
      <c r="X397" s="300"/>
      <c r="Y397" s="300"/>
      <c r="Z397" s="300"/>
      <c r="AA397" s="301"/>
    </row>
    <row r="398" spans="1:27">
      <c r="A398" s="319"/>
      <c r="B398" s="351"/>
      <c r="C398" s="381"/>
      <c r="D398" s="369"/>
      <c r="E398" s="369"/>
      <c r="F398" s="300"/>
      <c r="G398" s="300"/>
      <c r="H398" s="300"/>
      <c r="I398" s="300"/>
      <c r="J398" s="300"/>
      <c r="K398" s="300"/>
      <c r="L398" s="300"/>
      <c r="M398" s="300"/>
      <c r="N398" s="300"/>
      <c r="O398" s="300"/>
      <c r="P398" s="300"/>
      <c r="Q398" s="300"/>
      <c r="R398" s="300"/>
      <c r="S398" s="300"/>
      <c r="T398" s="300"/>
      <c r="U398" s="300"/>
      <c r="V398" s="300"/>
      <c r="W398" s="300"/>
      <c r="X398" s="300"/>
      <c r="Y398" s="300"/>
      <c r="Z398" s="300"/>
      <c r="AA398" s="301"/>
    </row>
    <row r="399" spans="1:27">
      <c r="A399" s="319"/>
      <c r="B399" s="351"/>
      <c r="C399" s="381"/>
      <c r="D399" s="369"/>
      <c r="E399" s="369"/>
      <c r="F399" s="300"/>
      <c r="G399" s="300"/>
      <c r="H399" s="300"/>
      <c r="I399" s="300"/>
      <c r="J399" s="300"/>
      <c r="K399" s="300"/>
      <c r="L399" s="300"/>
      <c r="M399" s="300"/>
      <c r="N399" s="300"/>
      <c r="O399" s="300"/>
      <c r="P399" s="300"/>
      <c r="Q399" s="300"/>
      <c r="R399" s="300"/>
      <c r="S399" s="300"/>
      <c r="T399" s="300"/>
      <c r="U399" s="300"/>
      <c r="V399" s="300"/>
      <c r="W399" s="300"/>
      <c r="X399" s="300"/>
      <c r="Y399" s="300"/>
      <c r="Z399" s="300"/>
      <c r="AA399" s="301"/>
    </row>
    <row r="400" spans="1:27">
      <c r="A400" s="319"/>
      <c r="B400" s="351"/>
      <c r="C400" s="381"/>
      <c r="D400" s="369"/>
      <c r="E400" s="369"/>
      <c r="F400" s="300"/>
      <c r="G400" s="300"/>
      <c r="H400" s="300"/>
      <c r="I400" s="300"/>
      <c r="J400" s="300"/>
      <c r="K400" s="300"/>
      <c r="L400" s="300"/>
      <c r="M400" s="300"/>
      <c r="N400" s="300"/>
      <c r="O400" s="300"/>
      <c r="P400" s="300"/>
      <c r="Q400" s="300"/>
      <c r="R400" s="300"/>
      <c r="S400" s="300"/>
      <c r="T400" s="300"/>
      <c r="U400" s="300"/>
      <c r="V400" s="300"/>
      <c r="W400" s="300"/>
      <c r="X400" s="300"/>
      <c r="Y400" s="300"/>
      <c r="Z400" s="300"/>
      <c r="AA400" s="301"/>
    </row>
    <row r="401" spans="1:27">
      <c r="A401" s="319"/>
      <c r="B401" s="351"/>
      <c r="C401" s="381"/>
      <c r="D401" s="369"/>
      <c r="E401" s="369"/>
      <c r="F401" s="300"/>
      <c r="G401" s="300"/>
      <c r="H401" s="300"/>
      <c r="I401" s="300"/>
      <c r="J401" s="300"/>
      <c r="K401" s="300"/>
      <c r="L401" s="300"/>
      <c r="M401" s="300"/>
      <c r="N401" s="300"/>
      <c r="O401" s="300"/>
      <c r="P401" s="300"/>
      <c r="Q401" s="300"/>
      <c r="R401" s="300"/>
      <c r="S401" s="300"/>
      <c r="T401" s="300"/>
      <c r="U401" s="300"/>
      <c r="V401" s="300"/>
      <c r="W401" s="300"/>
      <c r="X401" s="300"/>
      <c r="Y401" s="300"/>
      <c r="Z401" s="300"/>
      <c r="AA401" s="301"/>
    </row>
    <row r="402" spans="1:27">
      <c r="A402" s="319"/>
      <c r="B402" s="351"/>
      <c r="C402" s="381"/>
      <c r="D402" s="369"/>
      <c r="E402" s="369"/>
      <c r="F402" s="300"/>
      <c r="G402" s="300"/>
      <c r="H402" s="300"/>
      <c r="I402" s="300"/>
      <c r="J402" s="300"/>
      <c r="K402" s="300"/>
      <c r="L402" s="300"/>
      <c r="M402" s="300"/>
      <c r="N402" s="300"/>
      <c r="O402" s="300"/>
      <c r="P402" s="300"/>
      <c r="Q402" s="300"/>
      <c r="R402" s="300"/>
      <c r="S402" s="300"/>
      <c r="T402" s="300"/>
      <c r="U402" s="300"/>
      <c r="V402" s="300"/>
      <c r="W402" s="300"/>
      <c r="X402" s="300"/>
      <c r="Y402" s="300"/>
      <c r="Z402" s="300"/>
      <c r="AA402" s="301"/>
    </row>
    <row r="403" spans="1:27">
      <c r="A403" s="319"/>
      <c r="B403" s="351"/>
      <c r="C403" s="381"/>
      <c r="D403" s="369"/>
      <c r="E403" s="369"/>
      <c r="F403" s="300"/>
      <c r="G403" s="300"/>
      <c r="H403" s="300"/>
      <c r="I403" s="300"/>
      <c r="J403" s="300"/>
      <c r="K403" s="300"/>
      <c r="L403" s="300"/>
      <c r="M403" s="300"/>
      <c r="N403" s="300"/>
      <c r="O403" s="300"/>
      <c r="P403" s="300"/>
      <c r="Q403" s="300"/>
      <c r="R403" s="300"/>
      <c r="S403" s="300"/>
      <c r="T403" s="300"/>
      <c r="U403" s="300"/>
      <c r="V403" s="300"/>
      <c r="W403" s="300"/>
      <c r="X403" s="300"/>
      <c r="Y403" s="300"/>
      <c r="Z403" s="300"/>
      <c r="AA403" s="301"/>
    </row>
    <row r="404" spans="1:27">
      <c r="A404" s="319"/>
      <c r="B404" s="351"/>
      <c r="C404" s="381"/>
      <c r="D404" s="369"/>
      <c r="E404" s="369"/>
      <c r="F404" s="300"/>
      <c r="G404" s="300"/>
      <c r="H404" s="300"/>
      <c r="I404" s="300"/>
      <c r="J404" s="300"/>
      <c r="K404" s="300"/>
      <c r="L404" s="300"/>
      <c r="M404" s="300"/>
      <c r="N404" s="300"/>
      <c r="O404" s="300"/>
      <c r="P404" s="300"/>
      <c r="Q404" s="300"/>
      <c r="R404" s="300"/>
      <c r="S404" s="300"/>
      <c r="T404" s="300"/>
      <c r="U404" s="300"/>
      <c r="V404" s="300"/>
      <c r="W404" s="300"/>
      <c r="X404" s="300"/>
      <c r="Y404" s="300"/>
      <c r="Z404" s="300"/>
      <c r="AA404" s="301"/>
    </row>
    <row r="405" spans="1:27">
      <c r="A405" s="319"/>
      <c r="B405" s="351"/>
      <c r="C405" s="381"/>
      <c r="D405" s="369"/>
      <c r="E405" s="369"/>
      <c r="F405" s="300"/>
      <c r="G405" s="300"/>
      <c r="H405" s="300"/>
      <c r="I405" s="300"/>
      <c r="J405" s="300"/>
      <c r="K405" s="300"/>
      <c r="L405" s="300"/>
      <c r="M405" s="300"/>
      <c r="N405" s="300"/>
      <c r="O405" s="300"/>
      <c r="P405" s="300"/>
      <c r="Q405" s="300"/>
      <c r="R405" s="300"/>
      <c r="S405" s="300"/>
      <c r="T405" s="300"/>
      <c r="U405" s="300"/>
      <c r="V405" s="300"/>
      <c r="W405" s="300"/>
      <c r="X405" s="300"/>
      <c r="Y405" s="300"/>
      <c r="Z405" s="300"/>
      <c r="AA405" s="301"/>
    </row>
    <row r="406" spans="1:27">
      <c r="A406" s="319"/>
      <c r="B406" s="351"/>
      <c r="C406" s="381"/>
      <c r="D406" s="369"/>
      <c r="E406" s="369"/>
      <c r="F406" s="300"/>
      <c r="G406" s="300"/>
      <c r="H406" s="300"/>
      <c r="I406" s="300"/>
      <c r="J406" s="300"/>
      <c r="K406" s="300"/>
      <c r="L406" s="300"/>
      <c r="M406" s="300"/>
      <c r="N406" s="300"/>
      <c r="O406" s="300"/>
      <c r="P406" s="300"/>
      <c r="Q406" s="300"/>
      <c r="R406" s="300"/>
      <c r="S406" s="300"/>
      <c r="T406" s="300"/>
      <c r="U406" s="300"/>
      <c r="V406" s="300"/>
      <c r="W406" s="300"/>
      <c r="X406" s="300"/>
      <c r="Y406" s="300"/>
      <c r="Z406" s="300"/>
      <c r="AA406" s="301"/>
    </row>
    <row r="407" spans="1:27">
      <c r="A407" s="319"/>
      <c r="B407" s="351"/>
      <c r="C407" s="381"/>
      <c r="D407" s="369"/>
      <c r="E407" s="369"/>
      <c r="F407" s="300"/>
      <c r="G407" s="300"/>
      <c r="H407" s="300"/>
      <c r="I407" s="300"/>
      <c r="J407" s="300"/>
      <c r="K407" s="300"/>
      <c r="L407" s="300"/>
      <c r="M407" s="300"/>
      <c r="N407" s="300"/>
      <c r="O407" s="300"/>
      <c r="P407" s="300"/>
      <c r="Q407" s="300"/>
      <c r="R407" s="300"/>
      <c r="S407" s="300"/>
      <c r="T407" s="300"/>
      <c r="U407" s="300"/>
      <c r="V407" s="300"/>
      <c r="W407" s="300"/>
      <c r="X407" s="300"/>
      <c r="Y407" s="300"/>
      <c r="Z407" s="300"/>
      <c r="AA407" s="301"/>
    </row>
    <row r="408" spans="1:27">
      <c r="A408" s="319"/>
      <c r="B408" s="351"/>
      <c r="C408" s="381"/>
      <c r="D408" s="369"/>
      <c r="E408" s="369"/>
      <c r="F408" s="300"/>
      <c r="G408" s="300"/>
      <c r="H408" s="300"/>
      <c r="I408" s="300"/>
      <c r="J408" s="300"/>
      <c r="K408" s="300"/>
      <c r="L408" s="300"/>
      <c r="M408" s="300"/>
      <c r="N408" s="300"/>
      <c r="O408" s="300"/>
      <c r="P408" s="300"/>
      <c r="Q408" s="300"/>
      <c r="R408" s="300"/>
      <c r="S408" s="300"/>
      <c r="T408" s="300"/>
      <c r="U408" s="300"/>
      <c r="V408" s="300"/>
      <c r="W408" s="300"/>
      <c r="X408" s="300"/>
      <c r="Y408" s="300"/>
      <c r="Z408" s="300"/>
      <c r="AA408" s="301"/>
    </row>
    <row r="409" spans="1:27">
      <c r="A409" s="319"/>
      <c r="B409" s="351"/>
      <c r="C409" s="381"/>
      <c r="D409" s="369"/>
      <c r="E409" s="369"/>
      <c r="F409" s="300"/>
      <c r="G409" s="300"/>
      <c r="H409" s="300"/>
      <c r="I409" s="300"/>
      <c r="J409" s="300"/>
      <c r="K409" s="300"/>
      <c r="L409" s="300"/>
      <c r="M409" s="300"/>
      <c r="N409" s="300"/>
      <c r="O409" s="300"/>
      <c r="P409" s="300"/>
      <c r="Q409" s="300"/>
      <c r="R409" s="300"/>
      <c r="S409" s="300"/>
      <c r="T409" s="300"/>
      <c r="U409" s="300"/>
      <c r="V409" s="300"/>
      <c r="W409" s="300"/>
      <c r="X409" s="300"/>
      <c r="Y409" s="300"/>
      <c r="Z409" s="300"/>
      <c r="AA409" s="301"/>
    </row>
    <row r="410" spans="1:27">
      <c r="A410" s="319"/>
      <c r="B410" s="351"/>
      <c r="C410" s="381"/>
      <c r="D410" s="369"/>
      <c r="E410" s="369"/>
      <c r="F410" s="300"/>
      <c r="G410" s="300"/>
      <c r="H410" s="300"/>
      <c r="I410" s="300"/>
      <c r="J410" s="300"/>
      <c r="K410" s="300"/>
      <c r="L410" s="300"/>
      <c r="M410" s="300"/>
      <c r="N410" s="300"/>
      <c r="O410" s="300"/>
      <c r="P410" s="300"/>
      <c r="Q410" s="300"/>
      <c r="R410" s="300"/>
      <c r="S410" s="300"/>
      <c r="T410" s="300"/>
      <c r="U410" s="300"/>
      <c r="V410" s="300"/>
      <c r="W410" s="300"/>
      <c r="X410" s="300"/>
      <c r="Y410" s="300"/>
      <c r="Z410" s="300"/>
      <c r="AA410" s="301"/>
    </row>
    <row r="411" spans="1:27">
      <c r="A411" s="319"/>
      <c r="B411" s="351"/>
      <c r="C411" s="381"/>
      <c r="D411" s="369"/>
      <c r="E411" s="369"/>
      <c r="F411" s="300"/>
      <c r="G411" s="300"/>
      <c r="H411" s="300"/>
      <c r="I411" s="300"/>
      <c r="J411" s="300"/>
      <c r="K411" s="300"/>
      <c r="L411" s="300"/>
      <c r="M411" s="300"/>
      <c r="N411" s="300"/>
      <c r="O411" s="300"/>
      <c r="P411" s="300"/>
      <c r="Q411" s="300"/>
      <c r="R411" s="300"/>
      <c r="S411" s="300"/>
      <c r="T411" s="300"/>
      <c r="U411" s="300"/>
      <c r="V411" s="300"/>
      <c r="W411" s="300"/>
      <c r="X411" s="300"/>
      <c r="Y411" s="300"/>
      <c r="Z411" s="300"/>
      <c r="AA411" s="301"/>
    </row>
    <row r="412" spans="1:27">
      <c r="A412" s="319"/>
      <c r="B412" s="351"/>
      <c r="C412" s="381"/>
      <c r="D412" s="369"/>
      <c r="E412" s="369"/>
      <c r="F412" s="300"/>
      <c r="G412" s="300"/>
      <c r="H412" s="300"/>
      <c r="I412" s="300"/>
      <c r="J412" s="300"/>
      <c r="K412" s="300"/>
      <c r="L412" s="300"/>
      <c r="M412" s="300"/>
      <c r="N412" s="300"/>
      <c r="O412" s="300"/>
      <c r="P412" s="300"/>
      <c r="Q412" s="300"/>
      <c r="R412" s="300"/>
      <c r="S412" s="300"/>
      <c r="T412" s="300"/>
      <c r="U412" s="300"/>
      <c r="V412" s="300"/>
      <c r="W412" s="300"/>
      <c r="X412" s="300"/>
      <c r="Y412" s="300"/>
      <c r="Z412" s="300"/>
      <c r="AA412" s="301"/>
    </row>
    <row r="413" spans="1:27">
      <c r="A413" s="319"/>
      <c r="B413" s="351"/>
      <c r="C413" s="381"/>
      <c r="D413" s="369"/>
      <c r="E413" s="369"/>
      <c r="F413" s="300"/>
      <c r="G413" s="300"/>
      <c r="H413" s="300"/>
      <c r="I413" s="300"/>
      <c r="J413" s="300"/>
      <c r="K413" s="300"/>
      <c r="L413" s="300"/>
      <c r="M413" s="300"/>
      <c r="N413" s="300"/>
      <c r="O413" s="300"/>
      <c r="P413" s="300"/>
      <c r="Q413" s="300"/>
      <c r="R413" s="300"/>
      <c r="S413" s="300"/>
      <c r="T413" s="300"/>
      <c r="U413" s="300"/>
      <c r="V413" s="300"/>
      <c r="W413" s="300"/>
      <c r="X413" s="300"/>
      <c r="Y413" s="300"/>
      <c r="Z413" s="300"/>
      <c r="AA413" s="301"/>
    </row>
    <row r="414" spans="1:27">
      <c r="A414" s="319"/>
      <c r="B414" s="351"/>
      <c r="C414" s="381"/>
      <c r="D414" s="369"/>
      <c r="E414" s="369"/>
      <c r="F414" s="300"/>
      <c r="G414" s="300"/>
      <c r="H414" s="300"/>
      <c r="I414" s="300"/>
      <c r="J414" s="300"/>
      <c r="K414" s="300"/>
      <c r="L414" s="300"/>
      <c r="M414" s="300"/>
      <c r="N414" s="300"/>
      <c r="O414" s="300"/>
      <c r="P414" s="300"/>
      <c r="Q414" s="300"/>
      <c r="R414" s="300"/>
      <c r="S414" s="300"/>
      <c r="T414" s="300"/>
      <c r="U414" s="300"/>
      <c r="V414" s="300"/>
      <c r="W414" s="300"/>
      <c r="X414" s="300"/>
      <c r="Y414" s="300"/>
      <c r="Z414" s="300"/>
      <c r="AA414" s="301"/>
    </row>
    <row r="415" spans="1:27">
      <c r="A415" s="319"/>
      <c r="B415" s="351"/>
      <c r="C415" s="381"/>
      <c r="D415" s="369"/>
      <c r="E415" s="369"/>
      <c r="F415" s="300"/>
      <c r="G415" s="300"/>
      <c r="H415" s="300"/>
      <c r="I415" s="300"/>
      <c r="J415" s="300"/>
      <c r="K415" s="300"/>
      <c r="L415" s="300"/>
      <c r="M415" s="300"/>
      <c r="N415" s="300"/>
      <c r="O415" s="300"/>
      <c r="P415" s="300"/>
      <c r="Q415" s="300"/>
      <c r="R415" s="300"/>
      <c r="S415" s="300"/>
      <c r="T415" s="300"/>
      <c r="U415" s="300"/>
      <c r="V415" s="300"/>
      <c r="W415" s="300"/>
      <c r="X415" s="300"/>
      <c r="Y415" s="300"/>
      <c r="Z415" s="300"/>
      <c r="AA415" s="301"/>
    </row>
    <row r="416" spans="1:27">
      <c r="A416" s="319"/>
      <c r="B416" s="351"/>
      <c r="C416" s="381"/>
      <c r="D416" s="369"/>
      <c r="E416" s="369"/>
      <c r="F416" s="300"/>
      <c r="G416" s="300"/>
      <c r="H416" s="300"/>
      <c r="I416" s="300"/>
      <c r="J416" s="300"/>
      <c r="K416" s="300"/>
      <c r="L416" s="300"/>
      <c r="M416" s="300"/>
      <c r="N416" s="300"/>
      <c r="O416" s="300"/>
      <c r="P416" s="300"/>
      <c r="Q416" s="300"/>
      <c r="R416" s="300"/>
      <c r="S416" s="300"/>
      <c r="T416" s="300"/>
      <c r="U416" s="300"/>
      <c r="V416" s="300"/>
      <c r="W416" s="300"/>
      <c r="X416" s="300"/>
      <c r="Y416" s="300"/>
      <c r="Z416" s="300"/>
      <c r="AA416" s="301"/>
    </row>
    <row r="417" spans="1:27">
      <c r="A417" s="319"/>
      <c r="B417" s="351"/>
      <c r="C417" s="381"/>
      <c r="D417" s="369"/>
      <c r="E417" s="369"/>
      <c r="F417" s="300"/>
      <c r="G417" s="300"/>
      <c r="H417" s="300"/>
      <c r="I417" s="300"/>
      <c r="J417" s="300"/>
      <c r="K417" s="300"/>
      <c r="L417" s="300"/>
      <c r="M417" s="300"/>
      <c r="N417" s="300"/>
      <c r="O417" s="300"/>
      <c r="P417" s="300"/>
      <c r="Q417" s="300"/>
      <c r="R417" s="300"/>
      <c r="S417" s="300"/>
      <c r="T417" s="300"/>
      <c r="U417" s="300"/>
      <c r="V417" s="300"/>
      <c r="W417" s="300"/>
      <c r="X417" s="300"/>
      <c r="Y417" s="300"/>
      <c r="Z417" s="300"/>
      <c r="AA417" s="301"/>
    </row>
    <row r="418" spans="1:27">
      <c r="A418" s="319"/>
      <c r="B418" s="351"/>
      <c r="C418" s="381"/>
      <c r="D418" s="369"/>
      <c r="E418" s="369"/>
      <c r="F418" s="300"/>
      <c r="G418" s="300"/>
      <c r="H418" s="300"/>
      <c r="I418" s="300"/>
      <c r="J418" s="300"/>
      <c r="K418" s="300"/>
      <c r="L418" s="300"/>
      <c r="M418" s="300"/>
      <c r="N418" s="300"/>
      <c r="O418" s="300"/>
      <c r="P418" s="300"/>
      <c r="Q418" s="300"/>
      <c r="R418" s="300"/>
      <c r="S418" s="300"/>
      <c r="T418" s="300"/>
      <c r="U418" s="300"/>
      <c r="V418" s="300"/>
      <c r="W418" s="300"/>
      <c r="X418" s="300"/>
      <c r="Y418" s="300"/>
      <c r="Z418" s="300"/>
      <c r="AA418" s="301"/>
    </row>
    <row r="419" spans="1:27">
      <c r="A419" s="319"/>
      <c r="B419" s="351"/>
      <c r="C419" s="381"/>
      <c r="D419" s="369"/>
      <c r="E419" s="369"/>
      <c r="F419" s="300"/>
      <c r="G419" s="300"/>
      <c r="H419" s="300"/>
      <c r="I419" s="300"/>
      <c r="J419" s="300"/>
      <c r="K419" s="300"/>
      <c r="L419" s="300"/>
      <c r="M419" s="300"/>
      <c r="N419" s="300"/>
      <c r="O419" s="300"/>
      <c r="P419" s="300"/>
      <c r="Q419" s="300"/>
      <c r="R419" s="300"/>
      <c r="S419" s="300"/>
      <c r="T419" s="300"/>
      <c r="U419" s="300"/>
      <c r="V419" s="300"/>
      <c r="W419" s="300"/>
      <c r="X419" s="300"/>
      <c r="Y419" s="300"/>
      <c r="Z419" s="300"/>
      <c r="AA419" s="301"/>
    </row>
    <row r="420" spans="1:27">
      <c r="A420" s="319"/>
      <c r="B420" s="351"/>
      <c r="C420" s="381"/>
      <c r="D420" s="369"/>
      <c r="E420" s="369"/>
      <c r="F420" s="300"/>
      <c r="G420" s="300"/>
      <c r="H420" s="300"/>
      <c r="I420" s="300"/>
      <c r="J420" s="300"/>
      <c r="K420" s="300"/>
      <c r="L420" s="300"/>
      <c r="M420" s="300"/>
      <c r="N420" s="300"/>
      <c r="O420" s="300"/>
      <c r="P420" s="300"/>
      <c r="Q420" s="300"/>
      <c r="R420" s="300"/>
      <c r="S420" s="300"/>
      <c r="T420" s="300"/>
      <c r="U420" s="300"/>
      <c r="V420" s="300"/>
      <c r="W420" s="300"/>
      <c r="X420" s="300"/>
      <c r="Y420" s="300"/>
      <c r="Z420" s="300"/>
      <c r="AA420" s="301"/>
    </row>
    <row r="421" spans="1:27">
      <c r="A421" s="319"/>
      <c r="B421" s="351"/>
      <c r="C421" s="381"/>
      <c r="D421" s="369"/>
      <c r="E421" s="369"/>
      <c r="F421" s="300"/>
      <c r="G421" s="300"/>
      <c r="H421" s="300"/>
      <c r="I421" s="300"/>
      <c r="J421" s="300"/>
      <c r="K421" s="300"/>
      <c r="L421" s="300"/>
      <c r="M421" s="300"/>
      <c r="N421" s="300"/>
      <c r="O421" s="300"/>
      <c r="P421" s="300"/>
      <c r="Q421" s="300"/>
      <c r="R421" s="300"/>
      <c r="S421" s="300"/>
      <c r="T421" s="300"/>
      <c r="U421" s="300"/>
      <c r="V421" s="300"/>
      <c r="W421" s="300"/>
      <c r="X421" s="300"/>
      <c r="Y421" s="300"/>
      <c r="Z421" s="300"/>
      <c r="AA421" s="301"/>
    </row>
    <row r="422" spans="1:27">
      <c r="A422" s="319"/>
      <c r="B422" s="351"/>
      <c r="C422" s="381"/>
      <c r="D422" s="369"/>
      <c r="E422" s="369"/>
      <c r="F422" s="300"/>
      <c r="G422" s="300"/>
      <c r="H422" s="300"/>
      <c r="I422" s="300"/>
      <c r="J422" s="300"/>
      <c r="K422" s="300"/>
      <c r="L422" s="300"/>
      <c r="M422" s="300"/>
      <c r="N422" s="300"/>
      <c r="O422" s="300"/>
      <c r="P422" s="300"/>
      <c r="Q422" s="300"/>
      <c r="R422" s="300"/>
      <c r="S422" s="300"/>
      <c r="T422" s="300"/>
      <c r="U422" s="300"/>
      <c r="V422" s="300"/>
      <c r="W422" s="300"/>
      <c r="X422" s="300"/>
      <c r="Y422" s="300"/>
      <c r="Z422" s="300"/>
      <c r="AA422" s="301"/>
    </row>
    <row r="423" spans="1:27">
      <c r="A423" s="319"/>
      <c r="B423" s="351"/>
      <c r="C423" s="381"/>
      <c r="D423" s="369"/>
      <c r="E423" s="369"/>
      <c r="F423" s="300"/>
      <c r="G423" s="300"/>
      <c r="H423" s="300"/>
      <c r="I423" s="300"/>
      <c r="J423" s="300"/>
      <c r="K423" s="300"/>
      <c r="L423" s="300"/>
      <c r="M423" s="300"/>
      <c r="N423" s="300"/>
      <c r="O423" s="300"/>
      <c r="P423" s="300"/>
      <c r="Q423" s="300"/>
      <c r="R423" s="300"/>
      <c r="S423" s="300"/>
      <c r="T423" s="300"/>
      <c r="U423" s="300"/>
      <c r="V423" s="300"/>
      <c r="W423" s="300"/>
      <c r="X423" s="300"/>
      <c r="Y423" s="300"/>
      <c r="Z423" s="300"/>
      <c r="AA423" s="301"/>
    </row>
    <row r="424" spans="1:27">
      <c r="A424" s="319"/>
      <c r="B424" s="351"/>
      <c r="C424" s="381"/>
      <c r="D424" s="369"/>
      <c r="E424" s="369"/>
      <c r="F424" s="300"/>
      <c r="G424" s="300"/>
      <c r="H424" s="300"/>
      <c r="I424" s="300"/>
      <c r="J424" s="300"/>
      <c r="K424" s="300"/>
      <c r="L424" s="300"/>
      <c r="M424" s="300"/>
      <c r="N424" s="300"/>
      <c r="O424" s="300"/>
      <c r="P424" s="300"/>
      <c r="Q424" s="300"/>
      <c r="R424" s="300"/>
      <c r="S424" s="300"/>
      <c r="T424" s="300"/>
      <c r="U424" s="300"/>
      <c r="V424" s="300"/>
      <c r="W424" s="300"/>
      <c r="X424" s="300"/>
      <c r="Y424" s="300"/>
      <c r="Z424" s="300"/>
      <c r="AA424" s="301"/>
    </row>
    <row r="425" spans="1:27">
      <c r="A425" s="319"/>
      <c r="B425" s="351"/>
      <c r="C425" s="381"/>
      <c r="D425" s="369"/>
      <c r="E425" s="369"/>
      <c r="F425" s="300"/>
      <c r="G425" s="300"/>
      <c r="H425" s="300"/>
      <c r="I425" s="300"/>
      <c r="J425" s="300"/>
      <c r="K425" s="300"/>
      <c r="L425" s="300"/>
      <c r="M425" s="300"/>
      <c r="N425" s="300"/>
      <c r="O425" s="300"/>
      <c r="P425" s="300"/>
      <c r="Q425" s="300"/>
      <c r="R425" s="300"/>
      <c r="S425" s="300"/>
      <c r="T425" s="300"/>
      <c r="U425" s="300"/>
      <c r="V425" s="300"/>
      <c r="W425" s="300"/>
      <c r="X425" s="300"/>
      <c r="Y425" s="300"/>
      <c r="Z425" s="300"/>
      <c r="AA425" s="301"/>
    </row>
    <row r="426" spans="1:27">
      <c r="A426" s="319"/>
      <c r="B426" s="351"/>
      <c r="C426" s="381"/>
      <c r="D426" s="369"/>
      <c r="E426" s="369"/>
      <c r="F426" s="300"/>
      <c r="G426" s="300"/>
      <c r="H426" s="300"/>
      <c r="I426" s="300"/>
      <c r="J426" s="300"/>
      <c r="K426" s="300"/>
      <c r="L426" s="300"/>
      <c r="M426" s="300"/>
      <c r="N426" s="300"/>
      <c r="O426" s="300"/>
      <c r="P426" s="300"/>
      <c r="Q426" s="300"/>
      <c r="R426" s="300"/>
      <c r="S426" s="300"/>
      <c r="T426" s="300"/>
      <c r="U426" s="300"/>
      <c r="V426" s="300"/>
      <c r="W426" s="300"/>
      <c r="X426" s="300"/>
      <c r="Y426" s="300"/>
      <c r="Z426" s="300"/>
      <c r="AA426" s="301"/>
    </row>
    <row r="427" spans="1:27">
      <c r="A427" s="319"/>
      <c r="B427" s="351"/>
      <c r="C427" s="381"/>
      <c r="D427" s="369"/>
      <c r="E427" s="369"/>
      <c r="F427" s="300"/>
      <c r="G427" s="300"/>
      <c r="H427" s="300"/>
      <c r="I427" s="300"/>
      <c r="J427" s="300"/>
      <c r="K427" s="300"/>
      <c r="L427" s="300"/>
      <c r="M427" s="300"/>
      <c r="N427" s="300"/>
      <c r="O427" s="300"/>
      <c r="P427" s="300"/>
      <c r="Q427" s="300"/>
      <c r="R427" s="300"/>
      <c r="S427" s="300"/>
      <c r="T427" s="300"/>
      <c r="U427" s="300"/>
      <c r="V427" s="300"/>
      <c r="W427" s="300"/>
      <c r="X427" s="300"/>
      <c r="Y427" s="300"/>
      <c r="Z427" s="300"/>
      <c r="AA427" s="301"/>
    </row>
    <row r="428" spans="1:27">
      <c r="A428" s="319"/>
      <c r="B428" s="351"/>
      <c r="C428" s="381"/>
      <c r="D428" s="369"/>
      <c r="E428" s="369"/>
      <c r="F428" s="300"/>
      <c r="G428" s="300"/>
      <c r="H428" s="300"/>
      <c r="I428" s="300"/>
      <c r="J428" s="300"/>
      <c r="K428" s="300"/>
      <c r="L428" s="300"/>
      <c r="M428" s="300"/>
      <c r="N428" s="300"/>
      <c r="O428" s="300"/>
      <c r="P428" s="300"/>
      <c r="Q428" s="300"/>
      <c r="R428" s="300"/>
      <c r="S428" s="300"/>
      <c r="T428" s="300"/>
      <c r="U428" s="300"/>
      <c r="V428" s="300"/>
      <c r="W428" s="300"/>
      <c r="X428" s="300"/>
      <c r="Y428" s="300"/>
      <c r="Z428" s="300"/>
      <c r="AA428" s="301"/>
    </row>
    <row r="429" spans="1:27">
      <c r="A429" s="319"/>
      <c r="B429" s="351"/>
      <c r="C429" s="381"/>
      <c r="D429" s="369"/>
      <c r="E429" s="369"/>
      <c r="F429" s="300"/>
      <c r="G429" s="300"/>
      <c r="H429" s="300"/>
      <c r="I429" s="300"/>
      <c r="J429" s="300"/>
      <c r="K429" s="300"/>
      <c r="L429" s="300"/>
      <c r="M429" s="300"/>
      <c r="N429" s="300"/>
      <c r="O429" s="300"/>
      <c r="P429" s="300"/>
      <c r="Q429" s="300"/>
      <c r="R429" s="300"/>
      <c r="S429" s="300"/>
      <c r="T429" s="300"/>
      <c r="U429" s="300"/>
      <c r="V429" s="300"/>
      <c r="W429" s="300"/>
      <c r="X429" s="300"/>
      <c r="Y429" s="300"/>
      <c r="Z429" s="300"/>
      <c r="AA429" s="301"/>
    </row>
    <row r="430" spans="1:27">
      <c r="A430" s="319"/>
      <c r="B430" s="351"/>
      <c r="C430" s="381"/>
      <c r="D430" s="369"/>
      <c r="E430" s="369"/>
      <c r="F430" s="300"/>
      <c r="G430" s="300"/>
      <c r="H430" s="300"/>
      <c r="I430" s="300"/>
      <c r="J430" s="300"/>
      <c r="K430" s="300"/>
      <c r="L430" s="300"/>
      <c r="M430" s="300"/>
      <c r="N430" s="300"/>
      <c r="O430" s="300"/>
      <c r="P430" s="300"/>
      <c r="Q430" s="300"/>
      <c r="R430" s="300"/>
      <c r="S430" s="300"/>
      <c r="T430" s="300"/>
      <c r="U430" s="300"/>
      <c r="V430" s="300"/>
      <c r="W430" s="300"/>
      <c r="X430" s="300"/>
      <c r="Y430" s="300"/>
      <c r="Z430" s="300"/>
      <c r="AA430" s="301"/>
    </row>
    <row r="431" spans="1:27">
      <c r="A431" s="319"/>
      <c r="B431" s="351"/>
      <c r="C431" s="381"/>
      <c r="D431" s="369"/>
      <c r="E431" s="369"/>
      <c r="F431" s="300"/>
      <c r="G431" s="300"/>
      <c r="H431" s="300"/>
      <c r="I431" s="300"/>
      <c r="J431" s="300"/>
      <c r="K431" s="300"/>
      <c r="L431" s="300"/>
      <c r="M431" s="300"/>
      <c r="N431" s="300"/>
      <c r="O431" s="300"/>
      <c r="P431" s="300"/>
      <c r="Q431" s="300"/>
      <c r="R431" s="300"/>
      <c r="S431" s="300"/>
      <c r="T431" s="300"/>
      <c r="U431" s="300"/>
      <c r="V431" s="300"/>
      <c r="W431" s="300"/>
      <c r="X431" s="300"/>
      <c r="Y431" s="300"/>
      <c r="Z431" s="300"/>
      <c r="AA431" s="301"/>
    </row>
    <row r="432" spans="1:27">
      <c r="A432" s="319"/>
      <c r="B432" s="351"/>
      <c r="C432" s="381"/>
      <c r="D432" s="369"/>
      <c r="E432" s="369"/>
      <c r="F432" s="300"/>
      <c r="G432" s="300"/>
      <c r="H432" s="300"/>
      <c r="I432" s="300"/>
      <c r="J432" s="300"/>
      <c r="K432" s="300"/>
      <c r="L432" s="300"/>
      <c r="M432" s="300"/>
      <c r="N432" s="300"/>
      <c r="O432" s="300"/>
      <c r="P432" s="300"/>
      <c r="Q432" s="300"/>
      <c r="R432" s="300"/>
      <c r="S432" s="300"/>
      <c r="T432" s="300"/>
      <c r="U432" s="300"/>
      <c r="V432" s="300"/>
      <c r="W432" s="300"/>
      <c r="X432" s="300"/>
      <c r="Y432" s="300"/>
      <c r="Z432" s="300"/>
      <c r="AA432" s="301"/>
    </row>
    <row r="433" spans="1:27">
      <c r="A433" s="319"/>
      <c r="B433" s="351"/>
      <c r="C433" s="381"/>
      <c r="D433" s="369"/>
      <c r="E433" s="369"/>
      <c r="F433" s="300"/>
      <c r="G433" s="300"/>
      <c r="H433" s="300"/>
      <c r="I433" s="300"/>
      <c r="J433" s="300"/>
      <c r="K433" s="300"/>
      <c r="L433" s="300"/>
      <c r="M433" s="300"/>
      <c r="N433" s="300"/>
      <c r="O433" s="300"/>
      <c r="P433" s="300"/>
      <c r="Q433" s="300"/>
      <c r="R433" s="300"/>
      <c r="S433" s="300"/>
      <c r="T433" s="300"/>
      <c r="U433" s="300"/>
      <c r="V433" s="300"/>
      <c r="W433" s="300"/>
      <c r="X433" s="300"/>
      <c r="Y433" s="300"/>
      <c r="Z433" s="300"/>
      <c r="AA433" s="301"/>
    </row>
    <row r="434" spans="1:27">
      <c r="A434" s="319"/>
      <c r="B434" s="351"/>
      <c r="C434" s="381"/>
      <c r="D434" s="369"/>
      <c r="E434" s="369"/>
      <c r="F434" s="300"/>
      <c r="G434" s="300"/>
      <c r="H434" s="300"/>
      <c r="I434" s="300"/>
      <c r="J434" s="300"/>
      <c r="K434" s="300"/>
      <c r="L434" s="300"/>
      <c r="M434" s="300"/>
      <c r="N434" s="300"/>
      <c r="O434" s="300"/>
      <c r="P434" s="300"/>
      <c r="Q434" s="300"/>
      <c r="R434" s="300"/>
      <c r="S434" s="300"/>
      <c r="T434" s="300"/>
      <c r="U434" s="300"/>
      <c r="V434" s="300"/>
      <c r="W434" s="300"/>
      <c r="X434" s="300"/>
      <c r="Y434" s="300"/>
      <c r="Z434" s="300"/>
      <c r="AA434" s="301"/>
    </row>
    <row r="435" spans="1:27">
      <c r="A435" s="319"/>
      <c r="B435" s="351"/>
      <c r="C435" s="381"/>
      <c r="D435" s="369"/>
      <c r="E435" s="369"/>
      <c r="F435" s="300"/>
      <c r="G435" s="300"/>
      <c r="H435" s="300"/>
      <c r="I435" s="300"/>
      <c r="J435" s="300"/>
      <c r="K435" s="300"/>
      <c r="L435" s="300"/>
      <c r="M435" s="300"/>
      <c r="N435" s="300"/>
      <c r="O435" s="300"/>
      <c r="P435" s="300"/>
      <c r="Q435" s="300"/>
      <c r="R435" s="300"/>
      <c r="S435" s="300"/>
      <c r="T435" s="300"/>
      <c r="U435" s="300"/>
      <c r="V435" s="300"/>
      <c r="W435" s="300"/>
      <c r="X435" s="300"/>
      <c r="Y435" s="300"/>
      <c r="Z435" s="300"/>
      <c r="AA435" s="301"/>
    </row>
    <row r="436" spans="1:27">
      <c r="A436" s="319"/>
      <c r="B436" s="351"/>
      <c r="C436" s="381"/>
      <c r="D436" s="369"/>
      <c r="E436" s="369"/>
      <c r="F436" s="300"/>
      <c r="G436" s="300"/>
      <c r="H436" s="300"/>
      <c r="I436" s="300"/>
      <c r="J436" s="300"/>
      <c r="K436" s="300"/>
      <c r="L436" s="300"/>
      <c r="M436" s="300"/>
      <c r="N436" s="300"/>
      <c r="O436" s="300"/>
      <c r="P436" s="300"/>
      <c r="Q436" s="300"/>
      <c r="R436" s="300"/>
      <c r="S436" s="300"/>
      <c r="T436" s="300"/>
      <c r="U436" s="300"/>
      <c r="V436" s="300"/>
      <c r="W436" s="300"/>
      <c r="X436" s="300"/>
      <c r="Y436" s="300"/>
      <c r="Z436" s="300"/>
      <c r="AA436" s="301"/>
    </row>
    <row r="437" spans="1:27">
      <c r="A437" s="319"/>
      <c r="B437" s="351"/>
      <c r="C437" s="381"/>
      <c r="D437" s="369"/>
      <c r="E437" s="369"/>
      <c r="F437" s="300"/>
      <c r="G437" s="300"/>
      <c r="H437" s="300"/>
      <c r="I437" s="300"/>
      <c r="J437" s="300"/>
      <c r="K437" s="300"/>
      <c r="L437" s="300"/>
      <c r="M437" s="300"/>
      <c r="N437" s="300"/>
      <c r="O437" s="300"/>
      <c r="P437" s="300"/>
      <c r="Q437" s="300"/>
      <c r="R437" s="300"/>
      <c r="S437" s="300"/>
      <c r="T437" s="300"/>
      <c r="U437" s="300"/>
      <c r="V437" s="300"/>
      <c r="W437" s="300"/>
      <c r="X437" s="300"/>
      <c r="Y437" s="300"/>
      <c r="Z437" s="300"/>
      <c r="AA437" s="301"/>
    </row>
    <row r="438" spans="1:27">
      <c r="A438" s="319"/>
      <c r="B438" s="351"/>
      <c r="C438" s="381"/>
      <c r="D438" s="369"/>
      <c r="E438" s="369"/>
      <c r="F438" s="300"/>
      <c r="G438" s="300"/>
      <c r="H438" s="300"/>
      <c r="I438" s="300"/>
      <c r="J438" s="300"/>
      <c r="K438" s="300"/>
      <c r="L438" s="300"/>
      <c r="M438" s="300"/>
      <c r="N438" s="300"/>
      <c r="O438" s="300"/>
      <c r="P438" s="300"/>
      <c r="Q438" s="300"/>
      <c r="R438" s="300"/>
      <c r="S438" s="300"/>
      <c r="T438" s="300"/>
      <c r="U438" s="300"/>
      <c r="V438" s="300"/>
      <c r="W438" s="300"/>
      <c r="X438" s="300"/>
      <c r="Y438" s="300"/>
      <c r="Z438" s="300"/>
      <c r="AA438" s="301"/>
    </row>
    <row r="439" spans="1:27">
      <c r="A439" s="319"/>
      <c r="B439" s="351"/>
      <c r="C439" s="381"/>
      <c r="D439" s="369"/>
      <c r="E439" s="369"/>
      <c r="F439" s="300"/>
      <c r="G439" s="300"/>
      <c r="H439" s="300"/>
      <c r="I439" s="300"/>
      <c r="J439" s="300"/>
      <c r="K439" s="300"/>
      <c r="L439" s="300"/>
      <c r="M439" s="300"/>
      <c r="N439" s="300"/>
      <c r="O439" s="300"/>
      <c r="P439" s="300"/>
      <c r="Q439" s="300"/>
      <c r="R439" s="300"/>
      <c r="S439" s="300"/>
      <c r="T439" s="300"/>
      <c r="U439" s="300"/>
      <c r="V439" s="300"/>
      <c r="W439" s="300"/>
      <c r="X439" s="300"/>
      <c r="Y439" s="300"/>
      <c r="Z439" s="300"/>
      <c r="AA439" s="301"/>
    </row>
    <row r="440" spans="1:27">
      <c r="A440" s="319"/>
      <c r="B440" s="351"/>
      <c r="C440" s="381"/>
      <c r="D440" s="369"/>
      <c r="E440" s="369"/>
      <c r="F440" s="300"/>
      <c r="G440" s="300"/>
      <c r="H440" s="300"/>
      <c r="I440" s="300"/>
      <c r="J440" s="300"/>
      <c r="K440" s="300"/>
      <c r="L440" s="300"/>
      <c r="M440" s="300"/>
      <c r="N440" s="300"/>
      <c r="O440" s="300"/>
      <c r="P440" s="300"/>
      <c r="Q440" s="300"/>
      <c r="R440" s="300"/>
      <c r="S440" s="300"/>
      <c r="T440" s="300"/>
      <c r="U440" s="300"/>
      <c r="V440" s="300"/>
      <c r="W440" s="300"/>
      <c r="X440" s="300"/>
      <c r="Y440" s="300"/>
      <c r="Z440" s="300"/>
      <c r="AA440" s="301"/>
    </row>
    <row r="441" spans="1:27">
      <c r="A441" s="319"/>
      <c r="B441" s="351"/>
      <c r="C441" s="381"/>
      <c r="D441" s="369"/>
      <c r="E441" s="369"/>
      <c r="F441" s="300"/>
      <c r="G441" s="300"/>
      <c r="H441" s="300"/>
      <c r="I441" s="300"/>
      <c r="J441" s="300"/>
      <c r="K441" s="300"/>
      <c r="L441" s="300"/>
      <c r="M441" s="300"/>
      <c r="N441" s="300"/>
      <c r="O441" s="300"/>
      <c r="P441" s="300"/>
      <c r="Q441" s="300"/>
      <c r="R441" s="300"/>
      <c r="S441" s="300"/>
      <c r="T441" s="300"/>
      <c r="U441" s="300"/>
      <c r="V441" s="300"/>
      <c r="W441" s="300"/>
      <c r="X441" s="300"/>
      <c r="Y441" s="300"/>
      <c r="Z441" s="300"/>
      <c r="AA441" s="301"/>
    </row>
    <row r="442" spans="1:27">
      <c r="A442" s="319"/>
      <c r="B442" s="351"/>
      <c r="C442" s="381"/>
      <c r="D442" s="369"/>
      <c r="E442" s="369"/>
      <c r="F442" s="300"/>
      <c r="G442" s="300"/>
      <c r="H442" s="300"/>
      <c r="I442" s="300"/>
      <c r="J442" s="300"/>
      <c r="K442" s="300"/>
      <c r="L442" s="300"/>
      <c r="M442" s="300"/>
      <c r="N442" s="300"/>
      <c r="O442" s="300"/>
      <c r="P442" s="300"/>
      <c r="Q442" s="300"/>
      <c r="R442" s="300"/>
      <c r="S442" s="300"/>
      <c r="T442" s="300"/>
      <c r="U442" s="300"/>
      <c r="V442" s="300"/>
      <c r="W442" s="300"/>
      <c r="X442" s="300"/>
      <c r="Y442" s="300"/>
      <c r="Z442" s="300"/>
      <c r="AA442" s="301"/>
    </row>
    <row r="443" spans="1:27">
      <c r="A443" s="319"/>
      <c r="B443" s="351"/>
      <c r="C443" s="381"/>
      <c r="D443" s="369"/>
      <c r="E443" s="369"/>
      <c r="F443" s="300"/>
      <c r="G443" s="300"/>
      <c r="H443" s="300"/>
      <c r="I443" s="300"/>
      <c r="J443" s="300"/>
      <c r="K443" s="300"/>
      <c r="L443" s="300"/>
      <c r="M443" s="300"/>
      <c r="N443" s="300"/>
      <c r="O443" s="300"/>
      <c r="P443" s="300"/>
      <c r="Q443" s="300"/>
      <c r="R443" s="300"/>
      <c r="S443" s="300"/>
      <c r="T443" s="300"/>
      <c r="U443" s="300"/>
      <c r="V443" s="300"/>
      <c r="W443" s="300"/>
      <c r="X443" s="300"/>
      <c r="Y443" s="300"/>
      <c r="Z443" s="300"/>
      <c r="AA443" s="301"/>
    </row>
    <row r="444" spans="1:27">
      <c r="A444" s="319"/>
      <c r="B444" s="351"/>
      <c r="C444" s="381"/>
      <c r="D444" s="369"/>
      <c r="E444" s="369"/>
      <c r="F444" s="300"/>
      <c r="G444" s="300"/>
      <c r="H444" s="300"/>
      <c r="I444" s="300"/>
      <c r="J444" s="300"/>
      <c r="K444" s="300"/>
      <c r="L444" s="300"/>
      <c r="M444" s="300"/>
      <c r="N444" s="300"/>
      <c r="O444" s="300"/>
      <c r="P444" s="300"/>
      <c r="Q444" s="300"/>
      <c r="R444" s="300"/>
      <c r="S444" s="300"/>
      <c r="T444" s="300"/>
      <c r="U444" s="300"/>
      <c r="V444" s="300"/>
      <c r="W444" s="300"/>
      <c r="X444" s="300"/>
      <c r="Y444" s="300"/>
      <c r="Z444" s="300"/>
      <c r="AA444" s="301"/>
    </row>
    <row r="445" spans="1:27">
      <c r="A445" s="319"/>
      <c r="B445" s="351"/>
      <c r="C445" s="381"/>
      <c r="D445" s="369"/>
      <c r="E445" s="369"/>
      <c r="F445" s="300"/>
      <c r="G445" s="300"/>
      <c r="H445" s="300"/>
      <c r="I445" s="300"/>
      <c r="J445" s="300"/>
      <c r="K445" s="300"/>
      <c r="L445" s="300"/>
      <c r="M445" s="300"/>
      <c r="N445" s="300"/>
      <c r="O445" s="300"/>
      <c r="P445" s="300"/>
      <c r="Q445" s="300"/>
      <c r="R445" s="300"/>
      <c r="S445" s="300"/>
      <c r="T445" s="300"/>
      <c r="U445" s="300"/>
      <c r="V445" s="300"/>
      <c r="W445" s="300"/>
      <c r="X445" s="300"/>
      <c r="Y445" s="300"/>
      <c r="Z445" s="300"/>
      <c r="AA445" s="301"/>
    </row>
    <row r="446" spans="1:27">
      <c r="A446" s="319"/>
      <c r="B446" s="351"/>
      <c r="C446" s="381"/>
      <c r="D446" s="369"/>
      <c r="E446" s="369"/>
      <c r="F446" s="300"/>
      <c r="G446" s="300"/>
      <c r="H446" s="300"/>
      <c r="I446" s="300"/>
      <c r="J446" s="300"/>
      <c r="K446" s="300"/>
      <c r="L446" s="300"/>
      <c r="M446" s="300"/>
      <c r="N446" s="300"/>
      <c r="O446" s="300"/>
      <c r="P446" s="300"/>
      <c r="Q446" s="300"/>
      <c r="R446" s="300"/>
      <c r="S446" s="300"/>
      <c r="T446" s="300"/>
      <c r="U446" s="300"/>
      <c r="V446" s="300"/>
      <c r="W446" s="300"/>
      <c r="X446" s="300"/>
      <c r="Y446" s="300"/>
      <c r="Z446" s="300"/>
      <c r="AA446" s="301"/>
    </row>
    <row r="447" spans="1:27">
      <c r="A447" s="319"/>
      <c r="B447" s="351"/>
      <c r="C447" s="381"/>
      <c r="D447" s="369"/>
      <c r="E447" s="369"/>
      <c r="F447" s="300"/>
      <c r="G447" s="300"/>
      <c r="H447" s="300"/>
      <c r="I447" s="300"/>
      <c r="J447" s="300"/>
      <c r="K447" s="300"/>
      <c r="L447" s="300"/>
      <c r="M447" s="300"/>
      <c r="N447" s="300"/>
      <c r="O447" s="300"/>
      <c r="P447" s="300"/>
      <c r="Q447" s="300"/>
      <c r="R447" s="300"/>
      <c r="S447" s="300"/>
      <c r="T447" s="300"/>
      <c r="U447" s="300"/>
      <c r="V447" s="300"/>
      <c r="W447" s="300"/>
      <c r="X447" s="300"/>
      <c r="Y447" s="300"/>
      <c r="Z447" s="300"/>
      <c r="AA447" s="301"/>
    </row>
    <row r="448" spans="1:27">
      <c r="A448" s="319"/>
      <c r="B448" s="351"/>
      <c r="C448" s="381"/>
      <c r="D448" s="369"/>
      <c r="E448" s="369"/>
      <c r="F448" s="300"/>
      <c r="G448" s="300"/>
      <c r="H448" s="300"/>
      <c r="I448" s="300"/>
      <c r="J448" s="300"/>
      <c r="K448" s="300"/>
      <c r="L448" s="300"/>
      <c r="M448" s="300"/>
      <c r="N448" s="300"/>
      <c r="O448" s="300"/>
      <c r="P448" s="300"/>
      <c r="Q448" s="300"/>
      <c r="R448" s="300"/>
      <c r="S448" s="300"/>
      <c r="T448" s="300"/>
      <c r="U448" s="300"/>
      <c r="V448" s="300"/>
      <c r="W448" s="300"/>
      <c r="X448" s="300"/>
      <c r="Y448" s="300"/>
      <c r="Z448" s="300"/>
      <c r="AA448" s="301"/>
    </row>
    <row r="449" spans="1:27">
      <c r="A449" s="319"/>
      <c r="B449" s="351"/>
      <c r="C449" s="381"/>
      <c r="D449" s="369"/>
      <c r="E449" s="369"/>
      <c r="F449" s="300"/>
      <c r="G449" s="300"/>
      <c r="H449" s="300"/>
      <c r="I449" s="300"/>
      <c r="J449" s="300"/>
      <c r="K449" s="300"/>
      <c r="L449" s="300"/>
      <c r="M449" s="300"/>
      <c r="N449" s="300"/>
      <c r="O449" s="300"/>
      <c r="P449" s="300"/>
      <c r="Q449" s="300"/>
      <c r="R449" s="300"/>
      <c r="S449" s="300"/>
      <c r="T449" s="300"/>
      <c r="U449" s="300"/>
      <c r="V449" s="300"/>
      <c r="W449" s="300"/>
      <c r="X449" s="300"/>
      <c r="Y449" s="300"/>
      <c r="Z449" s="300"/>
      <c r="AA449" s="301"/>
    </row>
    <row r="450" spans="1:27">
      <c r="A450" s="319"/>
      <c r="B450" s="351"/>
      <c r="C450" s="381"/>
      <c r="D450" s="369"/>
      <c r="E450" s="369"/>
      <c r="F450" s="300"/>
      <c r="G450" s="300"/>
      <c r="H450" s="300"/>
      <c r="I450" s="300"/>
      <c r="J450" s="300"/>
      <c r="K450" s="300"/>
      <c r="L450" s="300"/>
      <c r="M450" s="300"/>
      <c r="N450" s="300"/>
      <c r="O450" s="300"/>
      <c r="P450" s="300"/>
      <c r="Q450" s="300"/>
      <c r="R450" s="300"/>
      <c r="S450" s="300"/>
      <c r="T450" s="300"/>
      <c r="U450" s="300"/>
      <c r="V450" s="300"/>
      <c r="W450" s="300"/>
      <c r="X450" s="300"/>
      <c r="Y450" s="300"/>
      <c r="Z450" s="300"/>
      <c r="AA450" s="301"/>
    </row>
    <row r="451" spans="1:27">
      <c r="A451" s="319"/>
      <c r="B451" s="351"/>
      <c r="C451" s="381"/>
      <c r="D451" s="369"/>
      <c r="E451" s="369"/>
      <c r="F451" s="300"/>
      <c r="G451" s="300"/>
      <c r="H451" s="300"/>
      <c r="I451" s="300"/>
      <c r="J451" s="300"/>
      <c r="K451" s="300"/>
      <c r="L451" s="300"/>
      <c r="M451" s="300"/>
      <c r="N451" s="300"/>
      <c r="O451" s="300"/>
      <c r="P451" s="300"/>
      <c r="Q451" s="300"/>
      <c r="R451" s="300"/>
      <c r="S451" s="300"/>
      <c r="T451" s="300"/>
      <c r="U451" s="300"/>
      <c r="V451" s="300"/>
      <c r="W451" s="300"/>
      <c r="X451" s="300"/>
      <c r="Y451" s="300"/>
      <c r="Z451" s="300"/>
      <c r="AA451" s="301"/>
    </row>
    <row r="452" spans="1:27">
      <c r="A452" s="319"/>
      <c r="B452" s="351"/>
      <c r="C452" s="381"/>
      <c r="D452" s="369"/>
      <c r="E452" s="369"/>
      <c r="F452" s="300"/>
      <c r="G452" s="300"/>
      <c r="H452" s="300"/>
      <c r="I452" s="300"/>
      <c r="J452" s="300"/>
      <c r="K452" s="300"/>
      <c r="L452" s="300"/>
      <c r="M452" s="300"/>
      <c r="N452" s="300"/>
      <c r="O452" s="300"/>
      <c r="P452" s="300"/>
      <c r="Q452" s="300"/>
      <c r="R452" s="300"/>
      <c r="S452" s="300"/>
      <c r="T452" s="300"/>
      <c r="U452" s="300"/>
      <c r="V452" s="300"/>
      <c r="W452" s="300"/>
      <c r="X452" s="300"/>
      <c r="Y452" s="300"/>
      <c r="Z452" s="300"/>
      <c r="AA452" s="301"/>
    </row>
    <row r="453" spans="1:27">
      <c r="A453" s="319"/>
      <c r="B453" s="351"/>
      <c r="C453" s="381"/>
      <c r="D453" s="369"/>
      <c r="E453" s="369"/>
      <c r="F453" s="300"/>
      <c r="G453" s="300"/>
      <c r="H453" s="300"/>
      <c r="I453" s="300"/>
      <c r="J453" s="300"/>
      <c r="K453" s="300"/>
      <c r="L453" s="300"/>
      <c r="M453" s="300"/>
      <c r="N453" s="300"/>
      <c r="O453" s="300"/>
      <c r="P453" s="300"/>
      <c r="Q453" s="300"/>
      <c r="R453" s="300"/>
      <c r="S453" s="300"/>
      <c r="T453" s="300"/>
      <c r="U453" s="300"/>
      <c r="V453" s="300"/>
      <c r="W453" s="300"/>
      <c r="X453" s="300"/>
      <c r="Y453" s="300"/>
      <c r="Z453" s="300"/>
      <c r="AA453" s="301"/>
    </row>
    <row r="454" spans="1:27">
      <c r="A454" s="319"/>
      <c r="B454" s="351"/>
      <c r="C454" s="381"/>
      <c r="D454" s="369"/>
      <c r="E454" s="369"/>
      <c r="F454" s="300"/>
      <c r="G454" s="300"/>
      <c r="H454" s="300"/>
      <c r="I454" s="300"/>
      <c r="J454" s="300"/>
      <c r="K454" s="300"/>
      <c r="L454" s="300"/>
      <c r="M454" s="300"/>
      <c r="N454" s="300"/>
      <c r="O454" s="300"/>
      <c r="P454" s="300"/>
      <c r="Q454" s="300"/>
      <c r="R454" s="300"/>
      <c r="S454" s="300"/>
      <c r="T454" s="300"/>
      <c r="U454" s="300"/>
      <c r="V454" s="300"/>
      <c r="W454" s="300"/>
      <c r="X454" s="300"/>
      <c r="Y454" s="300"/>
      <c r="Z454" s="300"/>
      <c r="AA454" s="301"/>
    </row>
    <row r="455" spans="1:27">
      <c r="A455" s="319"/>
      <c r="B455" s="351"/>
      <c r="C455" s="381"/>
      <c r="D455" s="369"/>
      <c r="E455" s="369"/>
      <c r="F455" s="300"/>
      <c r="G455" s="300"/>
      <c r="H455" s="300"/>
      <c r="I455" s="300"/>
      <c r="J455" s="300"/>
      <c r="K455" s="300"/>
      <c r="L455" s="300"/>
      <c r="M455" s="300"/>
      <c r="N455" s="300"/>
      <c r="O455" s="300"/>
      <c r="P455" s="300"/>
      <c r="Q455" s="300"/>
      <c r="R455" s="300"/>
      <c r="S455" s="300"/>
      <c r="T455" s="300"/>
      <c r="U455" s="300"/>
      <c r="V455" s="300"/>
      <c r="W455" s="300"/>
      <c r="X455" s="300"/>
      <c r="Y455" s="300"/>
      <c r="Z455" s="300"/>
      <c r="AA455" s="301"/>
    </row>
    <row r="456" spans="1:27">
      <c r="A456" s="319"/>
      <c r="B456" s="351"/>
      <c r="C456" s="381"/>
      <c r="D456" s="369"/>
      <c r="E456" s="369"/>
      <c r="F456" s="300"/>
      <c r="G456" s="300"/>
      <c r="H456" s="300"/>
      <c r="I456" s="300"/>
      <c r="J456" s="300"/>
      <c r="K456" s="300"/>
      <c r="L456" s="300"/>
      <c r="M456" s="300"/>
      <c r="N456" s="300"/>
      <c r="O456" s="300"/>
      <c r="P456" s="300"/>
      <c r="Q456" s="300"/>
      <c r="R456" s="300"/>
      <c r="S456" s="300"/>
      <c r="T456" s="300"/>
      <c r="U456" s="300"/>
      <c r="V456" s="300"/>
      <c r="W456" s="300"/>
      <c r="X456" s="300"/>
      <c r="Y456" s="300"/>
      <c r="Z456" s="300"/>
      <c r="AA456" s="301"/>
    </row>
    <row r="457" spans="1:27">
      <c r="A457" s="319"/>
      <c r="B457" s="351"/>
      <c r="C457" s="381"/>
      <c r="D457" s="369"/>
      <c r="E457" s="369"/>
      <c r="F457" s="300"/>
      <c r="G457" s="300"/>
      <c r="H457" s="300"/>
      <c r="I457" s="300"/>
      <c r="J457" s="300"/>
      <c r="K457" s="300"/>
      <c r="L457" s="300"/>
      <c r="M457" s="300"/>
      <c r="N457" s="300"/>
      <c r="O457" s="300"/>
      <c r="P457" s="300"/>
      <c r="Q457" s="300"/>
      <c r="R457" s="300"/>
      <c r="S457" s="300"/>
      <c r="T457" s="300"/>
      <c r="U457" s="300"/>
      <c r="V457" s="300"/>
      <c r="W457" s="300"/>
      <c r="X457" s="300"/>
      <c r="Y457" s="300"/>
      <c r="Z457" s="300"/>
      <c r="AA457" s="301"/>
    </row>
    <row r="458" spans="1:27">
      <c r="A458" s="319"/>
      <c r="B458" s="351"/>
      <c r="C458" s="381"/>
      <c r="D458" s="369"/>
      <c r="E458" s="369"/>
      <c r="F458" s="300"/>
      <c r="G458" s="300"/>
      <c r="H458" s="300"/>
      <c r="I458" s="300"/>
      <c r="J458" s="300"/>
      <c r="K458" s="300"/>
      <c r="L458" s="300"/>
      <c r="M458" s="300"/>
      <c r="N458" s="300"/>
      <c r="O458" s="300"/>
      <c r="P458" s="300"/>
      <c r="Q458" s="300"/>
      <c r="R458" s="300"/>
      <c r="S458" s="300"/>
      <c r="T458" s="300"/>
      <c r="U458" s="300"/>
      <c r="V458" s="300"/>
      <c r="W458" s="300"/>
      <c r="X458" s="300"/>
      <c r="Y458" s="300"/>
      <c r="Z458" s="300"/>
      <c r="AA458" s="301"/>
    </row>
    <row r="459" spans="1:27">
      <c r="A459" s="319"/>
      <c r="B459" s="351"/>
      <c r="C459" s="381"/>
      <c r="D459" s="369"/>
      <c r="E459" s="369"/>
      <c r="F459" s="300"/>
      <c r="G459" s="300"/>
      <c r="H459" s="300"/>
      <c r="I459" s="300"/>
      <c r="J459" s="300"/>
      <c r="K459" s="300"/>
      <c r="L459" s="300"/>
      <c r="M459" s="300"/>
      <c r="N459" s="300"/>
      <c r="O459" s="300"/>
      <c r="P459" s="300"/>
      <c r="Q459" s="300"/>
      <c r="R459" s="300"/>
      <c r="S459" s="300"/>
      <c r="T459" s="300"/>
      <c r="U459" s="300"/>
      <c r="V459" s="300"/>
      <c r="W459" s="300"/>
      <c r="X459" s="300"/>
      <c r="Y459" s="300"/>
      <c r="Z459" s="300"/>
      <c r="AA459" s="301"/>
    </row>
    <row r="460" spans="1:27">
      <c r="A460" s="319"/>
      <c r="B460" s="351"/>
      <c r="C460" s="381"/>
      <c r="D460" s="369"/>
      <c r="E460" s="369"/>
      <c r="F460" s="300"/>
      <c r="G460" s="300"/>
      <c r="H460" s="300"/>
      <c r="I460" s="300"/>
      <c r="J460" s="300"/>
      <c r="K460" s="300"/>
      <c r="L460" s="300"/>
      <c r="M460" s="300"/>
      <c r="N460" s="300"/>
      <c r="O460" s="300"/>
      <c r="P460" s="300"/>
      <c r="Q460" s="300"/>
      <c r="R460" s="300"/>
      <c r="S460" s="300"/>
      <c r="T460" s="300"/>
      <c r="U460" s="300"/>
      <c r="V460" s="300"/>
      <c r="W460" s="300"/>
      <c r="X460" s="300"/>
      <c r="Y460" s="300"/>
      <c r="Z460" s="300"/>
      <c r="AA460" s="301"/>
    </row>
    <row r="461" spans="1:27">
      <c r="A461" s="319"/>
      <c r="B461" s="351"/>
      <c r="C461" s="381"/>
      <c r="D461" s="369"/>
      <c r="E461" s="369"/>
      <c r="F461" s="300"/>
      <c r="G461" s="300"/>
      <c r="H461" s="300"/>
      <c r="I461" s="300"/>
      <c r="J461" s="300"/>
      <c r="K461" s="300"/>
      <c r="L461" s="300"/>
      <c r="M461" s="300"/>
      <c r="N461" s="300"/>
      <c r="O461" s="300"/>
      <c r="P461" s="300"/>
      <c r="Q461" s="300"/>
      <c r="R461" s="300"/>
      <c r="S461" s="300"/>
      <c r="T461" s="300"/>
      <c r="U461" s="300"/>
      <c r="V461" s="300"/>
      <c r="W461" s="300"/>
      <c r="X461" s="300"/>
      <c r="Y461" s="300"/>
      <c r="Z461" s="300"/>
      <c r="AA461" s="301"/>
    </row>
    <row r="462" spans="1:27">
      <c r="A462" s="319"/>
      <c r="B462" s="351"/>
      <c r="C462" s="381"/>
      <c r="D462" s="369"/>
      <c r="E462" s="369"/>
      <c r="F462" s="300"/>
      <c r="G462" s="300"/>
      <c r="H462" s="300"/>
      <c r="I462" s="300"/>
      <c r="J462" s="300"/>
      <c r="K462" s="300"/>
      <c r="L462" s="300"/>
      <c r="M462" s="300"/>
      <c r="N462" s="300"/>
      <c r="O462" s="300"/>
      <c r="P462" s="300"/>
      <c r="Q462" s="300"/>
      <c r="R462" s="300"/>
      <c r="S462" s="300"/>
      <c r="T462" s="300"/>
      <c r="U462" s="300"/>
      <c r="V462" s="300"/>
      <c r="W462" s="300"/>
      <c r="X462" s="300"/>
      <c r="Y462" s="300"/>
      <c r="Z462" s="300"/>
      <c r="AA462" s="301"/>
    </row>
    <row r="463" spans="1:27">
      <c r="A463" s="319"/>
      <c r="B463" s="351"/>
      <c r="C463" s="381"/>
      <c r="D463" s="369"/>
      <c r="E463" s="369"/>
      <c r="F463" s="300"/>
      <c r="G463" s="300"/>
      <c r="H463" s="300"/>
      <c r="I463" s="300"/>
      <c r="J463" s="300"/>
      <c r="K463" s="300"/>
      <c r="L463" s="300"/>
      <c r="M463" s="300"/>
      <c r="N463" s="300"/>
      <c r="O463" s="300"/>
      <c r="P463" s="300"/>
      <c r="Q463" s="300"/>
      <c r="R463" s="300"/>
      <c r="S463" s="300"/>
      <c r="T463" s="300"/>
      <c r="U463" s="300"/>
      <c r="V463" s="300"/>
      <c r="W463" s="300"/>
      <c r="X463" s="300"/>
      <c r="Y463" s="300"/>
      <c r="Z463" s="300"/>
      <c r="AA463" s="301"/>
    </row>
    <row r="464" spans="1:27">
      <c r="A464" s="319"/>
      <c r="B464" s="351"/>
      <c r="C464" s="381"/>
      <c r="D464" s="369"/>
      <c r="E464" s="369"/>
      <c r="F464" s="300"/>
      <c r="G464" s="300"/>
      <c r="H464" s="300"/>
      <c r="I464" s="300"/>
      <c r="J464" s="300"/>
      <c r="K464" s="300"/>
      <c r="L464" s="300"/>
      <c r="M464" s="300"/>
      <c r="N464" s="300"/>
      <c r="O464" s="300"/>
      <c r="P464" s="300"/>
      <c r="Q464" s="300"/>
      <c r="R464" s="300"/>
      <c r="S464" s="300"/>
      <c r="T464" s="300"/>
      <c r="U464" s="300"/>
      <c r="V464" s="300"/>
      <c r="W464" s="300"/>
      <c r="X464" s="300"/>
      <c r="Y464" s="300"/>
      <c r="Z464" s="300"/>
      <c r="AA464" s="301"/>
    </row>
    <row r="465" spans="1:27">
      <c r="A465" s="319"/>
      <c r="B465" s="351"/>
      <c r="C465" s="381"/>
      <c r="D465" s="369"/>
      <c r="E465" s="369"/>
      <c r="F465" s="300"/>
      <c r="G465" s="300"/>
      <c r="H465" s="300"/>
      <c r="I465" s="300"/>
      <c r="J465" s="300"/>
      <c r="K465" s="300"/>
      <c r="L465" s="300"/>
      <c r="M465" s="300"/>
      <c r="N465" s="300"/>
      <c r="O465" s="300"/>
      <c r="P465" s="300"/>
      <c r="Q465" s="300"/>
      <c r="R465" s="300"/>
      <c r="S465" s="300"/>
      <c r="T465" s="300"/>
      <c r="U465" s="300"/>
      <c r="V465" s="300"/>
      <c r="W465" s="300"/>
      <c r="X465" s="300"/>
      <c r="Y465" s="300"/>
      <c r="Z465" s="300"/>
      <c r="AA465" s="301"/>
    </row>
    <row r="466" spans="1:27">
      <c r="A466" s="319"/>
      <c r="B466" s="351"/>
      <c r="C466" s="381"/>
      <c r="D466" s="369"/>
      <c r="E466" s="369"/>
      <c r="F466" s="300"/>
      <c r="G466" s="300"/>
      <c r="H466" s="300"/>
      <c r="I466" s="300"/>
      <c r="J466" s="300"/>
      <c r="K466" s="300"/>
      <c r="L466" s="300"/>
      <c r="M466" s="300"/>
      <c r="N466" s="300"/>
      <c r="O466" s="300"/>
      <c r="P466" s="300"/>
      <c r="Q466" s="300"/>
      <c r="R466" s="300"/>
      <c r="S466" s="300"/>
      <c r="T466" s="300"/>
      <c r="U466" s="300"/>
      <c r="V466" s="300"/>
      <c r="W466" s="300"/>
      <c r="X466" s="300"/>
      <c r="Y466" s="300"/>
      <c r="Z466" s="300"/>
      <c r="AA466" s="301"/>
    </row>
    <row r="467" spans="1:27">
      <c r="A467" s="319"/>
      <c r="B467" s="351"/>
      <c r="C467" s="381"/>
      <c r="D467" s="369"/>
      <c r="E467" s="369"/>
      <c r="F467" s="300"/>
      <c r="G467" s="300"/>
      <c r="H467" s="300"/>
      <c r="I467" s="300"/>
      <c r="J467" s="300"/>
      <c r="K467" s="300"/>
      <c r="L467" s="300"/>
      <c r="M467" s="300"/>
      <c r="N467" s="300"/>
      <c r="O467" s="300"/>
      <c r="P467" s="300"/>
      <c r="Q467" s="300"/>
      <c r="R467" s="300"/>
      <c r="S467" s="300"/>
      <c r="T467" s="300"/>
      <c r="U467" s="300"/>
      <c r="V467" s="300"/>
      <c r="W467" s="300"/>
      <c r="X467" s="300"/>
      <c r="Y467" s="300"/>
      <c r="Z467" s="300"/>
      <c r="AA467" s="301"/>
    </row>
    <row r="468" spans="1:27">
      <c r="A468" s="319"/>
      <c r="B468" s="351"/>
      <c r="C468" s="381"/>
      <c r="D468" s="369"/>
      <c r="E468" s="369"/>
      <c r="F468" s="300"/>
      <c r="G468" s="300"/>
      <c r="H468" s="300"/>
      <c r="I468" s="300"/>
      <c r="J468" s="300"/>
      <c r="K468" s="300"/>
      <c r="L468" s="300"/>
      <c r="M468" s="300"/>
      <c r="N468" s="300"/>
      <c r="O468" s="300"/>
      <c r="P468" s="300"/>
      <c r="Q468" s="300"/>
      <c r="R468" s="300"/>
      <c r="S468" s="300"/>
      <c r="T468" s="300"/>
      <c r="U468" s="300"/>
      <c r="V468" s="300"/>
      <c r="W468" s="300"/>
      <c r="X468" s="300"/>
      <c r="Y468" s="300"/>
      <c r="Z468" s="300"/>
      <c r="AA468" s="301"/>
    </row>
    <row r="469" spans="1:27">
      <c r="A469" s="319"/>
      <c r="B469" s="351"/>
      <c r="C469" s="381"/>
      <c r="D469" s="369"/>
      <c r="E469" s="369"/>
      <c r="F469" s="300"/>
      <c r="G469" s="300"/>
      <c r="H469" s="300"/>
      <c r="I469" s="300"/>
      <c r="J469" s="300"/>
      <c r="K469" s="300"/>
      <c r="L469" s="300"/>
      <c r="M469" s="300"/>
      <c r="N469" s="300"/>
      <c r="O469" s="300"/>
      <c r="P469" s="300"/>
      <c r="Q469" s="300"/>
      <c r="R469" s="300"/>
      <c r="S469" s="300"/>
      <c r="T469" s="300"/>
      <c r="U469" s="300"/>
      <c r="V469" s="300"/>
      <c r="W469" s="300"/>
      <c r="X469" s="300"/>
      <c r="Y469" s="300"/>
      <c r="Z469" s="300"/>
      <c r="AA469" s="301"/>
    </row>
    <row r="470" spans="1:27">
      <c r="A470" s="319"/>
      <c r="B470" s="351"/>
      <c r="C470" s="381"/>
      <c r="D470" s="369"/>
      <c r="E470" s="369"/>
      <c r="F470" s="300"/>
      <c r="G470" s="300"/>
      <c r="H470" s="300"/>
      <c r="I470" s="300"/>
      <c r="J470" s="300"/>
      <c r="K470" s="300"/>
      <c r="L470" s="300"/>
      <c r="M470" s="300"/>
      <c r="N470" s="300"/>
      <c r="O470" s="300"/>
      <c r="P470" s="300"/>
      <c r="Q470" s="300"/>
      <c r="R470" s="300"/>
      <c r="S470" s="300"/>
      <c r="T470" s="300"/>
      <c r="U470" s="300"/>
      <c r="V470" s="300"/>
      <c r="W470" s="300"/>
      <c r="X470" s="300"/>
      <c r="Y470" s="300"/>
      <c r="Z470" s="300"/>
      <c r="AA470" s="301"/>
    </row>
    <row r="471" spans="1:27">
      <c r="A471" s="319"/>
      <c r="B471" s="351"/>
      <c r="C471" s="381"/>
      <c r="D471" s="369"/>
      <c r="E471" s="369"/>
      <c r="F471" s="300"/>
      <c r="G471" s="300"/>
      <c r="H471" s="300"/>
      <c r="I471" s="300"/>
      <c r="J471" s="300"/>
      <c r="K471" s="300"/>
      <c r="L471" s="300"/>
      <c r="M471" s="300"/>
      <c r="N471" s="300"/>
      <c r="O471" s="300"/>
      <c r="P471" s="300"/>
      <c r="Q471" s="300"/>
      <c r="R471" s="300"/>
      <c r="S471" s="300"/>
      <c r="T471" s="300"/>
      <c r="U471" s="300"/>
      <c r="V471" s="300"/>
      <c r="W471" s="300"/>
      <c r="X471" s="300"/>
      <c r="Y471" s="300"/>
      <c r="Z471" s="300"/>
      <c r="AA471" s="301"/>
    </row>
    <row r="472" spans="1:27">
      <c r="A472" s="319"/>
      <c r="B472" s="351"/>
      <c r="C472" s="381"/>
      <c r="D472" s="369"/>
      <c r="E472" s="369"/>
      <c r="F472" s="300"/>
      <c r="G472" s="300"/>
      <c r="H472" s="300"/>
      <c r="I472" s="300"/>
      <c r="J472" s="300"/>
      <c r="K472" s="300"/>
      <c r="L472" s="300"/>
      <c r="M472" s="300"/>
      <c r="N472" s="300"/>
      <c r="O472" s="300"/>
      <c r="P472" s="300"/>
      <c r="Q472" s="300"/>
      <c r="R472" s="300"/>
      <c r="S472" s="300"/>
      <c r="T472" s="300"/>
      <c r="U472" s="300"/>
      <c r="V472" s="300"/>
      <c r="W472" s="300"/>
      <c r="X472" s="300"/>
      <c r="Y472" s="300"/>
      <c r="Z472" s="300"/>
      <c r="AA472" s="301"/>
    </row>
    <row r="473" spans="1:27">
      <c r="A473" s="319"/>
      <c r="B473" s="351"/>
      <c r="C473" s="381"/>
      <c r="D473" s="369"/>
      <c r="E473" s="369"/>
      <c r="F473" s="300"/>
      <c r="G473" s="300"/>
      <c r="H473" s="300"/>
      <c r="I473" s="300"/>
      <c r="J473" s="300"/>
      <c r="K473" s="300"/>
      <c r="L473" s="300"/>
      <c r="M473" s="300"/>
      <c r="N473" s="300"/>
      <c r="O473" s="300"/>
      <c r="P473" s="300"/>
      <c r="Q473" s="300"/>
      <c r="R473" s="300"/>
      <c r="S473" s="300"/>
      <c r="T473" s="300"/>
      <c r="U473" s="300"/>
      <c r="V473" s="300"/>
      <c r="W473" s="300"/>
      <c r="X473" s="300"/>
      <c r="Y473" s="300"/>
      <c r="Z473" s="300"/>
      <c r="AA473" s="301"/>
    </row>
    <row r="474" spans="1:27">
      <c r="A474" s="319"/>
      <c r="B474" s="351"/>
      <c r="C474" s="381"/>
      <c r="D474" s="369"/>
      <c r="E474" s="369"/>
      <c r="F474" s="300"/>
      <c r="G474" s="300"/>
      <c r="H474" s="300"/>
      <c r="I474" s="300"/>
      <c r="J474" s="300"/>
      <c r="K474" s="300"/>
      <c r="L474" s="300"/>
      <c r="M474" s="300"/>
      <c r="N474" s="300"/>
      <c r="O474" s="300"/>
      <c r="P474" s="300"/>
      <c r="Q474" s="300"/>
      <c r="R474" s="300"/>
      <c r="S474" s="300"/>
      <c r="T474" s="300"/>
      <c r="U474" s="300"/>
      <c r="V474" s="300"/>
      <c r="W474" s="300"/>
      <c r="X474" s="300"/>
      <c r="Y474" s="300"/>
      <c r="Z474" s="300"/>
      <c r="AA474" s="301"/>
    </row>
    <row r="475" spans="1:27">
      <c r="A475" s="319"/>
      <c r="B475" s="351"/>
      <c r="C475" s="381"/>
      <c r="D475" s="369"/>
      <c r="E475" s="369"/>
      <c r="F475" s="300"/>
      <c r="G475" s="300"/>
      <c r="H475" s="300"/>
      <c r="I475" s="300"/>
      <c r="J475" s="300"/>
      <c r="K475" s="300"/>
      <c r="L475" s="300"/>
      <c r="M475" s="300"/>
      <c r="N475" s="300"/>
      <c r="O475" s="300"/>
      <c r="P475" s="300"/>
      <c r="Q475" s="300"/>
      <c r="R475" s="300"/>
      <c r="S475" s="300"/>
      <c r="T475" s="300"/>
      <c r="U475" s="300"/>
      <c r="V475" s="300"/>
      <c r="W475" s="300"/>
      <c r="X475" s="300"/>
      <c r="Y475" s="300"/>
      <c r="Z475" s="300"/>
      <c r="AA475" s="301"/>
    </row>
    <row r="476" spans="1:27">
      <c r="A476" s="319"/>
      <c r="B476" s="351"/>
      <c r="C476" s="381"/>
      <c r="D476" s="369"/>
      <c r="E476" s="369"/>
      <c r="F476" s="300"/>
      <c r="G476" s="300"/>
      <c r="H476" s="300"/>
      <c r="I476" s="300"/>
      <c r="J476" s="300"/>
      <c r="K476" s="300"/>
      <c r="L476" s="300"/>
      <c r="M476" s="300"/>
      <c r="N476" s="300"/>
      <c r="O476" s="300"/>
      <c r="P476" s="300"/>
      <c r="Q476" s="300"/>
      <c r="R476" s="300"/>
      <c r="S476" s="300"/>
      <c r="T476" s="300"/>
      <c r="U476" s="300"/>
      <c r="V476" s="300"/>
      <c r="W476" s="300"/>
      <c r="X476" s="300"/>
      <c r="Y476" s="300"/>
      <c r="Z476" s="300"/>
      <c r="AA476" s="301"/>
    </row>
    <row r="477" spans="1:27">
      <c r="A477" s="319"/>
      <c r="B477" s="351"/>
      <c r="C477" s="381"/>
      <c r="D477" s="369"/>
      <c r="E477" s="369"/>
      <c r="F477" s="300"/>
      <c r="G477" s="300"/>
      <c r="H477" s="300"/>
      <c r="I477" s="300"/>
      <c r="J477" s="300"/>
      <c r="K477" s="300"/>
      <c r="L477" s="300"/>
      <c r="M477" s="300"/>
      <c r="N477" s="300"/>
      <c r="O477" s="300"/>
      <c r="P477" s="300"/>
      <c r="Q477" s="300"/>
      <c r="R477" s="300"/>
      <c r="S477" s="300"/>
      <c r="T477" s="300"/>
      <c r="U477" s="300"/>
      <c r="V477" s="300"/>
      <c r="W477" s="300"/>
      <c r="X477" s="300"/>
      <c r="Y477" s="300"/>
      <c r="Z477" s="300"/>
      <c r="AA477" s="301"/>
    </row>
    <row r="478" spans="1:27">
      <c r="A478" s="319"/>
      <c r="B478" s="351"/>
      <c r="C478" s="381"/>
      <c r="D478" s="369"/>
      <c r="E478" s="369"/>
      <c r="F478" s="300"/>
      <c r="G478" s="300"/>
      <c r="H478" s="300"/>
      <c r="I478" s="300"/>
      <c r="J478" s="300"/>
      <c r="K478" s="300"/>
      <c r="L478" s="300"/>
      <c r="M478" s="300"/>
      <c r="N478" s="300"/>
      <c r="O478" s="300"/>
      <c r="P478" s="300"/>
      <c r="Q478" s="300"/>
      <c r="R478" s="300"/>
      <c r="S478" s="300"/>
      <c r="T478" s="300"/>
      <c r="U478" s="300"/>
      <c r="V478" s="300"/>
      <c r="W478" s="300"/>
      <c r="X478" s="300"/>
      <c r="Y478" s="300"/>
      <c r="Z478" s="300"/>
      <c r="AA478" s="301"/>
    </row>
    <row r="479" spans="1:27">
      <c r="A479" s="319"/>
      <c r="B479" s="351"/>
      <c r="C479" s="381"/>
      <c r="D479" s="369"/>
      <c r="E479" s="369"/>
      <c r="F479" s="300"/>
      <c r="G479" s="300"/>
      <c r="H479" s="300"/>
      <c r="I479" s="300"/>
      <c r="J479" s="300"/>
      <c r="K479" s="300"/>
      <c r="L479" s="300"/>
      <c r="M479" s="300"/>
      <c r="N479" s="300"/>
      <c r="O479" s="300"/>
      <c r="P479" s="300"/>
      <c r="Q479" s="300"/>
      <c r="R479" s="300"/>
      <c r="S479" s="300"/>
      <c r="T479" s="300"/>
      <c r="U479" s="300"/>
      <c r="V479" s="300"/>
      <c r="W479" s="300"/>
      <c r="X479" s="300"/>
      <c r="Y479" s="300"/>
      <c r="Z479" s="300"/>
      <c r="AA479" s="301"/>
    </row>
    <row r="480" spans="1:27">
      <c r="A480" s="319"/>
      <c r="B480" s="351"/>
      <c r="C480" s="381"/>
      <c r="D480" s="369"/>
      <c r="E480" s="369"/>
      <c r="F480" s="300"/>
      <c r="G480" s="300"/>
      <c r="H480" s="300"/>
      <c r="I480" s="300"/>
      <c r="J480" s="300"/>
      <c r="K480" s="300"/>
      <c r="L480" s="300"/>
      <c r="M480" s="300"/>
      <c r="N480" s="300"/>
      <c r="O480" s="300"/>
      <c r="P480" s="300"/>
      <c r="Q480" s="300"/>
      <c r="R480" s="300"/>
      <c r="S480" s="300"/>
      <c r="T480" s="300"/>
      <c r="U480" s="300"/>
      <c r="V480" s="300"/>
      <c r="W480" s="300"/>
      <c r="X480" s="300"/>
      <c r="Y480" s="300"/>
      <c r="Z480" s="300"/>
      <c r="AA480" s="301"/>
    </row>
    <row r="481" spans="1:27">
      <c r="A481" s="319"/>
      <c r="B481" s="351"/>
      <c r="C481" s="381"/>
      <c r="D481" s="369"/>
      <c r="E481" s="369"/>
      <c r="F481" s="300"/>
      <c r="G481" s="300"/>
      <c r="H481" s="300"/>
      <c r="I481" s="300"/>
      <c r="J481" s="300"/>
      <c r="K481" s="300"/>
      <c r="L481" s="300"/>
      <c r="M481" s="300"/>
      <c r="N481" s="300"/>
      <c r="O481" s="300"/>
      <c r="P481" s="300"/>
      <c r="Q481" s="300"/>
      <c r="R481" s="300"/>
      <c r="S481" s="300"/>
      <c r="T481" s="300"/>
      <c r="U481" s="300"/>
      <c r="V481" s="300"/>
      <c r="W481" s="300"/>
      <c r="X481" s="300"/>
      <c r="Y481" s="300"/>
      <c r="Z481" s="300"/>
      <c r="AA481" s="301"/>
    </row>
    <row r="482" spans="1:27">
      <c r="A482" s="319"/>
      <c r="B482" s="351"/>
      <c r="C482" s="381"/>
      <c r="D482" s="369"/>
      <c r="E482" s="369"/>
      <c r="F482" s="300"/>
      <c r="G482" s="300"/>
      <c r="H482" s="300"/>
      <c r="I482" s="300"/>
      <c r="J482" s="300"/>
      <c r="K482" s="300"/>
      <c r="L482" s="300"/>
      <c r="M482" s="300"/>
      <c r="N482" s="300"/>
      <c r="O482" s="300"/>
      <c r="P482" s="300"/>
      <c r="Q482" s="300"/>
      <c r="R482" s="300"/>
      <c r="S482" s="300"/>
      <c r="T482" s="300"/>
      <c r="U482" s="300"/>
      <c r="V482" s="300"/>
      <c r="W482" s="300"/>
      <c r="X482" s="300"/>
      <c r="Y482" s="300"/>
      <c r="Z482" s="300"/>
      <c r="AA482" s="301"/>
    </row>
    <row r="483" spans="1:27">
      <c r="A483" s="319"/>
      <c r="B483" s="351"/>
      <c r="C483" s="381"/>
      <c r="D483" s="369"/>
      <c r="E483" s="369"/>
      <c r="F483" s="300"/>
      <c r="G483" s="300"/>
      <c r="H483" s="300"/>
      <c r="I483" s="300"/>
      <c r="J483" s="300"/>
      <c r="K483" s="300"/>
      <c r="L483" s="300"/>
      <c r="M483" s="300"/>
      <c r="N483" s="300"/>
      <c r="O483" s="300"/>
      <c r="P483" s="300"/>
      <c r="Q483" s="300"/>
      <c r="R483" s="300"/>
      <c r="S483" s="300"/>
      <c r="T483" s="300"/>
      <c r="U483" s="300"/>
      <c r="V483" s="300"/>
      <c r="W483" s="300"/>
      <c r="X483" s="300"/>
      <c r="Y483" s="300"/>
      <c r="Z483" s="300"/>
      <c r="AA483" s="301"/>
    </row>
    <row r="484" spans="1:27">
      <c r="A484" s="319"/>
      <c r="B484" s="351"/>
      <c r="C484" s="381"/>
      <c r="D484" s="369"/>
      <c r="E484" s="369"/>
      <c r="F484" s="300"/>
      <c r="G484" s="300"/>
      <c r="H484" s="300"/>
      <c r="I484" s="300"/>
      <c r="J484" s="300"/>
      <c r="K484" s="300"/>
      <c r="L484" s="300"/>
      <c r="M484" s="300"/>
      <c r="N484" s="300"/>
      <c r="O484" s="300"/>
      <c r="P484" s="300"/>
      <c r="Q484" s="300"/>
      <c r="R484" s="300"/>
      <c r="S484" s="300"/>
      <c r="T484" s="300"/>
      <c r="U484" s="300"/>
      <c r="V484" s="300"/>
      <c r="W484" s="300"/>
      <c r="X484" s="300"/>
      <c r="Y484" s="300"/>
      <c r="Z484" s="300"/>
      <c r="AA484" s="301"/>
    </row>
    <row r="485" spans="1:27">
      <c r="A485" s="319"/>
      <c r="B485" s="351"/>
      <c r="C485" s="381"/>
      <c r="D485" s="369"/>
      <c r="E485" s="369"/>
      <c r="F485" s="300"/>
      <c r="G485" s="300"/>
      <c r="H485" s="300"/>
      <c r="I485" s="300"/>
      <c r="J485" s="300"/>
      <c r="K485" s="300"/>
      <c r="L485" s="300"/>
      <c r="M485" s="300"/>
      <c r="N485" s="300"/>
      <c r="O485" s="300"/>
      <c r="P485" s="300"/>
      <c r="Q485" s="300"/>
      <c r="R485" s="300"/>
      <c r="S485" s="300"/>
      <c r="T485" s="300"/>
      <c r="U485" s="300"/>
      <c r="V485" s="300"/>
      <c r="W485" s="300"/>
      <c r="X485" s="300"/>
      <c r="Y485" s="300"/>
      <c r="Z485" s="300"/>
      <c r="AA485" s="301"/>
    </row>
    <row r="486" spans="1:27">
      <c r="A486" s="319"/>
      <c r="B486" s="351"/>
      <c r="C486" s="381"/>
      <c r="D486" s="369"/>
      <c r="E486" s="369"/>
      <c r="F486" s="300"/>
      <c r="G486" s="300"/>
      <c r="H486" s="300"/>
      <c r="I486" s="300"/>
      <c r="J486" s="300"/>
      <c r="K486" s="300"/>
      <c r="L486" s="300"/>
      <c r="M486" s="300"/>
      <c r="N486" s="300"/>
      <c r="O486" s="300"/>
      <c r="P486" s="300"/>
      <c r="Q486" s="300"/>
      <c r="R486" s="300"/>
      <c r="S486" s="300"/>
      <c r="T486" s="300"/>
      <c r="U486" s="300"/>
      <c r="V486" s="300"/>
      <c r="W486" s="300"/>
      <c r="X486" s="300"/>
      <c r="Y486" s="300"/>
      <c r="Z486" s="300"/>
      <c r="AA486" s="301"/>
    </row>
    <row r="487" spans="1:27">
      <c r="A487" s="319"/>
      <c r="B487" s="351"/>
      <c r="C487" s="381"/>
      <c r="D487" s="369"/>
      <c r="E487" s="369"/>
      <c r="F487" s="300"/>
      <c r="G487" s="300"/>
      <c r="H487" s="300"/>
      <c r="I487" s="300"/>
      <c r="J487" s="300"/>
      <c r="K487" s="300"/>
      <c r="L487" s="300"/>
      <c r="M487" s="300"/>
      <c r="N487" s="300"/>
      <c r="O487" s="300"/>
      <c r="P487" s="300"/>
      <c r="Q487" s="300"/>
      <c r="R487" s="300"/>
      <c r="S487" s="300"/>
      <c r="T487" s="300"/>
      <c r="U487" s="300"/>
      <c r="V487" s="300"/>
      <c r="W487" s="300"/>
      <c r="X487" s="300"/>
      <c r="Y487" s="300"/>
      <c r="Z487" s="300"/>
      <c r="AA487" s="301"/>
    </row>
    <row r="488" spans="1:27">
      <c r="A488" s="319"/>
      <c r="B488" s="351"/>
      <c r="C488" s="381"/>
      <c r="D488" s="369"/>
      <c r="E488" s="369"/>
      <c r="F488" s="300"/>
      <c r="G488" s="300"/>
      <c r="H488" s="300"/>
      <c r="I488" s="300"/>
      <c r="J488" s="300"/>
      <c r="K488" s="300"/>
      <c r="L488" s="300"/>
      <c r="M488" s="300"/>
      <c r="N488" s="300"/>
      <c r="O488" s="300"/>
      <c r="P488" s="300"/>
      <c r="Q488" s="300"/>
      <c r="R488" s="300"/>
      <c r="S488" s="300"/>
      <c r="T488" s="300"/>
      <c r="U488" s="300"/>
      <c r="V488" s="300"/>
      <c r="W488" s="300"/>
      <c r="X488" s="300"/>
      <c r="Y488" s="300"/>
      <c r="Z488" s="300"/>
      <c r="AA488" s="301"/>
    </row>
    <row r="489" spans="1:27">
      <c r="A489" s="319"/>
      <c r="B489" s="351"/>
      <c r="C489" s="381"/>
      <c r="D489" s="369"/>
      <c r="E489" s="369"/>
      <c r="F489" s="300"/>
      <c r="G489" s="300"/>
      <c r="H489" s="300"/>
      <c r="I489" s="300"/>
      <c r="J489" s="300"/>
      <c r="K489" s="300"/>
      <c r="L489" s="300"/>
      <c r="M489" s="300"/>
      <c r="N489" s="300"/>
      <c r="O489" s="300"/>
      <c r="P489" s="300"/>
      <c r="Q489" s="300"/>
      <c r="R489" s="300"/>
      <c r="S489" s="300"/>
      <c r="T489" s="300"/>
      <c r="U489" s="300"/>
      <c r="V489" s="300"/>
      <c r="W489" s="300"/>
      <c r="X489" s="300"/>
      <c r="Y489" s="300"/>
      <c r="Z489" s="300"/>
      <c r="AA489" s="301"/>
    </row>
    <row r="490" spans="1:27">
      <c r="A490" s="319"/>
      <c r="B490" s="351"/>
      <c r="C490" s="381"/>
      <c r="D490" s="369"/>
      <c r="E490" s="369"/>
      <c r="F490" s="300"/>
      <c r="G490" s="300"/>
      <c r="H490" s="300"/>
      <c r="I490" s="300"/>
      <c r="J490" s="300"/>
      <c r="K490" s="300"/>
      <c r="L490" s="300"/>
      <c r="M490" s="300"/>
      <c r="N490" s="300"/>
      <c r="O490" s="300"/>
      <c r="P490" s="300"/>
      <c r="Q490" s="300"/>
      <c r="R490" s="300"/>
      <c r="S490" s="300"/>
      <c r="T490" s="300"/>
      <c r="U490" s="300"/>
      <c r="V490" s="300"/>
      <c r="W490" s="300"/>
      <c r="X490" s="300"/>
      <c r="Y490" s="300"/>
      <c r="Z490" s="300"/>
      <c r="AA490" s="301"/>
    </row>
    <row r="491" spans="1:27">
      <c r="A491" s="319"/>
      <c r="B491" s="351"/>
      <c r="C491" s="381"/>
      <c r="D491" s="369"/>
      <c r="E491" s="369"/>
      <c r="F491" s="300"/>
      <c r="G491" s="300"/>
      <c r="H491" s="300"/>
      <c r="I491" s="300"/>
      <c r="J491" s="300"/>
      <c r="K491" s="300"/>
      <c r="L491" s="300"/>
      <c r="M491" s="300"/>
      <c r="N491" s="300"/>
      <c r="O491" s="300"/>
      <c r="P491" s="300"/>
      <c r="Q491" s="300"/>
      <c r="R491" s="300"/>
      <c r="S491" s="300"/>
      <c r="T491" s="300"/>
      <c r="U491" s="300"/>
      <c r="V491" s="300"/>
      <c r="W491" s="300"/>
      <c r="X491" s="300"/>
      <c r="Y491" s="300"/>
      <c r="Z491" s="300"/>
      <c r="AA491" s="301"/>
    </row>
    <row r="492" spans="1:27">
      <c r="A492" s="319"/>
      <c r="B492" s="351"/>
      <c r="C492" s="381"/>
      <c r="D492" s="369"/>
      <c r="E492" s="369"/>
      <c r="F492" s="300"/>
      <c r="G492" s="300"/>
      <c r="H492" s="300"/>
      <c r="I492" s="300"/>
      <c r="J492" s="300"/>
      <c r="K492" s="300"/>
      <c r="L492" s="300"/>
      <c r="M492" s="300"/>
      <c r="N492" s="300"/>
      <c r="O492" s="300"/>
      <c r="P492" s="300"/>
      <c r="Q492" s="300"/>
      <c r="R492" s="300"/>
      <c r="S492" s="300"/>
      <c r="T492" s="300"/>
      <c r="U492" s="300"/>
      <c r="V492" s="300"/>
      <c r="W492" s="300"/>
      <c r="X492" s="300"/>
      <c r="Y492" s="300"/>
      <c r="Z492" s="300"/>
      <c r="AA492" s="301"/>
    </row>
    <row r="493" spans="1:27">
      <c r="A493" s="319"/>
      <c r="B493" s="351"/>
      <c r="C493" s="381"/>
      <c r="D493" s="369"/>
      <c r="E493" s="369"/>
      <c r="F493" s="300"/>
      <c r="G493" s="300"/>
      <c r="H493" s="300"/>
      <c r="I493" s="300"/>
      <c r="J493" s="300"/>
      <c r="K493" s="300"/>
      <c r="L493" s="300"/>
      <c r="M493" s="300"/>
      <c r="N493" s="300"/>
      <c r="O493" s="300"/>
      <c r="P493" s="300"/>
      <c r="Q493" s="300"/>
      <c r="R493" s="300"/>
      <c r="S493" s="300"/>
      <c r="T493" s="300"/>
      <c r="U493" s="300"/>
      <c r="V493" s="300"/>
      <c r="W493" s="300"/>
      <c r="X493" s="300"/>
      <c r="Y493" s="300"/>
      <c r="Z493" s="300"/>
      <c r="AA493" s="301"/>
    </row>
    <row r="494" spans="1:27">
      <c r="A494" s="319"/>
      <c r="B494" s="351"/>
      <c r="C494" s="381"/>
      <c r="D494" s="369"/>
      <c r="E494" s="369"/>
      <c r="F494" s="300"/>
      <c r="G494" s="300"/>
      <c r="H494" s="300"/>
      <c r="I494" s="300"/>
      <c r="J494" s="300"/>
      <c r="K494" s="300"/>
      <c r="L494" s="300"/>
      <c r="M494" s="300"/>
      <c r="N494" s="300"/>
      <c r="O494" s="300"/>
      <c r="P494" s="300"/>
      <c r="Q494" s="300"/>
      <c r="R494" s="300"/>
      <c r="S494" s="300"/>
      <c r="T494" s="300"/>
      <c r="U494" s="300"/>
      <c r="V494" s="300"/>
      <c r="W494" s="300"/>
      <c r="X494" s="300"/>
      <c r="Y494" s="300"/>
      <c r="Z494" s="300"/>
      <c r="AA494" s="301"/>
    </row>
    <row r="495" spans="1:27">
      <c r="A495" s="319"/>
      <c r="B495" s="351"/>
      <c r="C495" s="381"/>
      <c r="D495" s="369"/>
      <c r="E495" s="369"/>
      <c r="F495" s="300"/>
      <c r="G495" s="300"/>
      <c r="H495" s="300"/>
      <c r="I495" s="300"/>
      <c r="J495" s="300"/>
      <c r="K495" s="300"/>
      <c r="L495" s="300"/>
      <c r="M495" s="300"/>
      <c r="N495" s="300"/>
      <c r="O495" s="300"/>
      <c r="P495" s="300"/>
      <c r="Q495" s="300"/>
      <c r="R495" s="300"/>
      <c r="S495" s="300"/>
      <c r="T495" s="300"/>
      <c r="U495" s="300"/>
      <c r="V495" s="300"/>
      <c r="W495" s="300"/>
      <c r="X495" s="300"/>
      <c r="Y495" s="300"/>
      <c r="Z495" s="300"/>
      <c r="AA495" s="301"/>
    </row>
    <row r="496" spans="1:27">
      <c r="A496" s="319"/>
      <c r="B496" s="351"/>
      <c r="C496" s="381"/>
      <c r="D496" s="369"/>
      <c r="E496" s="369"/>
      <c r="F496" s="300"/>
      <c r="G496" s="300"/>
      <c r="H496" s="300"/>
      <c r="I496" s="300"/>
      <c r="J496" s="300"/>
      <c r="K496" s="300"/>
      <c r="L496" s="300"/>
      <c r="M496" s="300"/>
      <c r="N496" s="300"/>
      <c r="O496" s="300"/>
      <c r="P496" s="300"/>
      <c r="Q496" s="300"/>
      <c r="R496" s="300"/>
      <c r="S496" s="300"/>
      <c r="T496" s="300"/>
      <c r="U496" s="300"/>
      <c r="V496" s="300"/>
      <c r="W496" s="300"/>
      <c r="X496" s="300"/>
      <c r="Y496" s="300"/>
      <c r="Z496" s="300"/>
      <c r="AA496" s="301"/>
    </row>
    <row r="497" spans="1:27">
      <c r="A497" s="319"/>
      <c r="B497" s="351"/>
      <c r="C497" s="381"/>
      <c r="D497" s="369"/>
      <c r="E497" s="369"/>
      <c r="F497" s="300"/>
      <c r="G497" s="300"/>
      <c r="H497" s="300"/>
      <c r="I497" s="300"/>
      <c r="J497" s="300"/>
      <c r="K497" s="300"/>
      <c r="L497" s="300"/>
      <c r="M497" s="300"/>
      <c r="N497" s="300"/>
      <c r="O497" s="300"/>
      <c r="P497" s="300"/>
      <c r="Q497" s="300"/>
      <c r="R497" s="300"/>
      <c r="S497" s="300"/>
      <c r="T497" s="300"/>
      <c r="U497" s="300"/>
      <c r="V497" s="300"/>
      <c r="W497" s="300"/>
      <c r="X497" s="300"/>
      <c r="Y497" s="300"/>
      <c r="Z497" s="300"/>
      <c r="AA497" s="301"/>
    </row>
    <row r="498" spans="1:27">
      <c r="A498" s="319"/>
      <c r="B498" s="351"/>
      <c r="C498" s="381"/>
      <c r="D498" s="369"/>
      <c r="E498" s="369"/>
      <c r="F498" s="300"/>
      <c r="G498" s="300"/>
      <c r="H498" s="300"/>
      <c r="I498" s="300"/>
      <c r="J498" s="300"/>
      <c r="K498" s="300"/>
      <c r="L498" s="300"/>
      <c r="M498" s="300"/>
      <c r="N498" s="300"/>
      <c r="O498" s="300"/>
      <c r="P498" s="300"/>
      <c r="Q498" s="300"/>
      <c r="R498" s="300"/>
      <c r="S498" s="300"/>
      <c r="T498" s="300"/>
      <c r="U498" s="300"/>
      <c r="V498" s="300"/>
      <c r="W498" s="300"/>
      <c r="X498" s="300"/>
      <c r="Y498" s="300"/>
      <c r="Z498" s="300"/>
      <c r="AA498" s="301"/>
    </row>
    <row r="499" spans="1:27">
      <c r="A499" s="319"/>
      <c r="B499" s="351"/>
      <c r="C499" s="381"/>
      <c r="D499" s="369"/>
      <c r="E499" s="369"/>
      <c r="F499" s="300"/>
      <c r="G499" s="300"/>
      <c r="H499" s="300"/>
      <c r="I499" s="300"/>
      <c r="J499" s="300"/>
      <c r="K499" s="300"/>
      <c r="L499" s="300"/>
      <c r="M499" s="300"/>
      <c r="N499" s="300"/>
      <c r="O499" s="300"/>
      <c r="P499" s="300"/>
      <c r="Q499" s="300"/>
      <c r="R499" s="300"/>
      <c r="S499" s="300"/>
      <c r="T499" s="300"/>
      <c r="U499" s="300"/>
      <c r="V499" s="300"/>
      <c r="W499" s="300"/>
      <c r="X499" s="300"/>
      <c r="Y499" s="300"/>
      <c r="Z499" s="300"/>
      <c r="AA499" s="301"/>
    </row>
    <row r="500" spans="1:27">
      <c r="A500" s="319"/>
      <c r="B500" s="351"/>
      <c r="C500" s="381"/>
      <c r="D500" s="369"/>
      <c r="E500" s="369"/>
      <c r="F500" s="300"/>
      <c r="G500" s="300"/>
      <c r="H500" s="300"/>
      <c r="I500" s="300"/>
      <c r="J500" s="300"/>
      <c r="K500" s="300"/>
      <c r="L500" s="300"/>
      <c r="M500" s="300"/>
      <c r="N500" s="300"/>
      <c r="O500" s="300"/>
      <c r="P500" s="300"/>
      <c r="Q500" s="300"/>
      <c r="R500" s="300"/>
      <c r="S500" s="300"/>
      <c r="T500" s="300"/>
      <c r="U500" s="300"/>
      <c r="V500" s="300"/>
      <c r="W500" s="300"/>
      <c r="X500" s="300"/>
      <c r="Y500" s="300"/>
      <c r="Z500" s="300"/>
      <c r="AA500" s="301"/>
    </row>
    <row r="501" spans="1:27">
      <c r="A501" s="319"/>
      <c r="B501" s="351"/>
      <c r="C501" s="381"/>
      <c r="D501" s="369"/>
      <c r="E501" s="369"/>
      <c r="F501" s="300"/>
      <c r="G501" s="300"/>
      <c r="H501" s="300"/>
      <c r="I501" s="300"/>
      <c r="J501" s="300"/>
      <c r="K501" s="300"/>
      <c r="L501" s="300"/>
      <c r="M501" s="300"/>
      <c r="N501" s="300"/>
      <c r="O501" s="300"/>
      <c r="P501" s="300"/>
      <c r="Q501" s="300"/>
      <c r="R501" s="300"/>
      <c r="S501" s="300"/>
      <c r="T501" s="300"/>
      <c r="U501" s="300"/>
      <c r="V501" s="300"/>
      <c r="W501" s="300"/>
      <c r="X501" s="300"/>
      <c r="Y501" s="300"/>
      <c r="Z501" s="300"/>
      <c r="AA501" s="301"/>
    </row>
    <row r="502" spans="1:27">
      <c r="A502" s="319"/>
      <c r="B502" s="351"/>
      <c r="C502" s="381"/>
      <c r="D502" s="369"/>
      <c r="E502" s="369"/>
      <c r="F502" s="300"/>
      <c r="G502" s="300"/>
      <c r="H502" s="300"/>
      <c r="I502" s="300"/>
      <c r="J502" s="300"/>
      <c r="K502" s="300"/>
      <c r="L502" s="300"/>
      <c r="M502" s="300"/>
      <c r="N502" s="300"/>
      <c r="O502" s="300"/>
      <c r="P502" s="300"/>
      <c r="Q502" s="300"/>
      <c r="R502" s="300"/>
      <c r="S502" s="300"/>
      <c r="T502" s="300"/>
      <c r="U502" s="300"/>
      <c r="V502" s="300"/>
      <c r="W502" s="300"/>
      <c r="X502" s="300"/>
      <c r="Y502" s="300"/>
      <c r="Z502" s="300"/>
      <c r="AA502" s="301"/>
    </row>
    <row r="503" spans="1:27">
      <c r="A503" s="319"/>
      <c r="B503" s="351"/>
      <c r="C503" s="381"/>
      <c r="D503" s="369"/>
      <c r="E503" s="369"/>
      <c r="F503" s="300"/>
      <c r="G503" s="300"/>
      <c r="H503" s="300"/>
      <c r="I503" s="300"/>
      <c r="J503" s="300"/>
      <c r="K503" s="300"/>
      <c r="L503" s="300"/>
      <c r="M503" s="300"/>
      <c r="N503" s="300"/>
      <c r="O503" s="300"/>
      <c r="P503" s="300"/>
      <c r="Q503" s="300"/>
      <c r="R503" s="300"/>
      <c r="S503" s="300"/>
      <c r="T503" s="300"/>
      <c r="U503" s="300"/>
      <c r="V503" s="300"/>
      <c r="W503" s="300"/>
      <c r="X503" s="300"/>
      <c r="Y503" s="300"/>
      <c r="Z503" s="300"/>
      <c r="AA503" s="301"/>
    </row>
    <row r="504" spans="1:27">
      <c r="A504" s="319"/>
      <c r="B504" s="351"/>
      <c r="C504" s="381"/>
      <c r="D504" s="369"/>
      <c r="E504" s="369"/>
      <c r="F504" s="300"/>
      <c r="G504" s="300"/>
      <c r="H504" s="300"/>
      <c r="I504" s="300"/>
      <c r="J504" s="300"/>
      <c r="K504" s="300"/>
      <c r="L504" s="300"/>
      <c r="M504" s="300"/>
      <c r="N504" s="300"/>
      <c r="O504" s="300"/>
      <c r="P504" s="300"/>
      <c r="Q504" s="300"/>
      <c r="R504" s="300"/>
      <c r="S504" s="300"/>
      <c r="T504" s="300"/>
      <c r="U504" s="300"/>
      <c r="V504" s="300"/>
      <c r="W504" s="300"/>
      <c r="X504" s="300"/>
      <c r="Y504" s="300"/>
      <c r="Z504" s="300"/>
      <c r="AA504" s="301"/>
    </row>
    <row r="505" spans="1:27">
      <c r="A505" s="319"/>
      <c r="B505" s="351"/>
      <c r="C505" s="381"/>
      <c r="D505" s="369"/>
      <c r="E505" s="369"/>
      <c r="F505" s="300"/>
      <c r="G505" s="300"/>
      <c r="H505" s="300"/>
      <c r="I505" s="300"/>
      <c r="J505" s="300"/>
      <c r="K505" s="300"/>
      <c r="L505" s="300"/>
      <c r="M505" s="300"/>
      <c r="N505" s="300"/>
      <c r="O505" s="300"/>
      <c r="P505" s="300"/>
      <c r="Q505" s="300"/>
      <c r="R505" s="300"/>
      <c r="S505" s="300"/>
      <c r="T505" s="300"/>
      <c r="U505" s="300"/>
      <c r="V505" s="300"/>
      <c r="W505" s="300"/>
      <c r="X505" s="300"/>
      <c r="Y505" s="300"/>
      <c r="Z505" s="300"/>
      <c r="AA505" s="301"/>
    </row>
    <row r="506" spans="1:27">
      <c r="A506" s="319"/>
      <c r="B506" s="351"/>
      <c r="C506" s="381"/>
      <c r="D506" s="369"/>
      <c r="E506" s="369"/>
      <c r="F506" s="300"/>
      <c r="G506" s="300"/>
      <c r="H506" s="300"/>
      <c r="I506" s="300"/>
      <c r="J506" s="300"/>
      <c r="K506" s="300"/>
      <c r="L506" s="300"/>
      <c r="M506" s="300"/>
      <c r="N506" s="300"/>
      <c r="O506" s="300"/>
      <c r="P506" s="300"/>
      <c r="Q506" s="300"/>
      <c r="R506" s="300"/>
      <c r="S506" s="300"/>
      <c r="T506" s="300"/>
      <c r="U506" s="300"/>
      <c r="V506" s="300"/>
      <c r="W506" s="300"/>
      <c r="X506" s="300"/>
      <c r="Y506" s="300"/>
      <c r="Z506" s="300"/>
      <c r="AA506" s="301"/>
    </row>
    <row r="507" spans="1:27">
      <c r="A507" s="319"/>
      <c r="B507" s="351"/>
      <c r="C507" s="381"/>
      <c r="D507" s="369"/>
      <c r="E507" s="369"/>
      <c r="F507" s="300"/>
      <c r="G507" s="300"/>
      <c r="H507" s="300"/>
      <c r="I507" s="300"/>
      <c r="J507" s="300"/>
      <c r="K507" s="300"/>
      <c r="L507" s="300"/>
      <c r="M507" s="300"/>
      <c r="N507" s="300"/>
      <c r="O507" s="300"/>
      <c r="P507" s="300"/>
      <c r="Q507" s="300"/>
      <c r="R507" s="300"/>
      <c r="S507" s="300"/>
      <c r="T507" s="300"/>
      <c r="U507" s="300"/>
      <c r="V507" s="300"/>
      <c r="W507" s="300"/>
      <c r="X507" s="300"/>
      <c r="Y507" s="300"/>
      <c r="Z507" s="300"/>
      <c r="AA507" s="301"/>
    </row>
    <row r="508" spans="1:27">
      <c r="A508" s="319"/>
      <c r="B508" s="351"/>
      <c r="C508" s="381"/>
      <c r="D508" s="369"/>
      <c r="E508" s="369"/>
      <c r="F508" s="300"/>
      <c r="G508" s="300"/>
      <c r="H508" s="300"/>
      <c r="I508" s="300"/>
      <c r="J508" s="300"/>
      <c r="K508" s="300"/>
      <c r="L508" s="300"/>
      <c r="M508" s="300"/>
      <c r="N508" s="300"/>
      <c r="O508" s="300"/>
      <c r="P508" s="300"/>
      <c r="Q508" s="300"/>
      <c r="R508" s="300"/>
      <c r="S508" s="300"/>
      <c r="T508" s="300"/>
      <c r="U508" s="300"/>
      <c r="V508" s="300"/>
      <c r="W508" s="300"/>
      <c r="X508" s="300"/>
      <c r="Y508" s="300"/>
      <c r="Z508" s="300"/>
      <c r="AA508" s="301"/>
    </row>
    <row r="509" spans="1:27">
      <c r="A509" s="319"/>
      <c r="B509" s="351"/>
      <c r="C509" s="381"/>
      <c r="D509" s="369"/>
      <c r="E509" s="369"/>
      <c r="F509" s="300"/>
      <c r="G509" s="300"/>
      <c r="H509" s="300"/>
      <c r="I509" s="300"/>
      <c r="J509" s="300"/>
      <c r="K509" s="300"/>
      <c r="L509" s="300"/>
      <c r="M509" s="300"/>
      <c r="N509" s="300"/>
      <c r="O509" s="300"/>
      <c r="P509" s="300"/>
      <c r="Q509" s="300"/>
      <c r="R509" s="300"/>
      <c r="S509" s="300"/>
      <c r="T509" s="300"/>
      <c r="U509" s="300"/>
      <c r="V509" s="300"/>
      <c r="W509" s="300"/>
      <c r="X509" s="300"/>
      <c r="Y509" s="300"/>
      <c r="Z509" s="300"/>
      <c r="AA509" s="301"/>
    </row>
    <row r="510" spans="1:27">
      <c r="A510" s="319"/>
      <c r="B510" s="351"/>
      <c r="C510" s="381"/>
      <c r="D510" s="369"/>
      <c r="E510" s="369"/>
      <c r="F510" s="300"/>
      <c r="G510" s="300"/>
      <c r="H510" s="300"/>
      <c r="I510" s="300"/>
      <c r="J510" s="300"/>
      <c r="K510" s="300"/>
      <c r="L510" s="300"/>
      <c r="M510" s="300"/>
      <c r="N510" s="300"/>
      <c r="O510" s="300"/>
      <c r="P510" s="300"/>
      <c r="Q510" s="300"/>
      <c r="R510" s="300"/>
      <c r="S510" s="300"/>
      <c r="T510" s="300"/>
      <c r="U510" s="300"/>
      <c r="V510" s="300"/>
      <c r="W510" s="300"/>
      <c r="X510" s="300"/>
      <c r="Y510" s="300"/>
      <c r="Z510" s="300"/>
      <c r="AA510" s="301"/>
    </row>
    <row r="511" spans="1:27">
      <c r="A511" s="319"/>
      <c r="B511" s="351"/>
      <c r="C511" s="381"/>
      <c r="D511" s="369"/>
      <c r="E511" s="369"/>
      <c r="F511" s="300"/>
      <c r="G511" s="300"/>
      <c r="H511" s="300"/>
      <c r="I511" s="300"/>
      <c r="J511" s="300"/>
      <c r="K511" s="300"/>
      <c r="L511" s="300"/>
      <c r="M511" s="300"/>
      <c r="N511" s="300"/>
      <c r="O511" s="300"/>
      <c r="P511" s="300"/>
      <c r="Q511" s="300"/>
      <c r="R511" s="300"/>
      <c r="S511" s="300"/>
      <c r="T511" s="300"/>
      <c r="U511" s="300"/>
      <c r="V511" s="300"/>
      <c r="W511" s="300"/>
      <c r="X511" s="300"/>
      <c r="Y511" s="300"/>
      <c r="Z511" s="300"/>
      <c r="AA511" s="301"/>
    </row>
    <row r="512" spans="1:27">
      <c r="A512" s="319"/>
      <c r="B512" s="351"/>
      <c r="C512" s="381"/>
      <c r="D512" s="369"/>
      <c r="E512" s="369"/>
      <c r="F512" s="300"/>
      <c r="G512" s="300"/>
      <c r="H512" s="300"/>
      <c r="I512" s="300"/>
      <c r="J512" s="300"/>
      <c r="K512" s="300"/>
      <c r="L512" s="300"/>
      <c r="M512" s="300"/>
      <c r="N512" s="300"/>
      <c r="O512" s="300"/>
      <c r="P512" s="300"/>
      <c r="Q512" s="300"/>
      <c r="R512" s="300"/>
      <c r="S512" s="300"/>
      <c r="T512" s="300"/>
      <c r="U512" s="300"/>
      <c r="V512" s="300"/>
      <c r="W512" s="300"/>
      <c r="X512" s="300"/>
      <c r="Y512" s="300"/>
      <c r="Z512" s="300"/>
      <c r="AA512" s="301"/>
    </row>
    <row r="513" spans="1:27">
      <c r="A513" s="319"/>
      <c r="B513" s="351"/>
      <c r="C513" s="381"/>
      <c r="D513" s="369"/>
      <c r="E513" s="369"/>
      <c r="F513" s="300"/>
      <c r="G513" s="300"/>
      <c r="H513" s="300"/>
      <c r="I513" s="300"/>
      <c r="J513" s="300"/>
      <c r="K513" s="300"/>
      <c r="L513" s="300"/>
      <c r="M513" s="300"/>
      <c r="N513" s="300"/>
      <c r="O513" s="300"/>
      <c r="P513" s="300"/>
      <c r="Q513" s="300"/>
      <c r="R513" s="300"/>
      <c r="S513" s="300"/>
      <c r="T513" s="300"/>
      <c r="U513" s="300"/>
      <c r="V513" s="300"/>
      <c r="W513" s="300"/>
      <c r="X513" s="300"/>
      <c r="Y513" s="300"/>
      <c r="Z513" s="300"/>
      <c r="AA513" s="301"/>
    </row>
    <row r="514" spans="1:27">
      <c r="A514" s="319"/>
      <c r="B514" s="351"/>
      <c r="C514" s="381"/>
      <c r="D514" s="369"/>
      <c r="E514" s="369"/>
      <c r="F514" s="300"/>
      <c r="G514" s="300"/>
      <c r="H514" s="300"/>
      <c r="I514" s="300"/>
      <c r="J514" s="300"/>
      <c r="K514" s="300"/>
      <c r="L514" s="300"/>
      <c r="M514" s="300"/>
      <c r="N514" s="300"/>
      <c r="O514" s="300"/>
      <c r="P514" s="300"/>
      <c r="Q514" s="300"/>
      <c r="R514" s="300"/>
      <c r="S514" s="300"/>
      <c r="T514" s="300"/>
      <c r="U514" s="300"/>
      <c r="V514" s="300"/>
      <c r="W514" s="300"/>
      <c r="X514" s="300"/>
      <c r="Y514" s="300"/>
      <c r="Z514" s="300"/>
      <c r="AA514" s="301"/>
    </row>
    <row r="515" spans="1:27">
      <c r="A515" s="319"/>
      <c r="B515" s="351"/>
      <c r="C515" s="381"/>
      <c r="D515" s="369"/>
      <c r="E515" s="369"/>
      <c r="F515" s="300"/>
      <c r="G515" s="300"/>
      <c r="H515" s="300"/>
      <c r="I515" s="300"/>
      <c r="J515" s="300"/>
      <c r="K515" s="300"/>
      <c r="L515" s="300"/>
      <c r="M515" s="300"/>
      <c r="N515" s="300"/>
      <c r="O515" s="300"/>
      <c r="P515" s="300"/>
      <c r="Q515" s="300"/>
      <c r="R515" s="300"/>
      <c r="S515" s="300"/>
      <c r="T515" s="300"/>
      <c r="U515" s="300"/>
      <c r="V515" s="300"/>
      <c r="W515" s="300"/>
      <c r="X515" s="300"/>
      <c r="Y515" s="300"/>
      <c r="Z515" s="300"/>
      <c r="AA515" s="301"/>
    </row>
    <row r="516" spans="1:27">
      <c r="A516" s="319"/>
      <c r="B516" s="351"/>
      <c r="C516" s="381"/>
      <c r="D516" s="369"/>
      <c r="E516" s="369"/>
      <c r="F516" s="300"/>
      <c r="G516" s="300"/>
      <c r="H516" s="300"/>
      <c r="I516" s="300"/>
      <c r="J516" s="300"/>
      <c r="K516" s="300"/>
      <c r="L516" s="300"/>
      <c r="M516" s="300"/>
      <c r="N516" s="300"/>
      <c r="O516" s="300"/>
      <c r="P516" s="300"/>
      <c r="Q516" s="300"/>
      <c r="R516" s="300"/>
      <c r="S516" s="300"/>
      <c r="T516" s="300"/>
      <c r="U516" s="300"/>
      <c r="V516" s="300"/>
      <c r="W516" s="300"/>
      <c r="X516" s="300"/>
      <c r="Y516" s="300"/>
      <c r="Z516" s="300"/>
      <c r="AA516" s="301"/>
    </row>
    <row r="517" spans="1:27">
      <c r="A517" s="319"/>
      <c r="B517" s="351"/>
      <c r="C517" s="381"/>
      <c r="D517" s="369"/>
      <c r="E517" s="369"/>
      <c r="F517" s="300"/>
      <c r="G517" s="300"/>
      <c r="H517" s="300"/>
      <c r="I517" s="300"/>
      <c r="J517" s="300"/>
      <c r="K517" s="300"/>
      <c r="L517" s="300"/>
      <c r="M517" s="300"/>
      <c r="N517" s="300"/>
      <c r="O517" s="300"/>
      <c r="P517" s="300"/>
      <c r="Q517" s="300"/>
      <c r="R517" s="300"/>
      <c r="S517" s="300"/>
      <c r="T517" s="300"/>
      <c r="U517" s="300"/>
      <c r="V517" s="300"/>
      <c r="W517" s="300"/>
      <c r="X517" s="300"/>
      <c r="Y517" s="300"/>
      <c r="Z517" s="300"/>
      <c r="AA517" s="301"/>
    </row>
    <row r="518" spans="1:27">
      <c r="A518" s="319"/>
      <c r="B518" s="351"/>
      <c r="C518" s="381"/>
      <c r="D518" s="369"/>
      <c r="E518" s="369"/>
      <c r="F518" s="300"/>
      <c r="G518" s="300"/>
      <c r="H518" s="300"/>
      <c r="I518" s="300"/>
      <c r="J518" s="300"/>
      <c r="K518" s="300"/>
      <c r="L518" s="300"/>
      <c r="M518" s="300"/>
      <c r="N518" s="300"/>
      <c r="O518" s="300"/>
      <c r="P518" s="300"/>
      <c r="Q518" s="300"/>
      <c r="R518" s="300"/>
      <c r="S518" s="300"/>
      <c r="T518" s="300"/>
      <c r="U518" s="300"/>
      <c r="V518" s="300"/>
      <c r="W518" s="300"/>
      <c r="X518" s="300"/>
      <c r="Y518" s="300"/>
      <c r="Z518" s="300"/>
      <c r="AA518" s="301"/>
    </row>
    <row r="519" spans="1:27">
      <c r="A519" s="319"/>
      <c r="B519" s="351"/>
      <c r="C519" s="381"/>
      <c r="D519" s="369"/>
      <c r="E519" s="369"/>
      <c r="F519" s="300"/>
      <c r="G519" s="300"/>
      <c r="H519" s="300"/>
      <c r="I519" s="300"/>
      <c r="J519" s="300"/>
      <c r="K519" s="300"/>
      <c r="L519" s="300"/>
      <c r="M519" s="300"/>
      <c r="N519" s="300"/>
      <c r="O519" s="300"/>
      <c r="P519" s="300"/>
      <c r="Q519" s="300"/>
      <c r="R519" s="300"/>
      <c r="S519" s="300"/>
      <c r="T519" s="300"/>
      <c r="U519" s="300"/>
      <c r="V519" s="300"/>
      <c r="W519" s="300"/>
      <c r="X519" s="300"/>
      <c r="Y519" s="300"/>
      <c r="Z519" s="300"/>
      <c r="AA519" s="301"/>
    </row>
    <row r="520" spans="1:27">
      <c r="A520" s="319"/>
      <c r="B520" s="351"/>
      <c r="C520" s="381"/>
      <c r="D520" s="369"/>
      <c r="E520" s="369"/>
      <c r="F520" s="300"/>
      <c r="G520" s="300"/>
      <c r="H520" s="300"/>
      <c r="I520" s="300"/>
      <c r="J520" s="300"/>
      <c r="K520" s="300"/>
      <c r="L520" s="300"/>
      <c r="M520" s="300"/>
      <c r="N520" s="300"/>
      <c r="O520" s="300"/>
      <c r="P520" s="300"/>
      <c r="Q520" s="300"/>
      <c r="R520" s="300"/>
      <c r="S520" s="300"/>
      <c r="T520" s="300"/>
      <c r="U520" s="300"/>
      <c r="V520" s="300"/>
      <c r="W520" s="300"/>
      <c r="X520" s="300"/>
      <c r="Y520" s="300"/>
      <c r="Z520" s="300"/>
      <c r="AA520" s="301"/>
    </row>
    <row r="521" spans="1:27">
      <c r="A521" s="319"/>
      <c r="B521" s="351"/>
      <c r="C521" s="381"/>
      <c r="D521" s="369"/>
      <c r="E521" s="369"/>
      <c r="F521" s="300"/>
      <c r="G521" s="300"/>
      <c r="H521" s="300"/>
      <c r="I521" s="300"/>
      <c r="J521" s="300"/>
      <c r="K521" s="300"/>
      <c r="L521" s="300"/>
      <c r="M521" s="300"/>
      <c r="N521" s="300"/>
      <c r="O521" s="300"/>
      <c r="P521" s="300"/>
      <c r="Q521" s="300"/>
      <c r="R521" s="300"/>
      <c r="S521" s="300"/>
      <c r="T521" s="300"/>
      <c r="U521" s="300"/>
      <c r="V521" s="300"/>
      <c r="W521" s="300"/>
      <c r="X521" s="300"/>
      <c r="Y521" s="300"/>
      <c r="Z521" s="300"/>
      <c r="AA521" s="301"/>
    </row>
    <row r="522" spans="1:27">
      <c r="A522" s="319"/>
      <c r="B522" s="351"/>
      <c r="C522" s="381"/>
      <c r="D522" s="369"/>
      <c r="E522" s="369"/>
      <c r="F522" s="300"/>
      <c r="G522" s="300"/>
      <c r="H522" s="300"/>
      <c r="I522" s="300"/>
      <c r="J522" s="300"/>
      <c r="K522" s="300"/>
      <c r="L522" s="300"/>
      <c r="M522" s="300"/>
      <c r="N522" s="300"/>
      <c r="O522" s="300"/>
      <c r="P522" s="300"/>
      <c r="Q522" s="300"/>
      <c r="R522" s="300"/>
      <c r="S522" s="300"/>
      <c r="T522" s="300"/>
      <c r="U522" s="300"/>
      <c r="V522" s="300"/>
      <c r="W522" s="300"/>
      <c r="X522" s="300"/>
      <c r="Y522" s="300"/>
      <c r="Z522" s="300"/>
      <c r="AA522" s="301"/>
    </row>
    <row r="523" spans="1:27">
      <c r="A523" s="319"/>
      <c r="B523" s="351"/>
      <c r="C523" s="381"/>
      <c r="D523" s="369"/>
      <c r="E523" s="369"/>
      <c r="F523" s="300"/>
      <c r="G523" s="300"/>
      <c r="H523" s="300"/>
      <c r="I523" s="300"/>
      <c r="J523" s="300"/>
      <c r="K523" s="300"/>
      <c r="L523" s="300"/>
      <c r="M523" s="300"/>
      <c r="N523" s="300"/>
      <c r="O523" s="300"/>
      <c r="P523" s="300"/>
      <c r="Q523" s="300"/>
      <c r="R523" s="300"/>
      <c r="S523" s="300"/>
      <c r="T523" s="300"/>
      <c r="U523" s="300"/>
      <c r="V523" s="300"/>
      <c r="W523" s="300"/>
      <c r="X523" s="300"/>
      <c r="Y523" s="300"/>
      <c r="Z523" s="300"/>
      <c r="AA523" s="301"/>
    </row>
    <row r="524" spans="1:27">
      <c r="A524" s="319"/>
      <c r="B524" s="351"/>
      <c r="C524" s="381"/>
      <c r="D524" s="369"/>
      <c r="E524" s="369"/>
      <c r="F524" s="300"/>
      <c r="G524" s="300"/>
      <c r="H524" s="300"/>
      <c r="I524" s="300"/>
      <c r="J524" s="300"/>
      <c r="K524" s="300"/>
      <c r="L524" s="300"/>
      <c r="M524" s="300"/>
      <c r="N524" s="300"/>
      <c r="O524" s="300"/>
      <c r="P524" s="300"/>
      <c r="Q524" s="300"/>
      <c r="R524" s="300"/>
      <c r="S524" s="300"/>
      <c r="T524" s="300"/>
      <c r="U524" s="300"/>
      <c r="V524" s="300"/>
      <c r="W524" s="300"/>
      <c r="X524" s="300"/>
      <c r="Y524" s="300"/>
      <c r="Z524" s="300"/>
      <c r="AA524" s="301"/>
    </row>
    <row r="525" spans="1:27">
      <c r="A525" s="319"/>
      <c r="B525" s="351"/>
      <c r="C525" s="381"/>
      <c r="D525" s="369"/>
      <c r="E525" s="369"/>
      <c r="F525" s="300"/>
      <c r="G525" s="300"/>
      <c r="H525" s="300"/>
      <c r="I525" s="300"/>
      <c r="J525" s="300"/>
      <c r="K525" s="300"/>
      <c r="L525" s="300"/>
      <c r="M525" s="300"/>
      <c r="N525" s="300"/>
      <c r="O525" s="300"/>
      <c r="P525" s="300"/>
      <c r="Q525" s="300"/>
      <c r="R525" s="300"/>
      <c r="S525" s="300"/>
      <c r="T525" s="300"/>
      <c r="U525" s="300"/>
      <c r="V525" s="300"/>
      <c r="W525" s="300"/>
      <c r="X525" s="300"/>
      <c r="Y525" s="300"/>
      <c r="Z525" s="300"/>
      <c r="AA525" s="301"/>
    </row>
    <row r="526" spans="1:27">
      <c r="A526" s="319"/>
      <c r="B526" s="351"/>
      <c r="C526" s="381"/>
      <c r="D526" s="369"/>
      <c r="E526" s="369"/>
      <c r="F526" s="300"/>
      <c r="G526" s="300"/>
      <c r="H526" s="300"/>
      <c r="I526" s="300"/>
      <c r="J526" s="300"/>
      <c r="K526" s="300"/>
      <c r="L526" s="300"/>
      <c r="M526" s="300"/>
      <c r="N526" s="300"/>
      <c r="O526" s="300"/>
      <c r="P526" s="300"/>
      <c r="Q526" s="300"/>
      <c r="R526" s="300"/>
      <c r="S526" s="300"/>
      <c r="T526" s="300"/>
      <c r="U526" s="300"/>
      <c r="V526" s="300"/>
      <c r="W526" s="300"/>
      <c r="X526" s="300"/>
      <c r="Y526" s="300"/>
      <c r="Z526" s="300"/>
      <c r="AA526" s="301"/>
    </row>
    <row r="527" spans="1:27">
      <c r="A527" s="319"/>
      <c r="B527" s="351"/>
      <c r="C527" s="381"/>
      <c r="D527" s="369"/>
      <c r="E527" s="369"/>
      <c r="F527" s="300"/>
      <c r="G527" s="300"/>
      <c r="H527" s="300"/>
      <c r="I527" s="300"/>
      <c r="J527" s="300"/>
      <c r="K527" s="300"/>
      <c r="L527" s="300"/>
      <c r="M527" s="300"/>
      <c r="N527" s="300"/>
      <c r="O527" s="300"/>
      <c r="P527" s="300"/>
      <c r="Q527" s="300"/>
      <c r="R527" s="300"/>
      <c r="S527" s="300"/>
      <c r="T527" s="300"/>
      <c r="U527" s="300"/>
      <c r="V527" s="300"/>
      <c r="W527" s="300"/>
      <c r="X527" s="300"/>
      <c r="Y527" s="300"/>
      <c r="Z527" s="300"/>
      <c r="AA527" s="301"/>
    </row>
    <row r="528" spans="1:27">
      <c r="A528" s="319"/>
      <c r="B528" s="351"/>
      <c r="C528" s="381"/>
      <c r="D528" s="369"/>
      <c r="E528" s="369"/>
      <c r="F528" s="300"/>
      <c r="G528" s="300"/>
      <c r="H528" s="300"/>
      <c r="I528" s="300"/>
      <c r="J528" s="300"/>
      <c r="K528" s="300"/>
      <c r="L528" s="300"/>
      <c r="M528" s="300"/>
      <c r="N528" s="300"/>
      <c r="O528" s="300"/>
      <c r="P528" s="300"/>
      <c r="Q528" s="300"/>
      <c r="R528" s="300"/>
      <c r="S528" s="300"/>
      <c r="T528" s="300"/>
      <c r="U528" s="300"/>
      <c r="V528" s="300"/>
      <c r="W528" s="300"/>
      <c r="X528" s="300"/>
      <c r="Y528" s="300"/>
      <c r="Z528" s="300"/>
      <c r="AA528" s="301"/>
    </row>
    <row r="529" spans="1:27">
      <c r="A529" s="319"/>
      <c r="B529" s="351"/>
      <c r="C529" s="381"/>
      <c r="D529" s="369"/>
      <c r="E529" s="369"/>
      <c r="F529" s="300"/>
      <c r="G529" s="300"/>
      <c r="H529" s="300"/>
      <c r="I529" s="300"/>
      <c r="J529" s="300"/>
      <c r="K529" s="300"/>
      <c r="L529" s="300"/>
      <c r="M529" s="300"/>
      <c r="N529" s="300"/>
      <c r="O529" s="300"/>
      <c r="P529" s="300"/>
      <c r="Q529" s="300"/>
      <c r="R529" s="300"/>
      <c r="S529" s="300"/>
      <c r="T529" s="300"/>
      <c r="U529" s="300"/>
      <c r="V529" s="300"/>
      <c r="W529" s="300"/>
      <c r="X529" s="300"/>
      <c r="Y529" s="300"/>
      <c r="Z529" s="300"/>
      <c r="AA529" s="301"/>
    </row>
    <row r="530" spans="1:27">
      <c r="A530" s="319"/>
      <c r="B530" s="351"/>
      <c r="C530" s="381"/>
      <c r="D530" s="369"/>
      <c r="E530" s="369"/>
      <c r="F530" s="300"/>
      <c r="G530" s="300"/>
      <c r="H530" s="300"/>
      <c r="I530" s="300"/>
      <c r="J530" s="300"/>
      <c r="K530" s="300"/>
      <c r="L530" s="300"/>
      <c r="M530" s="300"/>
      <c r="N530" s="300"/>
      <c r="O530" s="300"/>
      <c r="P530" s="300"/>
      <c r="Q530" s="300"/>
      <c r="R530" s="300"/>
      <c r="S530" s="300"/>
      <c r="T530" s="300"/>
      <c r="U530" s="300"/>
      <c r="V530" s="300"/>
      <c r="W530" s="300"/>
      <c r="X530" s="300"/>
      <c r="Y530" s="300"/>
      <c r="Z530" s="300"/>
      <c r="AA530" s="301"/>
    </row>
    <row r="531" spans="1:27">
      <c r="A531" s="319"/>
      <c r="B531" s="351"/>
      <c r="C531" s="381"/>
      <c r="D531" s="369"/>
      <c r="E531" s="369"/>
      <c r="F531" s="300"/>
      <c r="G531" s="300"/>
      <c r="H531" s="300"/>
      <c r="I531" s="300"/>
      <c r="J531" s="300"/>
      <c r="K531" s="300"/>
      <c r="L531" s="300"/>
      <c r="M531" s="300"/>
      <c r="N531" s="300"/>
      <c r="O531" s="300"/>
      <c r="P531" s="300"/>
      <c r="Q531" s="300"/>
      <c r="R531" s="300"/>
      <c r="S531" s="300"/>
      <c r="T531" s="300"/>
      <c r="U531" s="300"/>
      <c r="V531" s="300"/>
      <c r="W531" s="300"/>
      <c r="X531" s="300"/>
      <c r="Y531" s="300"/>
      <c r="Z531" s="300"/>
      <c r="AA531" s="301"/>
    </row>
    <row r="532" spans="1:27">
      <c r="A532" s="319"/>
      <c r="B532" s="351"/>
      <c r="C532" s="381"/>
      <c r="D532" s="369"/>
      <c r="E532" s="369"/>
      <c r="F532" s="300"/>
      <c r="G532" s="300"/>
      <c r="H532" s="300"/>
      <c r="I532" s="300"/>
      <c r="J532" s="300"/>
      <c r="K532" s="300"/>
      <c r="L532" s="300"/>
      <c r="M532" s="300"/>
      <c r="N532" s="300"/>
      <c r="O532" s="300"/>
      <c r="P532" s="300"/>
      <c r="Q532" s="300"/>
      <c r="R532" s="300"/>
      <c r="S532" s="300"/>
      <c r="T532" s="300"/>
      <c r="U532" s="300"/>
      <c r="V532" s="300"/>
      <c r="W532" s="300"/>
      <c r="X532" s="300"/>
      <c r="Y532" s="300"/>
      <c r="Z532" s="300"/>
      <c r="AA532" s="301"/>
    </row>
    <row r="533" spans="1:27">
      <c r="A533" s="319"/>
      <c r="B533" s="351"/>
      <c r="C533" s="381"/>
      <c r="D533" s="369"/>
      <c r="E533" s="369"/>
      <c r="F533" s="300"/>
      <c r="G533" s="300"/>
      <c r="H533" s="300"/>
      <c r="I533" s="300"/>
      <c r="J533" s="300"/>
      <c r="K533" s="300"/>
      <c r="L533" s="300"/>
      <c r="M533" s="300"/>
      <c r="N533" s="300"/>
      <c r="O533" s="300"/>
      <c r="P533" s="300"/>
      <c r="Q533" s="300"/>
      <c r="R533" s="300"/>
      <c r="S533" s="300"/>
      <c r="T533" s="300"/>
      <c r="U533" s="300"/>
      <c r="V533" s="300"/>
      <c r="W533" s="300"/>
      <c r="X533" s="300"/>
      <c r="Y533" s="300"/>
      <c r="Z533" s="300"/>
      <c r="AA533" s="301"/>
    </row>
    <row r="534" spans="1:27">
      <c r="A534" s="319"/>
      <c r="B534" s="351"/>
      <c r="C534" s="381"/>
      <c r="D534" s="369"/>
      <c r="E534" s="369"/>
      <c r="F534" s="300"/>
      <c r="G534" s="300"/>
      <c r="H534" s="300"/>
      <c r="I534" s="300"/>
      <c r="J534" s="300"/>
      <c r="K534" s="300"/>
      <c r="L534" s="300"/>
      <c r="M534" s="300"/>
      <c r="N534" s="300"/>
      <c r="O534" s="300"/>
      <c r="P534" s="300"/>
      <c r="Q534" s="300"/>
      <c r="R534" s="300"/>
      <c r="S534" s="300"/>
      <c r="T534" s="300"/>
      <c r="U534" s="300"/>
      <c r="V534" s="300"/>
      <c r="W534" s="300"/>
      <c r="X534" s="300"/>
      <c r="Y534" s="300"/>
      <c r="Z534" s="300"/>
      <c r="AA534" s="301"/>
    </row>
    <row r="535" spans="1:27">
      <c r="A535" s="319"/>
      <c r="B535" s="351"/>
      <c r="C535" s="381"/>
      <c r="D535" s="369"/>
      <c r="E535" s="369"/>
      <c r="F535" s="300"/>
      <c r="G535" s="300"/>
      <c r="H535" s="300"/>
      <c r="I535" s="300"/>
      <c r="J535" s="300"/>
      <c r="K535" s="300"/>
      <c r="L535" s="300"/>
      <c r="M535" s="300"/>
      <c r="N535" s="300"/>
      <c r="O535" s="300"/>
      <c r="P535" s="300"/>
      <c r="Q535" s="300"/>
      <c r="R535" s="300"/>
      <c r="S535" s="300"/>
      <c r="T535" s="300"/>
      <c r="U535" s="300"/>
      <c r="V535" s="300"/>
      <c r="W535" s="300"/>
      <c r="X535" s="300"/>
      <c r="Y535" s="300"/>
      <c r="Z535" s="300"/>
      <c r="AA535" s="301"/>
    </row>
    <row r="536" spans="1:27">
      <c r="A536" s="319"/>
      <c r="B536" s="351"/>
      <c r="C536" s="381"/>
      <c r="D536" s="369"/>
      <c r="E536" s="369"/>
      <c r="F536" s="300"/>
      <c r="G536" s="300"/>
      <c r="H536" s="300"/>
      <c r="I536" s="300"/>
      <c r="J536" s="300"/>
      <c r="K536" s="300"/>
      <c r="L536" s="300"/>
      <c r="M536" s="300"/>
      <c r="N536" s="300"/>
      <c r="O536" s="300"/>
      <c r="P536" s="300"/>
      <c r="Q536" s="300"/>
      <c r="R536" s="300"/>
      <c r="S536" s="300"/>
      <c r="T536" s="300"/>
      <c r="U536" s="300"/>
      <c r="V536" s="300"/>
      <c r="W536" s="300"/>
      <c r="X536" s="300"/>
      <c r="Y536" s="300"/>
      <c r="Z536" s="300"/>
      <c r="AA536" s="301"/>
    </row>
    <row r="537" spans="1:27">
      <c r="A537" s="319"/>
      <c r="B537" s="351"/>
      <c r="C537" s="381"/>
      <c r="D537" s="369"/>
      <c r="E537" s="369"/>
      <c r="F537" s="300"/>
      <c r="G537" s="300"/>
      <c r="H537" s="300"/>
      <c r="I537" s="300"/>
      <c r="J537" s="300"/>
      <c r="K537" s="300"/>
      <c r="L537" s="300"/>
      <c r="M537" s="300"/>
      <c r="N537" s="300"/>
      <c r="O537" s="300"/>
      <c r="P537" s="300"/>
      <c r="Q537" s="300"/>
      <c r="R537" s="300"/>
      <c r="S537" s="300"/>
      <c r="T537" s="300"/>
      <c r="U537" s="300"/>
      <c r="V537" s="300"/>
      <c r="W537" s="300"/>
      <c r="X537" s="300"/>
      <c r="Y537" s="300"/>
      <c r="Z537" s="300"/>
      <c r="AA537" s="301"/>
    </row>
    <row r="538" spans="1:27">
      <c r="A538" s="319"/>
      <c r="B538" s="351"/>
      <c r="C538" s="381"/>
      <c r="D538" s="369"/>
      <c r="E538" s="369"/>
      <c r="F538" s="300"/>
      <c r="G538" s="300"/>
      <c r="H538" s="300"/>
      <c r="I538" s="300"/>
      <c r="J538" s="300"/>
      <c r="K538" s="300"/>
      <c r="L538" s="300"/>
      <c r="M538" s="300"/>
      <c r="N538" s="300"/>
      <c r="O538" s="300"/>
      <c r="P538" s="300"/>
      <c r="Q538" s="300"/>
      <c r="R538" s="300"/>
      <c r="S538" s="300"/>
      <c r="T538" s="300"/>
      <c r="U538" s="300"/>
      <c r="V538" s="300"/>
      <c r="W538" s="300"/>
      <c r="X538" s="300"/>
      <c r="Y538" s="300"/>
      <c r="Z538" s="300"/>
      <c r="AA538" s="301"/>
    </row>
    <row r="539" spans="1:27">
      <c r="A539" s="319"/>
      <c r="B539" s="351"/>
      <c r="C539" s="381"/>
      <c r="D539" s="369"/>
      <c r="E539" s="369"/>
      <c r="F539" s="300"/>
      <c r="G539" s="300"/>
      <c r="H539" s="300"/>
      <c r="I539" s="300"/>
      <c r="J539" s="300"/>
      <c r="K539" s="300"/>
      <c r="L539" s="300"/>
      <c r="M539" s="300"/>
      <c r="N539" s="300"/>
      <c r="O539" s="300"/>
      <c r="P539" s="300"/>
      <c r="Q539" s="300"/>
      <c r="R539" s="300"/>
      <c r="S539" s="300"/>
      <c r="T539" s="300"/>
      <c r="U539" s="300"/>
      <c r="V539" s="300"/>
      <c r="W539" s="300"/>
      <c r="X539" s="300"/>
      <c r="Y539" s="300"/>
      <c r="Z539" s="300"/>
      <c r="AA539" s="301"/>
    </row>
    <row r="540" spans="1:27">
      <c r="A540" s="319"/>
      <c r="B540" s="351"/>
      <c r="C540" s="381"/>
      <c r="D540" s="369"/>
      <c r="E540" s="369"/>
      <c r="F540" s="300"/>
      <c r="G540" s="300"/>
      <c r="H540" s="300"/>
      <c r="I540" s="300"/>
      <c r="J540" s="300"/>
      <c r="K540" s="300"/>
      <c r="L540" s="300"/>
      <c r="M540" s="300"/>
      <c r="N540" s="300"/>
      <c r="O540" s="300"/>
      <c r="P540" s="300"/>
      <c r="Q540" s="300"/>
      <c r="R540" s="300"/>
      <c r="S540" s="300"/>
      <c r="T540" s="300"/>
      <c r="U540" s="300"/>
      <c r="V540" s="300"/>
      <c r="W540" s="300"/>
      <c r="X540" s="300"/>
      <c r="Y540" s="300"/>
      <c r="Z540" s="300"/>
      <c r="AA540" s="301"/>
    </row>
    <row r="541" spans="1:27">
      <c r="A541" s="319"/>
      <c r="B541" s="351"/>
      <c r="C541" s="381"/>
      <c r="D541" s="369"/>
      <c r="E541" s="369"/>
      <c r="F541" s="300"/>
      <c r="G541" s="300"/>
      <c r="H541" s="300"/>
      <c r="I541" s="300"/>
      <c r="J541" s="300"/>
      <c r="K541" s="300"/>
      <c r="L541" s="300"/>
      <c r="M541" s="300"/>
      <c r="N541" s="300"/>
      <c r="O541" s="300"/>
      <c r="P541" s="300"/>
      <c r="Q541" s="300"/>
      <c r="R541" s="300"/>
      <c r="S541" s="300"/>
      <c r="T541" s="300"/>
      <c r="U541" s="300"/>
      <c r="V541" s="300"/>
      <c r="W541" s="300"/>
      <c r="X541" s="300"/>
      <c r="Y541" s="300"/>
      <c r="Z541" s="300"/>
      <c r="AA541" s="301"/>
    </row>
    <row r="542" spans="1:27">
      <c r="A542" s="319"/>
      <c r="B542" s="351"/>
      <c r="C542" s="381"/>
      <c r="D542" s="369"/>
      <c r="E542" s="369"/>
      <c r="F542" s="300"/>
      <c r="G542" s="300"/>
      <c r="H542" s="300"/>
      <c r="I542" s="300"/>
      <c r="J542" s="300"/>
      <c r="K542" s="300"/>
      <c r="L542" s="300"/>
      <c r="M542" s="300"/>
      <c r="N542" s="300"/>
      <c r="O542" s="300"/>
      <c r="P542" s="300"/>
      <c r="Q542" s="300"/>
      <c r="R542" s="300"/>
      <c r="S542" s="300"/>
      <c r="T542" s="300"/>
      <c r="U542" s="300"/>
      <c r="V542" s="300"/>
      <c r="W542" s="300"/>
      <c r="X542" s="300"/>
      <c r="Y542" s="300"/>
      <c r="Z542" s="300"/>
      <c r="AA542" s="301"/>
    </row>
    <row r="543" spans="1:27">
      <c r="A543" s="319"/>
      <c r="B543" s="351"/>
      <c r="C543" s="381"/>
      <c r="D543" s="369"/>
      <c r="E543" s="369"/>
      <c r="F543" s="300"/>
      <c r="G543" s="300"/>
      <c r="H543" s="300"/>
      <c r="I543" s="300"/>
      <c r="J543" s="300"/>
      <c r="K543" s="300"/>
      <c r="L543" s="300"/>
      <c r="M543" s="300"/>
      <c r="N543" s="300"/>
      <c r="O543" s="300"/>
      <c r="P543" s="300"/>
      <c r="Q543" s="300"/>
      <c r="R543" s="300"/>
      <c r="S543" s="300"/>
      <c r="T543" s="300"/>
      <c r="U543" s="300"/>
      <c r="V543" s="300"/>
      <c r="W543" s="300"/>
      <c r="X543" s="300"/>
      <c r="Y543" s="300"/>
      <c r="Z543" s="300"/>
      <c r="AA543" s="301"/>
    </row>
    <row r="544" spans="1:27">
      <c r="A544" s="319"/>
      <c r="B544" s="351"/>
      <c r="C544" s="381"/>
      <c r="D544" s="369"/>
      <c r="E544" s="369"/>
      <c r="F544" s="300"/>
      <c r="G544" s="300"/>
      <c r="H544" s="300"/>
      <c r="I544" s="300"/>
      <c r="J544" s="300"/>
      <c r="K544" s="300"/>
      <c r="L544" s="300"/>
      <c r="M544" s="300"/>
      <c r="N544" s="300"/>
      <c r="O544" s="300"/>
      <c r="P544" s="300"/>
      <c r="Q544" s="300"/>
      <c r="R544" s="300"/>
      <c r="S544" s="300"/>
      <c r="T544" s="300"/>
      <c r="U544" s="300"/>
      <c r="V544" s="300"/>
      <c r="W544" s="300"/>
      <c r="X544" s="300"/>
      <c r="Y544" s="300"/>
      <c r="Z544" s="300"/>
      <c r="AA544" s="301"/>
    </row>
    <row r="545" spans="1:27">
      <c r="A545" s="319"/>
      <c r="B545" s="351"/>
      <c r="C545" s="381"/>
      <c r="D545" s="369"/>
      <c r="E545" s="369"/>
      <c r="F545" s="300"/>
      <c r="G545" s="300"/>
      <c r="H545" s="300"/>
      <c r="I545" s="300"/>
      <c r="J545" s="300"/>
      <c r="K545" s="300"/>
      <c r="L545" s="300"/>
      <c r="M545" s="300"/>
      <c r="N545" s="300"/>
      <c r="O545" s="300"/>
      <c r="P545" s="300"/>
      <c r="Q545" s="300"/>
      <c r="R545" s="300"/>
      <c r="S545" s="300"/>
      <c r="T545" s="300"/>
      <c r="U545" s="300"/>
      <c r="V545" s="300"/>
      <c r="W545" s="300"/>
      <c r="X545" s="300"/>
      <c r="Y545" s="300"/>
      <c r="Z545" s="300"/>
      <c r="AA545" s="301"/>
    </row>
    <row r="546" spans="1:27">
      <c r="A546" s="319"/>
      <c r="B546" s="351"/>
      <c r="C546" s="381"/>
      <c r="D546" s="369"/>
      <c r="E546" s="369"/>
      <c r="F546" s="300"/>
      <c r="G546" s="300"/>
      <c r="H546" s="300"/>
      <c r="I546" s="300"/>
      <c r="J546" s="300"/>
      <c r="K546" s="300"/>
      <c r="L546" s="300"/>
      <c r="M546" s="300"/>
      <c r="N546" s="300"/>
      <c r="O546" s="300"/>
      <c r="P546" s="300"/>
      <c r="Q546" s="300"/>
      <c r="R546" s="300"/>
      <c r="S546" s="300"/>
      <c r="T546" s="300"/>
      <c r="U546" s="300"/>
      <c r="V546" s="300"/>
      <c r="W546" s="300"/>
      <c r="X546" s="300"/>
      <c r="Y546" s="300"/>
      <c r="Z546" s="300"/>
      <c r="AA546" s="301"/>
    </row>
    <row r="547" spans="1:27">
      <c r="A547" s="319"/>
      <c r="B547" s="351"/>
      <c r="C547" s="381"/>
      <c r="D547" s="369"/>
      <c r="E547" s="369"/>
      <c r="F547" s="300"/>
      <c r="G547" s="300"/>
      <c r="H547" s="300"/>
      <c r="I547" s="300"/>
      <c r="J547" s="300"/>
      <c r="K547" s="300"/>
      <c r="L547" s="300"/>
      <c r="M547" s="300"/>
      <c r="N547" s="300"/>
      <c r="O547" s="300"/>
      <c r="P547" s="300"/>
      <c r="Q547" s="300"/>
      <c r="R547" s="300"/>
      <c r="S547" s="300"/>
      <c r="T547" s="300"/>
      <c r="U547" s="300"/>
      <c r="V547" s="300"/>
      <c r="W547" s="300"/>
      <c r="X547" s="300"/>
      <c r="Y547" s="300"/>
      <c r="Z547" s="300"/>
      <c r="AA547" s="301"/>
    </row>
    <row r="548" spans="1:27">
      <c r="A548" s="319"/>
      <c r="B548" s="351"/>
      <c r="C548" s="381"/>
      <c r="D548" s="369"/>
      <c r="E548" s="369"/>
      <c r="F548" s="300"/>
      <c r="G548" s="300"/>
      <c r="H548" s="300"/>
      <c r="I548" s="300"/>
      <c r="J548" s="300"/>
      <c r="K548" s="300"/>
      <c r="L548" s="300"/>
      <c r="M548" s="300"/>
      <c r="N548" s="300"/>
      <c r="O548" s="300"/>
      <c r="P548" s="300"/>
      <c r="Q548" s="300"/>
      <c r="R548" s="300"/>
      <c r="S548" s="300"/>
      <c r="T548" s="300"/>
      <c r="U548" s="300"/>
      <c r="V548" s="300"/>
      <c r="W548" s="300"/>
      <c r="X548" s="300"/>
      <c r="Y548" s="300"/>
      <c r="Z548" s="300"/>
      <c r="AA548" s="301"/>
    </row>
    <row r="549" spans="1:27">
      <c r="A549" s="319"/>
      <c r="B549" s="351"/>
      <c r="C549" s="381"/>
      <c r="D549" s="369"/>
      <c r="E549" s="369"/>
      <c r="F549" s="300"/>
      <c r="G549" s="300"/>
      <c r="H549" s="300"/>
      <c r="I549" s="300"/>
      <c r="J549" s="300"/>
      <c r="K549" s="300"/>
      <c r="L549" s="300"/>
      <c r="M549" s="300"/>
      <c r="N549" s="300"/>
      <c r="O549" s="300"/>
      <c r="P549" s="300"/>
      <c r="Q549" s="300"/>
      <c r="R549" s="300"/>
      <c r="S549" s="300"/>
      <c r="T549" s="300"/>
      <c r="U549" s="300"/>
      <c r="V549" s="300"/>
      <c r="W549" s="300"/>
      <c r="X549" s="300"/>
      <c r="Y549" s="300"/>
      <c r="Z549" s="300"/>
      <c r="AA549" s="301"/>
    </row>
    <row r="550" spans="1:27">
      <c r="A550" s="319"/>
      <c r="B550" s="351"/>
      <c r="C550" s="381"/>
      <c r="D550" s="369"/>
      <c r="E550" s="369"/>
      <c r="F550" s="300"/>
      <c r="G550" s="300"/>
      <c r="H550" s="300"/>
      <c r="I550" s="300"/>
      <c r="J550" s="300"/>
      <c r="K550" s="300"/>
      <c r="L550" s="300"/>
      <c r="M550" s="300"/>
      <c r="N550" s="300"/>
      <c r="O550" s="300"/>
      <c r="P550" s="300"/>
      <c r="Q550" s="300"/>
      <c r="R550" s="300"/>
      <c r="S550" s="300"/>
      <c r="T550" s="300"/>
      <c r="U550" s="300"/>
      <c r="V550" s="300"/>
      <c r="W550" s="300"/>
      <c r="X550" s="300"/>
      <c r="Y550" s="300"/>
      <c r="Z550" s="300"/>
      <c r="AA550" s="301"/>
    </row>
    <row r="551" spans="1:27">
      <c r="A551" s="319"/>
      <c r="B551" s="351"/>
      <c r="C551" s="381"/>
      <c r="D551" s="369"/>
      <c r="E551" s="369"/>
      <c r="F551" s="300"/>
      <c r="G551" s="300"/>
      <c r="H551" s="300"/>
      <c r="I551" s="300"/>
      <c r="J551" s="300"/>
      <c r="K551" s="300"/>
      <c r="L551" s="300"/>
      <c r="M551" s="300"/>
      <c r="N551" s="300"/>
      <c r="O551" s="300"/>
      <c r="P551" s="300"/>
      <c r="Q551" s="300"/>
      <c r="R551" s="300"/>
      <c r="S551" s="300"/>
      <c r="T551" s="300"/>
      <c r="U551" s="300"/>
      <c r="V551" s="300"/>
      <c r="W551" s="300"/>
      <c r="X551" s="300"/>
      <c r="Y551" s="300"/>
      <c r="Z551" s="300"/>
      <c r="AA551" s="301"/>
    </row>
    <row r="552" spans="1:27">
      <c r="A552" s="319"/>
      <c r="B552" s="351"/>
      <c r="C552" s="381"/>
      <c r="D552" s="369"/>
      <c r="E552" s="369"/>
      <c r="F552" s="300"/>
      <c r="G552" s="300"/>
      <c r="H552" s="300"/>
      <c r="I552" s="300"/>
      <c r="J552" s="300"/>
      <c r="K552" s="300"/>
      <c r="L552" s="300"/>
      <c r="M552" s="300"/>
      <c r="N552" s="300"/>
      <c r="O552" s="300"/>
      <c r="P552" s="300"/>
      <c r="Q552" s="300"/>
      <c r="R552" s="300"/>
      <c r="S552" s="300"/>
      <c r="T552" s="300"/>
      <c r="U552" s="300"/>
      <c r="V552" s="300"/>
      <c r="W552" s="300"/>
      <c r="X552" s="300"/>
      <c r="Y552" s="300"/>
      <c r="Z552" s="300"/>
      <c r="AA552" s="301"/>
    </row>
    <row r="553" spans="1:27">
      <c r="A553" s="319"/>
      <c r="B553" s="351"/>
      <c r="C553" s="381"/>
      <c r="D553" s="369"/>
      <c r="E553" s="369"/>
      <c r="F553" s="300"/>
      <c r="G553" s="300"/>
      <c r="H553" s="300"/>
      <c r="I553" s="300"/>
      <c r="J553" s="300"/>
      <c r="K553" s="300"/>
      <c r="L553" s="300"/>
      <c r="M553" s="300"/>
      <c r="N553" s="300"/>
      <c r="O553" s="300"/>
      <c r="P553" s="300"/>
      <c r="Q553" s="300"/>
      <c r="R553" s="300"/>
      <c r="S553" s="300"/>
      <c r="T553" s="300"/>
      <c r="U553" s="300"/>
      <c r="V553" s="300"/>
      <c r="W553" s="300"/>
      <c r="X553" s="300"/>
      <c r="Y553" s="300"/>
      <c r="Z553" s="300"/>
      <c r="AA553" s="301"/>
    </row>
    <row r="554" spans="1:27">
      <c r="A554" s="319"/>
      <c r="B554" s="351"/>
      <c r="C554" s="381"/>
      <c r="D554" s="369"/>
      <c r="E554" s="369"/>
      <c r="F554" s="300"/>
      <c r="G554" s="300"/>
      <c r="H554" s="300"/>
      <c r="I554" s="300"/>
      <c r="J554" s="300"/>
      <c r="K554" s="300"/>
      <c r="L554" s="300"/>
      <c r="M554" s="300"/>
      <c r="N554" s="300"/>
      <c r="O554" s="300"/>
      <c r="P554" s="300"/>
      <c r="Q554" s="300"/>
      <c r="R554" s="300"/>
      <c r="S554" s="300"/>
      <c r="T554" s="300"/>
      <c r="U554" s="300"/>
      <c r="V554" s="300"/>
      <c r="W554" s="300"/>
      <c r="X554" s="300"/>
      <c r="Y554" s="300"/>
      <c r="Z554" s="300"/>
      <c r="AA554" s="301"/>
    </row>
    <row r="555" spans="1:27">
      <c r="A555" s="319"/>
      <c r="B555" s="351"/>
      <c r="C555" s="381"/>
      <c r="D555" s="369"/>
      <c r="E555" s="369"/>
      <c r="F555" s="300"/>
      <c r="G555" s="300"/>
      <c r="H555" s="300"/>
      <c r="I555" s="300"/>
      <c r="J555" s="300"/>
      <c r="K555" s="300"/>
      <c r="L555" s="300"/>
      <c r="M555" s="300"/>
      <c r="N555" s="300"/>
      <c r="O555" s="300"/>
      <c r="P555" s="300"/>
      <c r="Q555" s="300"/>
      <c r="R555" s="300"/>
      <c r="S555" s="300"/>
      <c r="T555" s="300"/>
      <c r="U555" s="300"/>
      <c r="V555" s="300"/>
      <c r="W555" s="300"/>
      <c r="X555" s="300"/>
      <c r="Y555" s="300"/>
      <c r="Z555" s="300"/>
      <c r="AA555" s="301"/>
    </row>
    <row r="556" spans="1:27">
      <c r="A556" s="319"/>
      <c r="B556" s="351"/>
      <c r="C556" s="381"/>
      <c r="D556" s="369"/>
      <c r="E556" s="369"/>
      <c r="F556" s="300"/>
      <c r="G556" s="300"/>
      <c r="H556" s="300"/>
      <c r="I556" s="300"/>
      <c r="J556" s="300"/>
      <c r="K556" s="300"/>
      <c r="L556" s="300"/>
      <c r="M556" s="300"/>
      <c r="N556" s="300"/>
      <c r="O556" s="300"/>
      <c r="P556" s="300"/>
      <c r="Q556" s="300"/>
      <c r="R556" s="300"/>
      <c r="S556" s="300"/>
      <c r="T556" s="300"/>
      <c r="U556" s="300"/>
      <c r="V556" s="300"/>
      <c r="W556" s="300"/>
      <c r="X556" s="300"/>
      <c r="Y556" s="300"/>
      <c r="Z556" s="300"/>
      <c r="AA556" s="301"/>
    </row>
    <row r="557" spans="1:27">
      <c r="A557" s="319"/>
      <c r="B557" s="351"/>
      <c r="C557" s="381"/>
      <c r="D557" s="369"/>
      <c r="E557" s="369"/>
      <c r="F557" s="300"/>
      <c r="G557" s="300"/>
      <c r="H557" s="300"/>
      <c r="I557" s="300"/>
      <c r="J557" s="300"/>
      <c r="K557" s="300"/>
      <c r="L557" s="300"/>
      <c r="M557" s="300"/>
      <c r="N557" s="300"/>
      <c r="O557" s="300"/>
      <c r="P557" s="300"/>
      <c r="Q557" s="300"/>
      <c r="R557" s="300"/>
      <c r="S557" s="300"/>
      <c r="T557" s="300"/>
      <c r="U557" s="300"/>
      <c r="V557" s="300"/>
      <c r="W557" s="300"/>
      <c r="X557" s="300"/>
      <c r="Y557" s="300"/>
      <c r="Z557" s="300"/>
      <c r="AA557" s="301"/>
    </row>
    <row r="558" spans="1:27">
      <c r="A558" s="319"/>
      <c r="B558" s="351"/>
      <c r="C558" s="381"/>
      <c r="D558" s="369"/>
      <c r="E558" s="369"/>
      <c r="F558" s="300"/>
      <c r="G558" s="300"/>
      <c r="H558" s="300"/>
      <c r="I558" s="300"/>
      <c r="J558" s="300"/>
      <c r="K558" s="300"/>
      <c r="L558" s="300"/>
      <c r="M558" s="300"/>
      <c r="N558" s="300"/>
      <c r="O558" s="300"/>
      <c r="P558" s="300"/>
      <c r="Q558" s="300"/>
      <c r="R558" s="300"/>
      <c r="S558" s="300"/>
      <c r="T558" s="300"/>
      <c r="U558" s="300"/>
      <c r="V558" s="300"/>
      <c r="W558" s="300"/>
      <c r="X558" s="300"/>
      <c r="Y558" s="300"/>
      <c r="Z558" s="300"/>
      <c r="AA558" s="301"/>
    </row>
    <row r="559" spans="1:27">
      <c r="A559" s="319"/>
      <c r="B559" s="351"/>
      <c r="C559" s="381"/>
      <c r="D559" s="369"/>
      <c r="E559" s="369"/>
      <c r="F559" s="300"/>
      <c r="G559" s="300"/>
      <c r="H559" s="300"/>
      <c r="I559" s="300"/>
      <c r="J559" s="300"/>
      <c r="K559" s="300"/>
      <c r="L559" s="300"/>
      <c r="M559" s="300"/>
      <c r="N559" s="300"/>
      <c r="O559" s="300"/>
      <c r="P559" s="300"/>
      <c r="Q559" s="300"/>
      <c r="R559" s="300"/>
      <c r="S559" s="300"/>
      <c r="T559" s="300"/>
      <c r="U559" s="300"/>
      <c r="V559" s="300"/>
      <c r="W559" s="300"/>
      <c r="X559" s="300"/>
      <c r="Y559" s="300"/>
      <c r="Z559" s="300"/>
      <c r="AA559" s="301"/>
    </row>
    <row r="560" spans="1:27">
      <c r="A560" s="319"/>
      <c r="B560" s="351"/>
      <c r="C560" s="381"/>
      <c r="D560" s="369"/>
      <c r="E560" s="369"/>
      <c r="F560" s="300"/>
      <c r="G560" s="300"/>
      <c r="H560" s="300"/>
      <c r="I560" s="300"/>
      <c r="J560" s="300"/>
      <c r="K560" s="300"/>
      <c r="L560" s="300"/>
      <c r="M560" s="300"/>
      <c r="N560" s="300"/>
      <c r="O560" s="300"/>
      <c r="P560" s="300"/>
      <c r="Q560" s="300"/>
      <c r="R560" s="300"/>
      <c r="S560" s="300"/>
      <c r="T560" s="300"/>
      <c r="U560" s="300"/>
      <c r="V560" s="300"/>
      <c r="W560" s="300"/>
      <c r="X560" s="300"/>
      <c r="Y560" s="300"/>
      <c r="Z560" s="300"/>
      <c r="AA560" s="301"/>
    </row>
    <row r="561" spans="1:27">
      <c r="A561" s="319"/>
      <c r="B561" s="351"/>
      <c r="C561" s="381"/>
      <c r="D561" s="369"/>
      <c r="E561" s="369"/>
      <c r="F561" s="300"/>
      <c r="G561" s="300"/>
      <c r="H561" s="300"/>
      <c r="I561" s="300"/>
      <c r="J561" s="300"/>
      <c r="K561" s="300"/>
      <c r="L561" s="300"/>
      <c r="M561" s="300"/>
      <c r="N561" s="300"/>
      <c r="O561" s="300"/>
      <c r="P561" s="300"/>
      <c r="Q561" s="300"/>
      <c r="R561" s="300"/>
      <c r="S561" s="300"/>
      <c r="T561" s="300"/>
      <c r="U561" s="300"/>
      <c r="V561" s="300"/>
      <c r="W561" s="300"/>
      <c r="X561" s="300"/>
      <c r="Y561" s="300"/>
      <c r="Z561" s="300"/>
      <c r="AA561" s="301"/>
    </row>
    <row r="562" spans="1:27">
      <c r="A562" s="319"/>
      <c r="B562" s="351"/>
      <c r="C562" s="381"/>
      <c r="D562" s="369"/>
      <c r="E562" s="369"/>
      <c r="F562" s="300"/>
      <c r="G562" s="300"/>
      <c r="H562" s="300"/>
      <c r="I562" s="300"/>
      <c r="J562" s="300"/>
      <c r="K562" s="300"/>
      <c r="L562" s="300"/>
      <c r="M562" s="300"/>
      <c r="N562" s="300"/>
      <c r="O562" s="300"/>
      <c r="P562" s="300"/>
      <c r="Q562" s="300"/>
      <c r="R562" s="300"/>
      <c r="S562" s="300"/>
      <c r="T562" s="300"/>
      <c r="U562" s="300"/>
      <c r="V562" s="300"/>
      <c r="W562" s="300"/>
      <c r="X562" s="300"/>
      <c r="Y562" s="300"/>
      <c r="Z562" s="300"/>
      <c r="AA562" s="301"/>
    </row>
    <row r="563" spans="1:27">
      <c r="A563" s="319"/>
      <c r="B563" s="351"/>
      <c r="C563" s="381"/>
      <c r="D563" s="369"/>
      <c r="E563" s="369"/>
      <c r="F563" s="300"/>
      <c r="G563" s="300"/>
      <c r="H563" s="300"/>
      <c r="I563" s="300"/>
      <c r="J563" s="300"/>
      <c r="K563" s="300"/>
      <c r="L563" s="300"/>
      <c r="M563" s="300"/>
      <c r="N563" s="300"/>
      <c r="O563" s="300"/>
      <c r="P563" s="300"/>
      <c r="Q563" s="300"/>
      <c r="R563" s="300"/>
      <c r="S563" s="300"/>
      <c r="T563" s="300"/>
      <c r="U563" s="300"/>
      <c r="V563" s="300"/>
      <c r="W563" s="300"/>
      <c r="X563" s="300"/>
      <c r="Y563" s="300"/>
      <c r="Z563" s="300"/>
      <c r="AA563" s="301"/>
    </row>
    <row r="564" spans="1:27">
      <c r="A564" s="319"/>
      <c r="B564" s="351"/>
      <c r="C564" s="381"/>
      <c r="D564" s="369"/>
      <c r="E564" s="369"/>
      <c r="F564" s="300"/>
      <c r="G564" s="300"/>
      <c r="H564" s="300"/>
      <c r="I564" s="300"/>
      <c r="J564" s="300"/>
      <c r="K564" s="300"/>
      <c r="L564" s="300"/>
      <c r="M564" s="300"/>
      <c r="N564" s="300"/>
      <c r="O564" s="300"/>
      <c r="P564" s="300"/>
      <c r="Q564" s="300"/>
      <c r="R564" s="300"/>
      <c r="S564" s="300"/>
      <c r="T564" s="300"/>
      <c r="U564" s="300"/>
      <c r="V564" s="300"/>
      <c r="W564" s="300"/>
      <c r="X564" s="300"/>
      <c r="Y564" s="300"/>
      <c r="Z564" s="300"/>
      <c r="AA564" s="301"/>
    </row>
    <row r="565" spans="1:27">
      <c r="A565" s="319"/>
      <c r="B565" s="351"/>
      <c r="C565" s="381"/>
      <c r="D565" s="369"/>
      <c r="E565" s="369"/>
      <c r="F565" s="300"/>
      <c r="G565" s="300"/>
      <c r="H565" s="300"/>
      <c r="I565" s="300"/>
      <c r="J565" s="300"/>
      <c r="K565" s="300"/>
      <c r="L565" s="300"/>
      <c r="M565" s="300"/>
      <c r="N565" s="300"/>
      <c r="O565" s="300"/>
      <c r="P565" s="300"/>
      <c r="Q565" s="300"/>
      <c r="R565" s="300"/>
      <c r="S565" s="300"/>
      <c r="T565" s="300"/>
      <c r="U565" s="300"/>
      <c r="V565" s="300"/>
      <c r="W565" s="300"/>
      <c r="X565" s="300"/>
      <c r="Y565" s="300"/>
      <c r="Z565" s="300"/>
      <c r="AA565" s="301"/>
    </row>
    <row r="566" spans="1:27">
      <c r="A566" s="319"/>
      <c r="B566" s="351"/>
      <c r="C566" s="381"/>
      <c r="D566" s="369"/>
      <c r="E566" s="369"/>
      <c r="F566" s="300"/>
      <c r="G566" s="300"/>
      <c r="H566" s="300"/>
      <c r="I566" s="300"/>
      <c r="J566" s="300"/>
      <c r="K566" s="300"/>
      <c r="L566" s="300"/>
      <c r="M566" s="300"/>
      <c r="N566" s="300"/>
      <c r="O566" s="300"/>
      <c r="P566" s="300"/>
      <c r="Q566" s="300"/>
      <c r="R566" s="300"/>
      <c r="S566" s="300"/>
      <c r="T566" s="300"/>
      <c r="U566" s="300"/>
      <c r="V566" s="300"/>
      <c r="W566" s="300"/>
      <c r="X566" s="300"/>
      <c r="Y566" s="300"/>
      <c r="Z566" s="300"/>
      <c r="AA566" s="301"/>
    </row>
    <row r="567" spans="1:27">
      <c r="A567" s="319"/>
      <c r="B567" s="351"/>
      <c r="C567" s="381"/>
      <c r="D567" s="369"/>
      <c r="E567" s="369"/>
      <c r="F567" s="300"/>
      <c r="G567" s="300"/>
      <c r="H567" s="300"/>
      <c r="I567" s="300"/>
      <c r="J567" s="300"/>
      <c r="K567" s="300"/>
      <c r="L567" s="300"/>
      <c r="M567" s="300"/>
      <c r="N567" s="300"/>
      <c r="O567" s="300"/>
      <c r="P567" s="300"/>
      <c r="Q567" s="300"/>
      <c r="R567" s="300"/>
      <c r="S567" s="300"/>
      <c r="T567" s="300"/>
      <c r="U567" s="300"/>
      <c r="V567" s="300"/>
      <c r="W567" s="300"/>
      <c r="X567" s="300"/>
      <c r="Y567" s="300"/>
      <c r="Z567" s="300"/>
      <c r="AA567" s="301"/>
    </row>
    <row r="568" spans="1:27">
      <c r="A568" s="319"/>
      <c r="B568" s="351"/>
      <c r="C568" s="381"/>
      <c r="D568" s="369"/>
      <c r="E568" s="369"/>
      <c r="F568" s="300"/>
      <c r="G568" s="300"/>
      <c r="H568" s="300"/>
      <c r="I568" s="300"/>
      <c r="J568" s="300"/>
      <c r="K568" s="300"/>
      <c r="L568" s="300"/>
      <c r="M568" s="300"/>
      <c r="N568" s="300"/>
      <c r="O568" s="300"/>
      <c r="P568" s="300"/>
      <c r="Q568" s="300"/>
      <c r="R568" s="300"/>
      <c r="S568" s="300"/>
      <c r="T568" s="300"/>
      <c r="U568" s="300"/>
      <c r="V568" s="300"/>
      <c r="W568" s="300"/>
      <c r="X568" s="300"/>
      <c r="Y568" s="300"/>
      <c r="Z568" s="300"/>
      <c r="AA568" s="301"/>
    </row>
    <row r="569" spans="1:27">
      <c r="A569" s="319"/>
      <c r="B569" s="351"/>
      <c r="C569" s="381"/>
      <c r="D569" s="369"/>
      <c r="E569" s="369"/>
      <c r="F569" s="300"/>
      <c r="G569" s="300"/>
      <c r="H569" s="300"/>
      <c r="I569" s="300"/>
      <c r="J569" s="300"/>
      <c r="K569" s="300"/>
      <c r="L569" s="300"/>
      <c r="M569" s="300"/>
      <c r="N569" s="300"/>
      <c r="O569" s="300"/>
      <c r="P569" s="300"/>
      <c r="Q569" s="300"/>
      <c r="R569" s="300"/>
      <c r="S569" s="300"/>
      <c r="T569" s="300"/>
      <c r="U569" s="300"/>
      <c r="V569" s="300"/>
      <c r="W569" s="300"/>
      <c r="X569" s="300"/>
      <c r="Y569" s="300"/>
      <c r="Z569" s="300"/>
      <c r="AA569" s="301"/>
    </row>
    <row r="570" spans="1:27">
      <c r="A570" s="319"/>
      <c r="B570" s="351"/>
      <c r="C570" s="381"/>
      <c r="D570" s="369"/>
      <c r="E570" s="369"/>
      <c r="F570" s="300"/>
      <c r="G570" s="300"/>
      <c r="H570" s="300"/>
      <c r="I570" s="300"/>
      <c r="J570" s="300"/>
      <c r="K570" s="300"/>
      <c r="L570" s="300"/>
      <c r="M570" s="300"/>
      <c r="N570" s="300"/>
      <c r="O570" s="300"/>
      <c r="P570" s="300"/>
      <c r="Q570" s="300"/>
      <c r="R570" s="300"/>
      <c r="S570" s="300"/>
      <c r="T570" s="300"/>
      <c r="U570" s="300"/>
      <c r="V570" s="300"/>
      <c r="W570" s="300"/>
      <c r="X570" s="300"/>
      <c r="Y570" s="300"/>
      <c r="Z570" s="300"/>
      <c r="AA570" s="301"/>
    </row>
    <row r="571" spans="1:27">
      <c r="A571" s="319"/>
      <c r="B571" s="351"/>
      <c r="C571" s="381"/>
      <c r="D571" s="369"/>
      <c r="E571" s="369"/>
      <c r="F571" s="300"/>
      <c r="G571" s="300"/>
      <c r="H571" s="300"/>
      <c r="I571" s="300"/>
      <c r="J571" s="300"/>
      <c r="K571" s="300"/>
      <c r="L571" s="300"/>
      <c r="M571" s="300"/>
      <c r="N571" s="300"/>
      <c r="O571" s="300"/>
      <c r="P571" s="300"/>
      <c r="Q571" s="300"/>
      <c r="R571" s="300"/>
      <c r="S571" s="300"/>
      <c r="T571" s="300"/>
      <c r="U571" s="300"/>
      <c r="V571" s="300"/>
      <c r="W571" s="300"/>
      <c r="X571" s="300"/>
      <c r="Y571" s="300"/>
      <c r="Z571" s="300"/>
      <c r="AA571" s="301"/>
    </row>
    <row r="572" spans="1:27">
      <c r="A572" s="319"/>
      <c r="B572" s="351"/>
      <c r="C572" s="381"/>
      <c r="D572" s="369"/>
      <c r="E572" s="369"/>
      <c r="F572" s="300"/>
      <c r="G572" s="300"/>
      <c r="H572" s="300"/>
      <c r="I572" s="300"/>
      <c r="J572" s="300"/>
      <c r="K572" s="300"/>
      <c r="L572" s="300"/>
      <c r="M572" s="300"/>
      <c r="N572" s="300"/>
      <c r="O572" s="300"/>
      <c r="P572" s="300"/>
      <c r="Q572" s="300"/>
      <c r="R572" s="300"/>
      <c r="S572" s="300"/>
      <c r="T572" s="300"/>
      <c r="U572" s="300"/>
      <c r="V572" s="300"/>
      <c r="W572" s="300"/>
      <c r="X572" s="300"/>
      <c r="Y572" s="300"/>
      <c r="Z572" s="300"/>
      <c r="AA572" s="301"/>
    </row>
    <row r="573" spans="1:27">
      <c r="A573" s="319"/>
      <c r="B573" s="351"/>
      <c r="C573" s="381"/>
      <c r="D573" s="369"/>
      <c r="E573" s="369"/>
      <c r="F573" s="300"/>
      <c r="G573" s="300"/>
      <c r="H573" s="300"/>
      <c r="I573" s="300"/>
      <c r="J573" s="300"/>
      <c r="K573" s="300"/>
      <c r="L573" s="300"/>
      <c r="M573" s="300"/>
      <c r="N573" s="300"/>
      <c r="O573" s="300"/>
      <c r="P573" s="300"/>
      <c r="Q573" s="300"/>
      <c r="R573" s="300"/>
      <c r="S573" s="300"/>
      <c r="T573" s="300"/>
      <c r="U573" s="300"/>
      <c r="V573" s="300"/>
      <c r="W573" s="300"/>
      <c r="X573" s="300"/>
      <c r="Y573" s="300"/>
      <c r="Z573" s="300"/>
      <c r="AA573" s="301"/>
    </row>
    <row r="574" spans="1:27">
      <c r="A574" s="319"/>
      <c r="B574" s="351"/>
      <c r="C574" s="381"/>
      <c r="D574" s="369"/>
      <c r="E574" s="369"/>
      <c r="F574" s="300"/>
      <c r="G574" s="300"/>
      <c r="H574" s="300"/>
      <c r="I574" s="300"/>
      <c r="J574" s="300"/>
      <c r="K574" s="300"/>
      <c r="L574" s="300"/>
      <c r="M574" s="300"/>
      <c r="N574" s="300"/>
      <c r="O574" s="300"/>
      <c r="P574" s="300"/>
      <c r="Q574" s="300"/>
      <c r="R574" s="300"/>
      <c r="S574" s="300"/>
      <c r="T574" s="300"/>
      <c r="U574" s="300"/>
      <c r="V574" s="300"/>
      <c r="W574" s="300"/>
      <c r="X574" s="300"/>
      <c r="Y574" s="300"/>
      <c r="Z574" s="300"/>
      <c r="AA574" s="301"/>
    </row>
    <row r="575" spans="1:27">
      <c r="A575" s="319"/>
      <c r="B575" s="351"/>
      <c r="C575" s="381"/>
      <c r="D575" s="369"/>
      <c r="E575" s="369"/>
      <c r="F575" s="300"/>
      <c r="G575" s="300"/>
      <c r="H575" s="300"/>
      <c r="I575" s="300"/>
      <c r="J575" s="300"/>
      <c r="K575" s="300"/>
      <c r="L575" s="300"/>
      <c r="M575" s="300"/>
      <c r="N575" s="300"/>
      <c r="O575" s="300"/>
      <c r="P575" s="300"/>
      <c r="Q575" s="300"/>
      <c r="R575" s="300"/>
      <c r="S575" s="300"/>
      <c r="T575" s="300"/>
      <c r="U575" s="300"/>
      <c r="V575" s="300"/>
      <c r="W575" s="300"/>
      <c r="X575" s="300"/>
      <c r="Y575" s="300"/>
      <c r="Z575" s="300"/>
      <c r="AA575" s="301"/>
    </row>
    <row r="576" spans="1:27">
      <c r="A576" s="319"/>
      <c r="B576" s="351"/>
      <c r="C576" s="381"/>
      <c r="D576" s="369"/>
      <c r="E576" s="369"/>
      <c r="F576" s="300"/>
      <c r="G576" s="300"/>
      <c r="H576" s="300"/>
      <c r="I576" s="300"/>
      <c r="J576" s="300"/>
      <c r="K576" s="300"/>
      <c r="L576" s="300"/>
      <c r="M576" s="300"/>
      <c r="N576" s="300"/>
      <c r="O576" s="300"/>
      <c r="P576" s="300"/>
      <c r="Q576" s="300"/>
      <c r="R576" s="300"/>
      <c r="S576" s="300"/>
      <c r="T576" s="300"/>
      <c r="U576" s="300"/>
      <c r="V576" s="300"/>
      <c r="W576" s="300"/>
      <c r="X576" s="300"/>
      <c r="Y576" s="300"/>
      <c r="Z576" s="300"/>
      <c r="AA576" s="301"/>
    </row>
    <row r="577" spans="1:27">
      <c r="A577" s="319"/>
      <c r="B577" s="351"/>
      <c r="C577" s="381"/>
      <c r="D577" s="369"/>
      <c r="E577" s="369"/>
      <c r="F577" s="300"/>
      <c r="G577" s="300"/>
      <c r="H577" s="300"/>
      <c r="I577" s="300"/>
      <c r="J577" s="300"/>
      <c r="K577" s="300"/>
      <c r="L577" s="300"/>
      <c r="M577" s="300"/>
      <c r="N577" s="300"/>
      <c r="O577" s="300"/>
      <c r="P577" s="300"/>
      <c r="Q577" s="300"/>
      <c r="R577" s="300"/>
      <c r="S577" s="300"/>
      <c r="T577" s="300"/>
      <c r="U577" s="300"/>
      <c r="V577" s="300"/>
      <c r="W577" s="300"/>
      <c r="X577" s="300"/>
      <c r="Y577" s="300"/>
      <c r="Z577" s="300"/>
      <c r="AA577" s="301"/>
    </row>
    <row r="578" spans="1:27">
      <c r="A578" s="319"/>
      <c r="B578" s="351"/>
      <c r="C578" s="381"/>
      <c r="D578" s="369"/>
      <c r="E578" s="369"/>
      <c r="F578" s="300"/>
      <c r="G578" s="300"/>
      <c r="H578" s="300"/>
      <c r="I578" s="300"/>
      <c r="J578" s="300"/>
      <c r="K578" s="300"/>
      <c r="L578" s="300"/>
      <c r="M578" s="300"/>
      <c r="N578" s="300"/>
      <c r="O578" s="300"/>
      <c r="P578" s="300"/>
      <c r="Q578" s="300"/>
      <c r="R578" s="300"/>
      <c r="S578" s="300"/>
      <c r="T578" s="300"/>
      <c r="U578" s="300"/>
      <c r="V578" s="300"/>
      <c r="W578" s="300"/>
      <c r="X578" s="300"/>
      <c r="Y578" s="300"/>
      <c r="Z578" s="300"/>
      <c r="AA578" s="301"/>
    </row>
    <row r="579" spans="1:27">
      <c r="A579" s="319"/>
      <c r="B579" s="351"/>
      <c r="C579" s="381"/>
      <c r="D579" s="369"/>
      <c r="E579" s="369"/>
      <c r="F579" s="300"/>
      <c r="G579" s="300"/>
      <c r="H579" s="300"/>
      <c r="I579" s="300"/>
      <c r="J579" s="300"/>
      <c r="K579" s="300"/>
      <c r="L579" s="300"/>
      <c r="M579" s="300"/>
      <c r="N579" s="300"/>
      <c r="O579" s="300"/>
      <c r="P579" s="300"/>
      <c r="Q579" s="300"/>
      <c r="R579" s="300"/>
      <c r="S579" s="300"/>
      <c r="T579" s="300"/>
      <c r="U579" s="300"/>
      <c r="V579" s="300"/>
      <c r="W579" s="300"/>
      <c r="X579" s="300"/>
      <c r="Y579" s="300"/>
      <c r="Z579" s="300"/>
      <c r="AA579" s="301"/>
    </row>
    <row r="580" spans="1:27">
      <c r="A580" s="319"/>
      <c r="B580" s="351"/>
      <c r="C580" s="381"/>
      <c r="D580" s="369"/>
      <c r="E580" s="369"/>
      <c r="F580" s="300"/>
      <c r="G580" s="300"/>
      <c r="H580" s="300"/>
      <c r="I580" s="300"/>
      <c r="J580" s="300"/>
      <c r="K580" s="300"/>
      <c r="L580" s="300"/>
      <c r="M580" s="300"/>
      <c r="N580" s="300"/>
      <c r="O580" s="300"/>
      <c r="P580" s="300"/>
      <c r="Q580" s="300"/>
      <c r="R580" s="300"/>
      <c r="S580" s="300"/>
      <c r="T580" s="300"/>
      <c r="U580" s="300"/>
      <c r="V580" s="300"/>
      <c r="W580" s="300"/>
      <c r="X580" s="300"/>
      <c r="Y580" s="300"/>
      <c r="Z580" s="300"/>
      <c r="AA580" s="301"/>
    </row>
    <row r="581" spans="1:27">
      <c r="A581" s="319"/>
      <c r="B581" s="351"/>
      <c r="C581" s="381"/>
      <c r="D581" s="369"/>
      <c r="E581" s="369"/>
      <c r="F581" s="300"/>
      <c r="G581" s="300"/>
      <c r="H581" s="300"/>
      <c r="I581" s="300"/>
      <c r="J581" s="300"/>
      <c r="K581" s="300"/>
      <c r="L581" s="300"/>
      <c r="M581" s="300"/>
      <c r="N581" s="300"/>
      <c r="O581" s="300"/>
      <c r="P581" s="300"/>
      <c r="Q581" s="300"/>
      <c r="R581" s="300"/>
      <c r="S581" s="300"/>
      <c r="T581" s="300"/>
      <c r="U581" s="300"/>
      <c r="V581" s="300"/>
      <c r="W581" s="300"/>
      <c r="X581" s="300"/>
      <c r="Y581" s="300"/>
      <c r="Z581" s="300"/>
      <c r="AA581" s="301"/>
    </row>
    <row r="582" spans="1:27">
      <c r="A582" s="319"/>
      <c r="B582" s="351"/>
      <c r="C582" s="381"/>
      <c r="D582" s="369"/>
      <c r="E582" s="369"/>
      <c r="F582" s="300"/>
      <c r="G582" s="300"/>
      <c r="H582" s="300"/>
      <c r="I582" s="300"/>
      <c r="J582" s="300"/>
      <c r="K582" s="300"/>
      <c r="L582" s="300"/>
      <c r="M582" s="300"/>
      <c r="N582" s="300"/>
      <c r="O582" s="300"/>
      <c r="P582" s="300"/>
      <c r="Q582" s="300"/>
      <c r="R582" s="300"/>
      <c r="S582" s="300"/>
      <c r="T582" s="300"/>
      <c r="U582" s="300"/>
      <c r="V582" s="300"/>
      <c r="W582" s="300"/>
      <c r="X582" s="300"/>
      <c r="Y582" s="300"/>
      <c r="Z582" s="300"/>
      <c r="AA582" s="301"/>
    </row>
    <row r="583" spans="1:27">
      <c r="A583" s="319"/>
      <c r="B583" s="351"/>
      <c r="C583" s="381"/>
      <c r="D583" s="369"/>
      <c r="E583" s="369"/>
      <c r="F583" s="300"/>
      <c r="G583" s="300"/>
      <c r="H583" s="300"/>
      <c r="I583" s="300"/>
      <c r="J583" s="300"/>
      <c r="K583" s="300"/>
      <c r="L583" s="300"/>
      <c r="M583" s="300"/>
      <c r="N583" s="300"/>
      <c r="O583" s="300"/>
      <c r="P583" s="300"/>
      <c r="Q583" s="300"/>
      <c r="R583" s="300"/>
      <c r="S583" s="300"/>
      <c r="T583" s="300"/>
      <c r="U583" s="300"/>
      <c r="V583" s="300"/>
      <c r="W583" s="300"/>
      <c r="X583" s="300"/>
      <c r="Y583" s="300"/>
      <c r="Z583" s="300"/>
      <c r="AA583" s="301"/>
    </row>
    <row r="584" spans="1:27">
      <c r="A584" s="319"/>
      <c r="B584" s="351"/>
      <c r="C584" s="381"/>
      <c r="D584" s="369"/>
      <c r="E584" s="369"/>
      <c r="F584" s="300"/>
      <c r="G584" s="300"/>
      <c r="H584" s="300"/>
      <c r="I584" s="300"/>
      <c r="J584" s="300"/>
      <c r="K584" s="300"/>
      <c r="L584" s="300"/>
      <c r="M584" s="300"/>
      <c r="N584" s="300"/>
      <c r="O584" s="300"/>
      <c r="P584" s="300"/>
      <c r="Q584" s="300"/>
      <c r="R584" s="300"/>
      <c r="S584" s="300"/>
      <c r="T584" s="300"/>
      <c r="U584" s="300"/>
      <c r="V584" s="300"/>
      <c r="W584" s="300"/>
      <c r="X584" s="300"/>
      <c r="Y584" s="300"/>
      <c r="Z584" s="300"/>
      <c r="AA584" s="301"/>
    </row>
    <row r="585" spans="1:27">
      <c r="A585" s="319"/>
      <c r="B585" s="351"/>
      <c r="C585" s="381"/>
      <c r="D585" s="369"/>
      <c r="E585" s="369"/>
      <c r="F585" s="300"/>
      <c r="G585" s="300"/>
      <c r="H585" s="300"/>
      <c r="I585" s="300"/>
      <c r="J585" s="300"/>
      <c r="K585" s="300"/>
      <c r="L585" s="300"/>
      <c r="M585" s="300"/>
      <c r="N585" s="300"/>
      <c r="O585" s="300"/>
      <c r="P585" s="300"/>
      <c r="Q585" s="300"/>
      <c r="R585" s="300"/>
      <c r="S585" s="300"/>
      <c r="T585" s="300"/>
      <c r="U585" s="300"/>
      <c r="V585" s="300"/>
      <c r="W585" s="300"/>
      <c r="X585" s="300"/>
      <c r="Y585" s="300"/>
      <c r="Z585" s="300"/>
      <c r="AA585" s="301"/>
    </row>
    <row r="586" spans="1:27">
      <c r="A586" s="319"/>
      <c r="B586" s="351"/>
      <c r="C586" s="381"/>
      <c r="D586" s="369"/>
      <c r="E586" s="369"/>
      <c r="F586" s="300"/>
      <c r="G586" s="300"/>
      <c r="H586" s="300"/>
      <c r="I586" s="300"/>
      <c r="J586" s="300"/>
      <c r="K586" s="300"/>
      <c r="L586" s="300"/>
      <c r="M586" s="300"/>
      <c r="N586" s="300"/>
      <c r="O586" s="300"/>
      <c r="P586" s="300"/>
      <c r="Q586" s="300"/>
      <c r="R586" s="300"/>
      <c r="S586" s="300"/>
      <c r="T586" s="300"/>
      <c r="U586" s="300"/>
      <c r="V586" s="300"/>
      <c r="W586" s="300"/>
      <c r="X586" s="300"/>
      <c r="Y586" s="300"/>
      <c r="Z586" s="300"/>
      <c r="AA586" s="301"/>
    </row>
    <row r="587" spans="1:27">
      <c r="A587" s="319"/>
      <c r="B587" s="351"/>
      <c r="C587" s="381"/>
      <c r="D587" s="369"/>
      <c r="E587" s="369"/>
      <c r="F587" s="300"/>
      <c r="G587" s="300"/>
      <c r="H587" s="300"/>
      <c r="I587" s="300"/>
      <c r="J587" s="300"/>
      <c r="K587" s="300"/>
      <c r="L587" s="300"/>
      <c r="M587" s="300"/>
      <c r="N587" s="300"/>
      <c r="O587" s="300"/>
      <c r="P587" s="300"/>
      <c r="Q587" s="300"/>
      <c r="R587" s="300"/>
      <c r="S587" s="300"/>
      <c r="T587" s="300"/>
      <c r="U587" s="300"/>
      <c r="V587" s="300"/>
      <c r="W587" s="300"/>
      <c r="X587" s="300"/>
      <c r="Y587" s="300"/>
      <c r="Z587" s="300"/>
      <c r="AA587" s="301"/>
    </row>
    <row r="588" spans="1:27">
      <c r="A588" s="319"/>
      <c r="B588" s="351"/>
      <c r="C588" s="381"/>
      <c r="D588" s="369"/>
      <c r="E588" s="369"/>
      <c r="F588" s="300"/>
      <c r="G588" s="300"/>
      <c r="H588" s="300"/>
      <c r="I588" s="300"/>
      <c r="J588" s="300"/>
      <c r="K588" s="300"/>
      <c r="L588" s="300"/>
      <c r="M588" s="300"/>
      <c r="N588" s="300"/>
      <c r="O588" s="300"/>
      <c r="P588" s="300"/>
      <c r="Q588" s="300"/>
      <c r="R588" s="300"/>
      <c r="S588" s="300"/>
      <c r="T588" s="300"/>
      <c r="U588" s="300"/>
      <c r="V588" s="300"/>
      <c r="W588" s="300"/>
      <c r="X588" s="300"/>
      <c r="Y588" s="300"/>
      <c r="Z588" s="300"/>
      <c r="AA588" s="301"/>
    </row>
    <row r="589" spans="1:27">
      <c r="A589" s="319"/>
      <c r="B589" s="351"/>
      <c r="C589" s="381"/>
      <c r="D589" s="369"/>
      <c r="E589" s="369"/>
      <c r="F589" s="300"/>
      <c r="G589" s="300"/>
      <c r="H589" s="300"/>
      <c r="I589" s="300"/>
      <c r="J589" s="300"/>
      <c r="K589" s="300"/>
      <c r="L589" s="300"/>
      <c r="M589" s="300"/>
      <c r="N589" s="300"/>
      <c r="O589" s="300"/>
      <c r="P589" s="300"/>
      <c r="Q589" s="300"/>
      <c r="R589" s="300"/>
      <c r="S589" s="300"/>
      <c r="T589" s="300"/>
      <c r="U589" s="300"/>
      <c r="V589" s="300"/>
      <c r="W589" s="300"/>
      <c r="X589" s="300"/>
      <c r="Y589" s="300"/>
      <c r="Z589" s="300"/>
      <c r="AA589" s="301"/>
    </row>
    <row r="590" spans="1:27">
      <c r="A590" s="319"/>
      <c r="B590" s="351"/>
      <c r="C590" s="381"/>
      <c r="D590" s="369"/>
      <c r="E590" s="369"/>
      <c r="F590" s="300"/>
      <c r="G590" s="300"/>
      <c r="H590" s="300"/>
      <c r="I590" s="300"/>
      <c r="J590" s="300"/>
      <c r="K590" s="300"/>
      <c r="L590" s="300"/>
      <c r="M590" s="300"/>
      <c r="N590" s="300"/>
      <c r="O590" s="300"/>
      <c r="P590" s="300"/>
      <c r="Q590" s="300"/>
      <c r="R590" s="300"/>
      <c r="S590" s="300"/>
      <c r="T590" s="300"/>
      <c r="U590" s="300"/>
      <c r="V590" s="300"/>
      <c r="W590" s="300"/>
      <c r="X590" s="300"/>
      <c r="Y590" s="300"/>
      <c r="Z590" s="300"/>
      <c r="AA590" s="301"/>
    </row>
    <row r="591" spans="1:27">
      <c r="A591" s="319"/>
      <c r="B591" s="351"/>
      <c r="C591" s="381"/>
      <c r="D591" s="369"/>
      <c r="E591" s="369"/>
      <c r="F591" s="300"/>
      <c r="G591" s="300"/>
      <c r="H591" s="300"/>
      <c r="I591" s="300"/>
      <c r="J591" s="300"/>
      <c r="K591" s="300"/>
      <c r="L591" s="300"/>
      <c r="M591" s="300"/>
      <c r="N591" s="300"/>
      <c r="O591" s="300"/>
      <c r="P591" s="300"/>
      <c r="Q591" s="300"/>
      <c r="R591" s="300"/>
      <c r="S591" s="300"/>
      <c r="T591" s="300"/>
      <c r="U591" s="300"/>
      <c r="V591" s="300"/>
      <c r="W591" s="300"/>
      <c r="X591" s="300"/>
      <c r="Y591" s="300"/>
      <c r="Z591" s="300"/>
      <c r="AA591" s="301"/>
    </row>
    <row r="592" spans="1:27">
      <c r="A592" s="319"/>
      <c r="B592" s="351"/>
      <c r="C592" s="381"/>
      <c r="D592" s="369"/>
      <c r="E592" s="369"/>
      <c r="F592" s="300"/>
      <c r="G592" s="300"/>
      <c r="H592" s="300"/>
      <c r="I592" s="300"/>
      <c r="J592" s="300"/>
      <c r="K592" s="300"/>
      <c r="L592" s="300"/>
      <c r="M592" s="300"/>
      <c r="N592" s="300"/>
      <c r="O592" s="300"/>
      <c r="P592" s="300"/>
      <c r="Q592" s="300"/>
      <c r="R592" s="300"/>
      <c r="S592" s="300"/>
      <c r="T592" s="300"/>
      <c r="U592" s="300"/>
      <c r="V592" s="300"/>
      <c r="W592" s="300"/>
      <c r="X592" s="300"/>
      <c r="Y592" s="300"/>
      <c r="Z592" s="300"/>
      <c r="AA592" s="301"/>
    </row>
    <row r="593" spans="1:27">
      <c r="A593" s="319"/>
      <c r="B593" s="351"/>
      <c r="C593" s="381"/>
      <c r="D593" s="369"/>
      <c r="E593" s="369"/>
      <c r="F593" s="300"/>
      <c r="G593" s="300"/>
      <c r="H593" s="300"/>
      <c r="I593" s="300"/>
      <c r="J593" s="300"/>
      <c r="K593" s="300"/>
      <c r="L593" s="300"/>
      <c r="M593" s="300"/>
      <c r="N593" s="300"/>
      <c r="O593" s="300"/>
      <c r="P593" s="300"/>
      <c r="Q593" s="300"/>
      <c r="R593" s="300"/>
      <c r="S593" s="300"/>
      <c r="T593" s="300"/>
      <c r="U593" s="300"/>
      <c r="V593" s="300"/>
      <c r="W593" s="300"/>
      <c r="X593" s="300"/>
      <c r="Y593" s="300"/>
      <c r="Z593" s="300"/>
      <c r="AA593" s="301"/>
    </row>
    <row r="594" spans="1:27">
      <c r="A594" s="319"/>
      <c r="B594" s="351"/>
      <c r="C594" s="381"/>
      <c r="D594" s="369"/>
      <c r="E594" s="369"/>
      <c r="F594" s="300"/>
      <c r="G594" s="300"/>
      <c r="H594" s="300"/>
      <c r="I594" s="300"/>
      <c r="J594" s="300"/>
      <c r="K594" s="300"/>
      <c r="L594" s="300"/>
      <c r="M594" s="300"/>
      <c r="N594" s="300"/>
      <c r="O594" s="300"/>
      <c r="P594" s="300"/>
      <c r="Q594" s="300"/>
      <c r="R594" s="300"/>
      <c r="S594" s="300"/>
      <c r="T594" s="300"/>
      <c r="U594" s="300"/>
      <c r="V594" s="300"/>
      <c r="W594" s="300"/>
      <c r="X594" s="300"/>
      <c r="Y594" s="300"/>
      <c r="Z594" s="300"/>
      <c r="AA594" s="301"/>
    </row>
    <row r="595" spans="1:27">
      <c r="A595" s="319"/>
      <c r="B595" s="351"/>
      <c r="C595" s="381"/>
      <c r="D595" s="369"/>
      <c r="E595" s="369"/>
      <c r="F595" s="300"/>
      <c r="G595" s="300"/>
      <c r="H595" s="300"/>
      <c r="I595" s="300"/>
      <c r="J595" s="300"/>
      <c r="K595" s="300"/>
      <c r="L595" s="300"/>
      <c r="M595" s="300"/>
      <c r="N595" s="300"/>
      <c r="O595" s="300"/>
      <c r="P595" s="300"/>
      <c r="Q595" s="300"/>
      <c r="R595" s="300"/>
      <c r="S595" s="300"/>
      <c r="T595" s="300"/>
      <c r="U595" s="300"/>
      <c r="V595" s="300"/>
      <c r="W595" s="300"/>
      <c r="X595" s="300"/>
      <c r="Y595" s="300"/>
      <c r="Z595" s="300"/>
      <c r="AA595" s="301"/>
    </row>
    <row r="596" spans="1:27">
      <c r="A596" s="319"/>
      <c r="B596" s="351"/>
      <c r="C596" s="381"/>
      <c r="D596" s="369"/>
      <c r="E596" s="369"/>
      <c r="F596" s="300"/>
      <c r="G596" s="300"/>
      <c r="H596" s="300"/>
      <c r="I596" s="300"/>
      <c r="J596" s="300"/>
      <c r="K596" s="300"/>
      <c r="L596" s="300"/>
      <c r="M596" s="300"/>
      <c r="N596" s="300"/>
      <c r="O596" s="300"/>
      <c r="P596" s="300"/>
      <c r="Q596" s="300"/>
      <c r="R596" s="300"/>
      <c r="S596" s="300"/>
      <c r="T596" s="300"/>
      <c r="U596" s="300"/>
      <c r="V596" s="300"/>
      <c r="W596" s="300"/>
      <c r="X596" s="300"/>
      <c r="Y596" s="300"/>
      <c r="Z596" s="300"/>
      <c r="AA596" s="301"/>
    </row>
    <row r="597" spans="1:27">
      <c r="A597" s="319"/>
      <c r="B597" s="351"/>
      <c r="C597" s="381"/>
      <c r="D597" s="369"/>
      <c r="E597" s="369"/>
      <c r="F597" s="300"/>
      <c r="G597" s="300"/>
      <c r="H597" s="300"/>
      <c r="I597" s="300"/>
      <c r="J597" s="300"/>
      <c r="K597" s="300"/>
      <c r="L597" s="300"/>
      <c r="M597" s="300"/>
      <c r="N597" s="300"/>
      <c r="O597" s="300"/>
      <c r="P597" s="300"/>
      <c r="Q597" s="300"/>
      <c r="R597" s="300"/>
      <c r="S597" s="300"/>
      <c r="T597" s="300"/>
      <c r="U597" s="300"/>
      <c r="V597" s="300"/>
      <c r="W597" s="300"/>
      <c r="X597" s="300"/>
      <c r="Y597" s="300"/>
      <c r="Z597" s="300"/>
      <c r="AA597" s="301"/>
    </row>
    <row r="598" spans="1:27">
      <c r="A598" s="319"/>
      <c r="B598" s="351"/>
      <c r="C598" s="381"/>
      <c r="D598" s="369"/>
      <c r="E598" s="369"/>
      <c r="F598" s="300"/>
      <c r="G598" s="300"/>
      <c r="H598" s="300"/>
      <c r="I598" s="300"/>
      <c r="J598" s="300"/>
      <c r="K598" s="300"/>
      <c r="L598" s="300"/>
      <c r="M598" s="300"/>
      <c r="N598" s="300"/>
      <c r="O598" s="300"/>
      <c r="P598" s="300"/>
      <c r="Q598" s="300"/>
      <c r="R598" s="300"/>
      <c r="S598" s="300"/>
      <c r="T598" s="300"/>
      <c r="U598" s="300"/>
      <c r="V598" s="300"/>
      <c r="W598" s="300"/>
      <c r="X598" s="300"/>
      <c r="Y598" s="300"/>
      <c r="Z598" s="300"/>
      <c r="AA598" s="301"/>
    </row>
    <row r="599" spans="1:27">
      <c r="A599" s="319"/>
      <c r="B599" s="351"/>
      <c r="C599" s="381"/>
      <c r="D599" s="369"/>
      <c r="E599" s="369"/>
      <c r="F599" s="300"/>
      <c r="G599" s="300"/>
      <c r="H599" s="300"/>
      <c r="I599" s="300"/>
      <c r="J599" s="300"/>
      <c r="K599" s="300"/>
      <c r="L599" s="300"/>
      <c r="M599" s="300"/>
      <c r="N599" s="300"/>
      <c r="O599" s="300"/>
      <c r="P599" s="300"/>
      <c r="Q599" s="300"/>
      <c r="R599" s="300"/>
      <c r="S599" s="300"/>
      <c r="T599" s="300"/>
      <c r="U599" s="300"/>
      <c r="V599" s="300"/>
      <c r="W599" s="300"/>
      <c r="X599" s="300"/>
      <c r="Y599" s="300"/>
      <c r="Z599" s="300"/>
      <c r="AA599" s="301"/>
    </row>
    <row r="600" spans="1:27">
      <c r="A600" s="319"/>
      <c r="B600" s="351"/>
      <c r="C600" s="381"/>
      <c r="D600" s="369"/>
      <c r="E600" s="369"/>
      <c r="F600" s="300"/>
      <c r="G600" s="300"/>
      <c r="H600" s="300"/>
      <c r="I600" s="300"/>
      <c r="J600" s="300"/>
      <c r="K600" s="300"/>
      <c r="L600" s="300"/>
      <c r="M600" s="300"/>
      <c r="N600" s="300"/>
      <c r="O600" s="300"/>
      <c r="P600" s="300"/>
      <c r="Q600" s="300"/>
      <c r="R600" s="300"/>
      <c r="S600" s="300"/>
      <c r="T600" s="300"/>
      <c r="U600" s="300"/>
      <c r="V600" s="300"/>
      <c r="W600" s="300"/>
      <c r="X600" s="300"/>
      <c r="Y600" s="300"/>
      <c r="Z600" s="300"/>
      <c r="AA600" s="301"/>
    </row>
    <row r="601" spans="1:27">
      <c r="A601" s="319"/>
      <c r="B601" s="351"/>
      <c r="C601" s="381"/>
      <c r="D601" s="369"/>
      <c r="E601" s="369"/>
      <c r="F601" s="300"/>
      <c r="G601" s="300"/>
      <c r="H601" s="300"/>
      <c r="I601" s="300"/>
      <c r="J601" s="300"/>
      <c r="K601" s="300"/>
      <c r="L601" s="300"/>
      <c r="M601" s="300"/>
      <c r="N601" s="300"/>
      <c r="O601" s="300"/>
      <c r="P601" s="300"/>
      <c r="Q601" s="300"/>
      <c r="R601" s="300"/>
      <c r="S601" s="300"/>
      <c r="T601" s="300"/>
      <c r="U601" s="300"/>
      <c r="V601" s="300"/>
      <c r="W601" s="300"/>
      <c r="X601" s="300"/>
      <c r="Y601" s="300"/>
      <c r="Z601" s="300"/>
      <c r="AA601" s="301"/>
    </row>
    <row r="602" spans="1:27">
      <c r="A602" s="319"/>
      <c r="B602" s="351"/>
      <c r="C602" s="381"/>
      <c r="D602" s="369"/>
      <c r="E602" s="369"/>
      <c r="F602" s="300"/>
      <c r="G602" s="300"/>
      <c r="H602" s="300"/>
      <c r="I602" s="300"/>
      <c r="J602" s="300"/>
      <c r="K602" s="300"/>
      <c r="L602" s="300"/>
      <c r="M602" s="300"/>
      <c r="N602" s="300"/>
      <c r="O602" s="300"/>
      <c r="P602" s="300"/>
      <c r="Q602" s="300"/>
      <c r="R602" s="300"/>
      <c r="S602" s="300"/>
      <c r="T602" s="300"/>
      <c r="U602" s="300"/>
      <c r="V602" s="300"/>
      <c r="W602" s="300"/>
      <c r="X602" s="300"/>
      <c r="Y602" s="300"/>
      <c r="Z602" s="300"/>
      <c r="AA602" s="301"/>
    </row>
    <row r="603" spans="1:27">
      <c r="A603" s="319"/>
      <c r="B603" s="351"/>
      <c r="C603" s="381"/>
      <c r="D603" s="369"/>
      <c r="E603" s="369"/>
      <c r="F603" s="300"/>
      <c r="G603" s="300"/>
      <c r="H603" s="300"/>
      <c r="I603" s="300"/>
      <c r="J603" s="300"/>
      <c r="K603" s="300"/>
      <c r="L603" s="300"/>
      <c r="M603" s="300"/>
      <c r="N603" s="300"/>
      <c r="O603" s="300"/>
      <c r="P603" s="300"/>
      <c r="Q603" s="300"/>
      <c r="R603" s="300"/>
      <c r="S603" s="300"/>
      <c r="T603" s="300"/>
      <c r="U603" s="300"/>
      <c r="V603" s="300"/>
      <c r="W603" s="300"/>
      <c r="X603" s="300"/>
      <c r="Y603" s="300"/>
      <c r="Z603" s="300"/>
      <c r="AA603" s="301"/>
    </row>
    <row r="604" spans="1:27">
      <c r="A604" s="319"/>
      <c r="B604" s="351"/>
      <c r="C604" s="381"/>
      <c r="D604" s="369"/>
      <c r="E604" s="369"/>
      <c r="F604" s="300"/>
      <c r="G604" s="300"/>
      <c r="H604" s="300"/>
      <c r="I604" s="300"/>
      <c r="J604" s="300"/>
      <c r="K604" s="300"/>
      <c r="L604" s="300"/>
      <c r="M604" s="300"/>
      <c r="N604" s="300"/>
      <c r="O604" s="300"/>
      <c r="P604" s="300"/>
      <c r="Q604" s="300"/>
      <c r="R604" s="300"/>
      <c r="S604" s="300"/>
      <c r="T604" s="300"/>
      <c r="U604" s="300"/>
      <c r="V604" s="300"/>
      <c r="W604" s="300"/>
      <c r="X604" s="300"/>
      <c r="Y604" s="300"/>
      <c r="Z604" s="300"/>
      <c r="AA604" s="301"/>
    </row>
    <row r="605" spans="1:27">
      <c r="A605" s="319"/>
      <c r="B605" s="351"/>
      <c r="C605" s="381"/>
      <c r="D605" s="369"/>
      <c r="E605" s="369"/>
      <c r="F605" s="300"/>
      <c r="G605" s="300"/>
      <c r="H605" s="300"/>
      <c r="I605" s="300"/>
      <c r="J605" s="300"/>
      <c r="K605" s="300"/>
      <c r="L605" s="300"/>
      <c r="M605" s="300"/>
      <c r="N605" s="300"/>
      <c r="O605" s="300"/>
      <c r="P605" s="300"/>
      <c r="Q605" s="300"/>
      <c r="R605" s="300"/>
      <c r="S605" s="300"/>
      <c r="T605" s="300"/>
      <c r="U605" s="300"/>
      <c r="V605" s="300"/>
      <c r="W605" s="300"/>
      <c r="X605" s="300"/>
      <c r="Y605" s="300"/>
      <c r="Z605" s="300"/>
      <c r="AA605" s="301"/>
    </row>
    <row r="606" spans="1:27">
      <c r="A606" s="319"/>
      <c r="B606" s="351"/>
      <c r="C606" s="381"/>
      <c r="D606" s="369"/>
      <c r="E606" s="369"/>
      <c r="F606" s="300"/>
      <c r="G606" s="300"/>
      <c r="H606" s="300"/>
      <c r="I606" s="300"/>
      <c r="J606" s="300"/>
      <c r="K606" s="300"/>
      <c r="L606" s="300"/>
      <c r="M606" s="300"/>
      <c r="N606" s="300"/>
      <c r="O606" s="300"/>
      <c r="P606" s="300"/>
      <c r="Q606" s="300"/>
      <c r="R606" s="300"/>
      <c r="S606" s="300"/>
      <c r="T606" s="300"/>
      <c r="U606" s="300"/>
      <c r="V606" s="300"/>
      <c r="W606" s="300"/>
      <c r="X606" s="300"/>
      <c r="Y606" s="300"/>
      <c r="Z606" s="300"/>
      <c r="AA606" s="301"/>
    </row>
    <row r="607" spans="1:27">
      <c r="A607" s="319"/>
      <c r="B607" s="351"/>
      <c r="C607" s="381"/>
      <c r="D607" s="369"/>
      <c r="E607" s="369"/>
      <c r="F607" s="300"/>
      <c r="G607" s="300"/>
      <c r="H607" s="300"/>
      <c r="I607" s="300"/>
      <c r="J607" s="300"/>
      <c r="K607" s="300"/>
      <c r="L607" s="300"/>
      <c r="M607" s="300"/>
      <c r="N607" s="300"/>
      <c r="O607" s="300"/>
      <c r="P607" s="300"/>
      <c r="Q607" s="300"/>
      <c r="R607" s="300"/>
      <c r="S607" s="300"/>
      <c r="T607" s="300"/>
      <c r="U607" s="300"/>
      <c r="V607" s="300"/>
      <c r="W607" s="300"/>
      <c r="X607" s="300"/>
      <c r="Y607" s="300"/>
      <c r="Z607" s="300"/>
      <c r="AA607" s="301"/>
    </row>
    <row r="608" spans="1:27">
      <c r="A608" s="319"/>
      <c r="B608" s="351"/>
      <c r="C608" s="381"/>
      <c r="D608" s="369"/>
      <c r="E608" s="369"/>
      <c r="F608" s="300"/>
      <c r="G608" s="300"/>
      <c r="H608" s="300"/>
      <c r="I608" s="300"/>
      <c r="J608" s="300"/>
      <c r="K608" s="300"/>
      <c r="L608" s="300"/>
      <c r="M608" s="300"/>
      <c r="N608" s="300"/>
      <c r="O608" s="300"/>
      <c r="P608" s="300"/>
      <c r="Q608" s="300"/>
      <c r="R608" s="300"/>
      <c r="S608" s="300"/>
      <c r="T608" s="300"/>
      <c r="U608" s="300"/>
      <c r="V608" s="300"/>
      <c r="W608" s="300"/>
      <c r="X608" s="300"/>
      <c r="Y608" s="300"/>
      <c r="Z608" s="300"/>
      <c r="AA608" s="301"/>
    </row>
    <row r="609" spans="1:27">
      <c r="A609" s="319"/>
      <c r="B609" s="351"/>
      <c r="C609" s="381"/>
      <c r="D609" s="369"/>
      <c r="E609" s="369"/>
      <c r="F609" s="300"/>
      <c r="G609" s="300"/>
      <c r="H609" s="300"/>
      <c r="I609" s="300"/>
      <c r="J609" s="300"/>
      <c r="K609" s="300"/>
      <c r="L609" s="300"/>
      <c r="M609" s="300"/>
      <c r="N609" s="300"/>
      <c r="O609" s="300"/>
      <c r="P609" s="300"/>
      <c r="Q609" s="300"/>
      <c r="R609" s="300"/>
      <c r="S609" s="300"/>
      <c r="T609" s="300"/>
      <c r="U609" s="300"/>
      <c r="V609" s="300"/>
      <c r="W609" s="300"/>
      <c r="X609" s="300"/>
      <c r="Y609" s="300"/>
      <c r="Z609" s="300"/>
      <c r="AA609" s="301"/>
    </row>
    <row r="610" spans="1:27">
      <c r="A610" s="319"/>
      <c r="B610" s="351"/>
      <c r="C610" s="381"/>
      <c r="D610" s="369"/>
      <c r="E610" s="369"/>
      <c r="F610" s="300"/>
      <c r="G610" s="300"/>
      <c r="H610" s="300"/>
      <c r="I610" s="300"/>
      <c r="J610" s="300"/>
      <c r="K610" s="300"/>
      <c r="L610" s="300"/>
      <c r="M610" s="300"/>
      <c r="N610" s="300"/>
      <c r="O610" s="300"/>
      <c r="P610" s="300"/>
      <c r="Q610" s="300"/>
      <c r="R610" s="300"/>
      <c r="S610" s="300"/>
      <c r="T610" s="300"/>
      <c r="U610" s="300"/>
      <c r="V610" s="300"/>
      <c r="W610" s="300"/>
      <c r="X610" s="300"/>
      <c r="Y610" s="300"/>
      <c r="Z610" s="300"/>
      <c r="AA610" s="301"/>
    </row>
    <row r="611" spans="1:27">
      <c r="A611" s="319"/>
      <c r="B611" s="351"/>
      <c r="C611" s="381"/>
      <c r="D611" s="369"/>
      <c r="E611" s="369"/>
      <c r="F611" s="300"/>
      <c r="G611" s="300"/>
      <c r="H611" s="300"/>
      <c r="I611" s="300"/>
      <c r="J611" s="300"/>
      <c r="K611" s="300"/>
      <c r="L611" s="300"/>
      <c r="M611" s="300"/>
      <c r="N611" s="300"/>
      <c r="O611" s="300"/>
      <c r="P611" s="300"/>
      <c r="Q611" s="300"/>
      <c r="R611" s="300"/>
      <c r="S611" s="300"/>
      <c r="T611" s="300"/>
      <c r="U611" s="300"/>
      <c r="V611" s="300"/>
      <c r="W611" s="300"/>
      <c r="X611" s="300"/>
      <c r="Y611" s="300"/>
      <c r="Z611" s="300"/>
      <c r="AA611" s="301"/>
    </row>
    <row r="612" spans="1:27">
      <c r="A612" s="319"/>
      <c r="B612" s="351"/>
      <c r="C612" s="381"/>
      <c r="D612" s="369"/>
      <c r="E612" s="369"/>
      <c r="F612" s="300"/>
      <c r="G612" s="300"/>
      <c r="H612" s="300"/>
      <c r="I612" s="300"/>
      <c r="J612" s="300"/>
      <c r="K612" s="300"/>
      <c r="L612" s="300"/>
      <c r="M612" s="300"/>
      <c r="N612" s="300"/>
      <c r="O612" s="300"/>
      <c r="P612" s="300"/>
      <c r="Q612" s="300"/>
      <c r="R612" s="300"/>
      <c r="S612" s="300"/>
      <c r="T612" s="300"/>
      <c r="U612" s="300"/>
      <c r="V612" s="300"/>
      <c r="W612" s="300"/>
      <c r="X612" s="300"/>
      <c r="Y612" s="300"/>
      <c r="Z612" s="300"/>
      <c r="AA612" s="301"/>
    </row>
    <row r="613" spans="1:27">
      <c r="A613" s="319"/>
      <c r="B613" s="351"/>
      <c r="C613" s="381"/>
      <c r="D613" s="369"/>
      <c r="E613" s="369"/>
      <c r="F613" s="300"/>
      <c r="G613" s="300"/>
      <c r="H613" s="300"/>
      <c r="I613" s="300"/>
      <c r="J613" s="300"/>
      <c r="K613" s="300"/>
      <c r="L613" s="300"/>
      <c r="M613" s="300"/>
      <c r="N613" s="300"/>
      <c r="O613" s="300"/>
      <c r="P613" s="300"/>
      <c r="Q613" s="300"/>
      <c r="R613" s="300"/>
      <c r="S613" s="300"/>
      <c r="T613" s="300"/>
      <c r="U613" s="300"/>
      <c r="V613" s="300"/>
      <c r="W613" s="300"/>
      <c r="X613" s="300"/>
      <c r="Y613" s="300"/>
      <c r="Z613" s="300"/>
      <c r="AA613" s="301"/>
    </row>
    <row r="614" spans="1:27">
      <c r="A614" s="319"/>
      <c r="B614" s="351"/>
      <c r="C614" s="381"/>
      <c r="D614" s="369"/>
      <c r="E614" s="369"/>
      <c r="F614" s="300"/>
      <c r="G614" s="300"/>
      <c r="H614" s="300"/>
      <c r="I614" s="300"/>
      <c r="J614" s="300"/>
      <c r="K614" s="300"/>
      <c r="L614" s="300"/>
      <c r="M614" s="300"/>
      <c r="N614" s="300"/>
      <c r="O614" s="300"/>
      <c r="P614" s="300"/>
      <c r="Q614" s="300"/>
      <c r="R614" s="300"/>
      <c r="S614" s="300"/>
      <c r="T614" s="300"/>
      <c r="U614" s="300"/>
      <c r="V614" s="300"/>
      <c r="W614" s="300"/>
      <c r="X614" s="300"/>
      <c r="Y614" s="300"/>
      <c r="Z614" s="300"/>
      <c r="AA614" s="301"/>
    </row>
    <row r="615" spans="1:27">
      <c r="A615" s="319"/>
      <c r="B615" s="351"/>
      <c r="C615" s="381"/>
      <c r="D615" s="369"/>
      <c r="E615" s="369"/>
      <c r="F615" s="300"/>
      <c r="G615" s="300"/>
      <c r="H615" s="300"/>
      <c r="I615" s="300"/>
      <c r="J615" s="300"/>
      <c r="K615" s="300"/>
      <c r="L615" s="300"/>
      <c r="M615" s="300"/>
      <c r="N615" s="300"/>
      <c r="O615" s="300"/>
      <c r="P615" s="300"/>
      <c r="Q615" s="300"/>
      <c r="R615" s="300"/>
      <c r="S615" s="300"/>
      <c r="T615" s="300"/>
      <c r="U615" s="300"/>
      <c r="V615" s="300"/>
      <c r="W615" s="300"/>
      <c r="X615" s="300"/>
      <c r="Y615" s="300"/>
      <c r="Z615" s="300"/>
      <c r="AA615" s="301"/>
    </row>
    <row r="616" spans="1:27">
      <c r="A616" s="319"/>
      <c r="B616" s="351"/>
      <c r="C616" s="381"/>
      <c r="D616" s="369"/>
      <c r="E616" s="369"/>
      <c r="F616" s="300"/>
      <c r="G616" s="300"/>
      <c r="H616" s="300"/>
      <c r="I616" s="300"/>
      <c r="J616" s="300"/>
      <c r="K616" s="300"/>
      <c r="L616" s="300"/>
      <c r="M616" s="300"/>
      <c r="N616" s="300"/>
      <c r="O616" s="300"/>
      <c r="P616" s="300"/>
      <c r="Q616" s="300"/>
      <c r="R616" s="300"/>
      <c r="S616" s="300"/>
      <c r="T616" s="300"/>
      <c r="U616" s="300"/>
      <c r="V616" s="300"/>
      <c r="W616" s="300"/>
      <c r="X616" s="300"/>
      <c r="Y616" s="300"/>
      <c r="Z616" s="300"/>
      <c r="AA616" s="301"/>
    </row>
    <row r="617" spans="1:27">
      <c r="A617" s="319"/>
      <c r="B617" s="351"/>
      <c r="C617" s="381"/>
      <c r="D617" s="369"/>
      <c r="E617" s="369"/>
      <c r="F617" s="300"/>
      <c r="G617" s="300"/>
      <c r="H617" s="300"/>
      <c r="I617" s="300"/>
      <c r="J617" s="300"/>
      <c r="K617" s="300"/>
      <c r="L617" s="300"/>
      <c r="M617" s="300"/>
      <c r="N617" s="300"/>
      <c r="O617" s="300"/>
      <c r="P617" s="300"/>
      <c r="Q617" s="300"/>
      <c r="R617" s="300"/>
      <c r="S617" s="300"/>
      <c r="T617" s="300"/>
      <c r="U617" s="300"/>
      <c r="V617" s="300"/>
      <c r="W617" s="300"/>
      <c r="X617" s="300"/>
      <c r="Y617" s="300"/>
      <c r="Z617" s="300"/>
      <c r="AA617" s="301"/>
    </row>
    <row r="618" spans="1:27">
      <c r="A618" s="319"/>
      <c r="B618" s="351"/>
      <c r="C618" s="381"/>
      <c r="D618" s="369"/>
      <c r="E618" s="369"/>
      <c r="F618" s="300"/>
      <c r="G618" s="300"/>
      <c r="H618" s="300"/>
      <c r="I618" s="300"/>
      <c r="J618" s="300"/>
      <c r="K618" s="300"/>
      <c r="L618" s="300"/>
      <c r="M618" s="300"/>
      <c r="N618" s="300"/>
      <c r="O618" s="300"/>
      <c r="P618" s="300"/>
      <c r="Q618" s="300"/>
      <c r="R618" s="300"/>
      <c r="S618" s="300"/>
      <c r="T618" s="300"/>
      <c r="U618" s="300"/>
      <c r="V618" s="300"/>
      <c r="W618" s="300"/>
      <c r="X618" s="300"/>
      <c r="Y618" s="300"/>
      <c r="Z618" s="300"/>
      <c r="AA618" s="301"/>
    </row>
    <row r="619" spans="1:27">
      <c r="A619" s="319"/>
      <c r="B619" s="351"/>
      <c r="C619" s="381"/>
      <c r="D619" s="369"/>
      <c r="E619" s="369"/>
      <c r="F619" s="300"/>
      <c r="G619" s="300"/>
      <c r="H619" s="300"/>
      <c r="I619" s="300"/>
      <c r="J619" s="300"/>
      <c r="K619" s="300"/>
      <c r="L619" s="300"/>
      <c r="M619" s="300"/>
      <c r="N619" s="300"/>
      <c r="O619" s="300"/>
      <c r="P619" s="300"/>
      <c r="Q619" s="300"/>
      <c r="R619" s="300"/>
      <c r="S619" s="300"/>
      <c r="T619" s="300"/>
      <c r="U619" s="300"/>
      <c r="V619" s="300"/>
      <c r="W619" s="300"/>
      <c r="X619" s="300"/>
      <c r="Y619" s="300"/>
      <c r="Z619" s="300"/>
      <c r="AA619" s="301"/>
    </row>
    <row r="620" spans="1:27">
      <c r="A620" s="319"/>
      <c r="B620" s="351"/>
      <c r="C620" s="381"/>
      <c r="D620" s="369"/>
      <c r="E620" s="369"/>
      <c r="F620" s="300"/>
      <c r="G620" s="300"/>
      <c r="H620" s="300"/>
      <c r="I620" s="300"/>
      <c r="J620" s="300"/>
      <c r="K620" s="300"/>
      <c r="L620" s="300"/>
      <c r="M620" s="300"/>
      <c r="N620" s="300"/>
      <c r="O620" s="300"/>
      <c r="P620" s="300"/>
      <c r="Q620" s="300"/>
      <c r="R620" s="300"/>
      <c r="S620" s="300"/>
      <c r="T620" s="300"/>
      <c r="U620" s="300"/>
      <c r="V620" s="300"/>
      <c r="W620" s="300"/>
      <c r="X620" s="300"/>
      <c r="Y620" s="300"/>
      <c r="Z620" s="300"/>
      <c r="AA620" s="301"/>
    </row>
    <row r="621" spans="1:27">
      <c r="A621" s="319"/>
      <c r="B621" s="351"/>
      <c r="C621" s="381"/>
      <c r="D621" s="369"/>
      <c r="E621" s="369"/>
      <c r="F621" s="300"/>
      <c r="G621" s="300"/>
      <c r="H621" s="300"/>
      <c r="I621" s="300"/>
      <c r="J621" s="300"/>
      <c r="K621" s="300"/>
      <c r="L621" s="300"/>
      <c r="M621" s="300"/>
      <c r="N621" s="300"/>
      <c r="O621" s="300"/>
      <c r="P621" s="300"/>
      <c r="Q621" s="300"/>
      <c r="R621" s="300"/>
      <c r="S621" s="300"/>
      <c r="T621" s="300"/>
      <c r="U621" s="300"/>
      <c r="V621" s="300"/>
      <c r="W621" s="300"/>
      <c r="X621" s="300"/>
      <c r="Y621" s="300"/>
      <c r="Z621" s="300"/>
      <c r="AA621" s="301"/>
    </row>
    <row r="622" spans="1:27">
      <c r="A622" s="319"/>
      <c r="B622" s="351"/>
      <c r="C622" s="381"/>
      <c r="D622" s="369"/>
      <c r="E622" s="369"/>
      <c r="F622" s="300"/>
      <c r="G622" s="300"/>
      <c r="H622" s="300"/>
      <c r="I622" s="300"/>
      <c r="J622" s="300"/>
      <c r="K622" s="300"/>
      <c r="L622" s="300"/>
      <c r="M622" s="300"/>
      <c r="N622" s="300"/>
      <c r="O622" s="300"/>
      <c r="P622" s="300"/>
      <c r="Q622" s="300"/>
      <c r="R622" s="300"/>
      <c r="S622" s="300"/>
      <c r="T622" s="300"/>
      <c r="U622" s="300"/>
      <c r="V622" s="300"/>
      <c r="W622" s="300"/>
      <c r="X622" s="300"/>
      <c r="Y622" s="300"/>
      <c r="Z622" s="300"/>
      <c r="AA622" s="301"/>
    </row>
    <row r="623" spans="1:27">
      <c r="A623" s="319"/>
      <c r="B623" s="351"/>
      <c r="C623" s="381"/>
      <c r="D623" s="369"/>
      <c r="E623" s="369"/>
      <c r="F623" s="300"/>
      <c r="G623" s="300"/>
      <c r="H623" s="300"/>
      <c r="I623" s="300"/>
      <c r="J623" s="300"/>
      <c r="K623" s="300"/>
      <c r="L623" s="300"/>
      <c r="M623" s="300"/>
      <c r="N623" s="300"/>
      <c r="O623" s="300"/>
      <c r="P623" s="300"/>
      <c r="Q623" s="300"/>
      <c r="R623" s="300"/>
      <c r="S623" s="300"/>
      <c r="T623" s="300"/>
      <c r="U623" s="300"/>
      <c r="V623" s="300"/>
      <c r="W623" s="300"/>
      <c r="X623" s="300"/>
      <c r="Y623" s="300"/>
      <c r="Z623" s="300"/>
      <c r="AA623" s="301"/>
    </row>
    <row r="624" spans="1:27">
      <c r="A624" s="319"/>
      <c r="B624" s="351"/>
      <c r="C624" s="381"/>
      <c r="D624" s="369"/>
      <c r="E624" s="369"/>
      <c r="F624" s="300"/>
      <c r="G624" s="300"/>
      <c r="H624" s="300"/>
      <c r="I624" s="300"/>
      <c r="J624" s="300"/>
      <c r="K624" s="300"/>
      <c r="L624" s="300"/>
      <c r="M624" s="300"/>
      <c r="N624" s="300"/>
      <c r="O624" s="300"/>
      <c r="P624" s="300"/>
      <c r="Q624" s="300"/>
      <c r="R624" s="300"/>
      <c r="S624" s="300"/>
      <c r="T624" s="300"/>
      <c r="U624" s="300"/>
      <c r="V624" s="300"/>
      <c r="W624" s="300"/>
      <c r="X624" s="300"/>
      <c r="Y624" s="300"/>
      <c r="Z624" s="300"/>
      <c r="AA624" s="301"/>
    </row>
    <row r="625" spans="1:27">
      <c r="A625" s="319"/>
      <c r="B625" s="351"/>
      <c r="C625" s="381"/>
      <c r="D625" s="369"/>
      <c r="E625" s="369"/>
      <c r="F625" s="300"/>
      <c r="G625" s="300"/>
      <c r="H625" s="300"/>
      <c r="I625" s="300"/>
      <c r="J625" s="300"/>
      <c r="K625" s="300"/>
      <c r="L625" s="300"/>
      <c r="M625" s="300"/>
      <c r="N625" s="300"/>
      <c r="O625" s="300"/>
      <c r="P625" s="300"/>
      <c r="Q625" s="300"/>
      <c r="R625" s="300"/>
      <c r="S625" s="300"/>
      <c r="T625" s="300"/>
      <c r="U625" s="300"/>
      <c r="V625" s="300"/>
      <c r="W625" s="300"/>
      <c r="X625" s="300"/>
      <c r="Y625" s="300"/>
      <c r="Z625" s="300"/>
      <c r="AA625" s="301"/>
    </row>
    <row r="626" spans="1:27">
      <c r="A626" s="319"/>
      <c r="B626" s="351"/>
      <c r="C626" s="381"/>
      <c r="D626" s="369"/>
      <c r="E626" s="369"/>
      <c r="F626" s="300"/>
      <c r="G626" s="300"/>
      <c r="H626" s="300"/>
      <c r="I626" s="300"/>
      <c r="J626" s="300"/>
      <c r="K626" s="300"/>
      <c r="L626" s="300"/>
      <c r="M626" s="300"/>
      <c r="N626" s="300"/>
      <c r="O626" s="300"/>
      <c r="P626" s="300"/>
      <c r="Q626" s="300"/>
      <c r="R626" s="300"/>
      <c r="S626" s="300"/>
      <c r="T626" s="300"/>
      <c r="U626" s="300"/>
      <c r="V626" s="300"/>
      <c r="W626" s="300"/>
      <c r="X626" s="300"/>
      <c r="Y626" s="300"/>
      <c r="Z626" s="300"/>
      <c r="AA626" s="301"/>
    </row>
    <row r="627" spans="1:27">
      <c r="A627" s="319"/>
      <c r="B627" s="351"/>
      <c r="C627" s="381"/>
      <c r="D627" s="369"/>
      <c r="E627" s="369"/>
      <c r="F627" s="300"/>
      <c r="G627" s="300"/>
      <c r="H627" s="300"/>
      <c r="I627" s="300"/>
      <c r="J627" s="300"/>
      <c r="K627" s="300"/>
      <c r="L627" s="300"/>
      <c r="M627" s="300"/>
      <c r="N627" s="300"/>
      <c r="O627" s="300"/>
      <c r="P627" s="300"/>
      <c r="Q627" s="300"/>
      <c r="R627" s="300"/>
      <c r="S627" s="300"/>
      <c r="T627" s="300"/>
      <c r="U627" s="300"/>
      <c r="V627" s="300"/>
      <c r="W627" s="300"/>
      <c r="X627" s="300"/>
      <c r="Y627" s="300"/>
      <c r="Z627" s="300"/>
      <c r="AA627" s="301"/>
    </row>
    <row r="628" spans="1:27">
      <c r="A628" s="319"/>
      <c r="B628" s="351"/>
      <c r="C628" s="381"/>
      <c r="D628" s="369"/>
      <c r="E628" s="369"/>
      <c r="F628" s="300"/>
      <c r="G628" s="300"/>
      <c r="H628" s="300"/>
      <c r="I628" s="300"/>
      <c r="J628" s="300"/>
      <c r="K628" s="300"/>
      <c r="L628" s="300"/>
      <c r="M628" s="300"/>
      <c r="N628" s="300"/>
      <c r="O628" s="300"/>
      <c r="P628" s="300"/>
      <c r="Q628" s="300"/>
      <c r="R628" s="300"/>
      <c r="S628" s="300"/>
      <c r="T628" s="300"/>
      <c r="U628" s="300"/>
      <c r="V628" s="300"/>
      <c r="W628" s="300"/>
      <c r="X628" s="300"/>
      <c r="Y628" s="300"/>
      <c r="Z628" s="300"/>
      <c r="AA628" s="301"/>
    </row>
    <row r="629" spans="1:27">
      <c r="A629" s="319"/>
      <c r="B629" s="351"/>
      <c r="C629" s="381"/>
      <c r="D629" s="369"/>
      <c r="E629" s="369"/>
      <c r="F629" s="300"/>
      <c r="G629" s="300"/>
      <c r="H629" s="300"/>
      <c r="I629" s="300"/>
      <c r="J629" s="300"/>
      <c r="K629" s="300"/>
      <c r="L629" s="300"/>
      <c r="M629" s="300"/>
      <c r="N629" s="300"/>
      <c r="O629" s="300"/>
      <c r="P629" s="300"/>
      <c r="Q629" s="300"/>
      <c r="R629" s="300"/>
      <c r="S629" s="300"/>
      <c r="T629" s="300"/>
      <c r="U629" s="300"/>
      <c r="V629" s="300"/>
      <c r="W629" s="300"/>
      <c r="X629" s="300"/>
      <c r="Y629" s="300"/>
      <c r="Z629" s="300"/>
      <c r="AA629" s="301"/>
    </row>
    <row r="630" spans="1:27">
      <c r="A630" s="319"/>
      <c r="B630" s="351"/>
      <c r="C630" s="381"/>
      <c r="D630" s="369"/>
      <c r="E630" s="369"/>
      <c r="F630" s="300"/>
      <c r="G630" s="300"/>
      <c r="H630" s="300"/>
      <c r="I630" s="300"/>
      <c r="J630" s="300"/>
      <c r="K630" s="300"/>
      <c r="L630" s="300"/>
      <c r="M630" s="300"/>
      <c r="N630" s="300"/>
      <c r="O630" s="300"/>
      <c r="P630" s="300"/>
      <c r="Q630" s="300"/>
      <c r="R630" s="300"/>
      <c r="S630" s="300"/>
      <c r="T630" s="300"/>
      <c r="U630" s="300"/>
      <c r="V630" s="300"/>
      <c r="W630" s="300"/>
      <c r="X630" s="300"/>
      <c r="Y630" s="300"/>
      <c r="Z630" s="300"/>
      <c r="AA630" s="301"/>
    </row>
    <row r="631" spans="1:27">
      <c r="A631" s="319"/>
      <c r="B631" s="351"/>
      <c r="C631" s="381"/>
      <c r="D631" s="369"/>
      <c r="E631" s="369"/>
      <c r="F631" s="300"/>
      <c r="G631" s="300"/>
      <c r="H631" s="300"/>
      <c r="I631" s="300"/>
      <c r="J631" s="300"/>
      <c r="K631" s="300"/>
      <c r="L631" s="300"/>
      <c r="M631" s="300"/>
      <c r="N631" s="300"/>
      <c r="O631" s="300"/>
      <c r="P631" s="300"/>
      <c r="Q631" s="300"/>
      <c r="R631" s="300"/>
      <c r="S631" s="300"/>
      <c r="T631" s="300"/>
      <c r="U631" s="300"/>
      <c r="V631" s="300"/>
      <c r="W631" s="300"/>
      <c r="X631" s="300"/>
      <c r="Y631" s="300"/>
      <c r="Z631" s="300"/>
      <c r="AA631" s="301"/>
    </row>
    <row r="632" spans="1:27">
      <c r="A632" s="319"/>
      <c r="B632" s="351"/>
      <c r="C632" s="381"/>
      <c r="D632" s="369"/>
      <c r="E632" s="369"/>
      <c r="F632" s="300"/>
      <c r="G632" s="300"/>
      <c r="H632" s="300"/>
      <c r="I632" s="300"/>
      <c r="J632" s="300"/>
      <c r="K632" s="300"/>
      <c r="L632" s="300"/>
      <c r="M632" s="300"/>
      <c r="N632" s="300"/>
      <c r="O632" s="300"/>
      <c r="P632" s="300"/>
      <c r="Q632" s="300"/>
      <c r="R632" s="300"/>
      <c r="S632" s="300"/>
      <c r="T632" s="300"/>
      <c r="U632" s="300"/>
      <c r="V632" s="300"/>
      <c r="W632" s="300"/>
      <c r="X632" s="300"/>
      <c r="Y632" s="300"/>
      <c r="Z632" s="300"/>
      <c r="AA632" s="301"/>
    </row>
    <row r="633" spans="1:27">
      <c r="A633" s="319"/>
      <c r="B633" s="351"/>
      <c r="C633" s="381"/>
      <c r="D633" s="369"/>
      <c r="E633" s="369"/>
      <c r="F633" s="300"/>
      <c r="G633" s="300"/>
      <c r="H633" s="300"/>
      <c r="I633" s="300"/>
      <c r="J633" s="300"/>
      <c r="K633" s="300"/>
      <c r="L633" s="300"/>
      <c r="M633" s="300"/>
      <c r="N633" s="300"/>
      <c r="O633" s="300"/>
      <c r="P633" s="300"/>
      <c r="Q633" s="300"/>
      <c r="R633" s="300"/>
      <c r="S633" s="300"/>
      <c r="T633" s="300"/>
      <c r="U633" s="300"/>
      <c r="V633" s="300"/>
      <c r="W633" s="300"/>
      <c r="X633" s="300"/>
      <c r="Y633" s="300"/>
      <c r="Z633" s="300"/>
      <c r="AA633" s="301"/>
    </row>
    <row r="634" spans="1:27">
      <c r="A634" s="319"/>
      <c r="B634" s="351"/>
      <c r="C634" s="381"/>
      <c r="D634" s="369"/>
      <c r="E634" s="369"/>
      <c r="F634" s="300"/>
      <c r="G634" s="300"/>
      <c r="H634" s="300"/>
      <c r="I634" s="300"/>
      <c r="J634" s="300"/>
      <c r="K634" s="300"/>
      <c r="L634" s="300"/>
      <c r="M634" s="300"/>
      <c r="N634" s="300"/>
      <c r="O634" s="300"/>
      <c r="P634" s="300"/>
      <c r="Q634" s="300"/>
      <c r="R634" s="300"/>
      <c r="S634" s="300"/>
      <c r="T634" s="300"/>
      <c r="U634" s="300"/>
      <c r="V634" s="300"/>
      <c r="W634" s="300"/>
      <c r="X634" s="300"/>
      <c r="Y634" s="300"/>
      <c r="Z634" s="300"/>
      <c r="AA634" s="301"/>
    </row>
    <row r="635" spans="1:27">
      <c r="A635" s="319"/>
      <c r="B635" s="351"/>
      <c r="C635" s="381"/>
      <c r="D635" s="369"/>
      <c r="E635" s="369"/>
      <c r="F635" s="300"/>
      <c r="G635" s="300"/>
      <c r="H635" s="300"/>
      <c r="I635" s="300"/>
      <c r="J635" s="300"/>
      <c r="K635" s="300"/>
      <c r="L635" s="300"/>
      <c r="M635" s="300"/>
      <c r="N635" s="300"/>
      <c r="O635" s="300"/>
      <c r="P635" s="300"/>
      <c r="Q635" s="300"/>
      <c r="R635" s="300"/>
      <c r="S635" s="300"/>
      <c r="T635" s="300"/>
      <c r="U635" s="300"/>
      <c r="V635" s="300"/>
      <c r="W635" s="300"/>
      <c r="X635" s="300"/>
      <c r="Y635" s="300"/>
      <c r="Z635" s="300"/>
      <c r="AA635" s="301"/>
    </row>
    <row r="636" spans="1:27">
      <c r="A636" s="319"/>
      <c r="B636" s="351"/>
      <c r="C636" s="381"/>
      <c r="D636" s="369"/>
      <c r="E636" s="369"/>
      <c r="F636" s="300"/>
      <c r="G636" s="300"/>
      <c r="H636" s="300"/>
      <c r="I636" s="300"/>
      <c r="J636" s="300"/>
      <c r="K636" s="300"/>
      <c r="L636" s="300"/>
      <c r="M636" s="300"/>
      <c r="N636" s="300"/>
      <c r="O636" s="300"/>
      <c r="P636" s="300"/>
      <c r="Q636" s="300"/>
      <c r="R636" s="300"/>
      <c r="S636" s="300"/>
      <c r="T636" s="300"/>
      <c r="U636" s="300"/>
      <c r="V636" s="300"/>
      <c r="W636" s="300"/>
      <c r="X636" s="300"/>
      <c r="Y636" s="300"/>
      <c r="Z636" s="300"/>
      <c r="AA636" s="301"/>
    </row>
    <row r="637" spans="1:27">
      <c r="A637" s="319"/>
      <c r="B637" s="351"/>
      <c r="C637" s="381"/>
      <c r="D637" s="369"/>
      <c r="E637" s="369"/>
      <c r="F637" s="300"/>
      <c r="G637" s="300"/>
      <c r="H637" s="300"/>
      <c r="I637" s="300"/>
      <c r="J637" s="300"/>
      <c r="K637" s="300"/>
      <c r="L637" s="300"/>
      <c r="M637" s="300"/>
      <c r="N637" s="300"/>
      <c r="O637" s="300"/>
      <c r="P637" s="300"/>
      <c r="Q637" s="300"/>
      <c r="R637" s="300"/>
      <c r="S637" s="300"/>
      <c r="T637" s="300"/>
      <c r="U637" s="300"/>
      <c r="V637" s="300"/>
      <c r="W637" s="300"/>
      <c r="X637" s="300"/>
      <c r="Y637" s="300"/>
      <c r="Z637" s="300"/>
      <c r="AA637" s="301"/>
    </row>
    <row r="638" spans="1:27">
      <c r="A638" s="319"/>
      <c r="B638" s="351"/>
      <c r="C638" s="381"/>
      <c r="D638" s="369"/>
      <c r="E638" s="369"/>
      <c r="F638" s="300"/>
      <c r="G638" s="300"/>
      <c r="H638" s="300"/>
      <c r="I638" s="300"/>
      <c r="J638" s="300"/>
      <c r="K638" s="300"/>
      <c r="L638" s="300"/>
      <c r="M638" s="300"/>
      <c r="N638" s="300"/>
      <c r="O638" s="300"/>
      <c r="P638" s="300"/>
      <c r="Q638" s="300"/>
      <c r="R638" s="300"/>
      <c r="S638" s="300"/>
      <c r="T638" s="300"/>
      <c r="U638" s="300"/>
      <c r="V638" s="300"/>
      <c r="W638" s="300"/>
      <c r="X638" s="300"/>
      <c r="Y638" s="300"/>
      <c r="Z638" s="300"/>
      <c r="AA638" s="301"/>
    </row>
    <row r="639" spans="1:27">
      <c r="A639" s="319"/>
      <c r="B639" s="351"/>
      <c r="C639" s="381"/>
      <c r="D639" s="369"/>
      <c r="E639" s="369"/>
      <c r="F639" s="300"/>
      <c r="G639" s="300"/>
      <c r="H639" s="300"/>
      <c r="I639" s="300"/>
      <c r="J639" s="300"/>
      <c r="K639" s="300"/>
      <c r="L639" s="300"/>
      <c r="M639" s="300"/>
      <c r="N639" s="300"/>
      <c r="O639" s="300"/>
      <c r="P639" s="300"/>
      <c r="Q639" s="300"/>
      <c r="R639" s="300"/>
      <c r="S639" s="300"/>
      <c r="T639" s="300"/>
      <c r="U639" s="300"/>
      <c r="V639" s="300"/>
      <c r="W639" s="300"/>
      <c r="X639" s="300"/>
      <c r="Y639" s="300"/>
      <c r="Z639" s="300"/>
      <c r="AA639" s="301"/>
    </row>
    <row r="640" spans="1:27">
      <c r="A640" s="319"/>
      <c r="B640" s="351"/>
      <c r="C640" s="381"/>
      <c r="D640" s="369"/>
      <c r="E640" s="369"/>
      <c r="F640" s="300"/>
      <c r="G640" s="300"/>
      <c r="H640" s="300"/>
      <c r="I640" s="300"/>
      <c r="J640" s="300"/>
      <c r="K640" s="300"/>
      <c r="L640" s="300"/>
      <c r="M640" s="300"/>
      <c r="N640" s="300"/>
      <c r="O640" s="300"/>
      <c r="P640" s="300"/>
      <c r="Q640" s="300"/>
      <c r="R640" s="300"/>
      <c r="S640" s="300"/>
      <c r="T640" s="300"/>
      <c r="U640" s="300"/>
      <c r="V640" s="300"/>
      <c r="W640" s="300"/>
      <c r="X640" s="300"/>
      <c r="Y640" s="300"/>
      <c r="Z640" s="300"/>
      <c r="AA640" s="301"/>
    </row>
    <row r="641" spans="1:27">
      <c r="A641" s="319"/>
      <c r="B641" s="351"/>
      <c r="C641" s="381"/>
      <c r="D641" s="369"/>
      <c r="E641" s="369"/>
      <c r="F641" s="300"/>
      <c r="G641" s="300"/>
      <c r="H641" s="300"/>
      <c r="I641" s="300"/>
      <c r="J641" s="300"/>
      <c r="K641" s="300"/>
      <c r="L641" s="300"/>
      <c r="M641" s="300"/>
      <c r="N641" s="300"/>
      <c r="O641" s="300"/>
      <c r="P641" s="300"/>
      <c r="Q641" s="300"/>
      <c r="R641" s="300"/>
      <c r="S641" s="300"/>
      <c r="T641" s="300"/>
      <c r="U641" s="300"/>
      <c r="V641" s="300"/>
      <c r="W641" s="300"/>
      <c r="X641" s="300"/>
      <c r="Y641" s="300"/>
      <c r="Z641" s="300"/>
      <c r="AA641" s="301"/>
    </row>
    <row r="642" spans="1:27">
      <c r="A642" s="319"/>
      <c r="B642" s="351"/>
      <c r="C642" s="381"/>
      <c r="D642" s="369"/>
      <c r="E642" s="369"/>
      <c r="F642" s="300"/>
      <c r="G642" s="300"/>
      <c r="H642" s="300"/>
      <c r="I642" s="300"/>
      <c r="J642" s="300"/>
      <c r="K642" s="300"/>
      <c r="L642" s="300"/>
      <c r="M642" s="300"/>
      <c r="N642" s="300"/>
      <c r="O642" s="300"/>
      <c r="P642" s="300"/>
      <c r="Q642" s="300"/>
      <c r="R642" s="300"/>
      <c r="S642" s="300"/>
      <c r="T642" s="300"/>
      <c r="U642" s="300"/>
      <c r="V642" s="300"/>
      <c r="W642" s="300"/>
      <c r="X642" s="300"/>
      <c r="Y642" s="300"/>
      <c r="Z642" s="300"/>
      <c r="AA642" s="301"/>
    </row>
    <row r="643" spans="1:27">
      <c r="A643" s="319"/>
      <c r="B643" s="351"/>
      <c r="C643" s="381"/>
      <c r="D643" s="369"/>
      <c r="E643" s="369"/>
      <c r="F643" s="300"/>
      <c r="G643" s="300"/>
      <c r="H643" s="300"/>
      <c r="I643" s="300"/>
      <c r="J643" s="300"/>
      <c r="K643" s="300"/>
      <c r="L643" s="300"/>
      <c r="M643" s="300"/>
      <c r="N643" s="300"/>
      <c r="O643" s="300"/>
      <c r="P643" s="300"/>
      <c r="Q643" s="300"/>
      <c r="R643" s="300"/>
      <c r="S643" s="300"/>
      <c r="T643" s="300"/>
      <c r="U643" s="300"/>
      <c r="V643" s="300"/>
      <c r="W643" s="300"/>
      <c r="X643" s="300"/>
      <c r="Y643" s="300"/>
      <c r="Z643" s="300"/>
      <c r="AA643" s="301"/>
    </row>
    <row r="644" spans="1:27">
      <c r="A644" s="319"/>
      <c r="B644" s="351"/>
      <c r="C644" s="381"/>
      <c r="D644" s="369"/>
      <c r="E644" s="369"/>
      <c r="F644" s="300"/>
      <c r="G644" s="300"/>
      <c r="H644" s="300"/>
      <c r="I644" s="300"/>
      <c r="J644" s="300"/>
      <c r="K644" s="300"/>
      <c r="L644" s="300"/>
      <c r="M644" s="300"/>
      <c r="N644" s="300"/>
      <c r="O644" s="300"/>
      <c r="P644" s="300"/>
      <c r="Q644" s="300"/>
      <c r="R644" s="300"/>
      <c r="S644" s="300"/>
      <c r="T644" s="300"/>
      <c r="U644" s="300"/>
      <c r="V644" s="300"/>
      <c r="W644" s="300"/>
      <c r="X644" s="300"/>
      <c r="Y644" s="300"/>
      <c r="Z644" s="300"/>
      <c r="AA644" s="301"/>
    </row>
    <row r="645" spans="1:27">
      <c r="A645" s="319"/>
      <c r="B645" s="351"/>
      <c r="C645" s="381"/>
      <c r="D645" s="369"/>
      <c r="E645" s="369"/>
      <c r="F645" s="300"/>
      <c r="G645" s="300"/>
      <c r="H645" s="300"/>
      <c r="I645" s="300"/>
      <c r="J645" s="300"/>
      <c r="K645" s="300"/>
      <c r="L645" s="300"/>
      <c r="M645" s="300"/>
      <c r="N645" s="300"/>
      <c r="O645" s="300"/>
      <c r="P645" s="300"/>
      <c r="Q645" s="300"/>
      <c r="R645" s="300"/>
      <c r="S645" s="300"/>
      <c r="T645" s="300"/>
      <c r="U645" s="300"/>
      <c r="V645" s="300"/>
      <c r="W645" s="300"/>
      <c r="X645" s="300"/>
      <c r="Y645" s="300"/>
      <c r="Z645" s="300"/>
      <c r="AA645" s="301"/>
    </row>
    <row r="646" spans="1:27">
      <c r="A646" s="319"/>
      <c r="B646" s="351"/>
      <c r="C646" s="381"/>
      <c r="D646" s="369"/>
      <c r="E646" s="369"/>
      <c r="F646" s="300"/>
      <c r="G646" s="300"/>
      <c r="H646" s="300"/>
      <c r="I646" s="300"/>
      <c r="J646" s="300"/>
      <c r="K646" s="300"/>
      <c r="L646" s="300"/>
      <c r="M646" s="300"/>
      <c r="N646" s="300"/>
      <c r="O646" s="300"/>
      <c r="P646" s="300"/>
      <c r="Q646" s="300"/>
      <c r="R646" s="300"/>
      <c r="S646" s="300"/>
      <c r="T646" s="300"/>
      <c r="U646" s="300"/>
      <c r="V646" s="300"/>
      <c r="W646" s="300"/>
      <c r="X646" s="300"/>
      <c r="Y646" s="300"/>
      <c r="Z646" s="300"/>
      <c r="AA646" s="301"/>
    </row>
    <row r="647" spans="1:27">
      <c r="A647" s="319"/>
      <c r="B647" s="351"/>
      <c r="C647" s="381"/>
      <c r="D647" s="369"/>
      <c r="E647" s="369"/>
      <c r="F647" s="300"/>
      <c r="G647" s="300"/>
      <c r="H647" s="300"/>
      <c r="I647" s="300"/>
      <c r="J647" s="300"/>
      <c r="K647" s="300"/>
      <c r="L647" s="300"/>
      <c r="M647" s="300"/>
      <c r="N647" s="300"/>
      <c r="O647" s="300"/>
      <c r="P647" s="300"/>
      <c r="Q647" s="300"/>
      <c r="R647" s="300"/>
      <c r="S647" s="300"/>
      <c r="T647" s="300"/>
      <c r="U647" s="300"/>
      <c r="V647" s="300"/>
      <c r="W647" s="300"/>
      <c r="X647" s="300"/>
      <c r="Y647" s="300"/>
      <c r="Z647" s="300"/>
      <c r="AA647" s="301"/>
    </row>
    <row r="648" spans="1:27">
      <c r="A648" s="319"/>
      <c r="B648" s="351"/>
      <c r="C648" s="381"/>
      <c r="D648" s="369"/>
      <c r="E648" s="369"/>
      <c r="F648" s="300"/>
      <c r="G648" s="300"/>
      <c r="H648" s="300"/>
      <c r="I648" s="300"/>
      <c r="J648" s="300"/>
      <c r="K648" s="300"/>
      <c r="L648" s="300"/>
      <c r="M648" s="300"/>
      <c r="N648" s="300"/>
      <c r="O648" s="300"/>
      <c r="P648" s="300"/>
      <c r="Q648" s="300"/>
      <c r="R648" s="300"/>
      <c r="S648" s="300"/>
      <c r="T648" s="300"/>
      <c r="U648" s="300"/>
      <c r="V648" s="300"/>
      <c r="W648" s="300"/>
      <c r="X648" s="300"/>
      <c r="Y648" s="300"/>
      <c r="Z648" s="300"/>
      <c r="AA648" s="301"/>
    </row>
    <row r="649" spans="1:27">
      <c r="A649" s="319"/>
      <c r="B649" s="351"/>
      <c r="C649" s="381"/>
      <c r="D649" s="369"/>
      <c r="E649" s="369"/>
      <c r="F649" s="300"/>
      <c r="G649" s="300"/>
      <c r="H649" s="300"/>
      <c r="I649" s="300"/>
      <c r="J649" s="300"/>
      <c r="K649" s="300"/>
      <c r="L649" s="300"/>
      <c r="M649" s="300"/>
      <c r="N649" s="300"/>
      <c r="O649" s="300"/>
      <c r="P649" s="300"/>
      <c r="Q649" s="300"/>
      <c r="R649" s="300"/>
      <c r="S649" s="300"/>
      <c r="T649" s="300"/>
      <c r="U649" s="300"/>
      <c r="V649" s="300"/>
      <c r="W649" s="300"/>
      <c r="X649" s="300"/>
      <c r="Y649" s="300"/>
      <c r="Z649" s="300"/>
      <c r="AA649" s="301"/>
    </row>
    <row r="650" spans="1:27">
      <c r="A650" s="319"/>
      <c r="B650" s="351"/>
      <c r="C650" s="381"/>
      <c r="D650" s="369"/>
      <c r="E650" s="369"/>
      <c r="F650" s="300"/>
      <c r="G650" s="300"/>
      <c r="H650" s="300"/>
      <c r="I650" s="300"/>
      <c r="J650" s="300"/>
      <c r="K650" s="300"/>
      <c r="L650" s="300"/>
      <c r="M650" s="300"/>
      <c r="N650" s="300"/>
      <c r="O650" s="300"/>
      <c r="P650" s="300"/>
      <c r="Q650" s="300"/>
      <c r="R650" s="300"/>
      <c r="S650" s="300"/>
      <c r="T650" s="300"/>
      <c r="U650" s="300"/>
      <c r="V650" s="300"/>
      <c r="W650" s="300"/>
      <c r="X650" s="300"/>
      <c r="Y650" s="300"/>
      <c r="Z650" s="300"/>
      <c r="AA650" s="301"/>
    </row>
    <row r="651" spans="1:27">
      <c r="A651" s="319"/>
      <c r="B651" s="351"/>
      <c r="C651" s="381"/>
      <c r="D651" s="369"/>
      <c r="E651" s="369"/>
      <c r="F651" s="300"/>
      <c r="G651" s="300"/>
      <c r="H651" s="300"/>
      <c r="I651" s="300"/>
      <c r="J651" s="300"/>
      <c r="K651" s="300"/>
      <c r="L651" s="300"/>
      <c r="M651" s="300"/>
      <c r="N651" s="300"/>
      <c r="O651" s="300"/>
      <c r="P651" s="300"/>
      <c r="Q651" s="300"/>
      <c r="R651" s="300"/>
      <c r="S651" s="300"/>
      <c r="T651" s="300"/>
      <c r="U651" s="300"/>
      <c r="V651" s="300"/>
      <c r="W651" s="300"/>
      <c r="X651" s="300"/>
      <c r="Y651" s="300"/>
      <c r="Z651" s="300"/>
      <c r="AA651" s="301"/>
    </row>
    <row r="652" spans="1:27">
      <c r="A652" s="319"/>
      <c r="B652" s="351"/>
      <c r="C652" s="381"/>
      <c r="D652" s="369"/>
      <c r="E652" s="369"/>
      <c r="F652" s="300"/>
      <c r="G652" s="300"/>
      <c r="H652" s="300"/>
      <c r="I652" s="300"/>
      <c r="J652" s="300"/>
      <c r="K652" s="300"/>
      <c r="L652" s="300"/>
      <c r="M652" s="300"/>
      <c r="N652" s="300"/>
      <c r="O652" s="300"/>
      <c r="P652" s="300"/>
      <c r="Q652" s="300"/>
      <c r="R652" s="300"/>
      <c r="S652" s="300"/>
      <c r="T652" s="300"/>
      <c r="U652" s="300"/>
      <c r="V652" s="300"/>
      <c r="W652" s="300"/>
      <c r="X652" s="300"/>
      <c r="Y652" s="300"/>
      <c r="Z652" s="300"/>
      <c r="AA652" s="301"/>
    </row>
    <row r="653" spans="1:27">
      <c r="A653" s="319"/>
      <c r="B653" s="351"/>
      <c r="C653" s="381"/>
      <c r="D653" s="369"/>
      <c r="E653" s="369"/>
      <c r="F653" s="300"/>
      <c r="G653" s="300"/>
      <c r="H653" s="300"/>
      <c r="I653" s="300"/>
      <c r="J653" s="300"/>
      <c r="K653" s="300"/>
      <c r="L653" s="300"/>
      <c r="M653" s="300"/>
      <c r="N653" s="300"/>
      <c r="O653" s="300"/>
      <c r="P653" s="300"/>
      <c r="Q653" s="300"/>
      <c r="R653" s="300"/>
      <c r="S653" s="300"/>
      <c r="T653" s="300"/>
      <c r="U653" s="300"/>
      <c r="V653" s="300"/>
      <c r="W653" s="300"/>
      <c r="X653" s="300"/>
      <c r="Y653" s="300"/>
      <c r="Z653" s="300"/>
      <c r="AA653" s="301"/>
    </row>
    <row r="654" spans="1:27">
      <c r="A654" s="319"/>
      <c r="B654" s="351"/>
      <c r="C654" s="381"/>
      <c r="D654" s="369"/>
      <c r="E654" s="369"/>
      <c r="F654" s="300"/>
      <c r="G654" s="300"/>
      <c r="H654" s="300"/>
      <c r="I654" s="300"/>
      <c r="J654" s="300"/>
      <c r="K654" s="300"/>
      <c r="L654" s="300"/>
      <c r="M654" s="300"/>
      <c r="N654" s="300"/>
      <c r="O654" s="300"/>
      <c r="P654" s="300"/>
      <c r="Q654" s="300"/>
      <c r="R654" s="300"/>
      <c r="S654" s="300"/>
      <c r="T654" s="300"/>
      <c r="U654" s="300"/>
      <c r="V654" s="300"/>
      <c r="W654" s="300"/>
      <c r="X654" s="300"/>
      <c r="Y654" s="300"/>
      <c r="Z654" s="300"/>
      <c r="AA654" s="301"/>
    </row>
    <row r="655" spans="1:27">
      <c r="A655" s="319"/>
      <c r="B655" s="351"/>
      <c r="C655" s="381"/>
      <c r="D655" s="369"/>
      <c r="E655" s="369"/>
      <c r="F655" s="300"/>
      <c r="G655" s="300"/>
      <c r="H655" s="300"/>
      <c r="I655" s="300"/>
      <c r="J655" s="300"/>
      <c r="K655" s="300"/>
      <c r="L655" s="300"/>
      <c r="M655" s="300"/>
      <c r="N655" s="300"/>
      <c r="O655" s="300"/>
      <c r="P655" s="300"/>
      <c r="Q655" s="300"/>
      <c r="R655" s="300"/>
      <c r="S655" s="300"/>
      <c r="T655" s="300"/>
      <c r="U655" s="300"/>
      <c r="V655" s="300"/>
      <c r="W655" s="300"/>
      <c r="X655" s="300"/>
      <c r="Y655" s="300"/>
      <c r="Z655" s="300"/>
      <c r="AA655" s="301"/>
    </row>
    <row r="656" spans="1:27">
      <c r="A656" s="319"/>
      <c r="B656" s="351"/>
      <c r="C656" s="381"/>
      <c r="D656" s="369"/>
      <c r="E656" s="369"/>
      <c r="F656" s="300"/>
      <c r="G656" s="300"/>
      <c r="H656" s="300"/>
      <c r="I656" s="300"/>
      <c r="J656" s="300"/>
      <c r="K656" s="300"/>
      <c r="L656" s="300"/>
      <c r="M656" s="300"/>
      <c r="N656" s="300"/>
      <c r="O656" s="300"/>
      <c r="P656" s="300"/>
      <c r="Q656" s="300"/>
      <c r="R656" s="300"/>
      <c r="S656" s="300"/>
      <c r="T656" s="300"/>
      <c r="U656" s="300"/>
      <c r="V656" s="300"/>
      <c r="W656" s="300"/>
      <c r="X656" s="300"/>
      <c r="Y656" s="300"/>
      <c r="Z656" s="300"/>
      <c r="AA656" s="301"/>
    </row>
    <row r="657" spans="1:27">
      <c r="A657" s="319"/>
      <c r="B657" s="351"/>
      <c r="C657" s="381"/>
      <c r="D657" s="369"/>
      <c r="E657" s="369"/>
      <c r="F657" s="300"/>
      <c r="G657" s="300"/>
      <c r="H657" s="300"/>
      <c r="I657" s="300"/>
      <c r="J657" s="300"/>
      <c r="K657" s="300"/>
      <c r="L657" s="300"/>
      <c r="M657" s="300"/>
      <c r="N657" s="300"/>
      <c r="O657" s="300"/>
      <c r="P657" s="300"/>
      <c r="Q657" s="300"/>
      <c r="R657" s="300"/>
      <c r="S657" s="300"/>
      <c r="T657" s="300"/>
      <c r="U657" s="300"/>
      <c r="V657" s="300"/>
      <c r="W657" s="300"/>
      <c r="X657" s="300"/>
      <c r="Y657" s="300"/>
      <c r="Z657" s="300"/>
      <c r="AA657" s="301"/>
    </row>
    <row r="658" spans="1:27">
      <c r="A658" s="319"/>
      <c r="B658" s="351"/>
      <c r="C658" s="381"/>
      <c r="D658" s="369"/>
      <c r="E658" s="369"/>
      <c r="F658" s="300"/>
      <c r="G658" s="300"/>
      <c r="H658" s="300"/>
      <c r="I658" s="300"/>
      <c r="J658" s="300"/>
      <c r="K658" s="300"/>
      <c r="L658" s="300"/>
      <c r="M658" s="300"/>
      <c r="N658" s="300"/>
      <c r="O658" s="300"/>
      <c r="P658" s="300"/>
      <c r="Q658" s="300"/>
      <c r="R658" s="300"/>
      <c r="S658" s="300"/>
      <c r="T658" s="300"/>
      <c r="U658" s="300"/>
      <c r="V658" s="300"/>
      <c r="W658" s="300"/>
      <c r="X658" s="300"/>
      <c r="Y658" s="300"/>
      <c r="Z658" s="300"/>
      <c r="AA658" s="301"/>
    </row>
    <row r="659" spans="1:27">
      <c r="A659" s="319"/>
      <c r="B659" s="351"/>
      <c r="C659" s="381"/>
      <c r="D659" s="369"/>
      <c r="E659" s="369"/>
      <c r="F659" s="300"/>
      <c r="G659" s="300"/>
      <c r="H659" s="300"/>
      <c r="I659" s="300"/>
      <c r="J659" s="300"/>
      <c r="K659" s="300"/>
      <c r="L659" s="300"/>
      <c r="M659" s="300"/>
      <c r="N659" s="300"/>
      <c r="O659" s="300"/>
      <c r="P659" s="300"/>
      <c r="Q659" s="300"/>
      <c r="R659" s="300"/>
      <c r="S659" s="300"/>
      <c r="T659" s="300"/>
      <c r="U659" s="300"/>
      <c r="V659" s="300"/>
      <c r="W659" s="300"/>
      <c r="X659" s="300"/>
      <c r="Y659" s="300"/>
      <c r="Z659" s="300"/>
      <c r="AA659" s="301"/>
    </row>
    <row r="660" spans="1:27">
      <c r="A660" s="319"/>
      <c r="B660" s="351"/>
      <c r="C660" s="381"/>
      <c r="D660" s="369"/>
      <c r="E660" s="369"/>
      <c r="F660" s="300"/>
      <c r="G660" s="300"/>
      <c r="H660" s="300"/>
      <c r="I660" s="300"/>
      <c r="J660" s="300"/>
      <c r="K660" s="300"/>
      <c r="L660" s="300"/>
      <c r="M660" s="300"/>
      <c r="N660" s="300"/>
      <c r="O660" s="300"/>
      <c r="P660" s="300"/>
      <c r="Q660" s="300"/>
      <c r="R660" s="300"/>
      <c r="S660" s="300"/>
      <c r="T660" s="300"/>
      <c r="U660" s="300"/>
      <c r="V660" s="300"/>
      <c r="W660" s="300"/>
      <c r="X660" s="300"/>
      <c r="Y660" s="300"/>
      <c r="Z660" s="300"/>
      <c r="AA660" s="301"/>
    </row>
    <row r="661" spans="1:27">
      <c r="A661" s="319"/>
      <c r="B661" s="351"/>
      <c r="C661" s="381"/>
      <c r="D661" s="369"/>
      <c r="E661" s="369"/>
      <c r="F661" s="300"/>
      <c r="G661" s="300"/>
      <c r="H661" s="300"/>
      <c r="I661" s="300"/>
      <c r="J661" s="300"/>
      <c r="K661" s="300"/>
      <c r="L661" s="300"/>
      <c r="M661" s="300"/>
      <c r="N661" s="300"/>
      <c r="O661" s="300"/>
      <c r="P661" s="300"/>
      <c r="Q661" s="300"/>
      <c r="R661" s="300"/>
      <c r="S661" s="300"/>
      <c r="T661" s="300"/>
      <c r="U661" s="300"/>
      <c r="V661" s="300"/>
      <c r="W661" s="300"/>
      <c r="X661" s="300"/>
      <c r="Y661" s="300"/>
      <c r="Z661" s="300"/>
      <c r="AA661" s="301"/>
    </row>
    <row r="662" spans="1:27">
      <c r="A662" s="319"/>
      <c r="B662" s="351"/>
      <c r="C662" s="381"/>
      <c r="D662" s="369"/>
      <c r="E662" s="369"/>
      <c r="F662" s="300"/>
      <c r="G662" s="300"/>
      <c r="H662" s="300"/>
      <c r="I662" s="300"/>
      <c r="J662" s="300"/>
      <c r="K662" s="300"/>
      <c r="L662" s="300"/>
      <c r="M662" s="300"/>
      <c r="N662" s="300"/>
      <c r="O662" s="300"/>
      <c r="P662" s="300"/>
      <c r="Q662" s="300"/>
      <c r="R662" s="300"/>
      <c r="S662" s="300"/>
      <c r="T662" s="300"/>
      <c r="U662" s="300"/>
      <c r="V662" s="300"/>
      <c r="W662" s="300"/>
      <c r="X662" s="300"/>
      <c r="Y662" s="300"/>
      <c r="Z662" s="300"/>
      <c r="AA662" s="301"/>
    </row>
    <row r="663" spans="1:27">
      <c r="A663" s="319"/>
      <c r="B663" s="351"/>
      <c r="C663" s="381"/>
      <c r="D663" s="369"/>
      <c r="E663" s="369"/>
      <c r="F663" s="300"/>
      <c r="G663" s="300"/>
      <c r="H663" s="300"/>
      <c r="I663" s="300"/>
      <c r="J663" s="300"/>
      <c r="K663" s="300"/>
      <c r="L663" s="300"/>
      <c r="M663" s="300"/>
      <c r="N663" s="300"/>
      <c r="O663" s="300"/>
      <c r="P663" s="300"/>
      <c r="Q663" s="300"/>
      <c r="R663" s="300"/>
      <c r="S663" s="300"/>
      <c r="T663" s="300"/>
      <c r="U663" s="300"/>
      <c r="V663" s="300"/>
      <c r="W663" s="300"/>
      <c r="X663" s="300"/>
      <c r="Y663" s="300"/>
      <c r="Z663" s="300"/>
      <c r="AA663" s="301"/>
    </row>
    <row r="664" spans="1:27">
      <c r="A664" s="319"/>
      <c r="B664" s="351"/>
      <c r="C664" s="381"/>
      <c r="D664" s="369"/>
      <c r="E664" s="369"/>
      <c r="F664" s="300"/>
      <c r="G664" s="300"/>
      <c r="H664" s="300"/>
      <c r="I664" s="300"/>
      <c r="J664" s="300"/>
      <c r="K664" s="300"/>
      <c r="L664" s="300"/>
      <c r="M664" s="300"/>
      <c r="N664" s="300"/>
      <c r="O664" s="300"/>
      <c r="P664" s="300"/>
      <c r="Q664" s="300"/>
      <c r="R664" s="300"/>
      <c r="S664" s="300"/>
      <c r="T664" s="300"/>
      <c r="U664" s="300"/>
      <c r="V664" s="300"/>
      <c r="W664" s="300"/>
      <c r="X664" s="300"/>
      <c r="Y664" s="300"/>
      <c r="Z664" s="300"/>
      <c r="AA664" s="301"/>
    </row>
    <row r="665" spans="1:27">
      <c r="A665" s="319"/>
      <c r="B665" s="351"/>
      <c r="C665" s="381"/>
      <c r="D665" s="369"/>
      <c r="E665" s="369"/>
      <c r="F665" s="300"/>
      <c r="G665" s="300"/>
      <c r="H665" s="300"/>
      <c r="I665" s="300"/>
      <c r="J665" s="300"/>
      <c r="K665" s="300"/>
      <c r="L665" s="300"/>
      <c r="M665" s="300"/>
      <c r="N665" s="300"/>
      <c r="O665" s="300"/>
      <c r="P665" s="300"/>
      <c r="Q665" s="300"/>
      <c r="R665" s="300"/>
      <c r="S665" s="300"/>
      <c r="T665" s="300"/>
      <c r="U665" s="300"/>
      <c r="V665" s="300"/>
      <c r="W665" s="300"/>
      <c r="X665" s="300"/>
      <c r="Y665" s="300"/>
      <c r="Z665" s="300"/>
      <c r="AA665" s="301"/>
    </row>
    <row r="666" spans="1:27">
      <c r="A666" s="319"/>
      <c r="B666" s="351"/>
      <c r="C666" s="381"/>
      <c r="D666" s="369"/>
      <c r="E666" s="369"/>
      <c r="F666" s="300"/>
      <c r="G666" s="300"/>
      <c r="H666" s="300"/>
      <c r="I666" s="300"/>
      <c r="J666" s="300"/>
      <c r="K666" s="300"/>
      <c r="L666" s="300"/>
      <c r="M666" s="300"/>
      <c r="N666" s="300"/>
      <c r="O666" s="300"/>
      <c r="P666" s="300"/>
      <c r="Q666" s="300"/>
      <c r="R666" s="300"/>
      <c r="S666" s="300"/>
      <c r="T666" s="300"/>
      <c r="U666" s="300"/>
      <c r="V666" s="300"/>
      <c r="W666" s="300"/>
      <c r="X666" s="300"/>
      <c r="Y666" s="300"/>
      <c r="Z666" s="300"/>
      <c r="AA666" s="301"/>
    </row>
    <row r="667" spans="1:27">
      <c r="A667" s="319"/>
      <c r="B667" s="351"/>
      <c r="C667" s="381"/>
      <c r="D667" s="369"/>
      <c r="E667" s="369"/>
      <c r="F667" s="300"/>
      <c r="G667" s="300"/>
      <c r="H667" s="300"/>
      <c r="I667" s="300"/>
      <c r="J667" s="300"/>
      <c r="K667" s="300"/>
      <c r="L667" s="300"/>
      <c r="M667" s="300"/>
      <c r="N667" s="300"/>
      <c r="O667" s="300"/>
      <c r="P667" s="300"/>
      <c r="Q667" s="300"/>
      <c r="R667" s="300"/>
      <c r="S667" s="300"/>
      <c r="T667" s="300"/>
      <c r="U667" s="300"/>
      <c r="V667" s="300"/>
      <c r="W667" s="300"/>
      <c r="X667" s="300"/>
      <c r="Y667" s="300"/>
      <c r="Z667" s="300"/>
      <c r="AA667" s="301"/>
    </row>
    <row r="668" spans="1:27">
      <c r="A668" s="319"/>
      <c r="B668" s="351"/>
      <c r="C668" s="381"/>
      <c r="D668" s="369"/>
      <c r="E668" s="369"/>
      <c r="F668" s="300"/>
      <c r="G668" s="300"/>
      <c r="H668" s="300"/>
      <c r="I668" s="300"/>
      <c r="J668" s="300"/>
      <c r="K668" s="300"/>
      <c r="L668" s="300"/>
      <c r="M668" s="300"/>
      <c r="N668" s="300"/>
      <c r="O668" s="300"/>
      <c r="P668" s="300"/>
      <c r="Q668" s="300"/>
      <c r="R668" s="300"/>
      <c r="S668" s="300"/>
      <c r="T668" s="300"/>
      <c r="U668" s="300"/>
      <c r="V668" s="300"/>
      <c r="W668" s="300"/>
      <c r="X668" s="300"/>
      <c r="Y668" s="300"/>
      <c r="Z668" s="300"/>
      <c r="AA668" s="301"/>
    </row>
    <row r="669" spans="1:27">
      <c r="A669" s="319"/>
      <c r="B669" s="351"/>
      <c r="C669" s="381"/>
      <c r="D669" s="369"/>
      <c r="E669" s="369"/>
      <c r="F669" s="300"/>
      <c r="G669" s="300"/>
      <c r="H669" s="300"/>
      <c r="I669" s="300"/>
      <c r="J669" s="300"/>
      <c r="K669" s="300"/>
      <c r="L669" s="300"/>
      <c r="M669" s="300"/>
      <c r="N669" s="300"/>
      <c r="O669" s="300"/>
      <c r="P669" s="300"/>
      <c r="Q669" s="300"/>
      <c r="R669" s="300"/>
      <c r="S669" s="300"/>
      <c r="T669" s="300"/>
      <c r="U669" s="300"/>
      <c r="V669" s="300"/>
      <c r="W669" s="300"/>
      <c r="X669" s="300"/>
      <c r="Y669" s="300"/>
      <c r="Z669" s="300"/>
      <c r="AA669" s="301"/>
    </row>
    <row r="670" spans="1:27">
      <c r="A670" s="319"/>
      <c r="B670" s="351"/>
      <c r="C670" s="381"/>
      <c r="D670" s="369"/>
      <c r="E670" s="369"/>
      <c r="F670" s="300"/>
      <c r="G670" s="300"/>
      <c r="H670" s="300"/>
      <c r="I670" s="300"/>
      <c r="J670" s="300"/>
      <c r="K670" s="300"/>
      <c r="L670" s="300"/>
      <c r="M670" s="300"/>
      <c r="N670" s="300"/>
      <c r="O670" s="300"/>
      <c r="P670" s="300"/>
      <c r="Q670" s="300"/>
      <c r="R670" s="300"/>
      <c r="S670" s="300"/>
      <c r="T670" s="300"/>
      <c r="U670" s="300"/>
      <c r="V670" s="300"/>
      <c r="W670" s="300"/>
      <c r="X670" s="300"/>
      <c r="Y670" s="300"/>
      <c r="Z670" s="300"/>
      <c r="AA670" s="301"/>
    </row>
    <row r="671" spans="1:27">
      <c r="A671" s="319"/>
      <c r="B671" s="351"/>
      <c r="C671" s="381"/>
      <c r="D671" s="369"/>
      <c r="E671" s="369"/>
      <c r="F671" s="300"/>
      <c r="G671" s="300"/>
      <c r="H671" s="300"/>
      <c r="I671" s="300"/>
      <c r="J671" s="300"/>
      <c r="K671" s="300"/>
      <c r="L671" s="300"/>
      <c r="M671" s="300"/>
      <c r="N671" s="300"/>
      <c r="O671" s="300"/>
      <c r="P671" s="300"/>
      <c r="Q671" s="300"/>
      <c r="R671" s="300"/>
      <c r="S671" s="300"/>
      <c r="T671" s="300"/>
      <c r="U671" s="300"/>
      <c r="V671" s="300"/>
      <c r="W671" s="300"/>
      <c r="X671" s="300"/>
      <c r="Y671" s="300"/>
      <c r="Z671" s="300"/>
      <c r="AA671" s="301"/>
    </row>
    <row r="672" spans="1:27">
      <c r="A672" s="319"/>
      <c r="B672" s="351"/>
      <c r="C672" s="381"/>
      <c r="D672" s="369"/>
      <c r="E672" s="369"/>
      <c r="F672" s="300"/>
      <c r="G672" s="300"/>
      <c r="H672" s="300"/>
      <c r="I672" s="300"/>
      <c r="J672" s="300"/>
      <c r="K672" s="300"/>
      <c r="L672" s="300"/>
      <c r="M672" s="300"/>
      <c r="N672" s="300"/>
      <c r="O672" s="300"/>
      <c r="P672" s="300"/>
      <c r="Q672" s="300"/>
      <c r="R672" s="300"/>
      <c r="S672" s="300"/>
      <c r="T672" s="300"/>
      <c r="U672" s="300"/>
      <c r="V672" s="300"/>
      <c r="W672" s="300"/>
      <c r="X672" s="300"/>
      <c r="Y672" s="300"/>
      <c r="Z672" s="300"/>
      <c r="AA672" s="301"/>
    </row>
    <row r="673" spans="1:27">
      <c r="A673" s="319"/>
      <c r="B673" s="351"/>
      <c r="C673" s="381"/>
      <c r="D673" s="369"/>
      <c r="E673" s="369"/>
      <c r="F673" s="300"/>
      <c r="G673" s="300"/>
      <c r="H673" s="300"/>
      <c r="I673" s="300"/>
      <c r="J673" s="300"/>
      <c r="K673" s="300"/>
      <c r="L673" s="300"/>
      <c r="M673" s="300"/>
      <c r="N673" s="300"/>
      <c r="O673" s="300"/>
      <c r="P673" s="300"/>
      <c r="Q673" s="300"/>
      <c r="R673" s="300"/>
      <c r="S673" s="300"/>
      <c r="T673" s="300"/>
      <c r="U673" s="300"/>
      <c r="V673" s="300"/>
      <c r="W673" s="300"/>
      <c r="X673" s="300"/>
      <c r="Y673" s="300"/>
      <c r="Z673" s="300"/>
      <c r="AA673" s="301"/>
    </row>
    <row r="674" spans="1:27">
      <c r="A674" s="319"/>
      <c r="B674" s="351"/>
      <c r="C674" s="381"/>
      <c r="D674" s="369"/>
      <c r="E674" s="369"/>
      <c r="F674" s="300"/>
      <c r="G674" s="300"/>
      <c r="H674" s="300"/>
      <c r="I674" s="300"/>
      <c r="J674" s="300"/>
      <c r="K674" s="300"/>
      <c r="L674" s="300"/>
      <c r="M674" s="300"/>
      <c r="N674" s="300"/>
      <c r="O674" s="300"/>
      <c r="P674" s="300"/>
      <c r="Q674" s="300"/>
      <c r="R674" s="300"/>
      <c r="S674" s="300"/>
      <c r="T674" s="300"/>
      <c r="U674" s="300"/>
      <c r="V674" s="300"/>
      <c r="W674" s="300"/>
      <c r="X674" s="300"/>
      <c r="Y674" s="300"/>
      <c r="Z674" s="300"/>
      <c r="AA674" s="301"/>
    </row>
    <row r="675" spans="1:27">
      <c r="A675" s="319"/>
      <c r="B675" s="351"/>
      <c r="C675" s="381"/>
      <c r="D675" s="369"/>
      <c r="E675" s="369"/>
      <c r="F675" s="300"/>
      <c r="G675" s="300"/>
      <c r="H675" s="300"/>
      <c r="I675" s="300"/>
      <c r="J675" s="300"/>
      <c r="K675" s="300"/>
      <c r="L675" s="300"/>
      <c r="M675" s="300"/>
      <c r="N675" s="300"/>
      <c r="O675" s="300"/>
      <c r="P675" s="300"/>
      <c r="Q675" s="300"/>
      <c r="R675" s="300"/>
      <c r="S675" s="300"/>
      <c r="T675" s="300"/>
      <c r="U675" s="300"/>
      <c r="V675" s="300"/>
      <c r="W675" s="300"/>
      <c r="X675" s="300"/>
      <c r="Y675" s="300"/>
      <c r="Z675" s="300"/>
      <c r="AA675" s="301"/>
    </row>
    <row r="676" spans="1:27">
      <c r="A676" s="319"/>
      <c r="B676" s="351"/>
      <c r="C676" s="381"/>
      <c r="D676" s="369"/>
      <c r="E676" s="369"/>
      <c r="F676" s="300"/>
      <c r="G676" s="300"/>
      <c r="H676" s="300"/>
      <c r="I676" s="300"/>
      <c r="J676" s="300"/>
      <c r="K676" s="300"/>
      <c r="L676" s="300"/>
      <c r="M676" s="300"/>
      <c r="N676" s="300"/>
      <c r="O676" s="300"/>
      <c r="P676" s="300"/>
      <c r="Q676" s="300"/>
      <c r="R676" s="300"/>
      <c r="S676" s="300"/>
      <c r="T676" s="300"/>
      <c r="U676" s="300"/>
      <c r="V676" s="300"/>
      <c r="W676" s="300"/>
      <c r="X676" s="300"/>
      <c r="Y676" s="300"/>
      <c r="Z676" s="300"/>
      <c r="AA676" s="301"/>
    </row>
    <row r="677" spans="1:27">
      <c r="A677" s="319"/>
      <c r="B677" s="351"/>
      <c r="C677" s="381"/>
      <c r="D677" s="369"/>
      <c r="E677" s="369"/>
      <c r="F677" s="300"/>
      <c r="G677" s="300"/>
      <c r="H677" s="300"/>
      <c r="I677" s="300"/>
      <c r="J677" s="300"/>
      <c r="K677" s="300"/>
      <c r="L677" s="300"/>
      <c r="M677" s="300"/>
      <c r="N677" s="300"/>
      <c r="O677" s="300"/>
      <c r="P677" s="300"/>
      <c r="Q677" s="300"/>
      <c r="R677" s="300"/>
      <c r="S677" s="300"/>
      <c r="T677" s="300"/>
      <c r="U677" s="300"/>
      <c r="V677" s="300"/>
      <c r="W677" s="300"/>
      <c r="X677" s="300"/>
      <c r="Y677" s="300"/>
      <c r="Z677" s="300"/>
      <c r="AA677" s="301"/>
    </row>
    <row r="678" spans="1:27">
      <c r="A678" s="319"/>
      <c r="B678" s="351"/>
      <c r="C678" s="381"/>
      <c r="D678" s="369"/>
      <c r="E678" s="369"/>
      <c r="F678" s="300"/>
      <c r="G678" s="300"/>
      <c r="H678" s="300"/>
      <c r="I678" s="300"/>
      <c r="J678" s="300"/>
      <c r="K678" s="300"/>
      <c r="L678" s="300"/>
      <c r="M678" s="300"/>
      <c r="N678" s="300"/>
      <c r="O678" s="300"/>
      <c r="P678" s="300"/>
      <c r="Q678" s="300"/>
      <c r="R678" s="300"/>
      <c r="S678" s="300"/>
      <c r="T678" s="300"/>
      <c r="U678" s="300"/>
      <c r="V678" s="300"/>
      <c r="W678" s="300"/>
      <c r="X678" s="300"/>
      <c r="Y678" s="300"/>
      <c r="Z678" s="300"/>
      <c r="AA678" s="301"/>
    </row>
    <row r="679" spans="1:27">
      <c r="A679" s="319"/>
      <c r="B679" s="351"/>
      <c r="C679" s="381"/>
      <c r="D679" s="369"/>
      <c r="E679" s="369"/>
      <c r="F679" s="300"/>
      <c r="G679" s="300"/>
      <c r="H679" s="300"/>
      <c r="I679" s="300"/>
      <c r="J679" s="300"/>
      <c r="K679" s="300"/>
      <c r="L679" s="300"/>
      <c r="M679" s="300"/>
      <c r="N679" s="300"/>
      <c r="O679" s="300"/>
      <c r="P679" s="300"/>
      <c r="Q679" s="300"/>
      <c r="R679" s="300"/>
      <c r="S679" s="300"/>
      <c r="T679" s="300"/>
      <c r="U679" s="300"/>
      <c r="V679" s="300"/>
      <c r="W679" s="300"/>
      <c r="X679" s="300"/>
      <c r="Y679" s="300"/>
      <c r="Z679" s="300"/>
      <c r="AA679" s="301"/>
    </row>
    <row r="680" spans="1:27">
      <c r="A680" s="319"/>
      <c r="B680" s="351"/>
      <c r="C680" s="381"/>
      <c r="D680" s="369"/>
      <c r="E680" s="369"/>
      <c r="F680" s="300"/>
      <c r="G680" s="300"/>
      <c r="H680" s="300"/>
      <c r="I680" s="300"/>
      <c r="J680" s="300"/>
      <c r="K680" s="300"/>
      <c r="L680" s="300"/>
      <c r="M680" s="300"/>
      <c r="N680" s="300"/>
      <c r="O680" s="300"/>
      <c r="P680" s="300"/>
      <c r="Q680" s="300"/>
      <c r="R680" s="300"/>
      <c r="S680" s="300"/>
      <c r="T680" s="300"/>
      <c r="U680" s="300"/>
      <c r="V680" s="300"/>
      <c r="W680" s="300"/>
      <c r="X680" s="300"/>
      <c r="Y680" s="300"/>
      <c r="Z680" s="300"/>
      <c r="AA680" s="301"/>
    </row>
    <row r="681" spans="1:27">
      <c r="A681" s="319"/>
      <c r="B681" s="351"/>
      <c r="C681" s="381"/>
      <c r="D681" s="369"/>
      <c r="E681" s="369"/>
      <c r="F681" s="300"/>
      <c r="G681" s="300"/>
      <c r="H681" s="300"/>
      <c r="I681" s="300"/>
      <c r="J681" s="300"/>
      <c r="K681" s="300"/>
      <c r="L681" s="300"/>
      <c r="M681" s="300"/>
      <c r="N681" s="300"/>
      <c r="O681" s="300"/>
      <c r="P681" s="300"/>
      <c r="Q681" s="300"/>
      <c r="R681" s="300"/>
      <c r="S681" s="300"/>
      <c r="T681" s="300"/>
      <c r="U681" s="300"/>
      <c r="V681" s="300"/>
      <c r="W681" s="300"/>
      <c r="X681" s="300"/>
      <c r="Y681" s="300"/>
      <c r="Z681" s="300"/>
      <c r="AA681" s="301"/>
    </row>
    <row r="682" spans="1:27">
      <c r="A682" s="319"/>
      <c r="B682" s="351"/>
      <c r="C682" s="381"/>
      <c r="D682" s="369"/>
      <c r="E682" s="369"/>
      <c r="F682" s="300"/>
      <c r="G682" s="300"/>
      <c r="H682" s="300"/>
      <c r="I682" s="300"/>
      <c r="J682" s="300"/>
      <c r="K682" s="300"/>
      <c r="L682" s="300"/>
      <c r="M682" s="300"/>
      <c r="N682" s="300"/>
      <c r="O682" s="300"/>
      <c r="P682" s="300"/>
      <c r="Q682" s="300"/>
      <c r="R682" s="300"/>
      <c r="S682" s="300"/>
      <c r="T682" s="300"/>
      <c r="U682" s="300"/>
      <c r="V682" s="300"/>
      <c r="W682" s="300"/>
      <c r="X682" s="300"/>
      <c r="Y682" s="300"/>
      <c r="Z682" s="300"/>
      <c r="AA682" s="301"/>
    </row>
    <row r="683" spans="1:27">
      <c r="A683" s="319"/>
      <c r="B683" s="351"/>
      <c r="C683" s="381"/>
      <c r="D683" s="369"/>
      <c r="E683" s="369"/>
      <c r="F683" s="300"/>
      <c r="G683" s="300"/>
      <c r="H683" s="300"/>
      <c r="I683" s="300"/>
      <c r="J683" s="300"/>
      <c r="K683" s="300"/>
      <c r="L683" s="300"/>
      <c r="M683" s="300"/>
      <c r="N683" s="300"/>
      <c r="O683" s="300"/>
      <c r="P683" s="300"/>
      <c r="Q683" s="300"/>
      <c r="R683" s="300"/>
      <c r="S683" s="300"/>
      <c r="T683" s="300"/>
      <c r="U683" s="300"/>
      <c r="V683" s="300"/>
      <c r="W683" s="300"/>
      <c r="X683" s="300"/>
      <c r="Y683" s="300"/>
      <c r="Z683" s="300"/>
      <c r="AA683" s="301"/>
    </row>
    <row r="684" spans="1:27">
      <c r="A684" s="319"/>
      <c r="B684" s="351"/>
      <c r="C684" s="381"/>
      <c r="D684" s="369"/>
      <c r="E684" s="369"/>
      <c r="F684" s="300"/>
      <c r="G684" s="300"/>
      <c r="H684" s="300"/>
      <c r="I684" s="300"/>
      <c r="J684" s="300"/>
      <c r="K684" s="300"/>
      <c r="L684" s="300"/>
      <c r="M684" s="300"/>
      <c r="N684" s="300"/>
      <c r="O684" s="300"/>
      <c r="P684" s="300"/>
      <c r="Q684" s="300"/>
      <c r="R684" s="300"/>
      <c r="S684" s="300"/>
      <c r="T684" s="300"/>
      <c r="U684" s="300"/>
      <c r="V684" s="300"/>
      <c r="W684" s="300"/>
      <c r="X684" s="300"/>
      <c r="Y684" s="300"/>
      <c r="Z684" s="300"/>
      <c r="AA684" s="301"/>
    </row>
    <row r="685" spans="1:27">
      <c r="A685" s="319"/>
      <c r="B685" s="351"/>
      <c r="C685" s="381"/>
      <c r="D685" s="369"/>
      <c r="E685" s="369"/>
      <c r="F685" s="300"/>
      <c r="G685" s="300"/>
      <c r="H685" s="300"/>
      <c r="I685" s="300"/>
      <c r="J685" s="300"/>
      <c r="K685" s="300"/>
      <c r="L685" s="300"/>
      <c r="M685" s="300"/>
      <c r="N685" s="300"/>
      <c r="O685" s="300"/>
      <c r="P685" s="300"/>
      <c r="Q685" s="300"/>
      <c r="R685" s="300"/>
      <c r="S685" s="300"/>
      <c r="T685" s="300"/>
      <c r="U685" s="300"/>
      <c r="V685" s="300"/>
      <c r="W685" s="300"/>
      <c r="X685" s="300"/>
      <c r="Y685" s="300"/>
      <c r="Z685" s="300"/>
      <c r="AA685" s="301"/>
    </row>
    <row r="686" spans="1:27">
      <c r="A686" s="319"/>
      <c r="B686" s="351"/>
      <c r="C686" s="381"/>
      <c r="D686" s="369"/>
      <c r="E686" s="369"/>
      <c r="F686" s="300"/>
      <c r="G686" s="300"/>
      <c r="H686" s="300"/>
      <c r="I686" s="300"/>
      <c r="J686" s="300"/>
      <c r="K686" s="300"/>
      <c r="L686" s="300"/>
      <c r="M686" s="300"/>
      <c r="N686" s="300"/>
      <c r="O686" s="300"/>
      <c r="P686" s="300"/>
      <c r="Q686" s="300"/>
      <c r="R686" s="300"/>
      <c r="S686" s="300"/>
      <c r="T686" s="300"/>
      <c r="U686" s="300"/>
      <c r="V686" s="300"/>
      <c r="W686" s="300"/>
      <c r="X686" s="300"/>
      <c r="Y686" s="300"/>
      <c r="Z686" s="300"/>
      <c r="AA686" s="301"/>
    </row>
    <row r="687" spans="1:27">
      <c r="A687" s="319"/>
      <c r="B687" s="351"/>
      <c r="C687" s="381"/>
      <c r="D687" s="369"/>
      <c r="E687" s="369"/>
      <c r="F687" s="300"/>
      <c r="G687" s="300"/>
      <c r="H687" s="300"/>
      <c r="I687" s="300"/>
      <c r="J687" s="300"/>
      <c r="K687" s="300"/>
      <c r="L687" s="300"/>
      <c r="M687" s="300"/>
      <c r="N687" s="300"/>
      <c r="O687" s="300"/>
      <c r="P687" s="300"/>
      <c r="Q687" s="300"/>
      <c r="R687" s="300"/>
      <c r="S687" s="300"/>
      <c r="T687" s="300"/>
      <c r="U687" s="300"/>
      <c r="V687" s="300"/>
      <c r="W687" s="300"/>
      <c r="X687" s="300"/>
      <c r="Y687" s="300"/>
      <c r="Z687" s="300"/>
      <c r="AA687" s="301"/>
    </row>
    <row r="688" spans="1:27">
      <c r="A688" s="319"/>
      <c r="B688" s="351"/>
      <c r="C688" s="381"/>
      <c r="D688" s="369"/>
      <c r="E688" s="369"/>
      <c r="F688" s="300"/>
      <c r="G688" s="300"/>
      <c r="H688" s="300"/>
      <c r="I688" s="300"/>
      <c r="J688" s="300"/>
      <c r="K688" s="300"/>
      <c r="L688" s="300"/>
      <c r="M688" s="300"/>
      <c r="N688" s="300"/>
      <c r="O688" s="300"/>
      <c r="P688" s="300"/>
      <c r="Q688" s="300"/>
      <c r="R688" s="300"/>
      <c r="S688" s="300"/>
      <c r="T688" s="300"/>
      <c r="U688" s="300"/>
      <c r="V688" s="300"/>
      <c r="W688" s="300"/>
      <c r="X688" s="300"/>
      <c r="Y688" s="300"/>
      <c r="Z688" s="300"/>
      <c r="AA688" s="301"/>
    </row>
    <row r="689" spans="1:27">
      <c r="A689" s="319"/>
      <c r="B689" s="351"/>
      <c r="C689" s="381"/>
      <c r="D689" s="369"/>
      <c r="E689" s="369"/>
      <c r="F689" s="300"/>
      <c r="G689" s="300"/>
      <c r="H689" s="300"/>
      <c r="I689" s="300"/>
      <c r="J689" s="300"/>
      <c r="K689" s="300"/>
      <c r="L689" s="300"/>
      <c r="M689" s="300"/>
      <c r="N689" s="300"/>
      <c r="O689" s="300"/>
      <c r="P689" s="300"/>
      <c r="Q689" s="300"/>
      <c r="R689" s="300"/>
      <c r="S689" s="300"/>
      <c r="T689" s="300"/>
      <c r="U689" s="300"/>
      <c r="V689" s="300"/>
      <c r="W689" s="300"/>
      <c r="X689" s="300"/>
      <c r="Y689" s="300"/>
      <c r="Z689" s="300"/>
      <c r="AA689" s="301"/>
    </row>
    <row r="690" spans="1:27">
      <c r="A690" s="319"/>
      <c r="B690" s="351"/>
      <c r="C690" s="381"/>
      <c r="D690" s="369"/>
      <c r="E690" s="369"/>
      <c r="F690" s="300"/>
      <c r="G690" s="300"/>
      <c r="H690" s="300"/>
      <c r="I690" s="300"/>
      <c r="J690" s="300"/>
      <c r="K690" s="300"/>
      <c r="L690" s="300"/>
      <c r="M690" s="300"/>
      <c r="N690" s="300"/>
      <c r="O690" s="300"/>
      <c r="P690" s="300"/>
      <c r="Q690" s="300"/>
      <c r="R690" s="300"/>
      <c r="S690" s="300"/>
      <c r="T690" s="300"/>
      <c r="U690" s="300"/>
      <c r="V690" s="300"/>
      <c r="W690" s="300"/>
      <c r="X690" s="300"/>
      <c r="Y690" s="300"/>
      <c r="Z690" s="300"/>
      <c r="AA690" s="301"/>
    </row>
    <row r="691" spans="1:27">
      <c r="A691" s="319"/>
      <c r="B691" s="351"/>
      <c r="C691" s="381"/>
      <c r="D691" s="369"/>
      <c r="E691" s="369"/>
      <c r="F691" s="300"/>
      <c r="G691" s="300"/>
      <c r="H691" s="300"/>
      <c r="I691" s="300"/>
      <c r="J691" s="300"/>
      <c r="K691" s="300"/>
      <c r="L691" s="300"/>
      <c r="M691" s="300"/>
      <c r="N691" s="300"/>
      <c r="O691" s="300"/>
      <c r="P691" s="300"/>
      <c r="Q691" s="300"/>
      <c r="R691" s="300"/>
      <c r="S691" s="300"/>
      <c r="T691" s="300"/>
      <c r="U691" s="300"/>
      <c r="V691" s="300"/>
      <c r="W691" s="300"/>
      <c r="X691" s="300"/>
      <c r="Y691" s="300"/>
      <c r="Z691" s="300"/>
      <c r="AA691" s="301"/>
    </row>
    <row r="692" spans="1:27">
      <c r="A692" s="319"/>
      <c r="B692" s="351"/>
      <c r="C692" s="381"/>
      <c r="D692" s="369"/>
      <c r="E692" s="369"/>
      <c r="F692" s="300"/>
      <c r="G692" s="300"/>
      <c r="H692" s="300"/>
      <c r="I692" s="300"/>
      <c r="J692" s="300"/>
      <c r="K692" s="300"/>
      <c r="L692" s="300"/>
      <c r="M692" s="300"/>
      <c r="N692" s="300"/>
      <c r="O692" s="300"/>
      <c r="P692" s="300"/>
      <c r="Q692" s="300"/>
      <c r="R692" s="300"/>
      <c r="S692" s="300"/>
      <c r="T692" s="300"/>
      <c r="U692" s="300"/>
      <c r="V692" s="300"/>
      <c r="W692" s="300"/>
      <c r="X692" s="300"/>
      <c r="Y692" s="300"/>
      <c r="Z692" s="300"/>
      <c r="AA692" s="301"/>
    </row>
    <row r="693" spans="1:27">
      <c r="A693" s="319"/>
      <c r="B693" s="351"/>
      <c r="C693" s="381"/>
      <c r="D693" s="369"/>
      <c r="E693" s="369"/>
      <c r="F693" s="300"/>
      <c r="G693" s="300"/>
      <c r="H693" s="300"/>
      <c r="I693" s="300"/>
      <c r="J693" s="300"/>
      <c r="K693" s="300"/>
      <c r="L693" s="300"/>
      <c r="M693" s="300"/>
      <c r="N693" s="300"/>
      <c r="O693" s="300"/>
      <c r="P693" s="300"/>
      <c r="Q693" s="300"/>
      <c r="R693" s="300"/>
      <c r="S693" s="300"/>
      <c r="T693" s="300"/>
      <c r="U693" s="300"/>
      <c r="V693" s="300"/>
      <c r="W693" s="300"/>
      <c r="X693" s="300"/>
      <c r="Y693" s="300"/>
      <c r="Z693" s="300"/>
      <c r="AA693" s="301"/>
    </row>
    <row r="694" spans="1:27">
      <c r="A694" s="319"/>
      <c r="B694" s="351"/>
      <c r="C694" s="381"/>
      <c r="D694" s="369"/>
      <c r="E694" s="369"/>
      <c r="F694" s="300"/>
      <c r="G694" s="300"/>
      <c r="H694" s="300"/>
      <c r="I694" s="300"/>
      <c r="J694" s="300"/>
      <c r="K694" s="300"/>
      <c r="L694" s="300"/>
      <c r="M694" s="300"/>
      <c r="N694" s="300"/>
      <c r="O694" s="300"/>
      <c r="P694" s="300"/>
      <c r="Q694" s="300"/>
      <c r="R694" s="300"/>
      <c r="S694" s="300"/>
      <c r="T694" s="300"/>
      <c r="U694" s="300"/>
      <c r="V694" s="300"/>
      <c r="W694" s="300"/>
      <c r="X694" s="300"/>
      <c r="Y694" s="300"/>
      <c r="Z694" s="300"/>
      <c r="AA694" s="301"/>
    </row>
    <row r="695" spans="1:27">
      <c r="A695" s="319"/>
      <c r="B695" s="351"/>
      <c r="C695" s="381"/>
      <c r="D695" s="369"/>
      <c r="E695" s="369"/>
      <c r="F695" s="300"/>
      <c r="G695" s="300"/>
      <c r="H695" s="300"/>
      <c r="I695" s="300"/>
      <c r="J695" s="300"/>
      <c r="K695" s="300"/>
      <c r="L695" s="300"/>
      <c r="M695" s="300"/>
      <c r="N695" s="300"/>
      <c r="O695" s="300"/>
      <c r="P695" s="300"/>
      <c r="Q695" s="300"/>
      <c r="R695" s="300"/>
      <c r="S695" s="300"/>
      <c r="T695" s="300"/>
      <c r="U695" s="300"/>
      <c r="V695" s="300"/>
      <c r="W695" s="300"/>
      <c r="X695" s="300"/>
      <c r="Y695" s="300"/>
      <c r="Z695" s="300"/>
      <c r="AA695" s="301"/>
    </row>
    <row r="696" spans="1:27">
      <c r="A696" s="319"/>
      <c r="B696" s="351"/>
      <c r="C696" s="381"/>
      <c r="D696" s="369"/>
      <c r="E696" s="369"/>
      <c r="F696" s="300"/>
      <c r="G696" s="300"/>
      <c r="H696" s="300"/>
      <c r="I696" s="300"/>
      <c r="J696" s="300"/>
      <c r="K696" s="300"/>
      <c r="L696" s="300"/>
      <c r="M696" s="300"/>
      <c r="N696" s="300"/>
      <c r="O696" s="300"/>
      <c r="P696" s="300"/>
      <c r="Q696" s="300"/>
      <c r="R696" s="300"/>
      <c r="S696" s="300"/>
      <c r="T696" s="300"/>
      <c r="U696" s="300"/>
      <c r="V696" s="300"/>
      <c r="W696" s="300"/>
      <c r="X696" s="300"/>
      <c r="Y696" s="300"/>
      <c r="Z696" s="300"/>
      <c r="AA696" s="301"/>
    </row>
    <row r="697" spans="1:27">
      <c r="A697" s="319"/>
      <c r="B697" s="351"/>
      <c r="C697" s="381"/>
      <c r="D697" s="369"/>
      <c r="E697" s="369"/>
      <c r="F697" s="300"/>
      <c r="G697" s="300"/>
      <c r="H697" s="300"/>
      <c r="I697" s="300"/>
      <c r="J697" s="300"/>
      <c r="K697" s="300"/>
      <c r="L697" s="300"/>
      <c r="M697" s="300"/>
      <c r="N697" s="300"/>
      <c r="O697" s="300"/>
      <c r="P697" s="300"/>
      <c r="Q697" s="300"/>
      <c r="R697" s="300"/>
      <c r="S697" s="300"/>
      <c r="T697" s="300"/>
      <c r="U697" s="300"/>
      <c r="V697" s="300"/>
      <c r="W697" s="300"/>
      <c r="X697" s="300"/>
      <c r="Y697" s="300"/>
      <c r="Z697" s="300"/>
      <c r="AA697" s="301"/>
    </row>
    <row r="698" spans="1:27">
      <c r="A698" s="319"/>
      <c r="B698" s="351"/>
      <c r="C698" s="381"/>
      <c r="D698" s="369"/>
      <c r="E698" s="369"/>
      <c r="F698" s="300"/>
      <c r="G698" s="300"/>
      <c r="H698" s="300"/>
      <c r="I698" s="300"/>
      <c r="J698" s="300"/>
      <c r="K698" s="300"/>
      <c r="L698" s="300"/>
      <c r="M698" s="300"/>
      <c r="N698" s="300"/>
      <c r="O698" s="300"/>
      <c r="P698" s="300"/>
      <c r="Q698" s="300"/>
      <c r="R698" s="300"/>
      <c r="S698" s="300"/>
      <c r="T698" s="300"/>
      <c r="U698" s="300"/>
      <c r="V698" s="300"/>
      <c r="W698" s="300"/>
      <c r="X698" s="300"/>
      <c r="Y698" s="300"/>
      <c r="Z698" s="300"/>
      <c r="AA698" s="301"/>
    </row>
    <row r="699" spans="1:27">
      <c r="A699" s="319"/>
      <c r="B699" s="351"/>
      <c r="C699" s="381"/>
      <c r="D699" s="369"/>
      <c r="E699" s="369"/>
      <c r="F699" s="300"/>
      <c r="G699" s="300"/>
      <c r="H699" s="300"/>
      <c r="I699" s="300"/>
      <c r="J699" s="300"/>
      <c r="K699" s="300"/>
      <c r="L699" s="300"/>
      <c r="M699" s="300"/>
      <c r="N699" s="300"/>
      <c r="O699" s="300"/>
      <c r="P699" s="300"/>
      <c r="Q699" s="300"/>
      <c r="R699" s="300"/>
      <c r="S699" s="300"/>
      <c r="T699" s="300"/>
      <c r="U699" s="300"/>
      <c r="V699" s="300"/>
      <c r="W699" s="300"/>
      <c r="X699" s="300"/>
      <c r="Y699" s="300"/>
      <c r="Z699" s="300"/>
      <c r="AA699" s="301"/>
    </row>
    <row r="700" spans="1:27">
      <c r="A700" s="319"/>
      <c r="B700" s="351"/>
      <c r="C700" s="381"/>
      <c r="D700" s="369"/>
      <c r="E700" s="369"/>
      <c r="F700" s="300"/>
      <c r="G700" s="300"/>
      <c r="H700" s="300"/>
      <c r="I700" s="300"/>
      <c r="J700" s="300"/>
      <c r="K700" s="300"/>
      <c r="L700" s="300"/>
      <c r="M700" s="300"/>
      <c r="N700" s="300"/>
      <c r="O700" s="300"/>
      <c r="P700" s="300"/>
      <c r="Q700" s="300"/>
      <c r="R700" s="300"/>
      <c r="S700" s="300"/>
      <c r="T700" s="300"/>
      <c r="U700" s="300"/>
      <c r="V700" s="300"/>
      <c r="W700" s="300"/>
      <c r="X700" s="300"/>
      <c r="Y700" s="300"/>
      <c r="Z700" s="300"/>
      <c r="AA700" s="301"/>
    </row>
    <row r="701" spans="1:27">
      <c r="A701" s="319"/>
      <c r="B701" s="351"/>
      <c r="C701" s="381"/>
      <c r="D701" s="369"/>
      <c r="E701" s="369"/>
      <c r="F701" s="300"/>
      <c r="G701" s="300"/>
      <c r="H701" s="300"/>
      <c r="I701" s="300"/>
      <c r="J701" s="300"/>
      <c r="K701" s="300"/>
      <c r="L701" s="300"/>
      <c r="M701" s="300"/>
      <c r="N701" s="300"/>
      <c r="O701" s="300"/>
      <c r="P701" s="300"/>
      <c r="Q701" s="300"/>
      <c r="R701" s="300"/>
      <c r="S701" s="300"/>
      <c r="T701" s="300"/>
      <c r="U701" s="300"/>
      <c r="V701" s="300"/>
      <c r="W701" s="300"/>
      <c r="X701" s="300"/>
      <c r="Y701" s="300"/>
      <c r="Z701" s="300"/>
      <c r="AA701" s="301"/>
    </row>
    <row r="702" spans="1:27">
      <c r="A702" s="319"/>
      <c r="B702" s="351"/>
      <c r="C702" s="381"/>
      <c r="D702" s="369"/>
      <c r="E702" s="369"/>
      <c r="F702" s="300"/>
      <c r="G702" s="300"/>
      <c r="H702" s="300"/>
      <c r="I702" s="300"/>
      <c r="J702" s="300"/>
      <c r="K702" s="300"/>
      <c r="L702" s="300"/>
      <c r="M702" s="300"/>
      <c r="N702" s="300"/>
      <c r="O702" s="300"/>
      <c r="P702" s="300"/>
      <c r="Q702" s="300"/>
      <c r="R702" s="300"/>
      <c r="S702" s="300"/>
      <c r="T702" s="300"/>
      <c r="U702" s="300"/>
      <c r="V702" s="300"/>
      <c r="W702" s="300"/>
      <c r="X702" s="300"/>
      <c r="Y702" s="300"/>
      <c r="Z702" s="300"/>
      <c r="AA702" s="301"/>
    </row>
    <row r="703" spans="1:27">
      <c r="A703" s="319"/>
      <c r="B703" s="351"/>
      <c r="C703" s="381"/>
      <c r="D703" s="369"/>
      <c r="E703" s="369"/>
      <c r="F703" s="300"/>
      <c r="G703" s="300"/>
      <c r="H703" s="300"/>
      <c r="I703" s="300"/>
      <c r="J703" s="300"/>
      <c r="K703" s="300"/>
      <c r="L703" s="300"/>
      <c r="M703" s="300"/>
      <c r="N703" s="300"/>
      <c r="O703" s="300"/>
      <c r="P703" s="300"/>
      <c r="Q703" s="300"/>
      <c r="R703" s="300"/>
      <c r="S703" s="300"/>
      <c r="T703" s="300"/>
      <c r="U703" s="300"/>
      <c r="V703" s="300"/>
      <c r="W703" s="300"/>
      <c r="X703" s="300"/>
      <c r="Y703" s="300"/>
      <c r="Z703" s="300"/>
      <c r="AA703" s="301"/>
    </row>
    <row r="704" spans="1:27">
      <c r="A704" s="319"/>
      <c r="B704" s="351"/>
      <c r="C704" s="381"/>
      <c r="D704" s="369"/>
      <c r="E704" s="369"/>
      <c r="F704" s="300"/>
      <c r="G704" s="300"/>
      <c r="H704" s="300"/>
      <c r="I704" s="300"/>
      <c r="J704" s="300"/>
      <c r="K704" s="300"/>
      <c r="L704" s="300"/>
      <c r="M704" s="300"/>
      <c r="N704" s="300"/>
      <c r="O704" s="300"/>
      <c r="P704" s="300"/>
      <c r="Q704" s="300"/>
      <c r="R704" s="300"/>
      <c r="S704" s="300"/>
      <c r="T704" s="300"/>
      <c r="U704" s="300"/>
      <c r="V704" s="300"/>
      <c r="W704" s="300"/>
      <c r="X704" s="300"/>
      <c r="Y704" s="300"/>
      <c r="Z704" s="300"/>
      <c r="AA704" s="301"/>
    </row>
    <row r="705" spans="1:27">
      <c r="A705" s="319"/>
      <c r="B705" s="351"/>
      <c r="C705" s="381"/>
      <c r="D705" s="369"/>
      <c r="E705" s="369"/>
      <c r="F705" s="300"/>
      <c r="G705" s="300"/>
      <c r="H705" s="300"/>
      <c r="I705" s="300"/>
      <c r="J705" s="300"/>
      <c r="K705" s="300"/>
      <c r="L705" s="300"/>
      <c r="M705" s="300"/>
      <c r="N705" s="300"/>
      <c r="O705" s="300"/>
      <c r="P705" s="300"/>
      <c r="Q705" s="300"/>
      <c r="R705" s="300"/>
      <c r="S705" s="300"/>
      <c r="T705" s="300"/>
      <c r="U705" s="300"/>
      <c r="V705" s="300"/>
      <c r="W705" s="300"/>
      <c r="X705" s="300"/>
      <c r="Y705" s="300"/>
      <c r="Z705" s="300"/>
      <c r="AA705" s="301"/>
    </row>
    <row r="706" spans="1:27">
      <c r="A706" s="319"/>
      <c r="B706" s="351"/>
      <c r="C706" s="381"/>
      <c r="D706" s="369"/>
      <c r="E706" s="369"/>
      <c r="F706" s="300"/>
      <c r="G706" s="300"/>
      <c r="H706" s="300"/>
      <c r="I706" s="300"/>
      <c r="J706" s="300"/>
      <c r="K706" s="300"/>
      <c r="L706" s="300"/>
      <c r="M706" s="300"/>
      <c r="N706" s="300"/>
      <c r="O706" s="300"/>
      <c r="P706" s="300"/>
      <c r="Q706" s="300"/>
      <c r="R706" s="300"/>
      <c r="S706" s="300"/>
      <c r="T706" s="300"/>
      <c r="U706" s="300"/>
      <c r="V706" s="300"/>
      <c r="W706" s="300"/>
      <c r="X706" s="300"/>
      <c r="Y706" s="300"/>
      <c r="Z706" s="300"/>
      <c r="AA706" s="301"/>
    </row>
    <row r="707" spans="1:27">
      <c r="A707" s="319"/>
      <c r="B707" s="351"/>
      <c r="C707" s="381"/>
      <c r="D707" s="369"/>
      <c r="E707" s="369"/>
      <c r="F707" s="300"/>
      <c r="G707" s="300"/>
      <c r="H707" s="300"/>
      <c r="I707" s="300"/>
      <c r="J707" s="300"/>
      <c r="K707" s="300"/>
      <c r="L707" s="300"/>
      <c r="M707" s="300"/>
      <c r="N707" s="300"/>
      <c r="O707" s="300"/>
      <c r="P707" s="300"/>
      <c r="Q707" s="300"/>
      <c r="R707" s="300"/>
      <c r="S707" s="300"/>
      <c r="T707" s="300"/>
      <c r="U707" s="300"/>
      <c r="V707" s="300"/>
      <c r="W707" s="300"/>
      <c r="X707" s="300"/>
      <c r="Y707" s="300"/>
      <c r="Z707" s="300"/>
      <c r="AA707" s="301"/>
    </row>
    <row r="708" spans="1:27">
      <c r="A708" s="319"/>
      <c r="B708" s="351"/>
      <c r="C708" s="381"/>
      <c r="D708" s="369"/>
      <c r="E708" s="369"/>
      <c r="F708" s="300"/>
      <c r="G708" s="300"/>
      <c r="H708" s="300"/>
      <c r="I708" s="300"/>
      <c r="J708" s="300"/>
      <c r="K708" s="300"/>
      <c r="L708" s="300"/>
      <c r="M708" s="300"/>
      <c r="N708" s="300"/>
      <c r="O708" s="300"/>
      <c r="P708" s="300"/>
      <c r="Q708" s="300"/>
      <c r="R708" s="300"/>
      <c r="S708" s="300"/>
      <c r="T708" s="300"/>
      <c r="U708" s="300"/>
      <c r="V708" s="300"/>
      <c r="W708" s="300"/>
      <c r="X708" s="300"/>
      <c r="Y708" s="300"/>
      <c r="Z708" s="300"/>
      <c r="AA708" s="301"/>
    </row>
    <row r="709" spans="1:27">
      <c r="A709" s="319"/>
      <c r="B709" s="351"/>
      <c r="C709" s="381"/>
      <c r="D709" s="369"/>
      <c r="E709" s="369"/>
      <c r="F709" s="300"/>
      <c r="G709" s="300"/>
      <c r="H709" s="300"/>
      <c r="I709" s="300"/>
      <c r="J709" s="300"/>
      <c r="K709" s="300"/>
      <c r="L709" s="300"/>
      <c r="M709" s="300"/>
      <c r="N709" s="300"/>
      <c r="O709" s="300"/>
      <c r="P709" s="300"/>
      <c r="Q709" s="300"/>
      <c r="R709" s="300"/>
      <c r="S709" s="300"/>
      <c r="T709" s="300"/>
      <c r="U709" s="300"/>
      <c r="V709" s="300"/>
      <c r="W709" s="300"/>
      <c r="X709" s="300"/>
      <c r="Y709" s="300"/>
      <c r="Z709" s="300"/>
      <c r="AA709" s="301"/>
    </row>
    <row r="710" spans="1:27">
      <c r="A710" s="319"/>
      <c r="B710" s="351"/>
      <c r="C710" s="381"/>
      <c r="D710" s="369"/>
      <c r="E710" s="369"/>
      <c r="F710" s="300"/>
      <c r="G710" s="300"/>
      <c r="H710" s="300"/>
      <c r="I710" s="300"/>
      <c r="J710" s="300"/>
      <c r="K710" s="300"/>
      <c r="L710" s="300"/>
      <c r="M710" s="300"/>
      <c r="N710" s="300"/>
      <c r="O710" s="300"/>
      <c r="P710" s="300"/>
      <c r="Q710" s="300"/>
      <c r="R710" s="300"/>
      <c r="S710" s="300"/>
      <c r="T710" s="300"/>
      <c r="U710" s="300"/>
      <c r="V710" s="300"/>
      <c r="W710" s="300"/>
      <c r="X710" s="300"/>
      <c r="Y710" s="300"/>
      <c r="Z710" s="300"/>
      <c r="AA710" s="301"/>
    </row>
    <row r="711" spans="1:27">
      <c r="A711" s="319"/>
      <c r="B711" s="351"/>
      <c r="C711" s="381"/>
      <c r="D711" s="369"/>
      <c r="E711" s="369"/>
      <c r="F711" s="300"/>
      <c r="G711" s="300"/>
      <c r="H711" s="300"/>
      <c r="I711" s="300"/>
      <c r="J711" s="300"/>
      <c r="K711" s="300"/>
      <c r="L711" s="300"/>
      <c r="M711" s="300"/>
      <c r="N711" s="300"/>
      <c r="O711" s="300"/>
      <c r="P711" s="300"/>
      <c r="Q711" s="300"/>
      <c r="R711" s="300"/>
      <c r="S711" s="300"/>
      <c r="T711" s="300"/>
      <c r="U711" s="300"/>
      <c r="V711" s="300"/>
      <c r="W711" s="300"/>
      <c r="X711" s="300"/>
      <c r="Y711" s="300"/>
      <c r="Z711" s="300"/>
      <c r="AA711" s="301"/>
    </row>
    <row r="712" spans="1:27">
      <c r="A712" s="319"/>
      <c r="B712" s="351"/>
      <c r="C712" s="381"/>
      <c r="D712" s="369"/>
      <c r="E712" s="369"/>
      <c r="F712" s="300"/>
      <c r="G712" s="300"/>
      <c r="H712" s="300"/>
      <c r="I712" s="300"/>
      <c r="J712" s="300"/>
      <c r="K712" s="300"/>
      <c r="L712" s="300"/>
      <c r="M712" s="300"/>
      <c r="N712" s="300"/>
      <c r="O712" s="300"/>
      <c r="P712" s="300"/>
      <c r="Q712" s="300"/>
      <c r="R712" s="300"/>
      <c r="S712" s="300"/>
      <c r="T712" s="300"/>
      <c r="U712" s="300"/>
      <c r="V712" s="300"/>
      <c r="W712" s="300"/>
      <c r="X712" s="300"/>
      <c r="Y712" s="300"/>
      <c r="Z712" s="300"/>
      <c r="AA712" s="301"/>
    </row>
    <row r="713" spans="1:27">
      <c r="A713" s="319"/>
      <c r="B713" s="351"/>
      <c r="C713" s="381"/>
      <c r="D713" s="369"/>
      <c r="E713" s="369"/>
      <c r="F713" s="300"/>
      <c r="G713" s="300"/>
      <c r="H713" s="300"/>
      <c r="I713" s="300"/>
      <c r="J713" s="300"/>
      <c r="K713" s="300"/>
      <c r="L713" s="300"/>
      <c r="M713" s="300"/>
      <c r="N713" s="300"/>
      <c r="O713" s="300"/>
      <c r="P713" s="300"/>
      <c r="Q713" s="300"/>
      <c r="R713" s="300"/>
      <c r="S713" s="300"/>
      <c r="T713" s="300"/>
      <c r="U713" s="300"/>
      <c r="V713" s="300"/>
      <c r="W713" s="300"/>
      <c r="X713" s="300"/>
      <c r="Y713" s="300"/>
      <c r="Z713" s="300"/>
      <c r="AA713" s="301"/>
    </row>
    <row r="714" spans="1:27">
      <c r="A714" s="319"/>
      <c r="B714" s="351"/>
      <c r="C714" s="381"/>
      <c r="D714" s="369"/>
      <c r="E714" s="369"/>
      <c r="F714" s="300"/>
      <c r="G714" s="300"/>
      <c r="H714" s="300"/>
      <c r="I714" s="300"/>
      <c r="J714" s="300"/>
      <c r="K714" s="300"/>
      <c r="L714" s="300"/>
      <c r="M714" s="300"/>
      <c r="N714" s="300"/>
      <c r="O714" s="300"/>
      <c r="P714" s="300"/>
      <c r="Q714" s="300"/>
      <c r="R714" s="300"/>
      <c r="S714" s="300"/>
      <c r="T714" s="300"/>
      <c r="U714" s="300"/>
      <c r="V714" s="300"/>
      <c r="W714" s="300"/>
      <c r="X714" s="300"/>
      <c r="Y714" s="300"/>
      <c r="Z714" s="300"/>
      <c r="AA714" s="301"/>
    </row>
    <row r="715" spans="1:27">
      <c r="A715" s="319"/>
      <c r="B715" s="351"/>
      <c r="C715" s="381"/>
      <c r="D715" s="369"/>
      <c r="E715" s="369"/>
      <c r="F715" s="300"/>
      <c r="G715" s="300"/>
      <c r="H715" s="300"/>
      <c r="I715" s="300"/>
      <c r="J715" s="300"/>
      <c r="K715" s="300"/>
      <c r="L715" s="300"/>
      <c r="M715" s="300"/>
      <c r="N715" s="300"/>
      <c r="O715" s="300"/>
      <c r="P715" s="300"/>
      <c r="Q715" s="300"/>
      <c r="R715" s="300"/>
      <c r="S715" s="300"/>
      <c r="T715" s="300"/>
      <c r="U715" s="300"/>
      <c r="V715" s="300"/>
      <c r="W715" s="300"/>
      <c r="X715" s="300"/>
      <c r="Y715" s="300"/>
      <c r="Z715" s="300"/>
      <c r="AA715" s="301"/>
    </row>
    <row r="716" spans="1:27">
      <c r="A716" s="319"/>
      <c r="B716" s="351"/>
      <c r="C716" s="381"/>
      <c r="D716" s="369"/>
      <c r="E716" s="369"/>
      <c r="F716" s="300"/>
      <c r="G716" s="300"/>
      <c r="H716" s="300"/>
      <c r="I716" s="300"/>
      <c r="J716" s="300"/>
      <c r="K716" s="300"/>
      <c r="L716" s="300"/>
      <c r="M716" s="300"/>
      <c r="N716" s="300"/>
      <c r="O716" s="300"/>
      <c r="P716" s="300"/>
      <c r="Q716" s="300"/>
      <c r="R716" s="300"/>
      <c r="S716" s="300"/>
      <c r="T716" s="300"/>
      <c r="U716" s="300"/>
      <c r="V716" s="300"/>
      <c r="W716" s="300"/>
      <c r="X716" s="300"/>
      <c r="Y716" s="300"/>
      <c r="Z716" s="300"/>
      <c r="AA716" s="301"/>
    </row>
    <row r="717" spans="1:27">
      <c r="A717" s="319"/>
      <c r="B717" s="351"/>
      <c r="C717" s="381"/>
      <c r="D717" s="369"/>
      <c r="E717" s="369"/>
      <c r="F717" s="300"/>
      <c r="G717" s="300"/>
      <c r="H717" s="300"/>
      <c r="I717" s="300"/>
      <c r="J717" s="300"/>
      <c r="K717" s="300"/>
      <c r="L717" s="300"/>
      <c r="M717" s="300"/>
      <c r="N717" s="300"/>
      <c r="O717" s="300"/>
      <c r="P717" s="300"/>
      <c r="Q717" s="300"/>
      <c r="R717" s="300"/>
      <c r="S717" s="300"/>
      <c r="T717" s="300"/>
      <c r="U717" s="300"/>
      <c r="V717" s="300"/>
      <c r="W717" s="300"/>
      <c r="X717" s="300"/>
      <c r="Y717" s="300"/>
      <c r="Z717" s="300"/>
      <c r="AA717" s="301"/>
    </row>
    <row r="718" spans="1:27">
      <c r="A718" s="319"/>
      <c r="B718" s="351"/>
      <c r="C718" s="381"/>
      <c r="D718" s="369"/>
      <c r="E718" s="369"/>
      <c r="F718" s="300"/>
      <c r="G718" s="300"/>
      <c r="H718" s="300"/>
      <c r="I718" s="300"/>
      <c r="J718" s="300"/>
      <c r="K718" s="300"/>
      <c r="L718" s="300"/>
      <c r="M718" s="300"/>
      <c r="N718" s="300"/>
      <c r="O718" s="300"/>
      <c r="P718" s="300"/>
      <c r="Q718" s="300"/>
      <c r="R718" s="300"/>
      <c r="S718" s="300"/>
      <c r="T718" s="300"/>
      <c r="U718" s="300"/>
      <c r="V718" s="300"/>
      <c r="W718" s="300"/>
      <c r="X718" s="300"/>
      <c r="Y718" s="300"/>
      <c r="Z718" s="300"/>
      <c r="AA718" s="301"/>
    </row>
    <row r="719" spans="1:27">
      <c r="A719" s="319"/>
      <c r="B719" s="351"/>
      <c r="C719" s="381"/>
      <c r="D719" s="369"/>
      <c r="E719" s="369"/>
      <c r="F719" s="300"/>
      <c r="G719" s="300"/>
      <c r="H719" s="300"/>
      <c r="I719" s="300"/>
      <c r="J719" s="300"/>
      <c r="K719" s="300"/>
      <c r="L719" s="300"/>
      <c r="M719" s="300"/>
      <c r="N719" s="300"/>
      <c r="O719" s="300"/>
      <c r="P719" s="300"/>
      <c r="Q719" s="300"/>
      <c r="R719" s="300"/>
      <c r="S719" s="300"/>
      <c r="T719" s="300"/>
      <c r="U719" s="300"/>
      <c r="V719" s="300"/>
      <c r="W719" s="300"/>
      <c r="X719" s="300"/>
      <c r="Y719" s="300"/>
      <c r="Z719" s="300"/>
      <c r="AA719" s="301"/>
    </row>
    <row r="720" spans="1:27">
      <c r="A720" s="319"/>
      <c r="B720" s="351"/>
      <c r="C720" s="381"/>
      <c r="D720" s="369"/>
      <c r="E720" s="369"/>
      <c r="F720" s="300"/>
      <c r="G720" s="300"/>
      <c r="H720" s="300"/>
      <c r="I720" s="300"/>
      <c r="J720" s="300"/>
      <c r="K720" s="300"/>
      <c r="L720" s="300"/>
      <c r="M720" s="300"/>
      <c r="N720" s="300"/>
      <c r="O720" s="300"/>
      <c r="P720" s="300"/>
      <c r="Q720" s="300"/>
      <c r="R720" s="300"/>
      <c r="S720" s="300"/>
      <c r="T720" s="300"/>
      <c r="U720" s="300"/>
      <c r="V720" s="300"/>
      <c r="W720" s="300"/>
      <c r="X720" s="300"/>
      <c r="Y720" s="300"/>
      <c r="Z720" s="300"/>
      <c r="AA720" s="301"/>
    </row>
    <row r="721" spans="1:27">
      <c r="A721" s="319"/>
      <c r="B721" s="351"/>
      <c r="C721" s="381"/>
      <c r="D721" s="369"/>
      <c r="E721" s="369"/>
      <c r="F721" s="300"/>
      <c r="G721" s="300"/>
      <c r="H721" s="300"/>
      <c r="I721" s="300"/>
      <c r="J721" s="300"/>
      <c r="K721" s="300"/>
      <c r="L721" s="300"/>
      <c r="M721" s="300"/>
      <c r="N721" s="300"/>
      <c r="O721" s="300"/>
      <c r="P721" s="300"/>
      <c r="Q721" s="300"/>
      <c r="R721" s="300"/>
      <c r="S721" s="300"/>
      <c r="T721" s="300"/>
      <c r="U721" s="300"/>
      <c r="V721" s="300"/>
      <c r="W721" s="300"/>
      <c r="X721" s="300"/>
      <c r="Y721" s="300"/>
      <c r="Z721" s="300"/>
      <c r="AA721" s="301"/>
    </row>
    <row r="722" spans="1:27">
      <c r="A722" s="319"/>
      <c r="B722" s="351"/>
      <c r="C722" s="381"/>
      <c r="D722" s="369"/>
      <c r="E722" s="369"/>
      <c r="F722" s="300"/>
      <c r="G722" s="300"/>
      <c r="H722" s="300"/>
      <c r="I722" s="300"/>
      <c r="J722" s="300"/>
      <c r="K722" s="300"/>
      <c r="L722" s="300"/>
      <c r="M722" s="300"/>
      <c r="N722" s="300"/>
      <c r="O722" s="300"/>
      <c r="P722" s="300"/>
      <c r="Q722" s="300"/>
      <c r="R722" s="300"/>
      <c r="S722" s="300"/>
      <c r="T722" s="300"/>
      <c r="U722" s="300"/>
      <c r="V722" s="300"/>
      <c r="W722" s="300"/>
      <c r="X722" s="300"/>
      <c r="Y722" s="300"/>
      <c r="Z722" s="300"/>
      <c r="AA722" s="301"/>
    </row>
    <row r="723" spans="1:27">
      <c r="A723" s="319"/>
      <c r="B723" s="351"/>
      <c r="C723" s="381"/>
      <c r="D723" s="369"/>
      <c r="E723" s="369"/>
      <c r="F723" s="300"/>
      <c r="G723" s="300"/>
      <c r="H723" s="300"/>
      <c r="I723" s="300"/>
      <c r="J723" s="300"/>
      <c r="K723" s="300"/>
      <c r="L723" s="300"/>
      <c r="M723" s="300"/>
      <c r="N723" s="300"/>
      <c r="O723" s="300"/>
      <c r="P723" s="300"/>
      <c r="Q723" s="300"/>
      <c r="R723" s="300"/>
      <c r="S723" s="300"/>
      <c r="T723" s="300"/>
      <c r="U723" s="300"/>
      <c r="V723" s="300"/>
      <c r="W723" s="300"/>
      <c r="X723" s="300"/>
      <c r="Y723" s="300"/>
      <c r="Z723" s="300"/>
      <c r="AA723" s="301"/>
    </row>
    <row r="724" spans="1:27">
      <c r="A724" s="319"/>
      <c r="B724" s="351"/>
      <c r="C724" s="381"/>
      <c r="D724" s="369"/>
      <c r="E724" s="369"/>
      <c r="F724" s="300"/>
      <c r="G724" s="300"/>
      <c r="H724" s="300"/>
      <c r="I724" s="300"/>
      <c r="J724" s="300"/>
      <c r="K724" s="300"/>
      <c r="L724" s="300"/>
      <c r="M724" s="300"/>
      <c r="N724" s="300"/>
      <c r="O724" s="300"/>
      <c r="P724" s="300"/>
      <c r="Q724" s="300"/>
      <c r="R724" s="300"/>
      <c r="S724" s="300"/>
      <c r="T724" s="300"/>
      <c r="U724" s="300"/>
      <c r="V724" s="300"/>
      <c r="W724" s="300"/>
      <c r="X724" s="300"/>
      <c r="Y724" s="300"/>
      <c r="Z724" s="300"/>
      <c r="AA724" s="301"/>
    </row>
    <row r="725" spans="1:27">
      <c r="A725" s="319"/>
      <c r="B725" s="351"/>
      <c r="C725" s="381"/>
      <c r="D725" s="369"/>
      <c r="E725" s="369"/>
      <c r="F725" s="300"/>
      <c r="G725" s="300"/>
      <c r="H725" s="300"/>
      <c r="I725" s="300"/>
      <c r="J725" s="300"/>
      <c r="K725" s="300"/>
      <c r="L725" s="300"/>
      <c r="M725" s="300"/>
      <c r="N725" s="300"/>
      <c r="O725" s="300"/>
      <c r="P725" s="300"/>
      <c r="Q725" s="300"/>
      <c r="R725" s="300"/>
      <c r="S725" s="300"/>
      <c r="T725" s="300"/>
      <c r="U725" s="300"/>
      <c r="V725" s="300"/>
      <c r="W725" s="300"/>
      <c r="X725" s="300"/>
      <c r="Y725" s="300"/>
      <c r="Z725" s="300"/>
      <c r="AA725" s="301"/>
    </row>
    <row r="726" spans="1:27">
      <c r="A726" s="319"/>
      <c r="B726" s="351"/>
      <c r="C726" s="381"/>
      <c r="D726" s="369"/>
      <c r="E726" s="369"/>
      <c r="F726" s="300"/>
      <c r="G726" s="300"/>
      <c r="H726" s="300"/>
      <c r="I726" s="300"/>
      <c r="J726" s="300"/>
      <c r="K726" s="300"/>
      <c r="L726" s="300"/>
      <c r="M726" s="300"/>
      <c r="N726" s="300"/>
      <c r="O726" s="300"/>
      <c r="P726" s="300"/>
      <c r="Q726" s="300"/>
      <c r="R726" s="300"/>
      <c r="S726" s="300"/>
      <c r="T726" s="300"/>
      <c r="U726" s="300"/>
      <c r="V726" s="300"/>
      <c r="W726" s="300"/>
      <c r="X726" s="300"/>
      <c r="Y726" s="300"/>
      <c r="Z726" s="300"/>
      <c r="AA726" s="301"/>
    </row>
    <row r="727" spans="1:27">
      <c r="A727" s="319"/>
      <c r="B727" s="351"/>
      <c r="C727" s="381"/>
      <c r="D727" s="369"/>
      <c r="E727" s="369"/>
      <c r="F727" s="300"/>
      <c r="G727" s="300"/>
      <c r="H727" s="300"/>
      <c r="I727" s="300"/>
      <c r="J727" s="300"/>
      <c r="K727" s="300"/>
      <c r="L727" s="300"/>
      <c r="M727" s="300"/>
      <c r="N727" s="300"/>
      <c r="O727" s="300"/>
      <c r="P727" s="300"/>
      <c r="Q727" s="300"/>
      <c r="R727" s="300"/>
      <c r="S727" s="300"/>
      <c r="T727" s="300"/>
      <c r="U727" s="300"/>
      <c r="V727" s="300"/>
      <c r="W727" s="300"/>
      <c r="X727" s="300"/>
      <c r="Y727" s="300"/>
      <c r="Z727" s="300"/>
      <c r="AA727" s="301"/>
    </row>
    <row r="728" spans="1:27">
      <c r="A728" s="319"/>
      <c r="B728" s="351"/>
      <c r="C728" s="381"/>
      <c r="D728" s="369"/>
      <c r="E728" s="369"/>
      <c r="F728" s="300"/>
      <c r="G728" s="300"/>
      <c r="H728" s="300"/>
      <c r="I728" s="300"/>
      <c r="J728" s="300"/>
      <c r="K728" s="300"/>
      <c r="L728" s="300"/>
      <c r="M728" s="300"/>
      <c r="N728" s="300"/>
      <c r="O728" s="300"/>
      <c r="P728" s="300"/>
      <c r="Q728" s="300"/>
      <c r="R728" s="300"/>
      <c r="S728" s="300"/>
      <c r="T728" s="300"/>
      <c r="U728" s="300"/>
      <c r="V728" s="300"/>
      <c r="W728" s="300"/>
      <c r="X728" s="300"/>
      <c r="Y728" s="300"/>
      <c r="Z728" s="300"/>
      <c r="AA728" s="301"/>
    </row>
    <row r="729" spans="1:27">
      <c r="A729" s="319"/>
      <c r="B729" s="351"/>
      <c r="C729" s="381"/>
      <c r="D729" s="369"/>
      <c r="E729" s="369"/>
      <c r="F729" s="300"/>
      <c r="G729" s="300"/>
      <c r="H729" s="300"/>
      <c r="I729" s="300"/>
      <c r="J729" s="300"/>
      <c r="K729" s="300"/>
      <c r="L729" s="300"/>
      <c r="M729" s="300"/>
      <c r="N729" s="300"/>
      <c r="O729" s="300"/>
      <c r="P729" s="300"/>
      <c r="Q729" s="300"/>
      <c r="R729" s="300"/>
      <c r="S729" s="300"/>
      <c r="T729" s="300"/>
      <c r="U729" s="300"/>
      <c r="V729" s="300"/>
      <c r="W729" s="300"/>
      <c r="X729" s="300"/>
      <c r="Y729" s="300"/>
      <c r="Z729" s="300"/>
      <c r="AA729" s="301"/>
    </row>
    <row r="730" spans="1:27">
      <c r="A730" s="319"/>
      <c r="B730" s="351"/>
      <c r="C730" s="381"/>
      <c r="D730" s="369"/>
      <c r="E730" s="369"/>
      <c r="F730" s="300"/>
      <c r="G730" s="300"/>
      <c r="H730" s="300"/>
      <c r="I730" s="300"/>
      <c r="J730" s="300"/>
      <c r="K730" s="300"/>
      <c r="L730" s="300"/>
      <c r="M730" s="300"/>
      <c r="N730" s="300"/>
      <c r="O730" s="300"/>
      <c r="P730" s="300"/>
      <c r="Q730" s="300"/>
      <c r="R730" s="300"/>
      <c r="S730" s="300"/>
      <c r="T730" s="300"/>
      <c r="U730" s="300"/>
      <c r="V730" s="300"/>
      <c r="W730" s="300"/>
      <c r="X730" s="300"/>
      <c r="Y730" s="300"/>
      <c r="Z730" s="300"/>
      <c r="AA730" s="301"/>
    </row>
    <row r="731" spans="1:27">
      <c r="A731" s="319"/>
      <c r="B731" s="351"/>
      <c r="C731" s="381"/>
      <c r="D731" s="369"/>
      <c r="E731" s="369"/>
      <c r="F731" s="300"/>
      <c r="G731" s="300"/>
      <c r="H731" s="300"/>
      <c r="I731" s="300"/>
      <c r="J731" s="300"/>
      <c r="K731" s="300"/>
      <c r="L731" s="300"/>
      <c r="M731" s="300"/>
      <c r="N731" s="300"/>
      <c r="O731" s="300"/>
      <c r="P731" s="300"/>
      <c r="Q731" s="300"/>
      <c r="R731" s="300"/>
      <c r="S731" s="300"/>
      <c r="T731" s="300"/>
      <c r="U731" s="300"/>
      <c r="V731" s="300"/>
      <c r="W731" s="300"/>
      <c r="X731" s="300"/>
      <c r="Y731" s="300"/>
      <c r="Z731" s="300"/>
      <c r="AA731" s="301"/>
    </row>
    <row r="732" spans="1:27">
      <c r="A732" s="319"/>
      <c r="B732" s="351"/>
      <c r="C732" s="381"/>
      <c r="D732" s="369"/>
      <c r="E732" s="369"/>
      <c r="F732" s="300"/>
      <c r="G732" s="300"/>
      <c r="H732" s="300"/>
      <c r="I732" s="300"/>
      <c r="J732" s="300"/>
      <c r="K732" s="300"/>
      <c r="L732" s="300"/>
      <c r="M732" s="300"/>
      <c r="N732" s="300"/>
      <c r="O732" s="300"/>
      <c r="P732" s="300"/>
      <c r="Q732" s="300"/>
      <c r="R732" s="300"/>
      <c r="S732" s="300"/>
      <c r="T732" s="300"/>
      <c r="U732" s="300"/>
      <c r="V732" s="300"/>
      <c r="W732" s="300"/>
      <c r="X732" s="300"/>
      <c r="Y732" s="300"/>
      <c r="Z732" s="300"/>
      <c r="AA732" s="301"/>
    </row>
    <row r="733" spans="1:27">
      <c r="A733" s="319"/>
      <c r="B733" s="351"/>
      <c r="C733" s="381"/>
      <c r="D733" s="369"/>
      <c r="E733" s="369"/>
      <c r="F733" s="300"/>
      <c r="G733" s="300"/>
      <c r="H733" s="300"/>
      <c r="I733" s="300"/>
      <c r="J733" s="300"/>
      <c r="K733" s="300"/>
      <c r="L733" s="300"/>
      <c r="M733" s="300"/>
      <c r="N733" s="300"/>
      <c r="O733" s="300"/>
      <c r="P733" s="300"/>
      <c r="Q733" s="300"/>
      <c r="R733" s="300"/>
      <c r="S733" s="300"/>
      <c r="T733" s="300"/>
      <c r="U733" s="300"/>
      <c r="V733" s="300"/>
      <c r="W733" s="300"/>
      <c r="X733" s="300"/>
      <c r="Y733" s="300"/>
      <c r="Z733" s="300"/>
      <c r="AA733" s="301"/>
    </row>
    <row r="734" spans="1:27">
      <c r="A734" s="319"/>
      <c r="B734" s="351"/>
      <c r="C734" s="381"/>
      <c r="D734" s="369"/>
      <c r="E734" s="369"/>
      <c r="F734" s="300"/>
      <c r="G734" s="300"/>
      <c r="H734" s="300"/>
      <c r="I734" s="300"/>
      <c r="J734" s="300"/>
      <c r="K734" s="300"/>
      <c r="L734" s="300"/>
      <c r="M734" s="300"/>
      <c r="N734" s="300"/>
      <c r="O734" s="300"/>
      <c r="P734" s="300"/>
      <c r="Q734" s="300"/>
      <c r="R734" s="300"/>
      <c r="S734" s="300"/>
      <c r="T734" s="300"/>
      <c r="U734" s="300"/>
      <c r="V734" s="300"/>
      <c r="W734" s="300"/>
      <c r="X734" s="300"/>
      <c r="Y734" s="300"/>
      <c r="Z734" s="300"/>
      <c r="AA734" s="301"/>
    </row>
    <row r="735" spans="1:27">
      <c r="A735" s="319"/>
      <c r="B735" s="351"/>
      <c r="C735" s="381"/>
      <c r="D735" s="369"/>
      <c r="E735" s="369"/>
      <c r="F735" s="300"/>
      <c r="G735" s="300"/>
      <c r="H735" s="300"/>
      <c r="I735" s="300"/>
      <c r="J735" s="300"/>
      <c r="K735" s="300"/>
      <c r="L735" s="300"/>
      <c r="M735" s="300"/>
      <c r="N735" s="300"/>
      <c r="O735" s="300"/>
      <c r="P735" s="300"/>
      <c r="Q735" s="300"/>
      <c r="R735" s="300"/>
      <c r="S735" s="300"/>
      <c r="T735" s="300"/>
      <c r="U735" s="300"/>
      <c r="V735" s="300"/>
      <c r="W735" s="300"/>
      <c r="X735" s="300"/>
      <c r="Y735" s="300"/>
      <c r="Z735" s="300"/>
      <c r="AA735" s="301"/>
    </row>
    <row r="736" spans="1:27">
      <c r="A736" s="319"/>
      <c r="B736" s="351"/>
      <c r="C736" s="381"/>
      <c r="D736" s="369"/>
      <c r="E736" s="369"/>
      <c r="F736" s="300"/>
      <c r="G736" s="300"/>
      <c r="H736" s="300"/>
      <c r="I736" s="300"/>
      <c r="J736" s="300"/>
      <c r="K736" s="300"/>
      <c r="L736" s="300"/>
      <c r="M736" s="300"/>
      <c r="N736" s="300"/>
      <c r="O736" s="300"/>
      <c r="P736" s="300"/>
      <c r="Q736" s="300"/>
      <c r="R736" s="300"/>
      <c r="S736" s="300"/>
      <c r="T736" s="300"/>
      <c r="U736" s="300"/>
      <c r="V736" s="300"/>
      <c r="W736" s="300"/>
      <c r="X736" s="300"/>
      <c r="Y736" s="300"/>
      <c r="Z736" s="300"/>
      <c r="AA736" s="301"/>
    </row>
    <row r="737" spans="1:27">
      <c r="A737" s="319"/>
      <c r="B737" s="351"/>
      <c r="C737" s="381"/>
      <c r="D737" s="369"/>
      <c r="E737" s="369"/>
      <c r="F737" s="300"/>
      <c r="G737" s="300"/>
      <c r="H737" s="300"/>
      <c r="I737" s="300"/>
      <c r="J737" s="300"/>
      <c r="K737" s="300"/>
      <c r="L737" s="300"/>
      <c r="M737" s="300"/>
      <c r="N737" s="300"/>
      <c r="O737" s="300"/>
      <c r="P737" s="300"/>
      <c r="Q737" s="300"/>
      <c r="R737" s="300"/>
      <c r="S737" s="300"/>
      <c r="T737" s="300"/>
      <c r="U737" s="300"/>
      <c r="V737" s="300"/>
      <c r="W737" s="300"/>
      <c r="X737" s="300"/>
      <c r="Y737" s="300"/>
      <c r="Z737" s="300"/>
      <c r="AA737" s="301"/>
    </row>
    <row r="738" spans="1:27">
      <c r="A738" s="319"/>
      <c r="B738" s="351"/>
      <c r="C738" s="381"/>
      <c r="D738" s="369"/>
      <c r="E738" s="369"/>
      <c r="F738" s="300"/>
      <c r="G738" s="300"/>
      <c r="H738" s="300"/>
      <c r="I738" s="300"/>
      <c r="J738" s="300"/>
      <c r="K738" s="300"/>
      <c r="L738" s="300"/>
      <c r="M738" s="300"/>
      <c r="N738" s="300"/>
      <c r="O738" s="300"/>
      <c r="P738" s="300"/>
      <c r="Q738" s="300"/>
      <c r="R738" s="300"/>
      <c r="S738" s="300"/>
      <c r="T738" s="300"/>
      <c r="U738" s="300"/>
      <c r="V738" s="300"/>
      <c r="W738" s="300"/>
      <c r="X738" s="300"/>
      <c r="Y738" s="300"/>
      <c r="Z738" s="300"/>
      <c r="AA738" s="301"/>
    </row>
    <row r="739" spans="1:27">
      <c r="A739" s="319"/>
      <c r="B739" s="351"/>
      <c r="C739" s="381"/>
      <c r="D739" s="369"/>
      <c r="E739" s="369"/>
      <c r="F739" s="300"/>
      <c r="G739" s="300"/>
      <c r="H739" s="300"/>
      <c r="I739" s="300"/>
      <c r="J739" s="300"/>
      <c r="K739" s="300"/>
      <c r="L739" s="300"/>
      <c r="M739" s="300"/>
      <c r="N739" s="300"/>
      <c r="O739" s="300"/>
      <c r="P739" s="300"/>
      <c r="Q739" s="300"/>
      <c r="R739" s="300"/>
      <c r="S739" s="300"/>
      <c r="T739" s="300"/>
      <c r="U739" s="300"/>
      <c r="V739" s="300"/>
      <c r="W739" s="300"/>
      <c r="X739" s="300"/>
      <c r="Y739" s="300"/>
      <c r="Z739" s="300"/>
      <c r="AA739" s="301"/>
    </row>
    <row r="740" spans="1:27">
      <c r="A740" s="319"/>
      <c r="B740" s="351"/>
      <c r="C740" s="381"/>
      <c r="D740" s="369"/>
      <c r="E740" s="369"/>
      <c r="F740" s="300"/>
      <c r="G740" s="300"/>
      <c r="H740" s="300"/>
      <c r="I740" s="300"/>
      <c r="J740" s="300"/>
      <c r="K740" s="300"/>
      <c r="L740" s="300"/>
      <c r="M740" s="300"/>
      <c r="N740" s="300"/>
      <c r="O740" s="300"/>
      <c r="P740" s="300"/>
      <c r="Q740" s="300"/>
      <c r="R740" s="300"/>
      <c r="S740" s="300"/>
      <c r="T740" s="300"/>
      <c r="U740" s="300"/>
      <c r="V740" s="300"/>
      <c r="W740" s="300"/>
      <c r="X740" s="300"/>
      <c r="Y740" s="300"/>
      <c r="Z740" s="300"/>
      <c r="AA740" s="301"/>
    </row>
    <row r="741" spans="1:27">
      <c r="A741" s="319"/>
      <c r="B741" s="351"/>
      <c r="C741" s="381"/>
      <c r="D741" s="369"/>
      <c r="E741" s="369"/>
      <c r="F741" s="300"/>
      <c r="G741" s="300"/>
      <c r="H741" s="300"/>
      <c r="I741" s="300"/>
      <c r="J741" s="300"/>
      <c r="K741" s="300"/>
      <c r="L741" s="300"/>
      <c r="M741" s="300"/>
      <c r="N741" s="300"/>
      <c r="O741" s="300"/>
      <c r="P741" s="300"/>
      <c r="Q741" s="300"/>
      <c r="R741" s="300"/>
      <c r="S741" s="300"/>
      <c r="T741" s="300"/>
      <c r="U741" s="300"/>
      <c r="V741" s="300"/>
      <c r="W741" s="300"/>
      <c r="X741" s="300"/>
      <c r="Y741" s="300"/>
      <c r="Z741" s="300"/>
      <c r="AA741" s="301"/>
    </row>
    <row r="742" spans="1:27">
      <c r="A742" s="319"/>
      <c r="B742" s="351"/>
      <c r="C742" s="381"/>
      <c r="D742" s="369"/>
      <c r="E742" s="369"/>
      <c r="F742" s="300"/>
      <c r="G742" s="300"/>
      <c r="H742" s="300"/>
      <c r="I742" s="300"/>
      <c r="J742" s="300"/>
      <c r="K742" s="300"/>
      <c r="L742" s="300"/>
      <c r="M742" s="300"/>
      <c r="N742" s="300"/>
      <c r="O742" s="300"/>
      <c r="P742" s="300"/>
      <c r="Q742" s="300"/>
      <c r="R742" s="300"/>
      <c r="S742" s="300"/>
      <c r="T742" s="300"/>
      <c r="U742" s="300"/>
      <c r="V742" s="300"/>
      <c r="W742" s="300"/>
      <c r="X742" s="300"/>
      <c r="Y742" s="300"/>
      <c r="Z742" s="300"/>
      <c r="AA742" s="301"/>
    </row>
    <row r="743" spans="1:27">
      <c r="A743" s="319"/>
      <c r="B743" s="351"/>
      <c r="C743" s="381"/>
      <c r="D743" s="369"/>
      <c r="E743" s="369"/>
      <c r="F743" s="300"/>
      <c r="G743" s="300"/>
      <c r="H743" s="300"/>
      <c r="I743" s="300"/>
      <c r="J743" s="300"/>
      <c r="K743" s="300"/>
      <c r="L743" s="300"/>
      <c r="M743" s="300"/>
      <c r="N743" s="300"/>
      <c r="O743" s="300"/>
      <c r="P743" s="300"/>
      <c r="Q743" s="300"/>
      <c r="R743" s="300"/>
      <c r="S743" s="300"/>
      <c r="T743" s="300"/>
      <c r="U743" s="300"/>
      <c r="V743" s="300"/>
      <c r="W743" s="300"/>
      <c r="X743" s="300"/>
      <c r="Y743" s="300"/>
      <c r="Z743" s="300"/>
      <c r="AA743" s="301"/>
    </row>
    <row r="744" spans="1:27">
      <c r="A744" s="319"/>
      <c r="B744" s="351"/>
      <c r="C744" s="381"/>
      <c r="D744" s="369"/>
      <c r="E744" s="369"/>
      <c r="F744" s="300"/>
      <c r="G744" s="300"/>
      <c r="H744" s="300"/>
      <c r="I744" s="300"/>
      <c r="J744" s="300"/>
      <c r="K744" s="300"/>
      <c r="L744" s="300"/>
      <c r="M744" s="300"/>
      <c r="N744" s="300"/>
      <c r="O744" s="300"/>
      <c r="P744" s="300"/>
      <c r="Q744" s="300"/>
      <c r="R744" s="300"/>
      <c r="S744" s="300"/>
      <c r="T744" s="300"/>
      <c r="U744" s="300"/>
      <c r="V744" s="300"/>
      <c r="W744" s="300"/>
      <c r="X744" s="300"/>
      <c r="Y744" s="300"/>
      <c r="Z744" s="300"/>
      <c r="AA744" s="301"/>
    </row>
    <row r="745" spans="1:27">
      <c r="A745" s="319"/>
      <c r="B745" s="351"/>
      <c r="C745" s="381"/>
      <c r="D745" s="369"/>
      <c r="E745" s="369"/>
      <c r="F745" s="300"/>
      <c r="G745" s="300"/>
      <c r="H745" s="300"/>
      <c r="I745" s="300"/>
      <c r="J745" s="300"/>
      <c r="K745" s="300"/>
      <c r="L745" s="300"/>
      <c r="M745" s="300"/>
      <c r="N745" s="300"/>
      <c r="O745" s="300"/>
      <c r="P745" s="300"/>
      <c r="Q745" s="300"/>
      <c r="R745" s="300"/>
      <c r="S745" s="300"/>
      <c r="T745" s="300"/>
      <c r="U745" s="300"/>
      <c r="V745" s="300"/>
      <c r="W745" s="300"/>
      <c r="X745" s="300"/>
      <c r="Y745" s="300"/>
      <c r="Z745" s="300"/>
      <c r="AA745" s="301"/>
    </row>
    <row r="746" spans="1:27">
      <c r="A746" s="319"/>
      <c r="B746" s="351"/>
      <c r="C746" s="381"/>
      <c r="D746" s="369"/>
      <c r="E746" s="369"/>
      <c r="F746" s="300"/>
      <c r="G746" s="300"/>
      <c r="H746" s="300"/>
      <c r="I746" s="300"/>
      <c r="J746" s="300"/>
      <c r="K746" s="300"/>
      <c r="L746" s="300"/>
      <c r="M746" s="300"/>
      <c r="N746" s="300"/>
      <c r="O746" s="300"/>
      <c r="P746" s="300"/>
      <c r="Q746" s="300"/>
      <c r="R746" s="300"/>
      <c r="S746" s="300"/>
      <c r="T746" s="300"/>
      <c r="U746" s="300"/>
      <c r="V746" s="300"/>
      <c r="W746" s="300"/>
      <c r="X746" s="300"/>
      <c r="Y746" s="300"/>
      <c r="Z746" s="300"/>
      <c r="AA746" s="301"/>
    </row>
    <row r="747" spans="1:27">
      <c r="A747" s="319"/>
      <c r="B747" s="351"/>
      <c r="C747" s="381"/>
      <c r="D747" s="369"/>
      <c r="E747" s="369"/>
      <c r="F747" s="300"/>
      <c r="G747" s="300"/>
      <c r="H747" s="300"/>
      <c r="I747" s="300"/>
      <c r="J747" s="300"/>
      <c r="K747" s="300"/>
      <c r="L747" s="300"/>
      <c r="M747" s="300"/>
      <c r="N747" s="300"/>
      <c r="O747" s="300"/>
      <c r="P747" s="300"/>
      <c r="Q747" s="300"/>
      <c r="R747" s="300"/>
      <c r="S747" s="300"/>
      <c r="T747" s="300"/>
      <c r="U747" s="300"/>
      <c r="V747" s="300"/>
      <c r="W747" s="300"/>
      <c r="X747" s="300"/>
      <c r="Y747" s="300"/>
      <c r="Z747" s="300"/>
      <c r="AA747" s="301"/>
    </row>
    <row r="748" spans="1:27">
      <c r="A748" s="319"/>
      <c r="B748" s="351"/>
      <c r="C748" s="381"/>
      <c r="D748" s="369"/>
      <c r="E748" s="369"/>
      <c r="F748" s="300"/>
      <c r="G748" s="300"/>
      <c r="H748" s="300"/>
      <c r="I748" s="300"/>
      <c r="J748" s="300"/>
      <c r="K748" s="300"/>
      <c r="L748" s="300"/>
      <c r="M748" s="300"/>
      <c r="N748" s="300"/>
      <c r="O748" s="300"/>
      <c r="P748" s="300"/>
      <c r="Q748" s="300"/>
      <c r="R748" s="300"/>
      <c r="S748" s="300"/>
      <c r="T748" s="300"/>
      <c r="U748" s="300"/>
      <c r="V748" s="300"/>
      <c r="W748" s="300"/>
      <c r="X748" s="300"/>
      <c r="Y748" s="300"/>
      <c r="Z748" s="300"/>
      <c r="AA748" s="301"/>
    </row>
    <row r="749" spans="1:27">
      <c r="A749" s="319"/>
      <c r="B749" s="351"/>
      <c r="C749" s="381"/>
      <c r="D749" s="369"/>
      <c r="E749" s="369"/>
      <c r="F749" s="300"/>
      <c r="G749" s="300"/>
      <c r="H749" s="300"/>
      <c r="I749" s="300"/>
      <c r="J749" s="300"/>
      <c r="K749" s="300"/>
      <c r="L749" s="300"/>
      <c r="M749" s="300"/>
      <c r="N749" s="300"/>
      <c r="O749" s="300"/>
      <c r="P749" s="300"/>
      <c r="Q749" s="300"/>
      <c r="R749" s="300"/>
      <c r="S749" s="300"/>
      <c r="T749" s="300"/>
      <c r="U749" s="300"/>
      <c r="V749" s="300"/>
      <c r="W749" s="300"/>
      <c r="X749" s="300"/>
      <c r="Y749" s="300"/>
      <c r="Z749" s="300"/>
      <c r="AA749" s="301"/>
    </row>
    <row r="750" spans="1:27">
      <c r="A750" s="319"/>
      <c r="B750" s="351"/>
      <c r="C750" s="381"/>
      <c r="D750" s="369"/>
      <c r="E750" s="369"/>
      <c r="F750" s="300"/>
      <c r="G750" s="300"/>
      <c r="H750" s="300"/>
      <c r="I750" s="300"/>
      <c r="J750" s="300"/>
      <c r="K750" s="300"/>
      <c r="L750" s="300"/>
      <c r="M750" s="300"/>
      <c r="N750" s="300"/>
      <c r="O750" s="300"/>
      <c r="P750" s="300"/>
      <c r="Q750" s="300"/>
      <c r="R750" s="300"/>
      <c r="S750" s="300"/>
      <c r="T750" s="300"/>
      <c r="U750" s="300"/>
      <c r="V750" s="300"/>
      <c r="W750" s="300"/>
      <c r="X750" s="300"/>
      <c r="Y750" s="300"/>
      <c r="Z750" s="300"/>
      <c r="AA750" s="301"/>
    </row>
    <row r="751" spans="1:27">
      <c r="A751" s="319"/>
      <c r="B751" s="351"/>
      <c r="C751" s="381"/>
      <c r="D751" s="369"/>
      <c r="E751" s="369"/>
      <c r="F751" s="300"/>
      <c r="G751" s="300"/>
      <c r="H751" s="300"/>
      <c r="I751" s="300"/>
      <c r="J751" s="300"/>
      <c r="K751" s="300"/>
      <c r="L751" s="300"/>
      <c r="M751" s="300"/>
      <c r="N751" s="300"/>
      <c r="O751" s="300"/>
      <c r="P751" s="300"/>
      <c r="Q751" s="300"/>
      <c r="R751" s="300"/>
      <c r="S751" s="300"/>
      <c r="T751" s="300"/>
      <c r="U751" s="300"/>
      <c r="V751" s="300"/>
      <c r="W751" s="300"/>
      <c r="X751" s="300"/>
      <c r="Y751" s="300"/>
      <c r="Z751" s="300"/>
      <c r="AA751" s="301"/>
    </row>
    <row r="752" spans="1:27">
      <c r="A752" s="319"/>
      <c r="B752" s="351"/>
      <c r="C752" s="381"/>
      <c r="D752" s="369"/>
      <c r="E752" s="369"/>
      <c r="F752" s="300"/>
      <c r="G752" s="300"/>
      <c r="H752" s="300"/>
      <c r="I752" s="300"/>
      <c r="J752" s="300"/>
      <c r="K752" s="300"/>
      <c r="L752" s="300"/>
      <c r="M752" s="300"/>
      <c r="N752" s="300"/>
      <c r="O752" s="300"/>
      <c r="P752" s="300"/>
      <c r="Q752" s="300"/>
      <c r="R752" s="300"/>
      <c r="S752" s="300"/>
      <c r="T752" s="300"/>
      <c r="U752" s="300"/>
      <c r="V752" s="300"/>
      <c r="W752" s="300"/>
      <c r="X752" s="300"/>
      <c r="Y752" s="300"/>
      <c r="Z752" s="300"/>
      <c r="AA752" s="301"/>
    </row>
    <row r="753" spans="1:27">
      <c r="A753" s="319"/>
      <c r="B753" s="351"/>
      <c r="C753" s="381"/>
      <c r="D753" s="369"/>
      <c r="E753" s="369"/>
      <c r="F753" s="300"/>
      <c r="G753" s="300"/>
      <c r="H753" s="300"/>
      <c r="I753" s="300"/>
      <c r="J753" s="300"/>
      <c r="K753" s="300"/>
      <c r="L753" s="300"/>
      <c r="M753" s="300"/>
      <c r="N753" s="300"/>
      <c r="O753" s="300"/>
      <c r="P753" s="300"/>
      <c r="Q753" s="300"/>
      <c r="R753" s="300"/>
      <c r="S753" s="300"/>
      <c r="T753" s="300"/>
      <c r="U753" s="300"/>
      <c r="V753" s="300"/>
      <c r="W753" s="300"/>
      <c r="X753" s="300"/>
      <c r="Y753" s="300"/>
      <c r="Z753" s="300"/>
      <c r="AA753" s="301"/>
    </row>
    <row r="754" spans="1:27">
      <c r="A754" s="319"/>
      <c r="B754" s="351"/>
      <c r="C754" s="381"/>
      <c r="D754" s="369"/>
      <c r="E754" s="369"/>
      <c r="F754" s="300"/>
      <c r="G754" s="300"/>
      <c r="H754" s="300"/>
      <c r="I754" s="300"/>
      <c r="J754" s="300"/>
      <c r="K754" s="300"/>
      <c r="L754" s="300"/>
      <c r="M754" s="300"/>
      <c r="N754" s="300"/>
      <c r="O754" s="300"/>
      <c r="P754" s="300"/>
      <c r="Q754" s="300"/>
      <c r="R754" s="300"/>
      <c r="S754" s="300"/>
      <c r="T754" s="300"/>
      <c r="U754" s="300"/>
      <c r="V754" s="300"/>
      <c r="W754" s="300"/>
      <c r="X754" s="300"/>
      <c r="Y754" s="300"/>
      <c r="Z754" s="300"/>
      <c r="AA754" s="301"/>
    </row>
    <row r="755" spans="1:27">
      <c r="A755" s="319"/>
      <c r="B755" s="351"/>
      <c r="C755" s="381"/>
      <c r="D755" s="369"/>
      <c r="E755" s="369"/>
      <c r="F755" s="300"/>
      <c r="G755" s="300"/>
      <c r="H755" s="300"/>
      <c r="I755" s="300"/>
      <c r="J755" s="300"/>
      <c r="K755" s="300"/>
      <c r="L755" s="300"/>
      <c r="M755" s="300"/>
      <c r="N755" s="300"/>
      <c r="O755" s="300"/>
      <c r="P755" s="300"/>
      <c r="Q755" s="300"/>
      <c r="R755" s="300"/>
      <c r="S755" s="300"/>
      <c r="T755" s="300"/>
      <c r="U755" s="300"/>
      <c r="V755" s="300"/>
      <c r="W755" s="300"/>
      <c r="X755" s="300"/>
      <c r="Y755" s="300"/>
      <c r="Z755" s="300"/>
      <c r="AA755" s="301"/>
    </row>
    <row r="756" spans="1:27">
      <c r="A756" s="319"/>
      <c r="B756" s="351"/>
      <c r="C756" s="381"/>
      <c r="D756" s="369"/>
      <c r="E756" s="369"/>
      <c r="F756" s="300"/>
      <c r="G756" s="300"/>
      <c r="H756" s="300"/>
      <c r="I756" s="300"/>
      <c r="J756" s="300"/>
      <c r="K756" s="300"/>
      <c r="L756" s="300"/>
      <c r="M756" s="300"/>
      <c r="N756" s="300"/>
      <c r="O756" s="300"/>
      <c r="P756" s="300"/>
      <c r="Q756" s="300"/>
      <c r="R756" s="300"/>
      <c r="S756" s="300"/>
      <c r="T756" s="300"/>
      <c r="U756" s="300"/>
      <c r="V756" s="300"/>
      <c r="W756" s="300"/>
      <c r="X756" s="300"/>
      <c r="Y756" s="300"/>
      <c r="Z756" s="300"/>
      <c r="AA756" s="301"/>
    </row>
    <row r="757" spans="1:27">
      <c r="A757" s="319"/>
      <c r="B757" s="351"/>
      <c r="C757" s="381"/>
      <c r="D757" s="369"/>
      <c r="E757" s="369"/>
      <c r="F757" s="300"/>
      <c r="G757" s="300"/>
      <c r="H757" s="300"/>
      <c r="I757" s="300"/>
      <c r="J757" s="300"/>
      <c r="K757" s="300"/>
      <c r="L757" s="300"/>
      <c r="M757" s="300"/>
      <c r="N757" s="300"/>
      <c r="O757" s="300"/>
      <c r="P757" s="300"/>
      <c r="Q757" s="300"/>
      <c r="R757" s="300"/>
      <c r="S757" s="300"/>
      <c r="T757" s="300"/>
      <c r="U757" s="300"/>
      <c r="V757" s="300"/>
      <c r="W757" s="300"/>
      <c r="X757" s="300"/>
      <c r="Y757" s="300"/>
      <c r="Z757" s="300"/>
      <c r="AA757" s="301"/>
    </row>
    <row r="758" spans="1:27">
      <c r="A758" s="319"/>
      <c r="B758" s="351"/>
      <c r="C758" s="381"/>
      <c r="D758" s="369"/>
      <c r="E758" s="369"/>
      <c r="F758" s="300"/>
      <c r="G758" s="300"/>
      <c r="H758" s="300"/>
      <c r="I758" s="300"/>
      <c r="J758" s="300"/>
      <c r="K758" s="300"/>
      <c r="L758" s="300"/>
      <c r="M758" s="300"/>
      <c r="N758" s="300"/>
      <c r="O758" s="300"/>
      <c r="P758" s="300"/>
      <c r="Q758" s="300"/>
      <c r="R758" s="300"/>
      <c r="S758" s="300"/>
      <c r="T758" s="300"/>
      <c r="U758" s="300"/>
      <c r="V758" s="300"/>
      <c r="W758" s="300"/>
      <c r="X758" s="300"/>
      <c r="Y758" s="300"/>
      <c r="Z758" s="300"/>
      <c r="AA758" s="301"/>
    </row>
    <row r="759" spans="1:27">
      <c r="A759" s="319"/>
      <c r="B759" s="351"/>
      <c r="C759" s="381"/>
      <c r="D759" s="369"/>
      <c r="E759" s="369"/>
      <c r="F759" s="300"/>
      <c r="G759" s="300"/>
      <c r="H759" s="300"/>
      <c r="I759" s="300"/>
      <c r="J759" s="300"/>
      <c r="K759" s="300"/>
      <c r="L759" s="300"/>
      <c r="M759" s="300"/>
      <c r="N759" s="300"/>
      <c r="O759" s="300"/>
      <c r="P759" s="300"/>
      <c r="Q759" s="300"/>
      <c r="R759" s="300"/>
      <c r="S759" s="300"/>
      <c r="T759" s="300"/>
      <c r="U759" s="300"/>
      <c r="V759" s="300"/>
      <c r="W759" s="300"/>
      <c r="X759" s="300"/>
      <c r="Y759" s="300"/>
      <c r="Z759" s="300"/>
      <c r="AA759" s="301"/>
    </row>
    <row r="760" spans="1:27">
      <c r="A760" s="319"/>
      <c r="B760" s="351"/>
      <c r="C760" s="381"/>
      <c r="D760" s="369"/>
      <c r="E760" s="369"/>
      <c r="F760" s="300"/>
      <c r="G760" s="300"/>
      <c r="H760" s="300"/>
      <c r="I760" s="300"/>
      <c r="J760" s="300"/>
      <c r="K760" s="300"/>
      <c r="L760" s="300"/>
      <c r="M760" s="300"/>
      <c r="N760" s="300"/>
      <c r="O760" s="300"/>
      <c r="P760" s="300"/>
      <c r="Q760" s="300"/>
      <c r="R760" s="300"/>
      <c r="S760" s="300"/>
      <c r="T760" s="300"/>
      <c r="U760" s="300"/>
      <c r="V760" s="300"/>
      <c r="W760" s="300"/>
      <c r="X760" s="300"/>
      <c r="Y760" s="300"/>
      <c r="Z760" s="300"/>
      <c r="AA760" s="301"/>
    </row>
    <row r="761" spans="1:27">
      <c r="A761" s="319"/>
      <c r="B761" s="351"/>
      <c r="C761" s="381"/>
      <c r="D761" s="369"/>
      <c r="E761" s="369"/>
      <c r="F761" s="300"/>
      <c r="G761" s="300"/>
      <c r="H761" s="300"/>
      <c r="I761" s="300"/>
      <c r="J761" s="300"/>
      <c r="K761" s="300"/>
      <c r="L761" s="300"/>
      <c r="M761" s="300"/>
      <c r="N761" s="300"/>
      <c r="O761" s="300"/>
      <c r="P761" s="300"/>
      <c r="Q761" s="300"/>
      <c r="R761" s="300"/>
      <c r="S761" s="300"/>
      <c r="T761" s="300"/>
      <c r="U761" s="300"/>
      <c r="V761" s="300"/>
      <c r="W761" s="300"/>
      <c r="X761" s="300"/>
      <c r="Y761" s="300"/>
      <c r="Z761" s="300"/>
      <c r="AA761" s="301"/>
    </row>
    <row r="762" spans="1:27">
      <c r="A762" s="319"/>
      <c r="B762" s="351"/>
      <c r="C762" s="381"/>
      <c r="D762" s="369"/>
      <c r="E762" s="369"/>
      <c r="F762" s="300"/>
      <c r="G762" s="300"/>
      <c r="H762" s="300"/>
      <c r="I762" s="300"/>
      <c r="J762" s="300"/>
      <c r="K762" s="300"/>
      <c r="L762" s="300"/>
      <c r="M762" s="300"/>
      <c r="N762" s="300"/>
      <c r="O762" s="300"/>
      <c r="P762" s="300"/>
      <c r="Q762" s="300"/>
      <c r="R762" s="300"/>
      <c r="S762" s="300"/>
      <c r="T762" s="300"/>
      <c r="U762" s="300"/>
      <c r="V762" s="300"/>
      <c r="W762" s="300"/>
      <c r="X762" s="300"/>
      <c r="Y762" s="300"/>
      <c r="Z762" s="300"/>
      <c r="AA762" s="301"/>
    </row>
    <row r="763" spans="1:27">
      <c r="A763" s="319"/>
      <c r="B763" s="351"/>
      <c r="C763" s="381"/>
      <c r="D763" s="369"/>
      <c r="E763" s="369"/>
      <c r="F763" s="300"/>
      <c r="G763" s="300"/>
      <c r="H763" s="300"/>
      <c r="I763" s="300"/>
      <c r="J763" s="300"/>
      <c r="K763" s="300"/>
      <c r="L763" s="300"/>
      <c r="M763" s="300"/>
      <c r="N763" s="300"/>
      <c r="O763" s="300"/>
      <c r="P763" s="300"/>
      <c r="Q763" s="300"/>
      <c r="R763" s="300"/>
      <c r="S763" s="300"/>
      <c r="T763" s="300"/>
      <c r="U763" s="300"/>
      <c r="V763" s="300"/>
      <c r="W763" s="300"/>
      <c r="X763" s="300"/>
      <c r="Y763" s="300"/>
      <c r="Z763" s="300"/>
      <c r="AA763" s="301"/>
    </row>
    <row r="764" spans="1:27">
      <c r="A764" s="319"/>
      <c r="B764" s="351"/>
      <c r="C764" s="381"/>
      <c r="D764" s="369"/>
      <c r="E764" s="369"/>
      <c r="F764" s="300"/>
      <c r="G764" s="300"/>
      <c r="H764" s="300"/>
      <c r="I764" s="300"/>
      <c r="J764" s="300"/>
      <c r="K764" s="300"/>
      <c r="L764" s="300"/>
      <c r="M764" s="300"/>
      <c r="N764" s="300"/>
      <c r="O764" s="300"/>
      <c r="P764" s="300"/>
      <c r="Q764" s="300"/>
      <c r="R764" s="300"/>
      <c r="S764" s="300"/>
      <c r="T764" s="300"/>
      <c r="U764" s="300"/>
      <c r="V764" s="300"/>
      <c r="W764" s="300"/>
      <c r="X764" s="300"/>
      <c r="Y764" s="300"/>
      <c r="Z764" s="300"/>
      <c r="AA764" s="301"/>
    </row>
    <row r="765" spans="1:27">
      <c r="A765" s="319"/>
      <c r="B765" s="351"/>
      <c r="C765" s="381"/>
      <c r="D765" s="369"/>
      <c r="E765" s="369"/>
      <c r="F765" s="300"/>
      <c r="G765" s="300"/>
      <c r="H765" s="300"/>
      <c r="I765" s="300"/>
      <c r="J765" s="300"/>
      <c r="K765" s="300"/>
      <c r="L765" s="300"/>
      <c r="M765" s="300"/>
      <c r="N765" s="300"/>
      <c r="O765" s="300"/>
      <c r="P765" s="300"/>
      <c r="Q765" s="300"/>
      <c r="R765" s="300"/>
      <c r="S765" s="300"/>
      <c r="T765" s="300"/>
      <c r="U765" s="300"/>
      <c r="V765" s="300"/>
      <c r="W765" s="300"/>
      <c r="X765" s="300"/>
      <c r="Y765" s="300"/>
      <c r="Z765" s="300"/>
      <c r="AA765" s="301"/>
    </row>
    <row r="766" spans="1:27">
      <c r="A766" s="319"/>
      <c r="B766" s="351"/>
      <c r="C766" s="381"/>
      <c r="D766" s="369"/>
      <c r="E766" s="369"/>
      <c r="F766" s="300"/>
      <c r="G766" s="300"/>
      <c r="H766" s="300"/>
      <c r="I766" s="300"/>
      <c r="J766" s="300"/>
      <c r="K766" s="300"/>
      <c r="L766" s="300"/>
      <c r="M766" s="300"/>
      <c r="N766" s="300"/>
      <c r="O766" s="300"/>
      <c r="P766" s="300"/>
      <c r="Q766" s="300"/>
      <c r="R766" s="300"/>
      <c r="S766" s="300"/>
      <c r="T766" s="300"/>
      <c r="U766" s="300"/>
      <c r="V766" s="300"/>
      <c r="W766" s="300"/>
      <c r="X766" s="300"/>
      <c r="Y766" s="300"/>
      <c r="Z766" s="300"/>
      <c r="AA766" s="301"/>
    </row>
    <row r="767" spans="1:27">
      <c r="A767" s="319"/>
      <c r="B767" s="351"/>
      <c r="C767" s="381"/>
      <c r="D767" s="369"/>
      <c r="E767" s="369"/>
      <c r="F767" s="300"/>
      <c r="G767" s="300"/>
      <c r="H767" s="300"/>
      <c r="I767" s="300"/>
      <c r="J767" s="300"/>
      <c r="K767" s="300"/>
      <c r="L767" s="300"/>
      <c r="M767" s="300"/>
      <c r="N767" s="300"/>
      <c r="O767" s="300"/>
      <c r="P767" s="300"/>
      <c r="Q767" s="300"/>
      <c r="R767" s="300"/>
      <c r="S767" s="300"/>
      <c r="T767" s="300"/>
      <c r="U767" s="300"/>
      <c r="V767" s="300"/>
      <c r="W767" s="300"/>
      <c r="X767" s="300"/>
      <c r="Y767" s="300"/>
      <c r="Z767" s="300"/>
      <c r="AA767" s="301"/>
    </row>
    <row r="768" spans="1:27">
      <c r="A768" s="319"/>
      <c r="B768" s="351"/>
      <c r="C768" s="381"/>
      <c r="D768" s="369"/>
      <c r="E768" s="369"/>
      <c r="F768" s="300"/>
      <c r="G768" s="300"/>
      <c r="H768" s="300"/>
      <c r="I768" s="300"/>
      <c r="J768" s="300"/>
      <c r="K768" s="300"/>
      <c r="L768" s="300"/>
      <c r="M768" s="300"/>
      <c r="N768" s="300"/>
      <c r="O768" s="300"/>
      <c r="P768" s="300"/>
      <c r="Q768" s="300"/>
      <c r="R768" s="300"/>
      <c r="S768" s="300"/>
      <c r="T768" s="300"/>
      <c r="U768" s="300"/>
      <c r="V768" s="300"/>
      <c r="W768" s="300"/>
      <c r="X768" s="300"/>
      <c r="Y768" s="300"/>
      <c r="Z768" s="300"/>
      <c r="AA768" s="301"/>
    </row>
    <row r="769" spans="1:27">
      <c r="A769" s="319"/>
      <c r="B769" s="351"/>
      <c r="C769" s="381"/>
      <c r="D769" s="369"/>
      <c r="E769" s="369"/>
      <c r="F769" s="300"/>
      <c r="G769" s="300"/>
      <c r="H769" s="300"/>
      <c r="I769" s="300"/>
      <c r="J769" s="300"/>
      <c r="K769" s="300"/>
      <c r="L769" s="300"/>
      <c r="M769" s="300"/>
      <c r="N769" s="300"/>
      <c r="O769" s="300"/>
      <c r="P769" s="300"/>
      <c r="Q769" s="300"/>
      <c r="R769" s="300"/>
      <c r="S769" s="300"/>
      <c r="T769" s="300"/>
      <c r="U769" s="300"/>
      <c r="V769" s="300"/>
      <c r="W769" s="300"/>
      <c r="X769" s="300"/>
      <c r="Y769" s="300"/>
      <c r="Z769" s="300"/>
      <c r="AA769" s="301"/>
    </row>
    <row r="770" spans="1:27">
      <c r="A770" s="319"/>
      <c r="B770" s="351"/>
      <c r="C770" s="381"/>
      <c r="D770" s="369"/>
      <c r="E770" s="369"/>
      <c r="F770" s="300"/>
      <c r="G770" s="300"/>
      <c r="H770" s="300"/>
      <c r="I770" s="300"/>
      <c r="J770" s="300"/>
      <c r="K770" s="300"/>
      <c r="L770" s="300"/>
      <c r="M770" s="300"/>
      <c r="N770" s="300"/>
      <c r="O770" s="300"/>
      <c r="P770" s="300"/>
      <c r="Q770" s="300"/>
      <c r="R770" s="300"/>
      <c r="S770" s="300"/>
      <c r="T770" s="300"/>
      <c r="U770" s="300"/>
      <c r="V770" s="300"/>
      <c r="W770" s="300"/>
      <c r="X770" s="300"/>
      <c r="Y770" s="300"/>
      <c r="Z770" s="300"/>
      <c r="AA770" s="301"/>
    </row>
    <row r="771" spans="1:27">
      <c r="A771" s="319"/>
      <c r="B771" s="351"/>
      <c r="C771" s="381"/>
      <c r="D771" s="369"/>
      <c r="E771" s="369"/>
      <c r="F771" s="300"/>
      <c r="G771" s="300"/>
      <c r="H771" s="300"/>
      <c r="I771" s="300"/>
      <c r="J771" s="300"/>
      <c r="K771" s="300"/>
      <c r="L771" s="300"/>
      <c r="M771" s="300"/>
      <c r="N771" s="300"/>
      <c r="O771" s="300"/>
      <c r="P771" s="300"/>
      <c r="Q771" s="300"/>
      <c r="R771" s="300"/>
      <c r="S771" s="300"/>
      <c r="T771" s="300"/>
      <c r="U771" s="300"/>
      <c r="V771" s="300"/>
      <c r="W771" s="300"/>
      <c r="X771" s="300"/>
      <c r="Y771" s="300"/>
      <c r="Z771" s="300"/>
      <c r="AA771" s="301"/>
    </row>
    <row r="772" spans="1:27">
      <c r="A772" s="319"/>
      <c r="B772" s="351"/>
      <c r="C772" s="381"/>
      <c r="D772" s="369"/>
      <c r="E772" s="369"/>
      <c r="F772" s="300"/>
      <c r="G772" s="300"/>
      <c r="H772" s="300"/>
      <c r="I772" s="300"/>
      <c r="J772" s="300"/>
      <c r="K772" s="300"/>
      <c r="L772" s="300"/>
      <c r="M772" s="300"/>
      <c r="N772" s="300"/>
      <c r="O772" s="300"/>
      <c r="P772" s="300"/>
      <c r="Q772" s="300"/>
      <c r="R772" s="300"/>
      <c r="S772" s="300"/>
      <c r="T772" s="300"/>
      <c r="U772" s="300"/>
      <c r="V772" s="300"/>
      <c r="W772" s="300"/>
      <c r="X772" s="300"/>
      <c r="Y772" s="300"/>
      <c r="Z772" s="300"/>
      <c r="AA772" s="301"/>
    </row>
    <row r="773" spans="1:27">
      <c r="A773" s="319"/>
      <c r="B773" s="351"/>
      <c r="C773" s="381"/>
      <c r="D773" s="369"/>
      <c r="E773" s="369"/>
      <c r="F773" s="300"/>
      <c r="G773" s="300"/>
      <c r="H773" s="300"/>
      <c r="I773" s="300"/>
      <c r="J773" s="300"/>
      <c r="K773" s="300"/>
      <c r="L773" s="300"/>
      <c r="M773" s="300"/>
      <c r="N773" s="300"/>
      <c r="O773" s="300"/>
      <c r="P773" s="300"/>
      <c r="Q773" s="300"/>
      <c r="R773" s="300"/>
      <c r="S773" s="300"/>
      <c r="T773" s="300"/>
      <c r="U773" s="300"/>
      <c r="V773" s="300"/>
      <c r="W773" s="300"/>
      <c r="X773" s="300"/>
      <c r="Y773" s="300"/>
      <c r="Z773" s="300"/>
      <c r="AA773" s="301"/>
    </row>
    <row r="774" spans="1:27">
      <c r="A774" s="319"/>
      <c r="B774" s="351"/>
      <c r="C774" s="381"/>
      <c r="D774" s="369"/>
      <c r="E774" s="369"/>
      <c r="F774" s="300"/>
      <c r="G774" s="300"/>
      <c r="H774" s="300"/>
      <c r="I774" s="300"/>
      <c r="J774" s="300"/>
      <c r="K774" s="300"/>
      <c r="L774" s="300"/>
      <c r="M774" s="300"/>
      <c r="N774" s="300"/>
      <c r="O774" s="300"/>
      <c r="P774" s="300"/>
      <c r="Q774" s="300"/>
      <c r="R774" s="300"/>
      <c r="S774" s="300"/>
      <c r="T774" s="300"/>
      <c r="U774" s="300"/>
      <c r="V774" s="300"/>
      <c r="W774" s="300"/>
      <c r="X774" s="300"/>
      <c r="Y774" s="300"/>
      <c r="Z774" s="300"/>
      <c r="AA774" s="301"/>
    </row>
    <row r="775" spans="1:27">
      <c r="A775" s="319"/>
      <c r="B775" s="351"/>
      <c r="C775" s="381"/>
      <c r="D775" s="369"/>
      <c r="E775" s="369"/>
      <c r="F775" s="300"/>
      <c r="G775" s="300"/>
      <c r="H775" s="300"/>
      <c r="I775" s="300"/>
      <c r="J775" s="300"/>
      <c r="K775" s="300"/>
      <c r="L775" s="300"/>
      <c r="M775" s="300"/>
      <c r="N775" s="300"/>
      <c r="O775" s="300"/>
      <c r="P775" s="300"/>
      <c r="Q775" s="300"/>
      <c r="R775" s="300"/>
      <c r="S775" s="300"/>
      <c r="T775" s="300"/>
      <c r="U775" s="300"/>
      <c r="V775" s="300"/>
      <c r="W775" s="300"/>
      <c r="X775" s="300"/>
      <c r="Y775" s="300"/>
      <c r="Z775" s="300"/>
      <c r="AA775" s="301"/>
    </row>
    <row r="776" spans="1:27">
      <c r="A776" s="319"/>
      <c r="B776" s="351"/>
      <c r="C776" s="381"/>
      <c r="D776" s="369"/>
      <c r="E776" s="369"/>
      <c r="F776" s="300"/>
      <c r="G776" s="300"/>
      <c r="H776" s="300"/>
      <c r="I776" s="300"/>
      <c r="J776" s="300"/>
      <c r="K776" s="300"/>
      <c r="L776" s="300"/>
      <c r="M776" s="300"/>
      <c r="N776" s="300"/>
      <c r="O776" s="300"/>
      <c r="P776" s="300"/>
      <c r="Q776" s="300"/>
      <c r="R776" s="300"/>
      <c r="S776" s="300"/>
      <c r="T776" s="300"/>
      <c r="U776" s="300"/>
      <c r="V776" s="300"/>
      <c r="W776" s="300"/>
      <c r="X776" s="300"/>
      <c r="Y776" s="300"/>
      <c r="Z776" s="300"/>
      <c r="AA776" s="301"/>
    </row>
    <row r="777" spans="1:27">
      <c r="A777" s="319"/>
      <c r="B777" s="351"/>
      <c r="C777" s="381"/>
      <c r="D777" s="369"/>
      <c r="E777" s="369"/>
      <c r="F777" s="300"/>
      <c r="G777" s="300"/>
      <c r="H777" s="300"/>
      <c r="I777" s="300"/>
      <c r="J777" s="300"/>
      <c r="K777" s="300"/>
      <c r="L777" s="300"/>
      <c r="M777" s="300"/>
      <c r="N777" s="300"/>
      <c r="O777" s="300"/>
      <c r="P777" s="300"/>
      <c r="Q777" s="300"/>
      <c r="R777" s="300"/>
      <c r="S777" s="300"/>
      <c r="T777" s="300"/>
      <c r="U777" s="300"/>
      <c r="V777" s="300"/>
      <c r="W777" s="300"/>
      <c r="X777" s="300"/>
      <c r="Y777" s="300"/>
      <c r="Z777" s="300"/>
      <c r="AA777" s="301"/>
    </row>
    <row r="778" spans="1:27">
      <c r="A778" s="319"/>
      <c r="B778" s="351"/>
      <c r="C778" s="381"/>
      <c r="D778" s="369"/>
      <c r="E778" s="369"/>
      <c r="F778" s="300"/>
      <c r="G778" s="300"/>
      <c r="H778" s="300"/>
      <c r="I778" s="300"/>
      <c r="J778" s="300"/>
      <c r="K778" s="300"/>
      <c r="L778" s="300"/>
      <c r="M778" s="300"/>
      <c r="N778" s="300"/>
      <c r="O778" s="300"/>
      <c r="P778" s="300"/>
      <c r="Q778" s="300"/>
      <c r="R778" s="300"/>
      <c r="S778" s="300"/>
      <c r="T778" s="300"/>
      <c r="U778" s="300"/>
      <c r="V778" s="300"/>
      <c r="W778" s="300"/>
      <c r="X778" s="300"/>
      <c r="Y778" s="300"/>
      <c r="Z778" s="300"/>
      <c r="AA778" s="301"/>
    </row>
    <row r="779" spans="1:27">
      <c r="A779" s="319"/>
      <c r="B779" s="351"/>
      <c r="C779" s="381"/>
      <c r="D779" s="369"/>
      <c r="E779" s="369"/>
      <c r="F779" s="300"/>
      <c r="G779" s="300"/>
      <c r="H779" s="300"/>
      <c r="I779" s="300"/>
      <c r="J779" s="300"/>
      <c r="K779" s="300"/>
      <c r="L779" s="300"/>
      <c r="M779" s="300"/>
      <c r="N779" s="300"/>
      <c r="O779" s="300"/>
      <c r="P779" s="300"/>
      <c r="Q779" s="300"/>
      <c r="R779" s="300"/>
      <c r="S779" s="300"/>
      <c r="T779" s="300"/>
      <c r="U779" s="300"/>
      <c r="V779" s="300"/>
      <c r="W779" s="300"/>
      <c r="X779" s="300"/>
      <c r="Y779" s="300"/>
      <c r="Z779" s="300"/>
      <c r="AA779" s="301"/>
    </row>
    <row r="780" spans="1:27">
      <c r="A780" s="319"/>
      <c r="B780" s="351"/>
      <c r="C780" s="381"/>
      <c r="D780" s="369"/>
      <c r="E780" s="369"/>
      <c r="F780" s="300"/>
      <c r="G780" s="300"/>
      <c r="H780" s="300"/>
      <c r="I780" s="300"/>
      <c r="J780" s="300"/>
      <c r="K780" s="300"/>
      <c r="L780" s="300"/>
      <c r="M780" s="300"/>
      <c r="N780" s="300"/>
      <c r="O780" s="300"/>
      <c r="P780" s="300"/>
      <c r="Q780" s="300"/>
      <c r="R780" s="300"/>
      <c r="S780" s="300"/>
      <c r="T780" s="300"/>
      <c r="U780" s="300"/>
      <c r="V780" s="300"/>
      <c r="W780" s="300"/>
      <c r="X780" s="300"/>
      <c r="Y780" s="300"/>
      <c r="Z780" s="300"/>
      <c r="AA780" s="301"/>
    </row>
    <row r="781" spans="1:27">
      <c r="A781" s="319"/>
      <c r="B781" s="351"/>
      <c r="C781" s="381"/>
      <c r="D781" s="369"/>
      <c r="E781" s="369"/>
      <c r="F781" s="300"/>
      <c r="G781" s="300"/>
      <c r="H781" s="300"/>
      <c r="I781" s="300"/>
      <c r="J781" s="300"/>
      <c r="K781" s="300"/>
      <c r="L781" s="300"/>
      <c r="M781" s="300"/>
      <c r="N781" s="300"/>
      <c r="O781" s="300"/>
      <c r="P781" s="300"/>
      <c r="Q781" s="300"/>
      <c r="R781" s="300"/>
      <c r="S781" s="300"/>
      <c r="T781" s="300"/>
      <c r="U781" s="300"/>
      <c r="V781" s="300"/>
      <c r="W781" s="300"/>
      <c r="X781" s="300"/>
      <c r="Y781" s="300"/>
      <c r="Z781" s="300"/>
      <c r="AA781" s="301"/>
    </row>
    <row r="782" spans="1:27">
      <c r="A782" s="319"/>
      <c r="B782" s="351"/>
      <c r="C782" s="381"/>
      <c r="D782" s="369"/>
      <c r="E782" s="369"/>
      <c r="F782" s="300"/>
      <c r="G782" s="300"/>
      <c r="H782" s="300"/>
      <c r="I782" s="300"/>
      <c r="J782" s="300"/>
      <c r="K782" s="300"/>
      <c r="L782" s="300"/>
      <c r="M782" s="300"/>
      <c r="N782" s="300"/>
      <c r="O782" s="300"/>
      <c r="P782" s="300"/>
      <c r="Q782" s="300"/>
      <c r="R782" s="300"/>
      <c r="S782" s="300"/>
      <c r="T782" s="300"/>
      <c r="U782" s="300"/>
      <c r="V782" s="300"/>
      <c r="W782" s="300"/>
      <c r="X782" s="300"/>
      <c r="Y782" s="300"/>
      <c r="Z782" s="300"/>
      <c r="AA782" s="301"/>
    </row>
    <row r="783" spans="1:27">
      <c r="A783" s="319"/>
      <c r="B783" s="351"/>
      <c r="C783" s="381"/>
      <c r="D783" s="369"/>
      <c r="E783" s="369"/>
      <c r="F783" s="300"/>
      <c r="G783" s="300"/>
      <c r="H783" s="300"/>
      <c r="I783" s="300"/>
      <c r="J783" s="300"/>
      <c r="K783" s="300"/>
      <c r="L783" s="300"/>
      <c r="M783" s="300"/>
      <c r="N783" s="300"/>
      <c r="O783" s="300"/>
      <c r="P783" s="300"/>
      <c r="Q783" s="300"/>
      <c r="R783" s="300"/>
      <c r="S783" s="300"/>
      <c r="T783" s="300"/>
      <c r="U783" s="300"/>
      <c r="V783" s="300"/>
      <c r="W783" s="300"/>
      <c r="X783" s="300"/>
      <c r="Y783" s="300"/>
      <c r="Z783" s="300"/>
      <c r="AA783" s="301"/>
    </row>
    <row r="784" spans="1:27">
      <c r="A784" s="319"/>
      <c r="B784" s="351"/>
      <c r="C784" s="381"/>
      <c r="D784" s="369"/>
      <c r="E784" s="369"/>
      <c r="F784" s="300"/>
      <c r="G784" s="300"/>
      <c r="H784" s="300"/>
      <c r="I784" s="300"/>
      <c r="J784" s="300"/>
      <c r="K784" s="300"/>
      <c r="L784" s="300"/>
      <c r="M784" s="300"/>
      <c r="N784" s="300"/>
      <c r="O784" s="300"/>
      <c r="P784" s="300"/>
      <c r="Q784" s="300"/>
      <c r="R784" s="300"/>
      <c r="S784" s="300"/>
      <c r="T784" s="300"/>
      <c r="U784" s="300"/>
      <c r="V784" s="300"/>
      <c r="W784" s="300"/>
      <c r="X784" s="300"/>
      <c r="Y784" s="300"/>
      <c r="Z784" s="300"/>
      <c r="AA784" s="301"/>
    </row>
    <row r="785" spans="1:27">
      <c r="A785" s="319"/>
      <c r="B785" s="351"/>
      <c r="C785" s="381"/>
      <c r="D785" s="369"/>
      <c r="E785" s="369"/>
      <c r="F785" s="300"/>
      <c r="G785" s="300"/>
      <c r="H785" s="300"/>
      <c r="I785" s="300"/>
      <c r="J785" s="300"/>
      <c r="K785" s="300"/>
      <c r="L785" s="300"/>
      <c r="M785" s="300"/>
      <c r="N785" s="300"/>
      <c r="O785" s="300"/>
      <c r="P785" s="300"/>
      <c r="Q785" s="300"/>
      <c r="R785" s="300"/>
      <c r="S785" s="300"/>
      <c r="T785" s="300"/>
      <c r="U785" s="300"/>
      <c r="V785" s="300"/>
      <c r="W785" s="300"/>
      <c r="X785" s="300"/>
      <c r="Y785" s="300"/>
      <c r="Z785" s="300"/>
      <c r="AA785" s="301"/>
    </row>
    <row r="786" spans="1:27">
      <c r="A786" s="319"/>
      <c r="B786" s="351"/>
      <c r="C786" s="381"/>
      <c r="D786" s="369"/>
      <c r="E786" s="369"/>
      <c r="F786" s="300"/>
      <c r="G786" s="300"/>
      <c r="H786" s="300"/>
      <c r="I786" s="300"/>
      <c r="J786" s="300"/>
      <c r="K786" s="300"/>
      <c r="L786" s="300"/>
      <c r="M786" s="300"/>
      <c r="N786" s="300"/>
      <c r="O786" s="300"/>
      <c r="P786" s="300"/>
      <c r="Q786" s="300"/>
      <c r="R786" s="300"/>
      <c r="S786" s="300"/>
      <c r="T786" s="300"/>
      <c r="U786" s="300"/>
      <c r="V786" s="300"/>
      <c r="W786" s="300"/>
      <c r="X786" s="300"/>
      <c r="Y786" s="300"/>
      <c r="Z786" s="300"/>
      <c r="AA786" s="301"/>
    </row>
    <row r="787" spans="1:27">
      <c r="A787" s="319"/>
      <c r="B787" s="351"/>
      <c r="C787" s="381"/>
      <c r="D787" s="369"/>
      <c r="E787" s="369"/>
      <c r="F787" s="300"/>
      <c r="G787" s="300"/>
      <c r="H787" s="300"/>
      <c r="I787" s="300"/>
      <c r="J787" s="300"/>
      <c r="K787" s="300"/>
      <c r="L787" s="300"/>
      <c r="M787" s="300"/>
      <c r="N787" s="300"/>
      <c r="O787" s="300"/>
      <c r="P787" s="300"/>
      <c r="Q787" s="300"/>
      <c r="R787" s="300"/>
      <c r="S787" s="300"/>
      <c r="T787" s="300"/>
      <c r="U787" s="300"/>
      <c r="V787" s="300"/>
      <c r="W787" s="300"/>
      <c r="X787" s="300"/>
      <c r="Y787" s="300"/>
      <c r="Z787" s="300"/>
      <c r="AA787" s="301"/>
    </row>
    <row r="788" spans="1:27">
      <c r="A788" s="319"/>
      <c r="B788" s="351"/>
      <c r="C788" s="381"/>
      <c r="D788" s="369"/>
      <c r="E788" s="369"/>
      <c r="F788" s="300"/>
      <c r="G788" s="300"/>
      <c r="H788" s="300"/>
      <c r="I788" s="300"/>
      <c r="J788" s="300"/>
      <c r="K788" s="300"/>
      <c r="L788" s="300"/>
      <c r="M788" s="300"/>
      <c r="N788" s="300"/>
      <c r="O788" s="300"/>
      <c r="P788" s="300"/>
      <c r="Q788" s="300"/>
      <c r="R788" s="300"/>
      <c r="S788" s="300"/>
      <c r="T788" s="300"/>
      <c r="U788" s="300"/>
      <c r="V788" s="300"/>
      <c r="W788" s="300"/>
      <c r="X788" s="300"/>
      <c r="Y788" s="300"/>
      <c r="Z788" s="300"/>
      <c r="AA788" s="301"/>
    </row>
    <row r="789" spans="1:27">
      <c r="A789" s="319"/>
      <c r="B789" s="351"/>
      <c r="C789" s="381"/>
      <c r="D789" s="369"/>
      <c r="E789" s="369"/>
      <c r="F789" s="300"/>
      <c r="G789" s="300"/>
      <c r="H789" s="300"/>
      <c r="I789" s="300"/>
      <c r="J789" s="300"/>
      <c r="K789" s="300"/>
      <c r="L789" s="300"/>
      <c r="M789" s="300"/>
      <c r="N789" s="300"/>
      <c r="O789" s="300"/>
      <c r="P789" s="300"/>
      <c r="Q789" s="300"/>
      <c r="R789" s="300"/>
      <c r="S789" s="300"/>
      <c r="T789" s="300"/>
      <c r="U789" s="300"/>
      <c r="V789" s="300"/>
      <c r="W789" s="300"/>
      <c r="X789" s="300"/>
      <c r="Y789" s="300"/>
      <c r="Z789" s="300"/>
      <c r="AA789" s="301"/>
    </row>
    <row r="790" spans="1:27">
      <c r="A790" s="319"/>
      <c r="B790" s="351"/>
      <c r="C790" s="381"/>
      <c r="D790" s="369"/>
      <c r="E790" s="369"/>
      <c r="F790" s="300"/>
      <c r="G790" s="300"/>
      <c r="H790" s="300"/>
      <c r="I790" s="300"/>
      <c r="J790" s="300"/>
      <c r="K790" s="300"/>
      <c r="L790" s="300"/>
      <c r="M790" s="300"/>
      <c r="N790" s="300"/>
      <c r="O790" s="300"/>
      <c r="P790" s="300"/>
      <c r="Q790" s="300"/>
      <c r="R790" s="300"/>
      <c r="S790" s="300"/>
      <c r="T790" s="300"/>
      <c r="U790" s="300"/>
      <c r="V790" s="300"/>
      <c r="W790" s="300"/>
      <c r="X790" s="300"/>
      <c r="Y790" s="300"/>
      <c r="Z790" s="300"/>
      <c r="AA790" s="301"/>
    </row>
    <row r="791" spans="1:27">
      <c r="A791" s="319"/>
      <c r="B791" s="351"/>
      <c r="C791" s="381"/>
      <c r="D791" s="369"/>
      <c r="E791" s="369"/>
      <c r="F791" s="300"/>
      <c r="G791" s="300"/>
      <c r="H791" s="300"/>
      <c r="I791" s="300"/>
      <c r="J791" s="300"/>
      <c r="K791" s="300"/>
      <c r="L791" s="300"/>
      <c r="M791" s="300"/>
      <c r="N791" s="300"/>
      <c r="O791" s="300"/>
      <c r="P791" s="300"/>
      <c r="Q791" s="300"/>
      <c r="R791" s="300"/>
      <c r="S791" s="300"/>
      <c r="T791" s="300"/>
      <c r="U791" s="300"/>
      <c r="V791" s="300"/>
      <c r="W791" s="300"/>
      <c r="X791" s="300"/>
      <c r="Y791" s="300"/>
      <c r="Z791" s="300"/>
      <c r="AA791" s="301"/>
    </row>
    <row r="792" spans="1:27">
      <c r="A792" s="319"/>
      <c r="B792" s="351"/>
      <c r="C792" s="381"/>
      <c r="D792" s="369"/>
      <c r="E792" s="369"/>
      <c r="F792" s="300"/>
      <c r="G792" s="300"/>
      <c r="H792" s="300"/>
      <c r="I792" s="300"/>
      <c r="J792" s="300"/>
      <c r="K792" s="300"/>
      <c r="L792" s="300"/>
      <c r="M792" s="300"/>
      <c r="N792" s="300"/>
      <c r="O792" s="300"/>
      <c r="P792" s="300"/>
      <c r="Q792" s="300"/>
      <c r="R792" s="300"/>
      <c r="S792" s="300"/>
      <c r="T792" s="300"/>
      <c r="U792" s="300"/>
      <c r="V792" s="300"/>
      <c r="W792" s="300"/>
      <c r="X792" s="300"/>
      <c r="Y792" s="300"/>
      <c r="Z792" s="300"/>
      <c r="AA792" s="301"/>
    </row>
    <row r="793" spans="1:27">
      <c r="A793" s="319"/>
      <c r="B793" s="351"/>
      <c r="C793" s="381"/>
      <c r="D793" s="369"/>
      <c r="E793" s="369"/>
      <c r="F793" s="300"/>
      <c r="G793" s="300"/>
      <c r="H793" s="300"/>
      <c r="I793" s="300"/>
      <c r="J793" s="300"/>
      <c r="K793" s="300"/>
      <c r="L793" s="300"/>
      <c r="M793" s="300"/>
      <c r="N793" s="300"/>
      <c r="O793" s="300"/>
      <c r="P793" s="300"/>
      <c r="Q793" s="300"/>
      <c r="R793" s="300"/>
      <c r="S793" s="300"/>
      <c r="T793" s="300"/>
      <c r="U793" s="300"/>
      <c r="V793" s="300"/>
      <c r="W793" s="300"/>
      <c r="X793" s="300"/>
      <c r="Y793" s="300"/>
      <c r="Z793" s="300"/>
      <c r="AA793" s="301"/>
    </row>
    <row r="794" spans="1:27">
      <c r="A794" s="319"/>
      <c r="B794" s="351"/>
      <c r="C794" s="381"/>
      <c r="D794" s="369"/>
      <c r="E794" s="369"/>
      <c r="F794" s="300"/>
      <c r="G794" s="300"/>
      <c r="H794" s="300"/>
      <c r="I794" s="300"/>
      <c r="J794" s="300"/>
      <c r="K794" s="300"/>
      <c r="L794" s="300"/>
      <c r="M794" s="300"/>
      <c r="N794" s="300"/>
      <c r="O794" s="300"/>
      <c r="P794" s="300"/>
      <c r="Q794" s="300"/>
      <c r="R794" s="300"/>
      <c r="S794" s="300"/>
      <c r="T794" s="300"/>
      <c r="U794" s="300"/>
      <c r="V794" s="300"/>
      <c r="W794" s="300"/>
      <c r="X794" s="300"/>
      <c r="Y794" s="300"/>
      <c r="Z794" s="300"/>
      <c r="AA794" s="301"/>
    </row>
    <row r="795" spans="1:27">
      <c r="A795" s="319"/>
      <c r="B795" s="351"/>
      <c r="C795" s="381"/>
      <c r="D795" s="369"/>
      <c r="E795" s="369"/>
      <c r="F795" s="300"/>
      <c r="G795" s="300"/>
      <c r="H795" s="300"/>
      <c r="I795" s="300"/>
      <c r="J795" s="300"/>
      <c r="K795" s="300"/>
      <c r="L795" s="300"/>
      <c r="M795" s="300"/>
      <c r="N795" s="300"/>
      <c r="O795" s="300"/>
      <c r="P795" s="300"/>
      <c r="Q795" s="300"/>
      <c r="R795" s="300"/>
      <c r="S795" s="300"/>
      <c r="T795" s="300"/>
      <c r="U795" s="300"/>
      <c r="V795" s="300"/>
      <c r="W795" s="300"/>
      <c r="X795" s="300"/>
      <c r="Y795" s="300"/>
      <c r="Z795" s="300"/>
      <c r="AA795" s="301"/>
    </row>
    <row r="796" spans="1:27">
      <c r="A796" s="319"/>
      <c r="B796" s="351"/>
      <c r="C796" s="381"/>
      <c r="D796" s="369"/>
      <c r="E796" s="369"/>
      <c r="F796" s="300"/>
      <c r="G796" s="300"/>
      <c r="H796" s="300"/>
      <c r="I796" s="300"/>
      <c r="J796" s="300"/>
      <c r="K796" s="300"/>
      <c r="L796" s="300"/>
      <c r="M796" s="300"/>
      <c r="N796" s="300"/>
      <c r="O796" s="300"/>
      <c r="P796" s="300"/>
      <c r="Q796" s="300"/>
      <c r="R796" s="300"/>
      <c r="S796" s="300"/>
      <c r="T796" s="300"/>
      <c r="U796" s="300"/>
      <c r="V796" s="300"/>
      <c r="W796" s="300"/>
      <c r="X796" s="300"/>
      <c r="Y796" s="300"/>
      <c r="Z796" s="300"/>
      <c r="AA796" s="301"/>
    </row>
    <row r="797" spans="1:27">
      <c r="A797" s="319"/>
      <c r="B797" s="351"/>
      <c r="C797" s="381"/>
      <c r="D797" s="369"/>
      <c r="E797" s="369"/>
      <c r="F797" s="300"/>
      <c r="G797" s="300"/>
      <c r="H797" s="300"/>
      <c r="I797" s="300"/>
      <c r="J797" s="300"/>
      <c r="K797" s="300"/>
      <c r="L797" s="300"/>
      <c r="M797" s="300"/>
      <c r="N797" s="300"/>
      <c r="O797" s="300"/>
      <c r="P797" s="300"/>
      <c r="Q797" s="300"/>
      <c r="R797" s="300"/>
      <c r="S797" s="300"/>
      <c r="T797" s="300"/>
      <c r="U797" s="300"/>
      <c r="V797" s="300"/>
      <c r="W797" s="300"/>
      <c r="X797" s="300"/>
      <c r="Y797" s="300"/>
      <c r="Z797" s="300"/>
      <c r="AA797" s="301"/>
    </row>
    <row r="798" spans="1:27">
      <c r="A798" s="319"/>
      <c r="B798" s="351"/>
      <c r="C798" s="381"/>
      <c r="D798" s="369"/>
      <c r="E798" s="369"/>
      <c r="F798" s="300"/>
      <c r="G798" s="300"/>
      <c r="H798" s="300"/>
      <c r="I798" s="300"/>
      <c r="J798" s="300"/>
      <c r="K798" s="300"/>
      <c r="L798" s="300"/>
      <c r="M798" s="300"/>
      <c r="N798" s="300"/>
      <c r="O798" s="300"/>
      <c r="P798" s="300"/>
      <c r="Q798" s="300"/>
      <c r="R798" s="300"/>
      <c r="S798" s="300"/>
      <c r="T798" s="300"/>
      <c r="U798" s="300"/>
      <c r="V798" s="300"/>
      <c r="W798" s="300"/>
      <c r="X798" s="300"/>
      <c r="Y798" s="300"/>
      <c r="Z798" s="300"/>
      <c r="AA798" s="301"/>
    </row>
    <row r="799" spans="1:27">
      <c r="A799" s="319"/>
      <c r="B799" s="351"/>
      <c r="C799" s="381"/>
      <c r="D799" s="369"/>
      <c r="E799" s="369"/>
      <c r="F799" s="300"/>
      <c r="G799" s="300"/>
      <c r="H799" s="300"/>
      <c r="I799" s="300"/>
      <c r="J799" s="300"/>
      <c r="K799" s="300"/>
      <c r="L799" s="300"/>
      <c r="M799" s="300"/>
      <c r="N799" s="300"/>
      <c r="O799" s="300"/>
      <c r="P799" s="300"/>
      <c r="Q799" s="300"/>
      <c r="R799" s="300"/>
      <c r="S799" s="300"/>
      <c r="T799" s="300"/>
      <c r="U799" s="300"/>
      <c r="V799" s="300"/>
      <c r="W799" s="300"/>
      <c r="X799" s="300"/>
      <c r="Y799" s="300"/>
      <c r="Z799" s="300"/>
      <c r="AA799" s="301"/>
    </row>
    <row r="800" spans="1:27">
      <c r="A800" s="319"/>
      <c r="B800" s="351"/>
      <c r="C800" s="381"/>
      <c r="D800" s="369"/>
      <c r="E800" s="369"/>
      <c r="F800" s="300"/>
      <c r="G800" s="300"/>
      <c r="H800" s="300"/>
      <c r="I800" s="300"/>
      <c r="J800" s="300"/>
      <c r="K800" s="300"/>
      <c r="L800" s="300"/>
      <c r="M800" s="300"/>
      <c r="N800" s="300"/>
      <c r="O800" s="300"/>
      <c r="P800" s="300"/>
      <c r="Q800" s="300"/>
      <c r="R800" s="300"/>
      <c r="S800" s="300"/>
      <c r="T800" s="300"/>
      <c r="U800" s="300"/>
      <c r="V800" s="300"/>
      <c r="W800" s="300"/>
      <c r="X800" s="300"/>
      <c r="Y800" s="300"/>
      <c r="Z800" s="300"/>
      <c r="AA800" s="301"/>
    </row>
    <row r="801" spans="1:27">
      <c r="A801" s="319"/>
      <c r="B801" s="351"/>
      <c r="C801" s="381"/>
      <c r="D801" s="369"/>
      <c r="E801" s="369"/>
      <c r="F801" s="300"/>
      <c r="G801" s="300"/>
      <c r="H801" s="300"/>
      <c r="I801" s="300"/>
      <c r="J801" s="300"/>
      <c r="K801" s="300"/>
      <c r="L801" s="300"/>
      <c r="M801" s="300"/>
      <c r="N801" s="300"/>
      <c r="O801" s="300"/>
      <c r="P801" s="300"/>
      <c r="Q801" s="300"/>
      <c r="R801" s="300"/>
      <c r="S801" s="300"/>
      <c r="T801" s="300"/>
      <c r="U801" s="300"/>
      <c r="V801" s="300"/>
      <c r="W801" s="300"/>
      <c r="X801" s="300"/>
      <c r="Y801" s="300"/>
      <c r="Z801" s="300"/>
      <c r="AA801" s="301"/>
    </row>
    <row r="802" spans="1:27">
      <c r="A802" s="319"/>
      <c r="B802" s="351"/>
      <c r="C802" s="381"/>
      <c r="D802" s="369"/>
      <c r="E802" s="369"/>
      <c r="F802" s="300"/>
      <c r="G802" s="300"/>
      <c r="H802" s="300"/>
      <c r="I802" s="300"/>
      <c r="J802" s="300"/>
      <c r="K802" s="300"/>
      <c r="L802" s="300"/>
      <c r="M802" s="300"/>
      <c r="N802" s="300"/>
      <c r="O802" s="300"/>
      <c r="P802" s="300"/>
      <c r="Q802" s="300"/>
      <c r="R802" s="300"/>
      <c r="S802" s="300"/>
      <c r="T802" s="300"/>
      <c r="U802" s="300"/>
      <c r="V802" s="300"/>
      <c r="W802" s="300"/>
      <c r="X802" s="300"/>
      <c r="Y802" s="300"/>
      <c r="Z802" s="300"/>
      <c r="AA802" s="301"/>
    </row>
    <row r="803" spans="1:27">
      <c r="A803" s="319"/>
      <c r="B803" s="351"/>
      <c r="C803" s="381"/>
      <c r="D803" s="369"/>
      <c r="E803" s="369"/>
      <c r="F803" s="300"/>
      <c r="G803" s="300"/>
      <c r="H803" s="300"/>
      <c r="I803" s="300"/>
      <c r="J803" s="300"/>
      <c r="K803" s="300"/>
      <c r="L803" s="300"/>
      <c r="M803" s="300"/>
      <c r="N803" s="300"/>
      <c r="O803" s="300"/>
      <c r="P803" s="300"/>
      <c r="Q803" s="300"/>
      <c r="R803" s="300"/>
      <c r="S803" s="300"/>
      <c r="T803" s="300"/>
      <c r="U803" s="300"/>
      <c r="V803" s="300"/>
      <c r="W803" s="300"/>
      <c r="X803" s="300"/>
      <c r="Y803" s="300"/>
      <c r="Z803" s="300"/>
      <c r="AA803" s="301"/>
    </row>
    <row r="804" spans="1:27">
      <c r="A804" s="319"/>
      <c r="B804" s="351"/>
      <c r="C804" s="381"/>
      <c r="D804" s="369"/>
      <c r="E804" s="369"/>
      <c r="F804" s="300"/>
      <c r="G804" s="300"/>
      <c r="H804" s="300"/>
      <c r="I804" s="300"/>
      <c r="J804" s="300"/>
      <c r="K804" s="300"/>
      <c r="L804" s="300"/>
      <c r="M804" s="300"/>
      <c r="N804" s="300"/>
      <c r="O804" s="300"/>
      <c r="P804" s="300"/>
      <c r="Q804" s="300"/>
      <c r="R804" s="300"/>
      <c r="S804" s="300"/>
      <c r="T804" s="300"/>
      <c r="U804" s="300"/>
      <c r="V804" s="300"/>
      <c r="W804" s="300"/>
      <c r="X804" s="300"/>
      <c r="Y804" s="300"/>
      <c r="Z804" s="300"/>
      <c r="AA804" s="301"/>
    </row>
    <row r="805" spans="1:27">
      <c r="A805" s="319"/>
      <c r="B805" s="351"/>
      <c r="C805" s="381"/>
      <c r="D805" s="369"/>
      <c r="E805" s="369"/>
      <c r="F805" s="300"/>
      <c r="G805" s="300"/>
      <c r="H805" s="300"/>
      <c r="I805" s="300"/>
      <c r="J805" s="300"/>
      <c r="K805" s="300"/>
      <c r="L805" s="300"/>
      <c r="M805" s="300"/>
      <c r="N805" s="300"/>
      <c r="O805" s="300"/>
      <c r="P805" s="300"/>
      <c r="Q805" s="300"/>
      <c r="R805" s="300"/>
      <c r="S805" s="300"/>
      <c r="T805" s="300"/>
      <c r="U805" s="300"/>
      <c r="V805" s="300"/>
      <c r="W805" s="300"/>
      <c r="X805" s="300"/>
      <c r="Y805" s="300"/>
      <c r="Z805" s="300"/>
      <c r="AA805" s="301"/>
    </row>
    <row r="806" spans="1:27">
      <c r="A806" s="319"/>
      <c r="B806" s="351"/>
      <c r="C806" s="381"/>
      <c r="D806" s="369"/>
      <c r="E806" s="369"/>
      <c r="F806" s="300"/>
      <c r="G806" s="300"/>
      <c r="H806" s="300"/>
      <c r="I806" s="300"/>
      <c r="J806" s="300"/>
      <c r="K806" s="300"/>
      <c r="L806" s="300"/>
      <c r="M806" s="300"/>
      <c r="N806" s="300"/>
      <c r="O806" s="300"/>
      <c r="P806" s="300"/>
      <c r="Q806" s="300"/>
      <c r="R806" s="300"/>
      <c r="S806" s="300"/>
      <c r="T806" s="300"/>
      <c r="U806" s="300"/>
      <c r="V806" s="300"/>
      <c r="W806" s="300"/>
      <c r="X806" s="300"/>
      <c r="Y806" s="300"/>
      <c r="Z806" s="300"/>
      <c r="AA806" s="301"/>
    </row>
    <row r="807" spans="1:27">
      <c r="A807" s="319"/>
      <c r="B807" s="351"/>
      <c r="C807" s="381"/>
      <c r="D807" s="369"/>
      <c r="E807" s="369"/>
      <c r="F807" s="300"/>
      <c r="G807" s="300"/>
      <c r="H807" s="300"/>
      <c r="I807" s="300"/>
      <c r="J807" s="300"/>
      <c r="K807" s="300"/>
      <c r="L807" s="300"/>
      <c r="M807" s="300"/>
      <c r="N807" s="300"/>
      <c r="O807" s="300"/>
      <c r="P807" s="300"/>
      <c r="Q807" s="300"/>
      <c r="R807" s="300"/>
      <c r="S807" s="300"/>
      <c r="T807" s="300"/>
      <c r="U807" s="300"/>
      <c r="V807" s="300"/>
      <c r="W807" s="300"/>
      <c r="X807" s="300"/>
      <c r="Y807" s="300"/>
      <c r="Z807" s="300"/>
      <c r="AA807" s="301"/>
    </row>
    <row r="808" spans="1:27">
      <c r="A808" s="319"/>
      <c r="B808" s="351"/>
      <c r="C808" s="381"/>
      <c r="D808" s="369"/>
      <c r="E808" s="369"/>
      <c r="F808" s="300"/>
      <c r="G808" s="300"/>
      <c r="H808" s="300"/>
      <c r="I808" s="300"/>
      <c r="J808" s="300"/>
      <c r="K808" s="300"/>
      <c r="L808" s="300"/>
      <c r="M808" s="300"/>
      <c r="N808" s="300"/>
      <c r="O808" s="300"/>
      <c r="P808" s="300"/>
      <c r="Q808" s="300"/>
      <c r="R808" s="300"/>
      <c r="S808" s="300"/>
      <c r="T808" s="300"/>
      <c r="U808" s="300"/>
      <c r="V808" s="300"/>
      <c r="W808" s="300"/>
      <c r="X808" s="300"/>
      <c r="Y808" s="300"/>
      <c r="Z808" s="300"/>
      <c r="AA808" s="301"/>
    </row>
    <row r="809" spans="1:27">
      <c r="A809" s="319"/>
      <c r="B809" s="351"/>
      <c r="C809" s="381"/>
      <c r="D809" s="369"/>
      <c r="E809" s="369"/>
      <c r="F809" s="300"/>
      <c r="G809" s="300"/>
      <c r="H809" s="300"/>
      <c r="I809" s="300"/>
      <c r="J809" s="300"/>
      <c r="K809" s="300"/>
      <c r="L809" s="300"/>
      <c r="M809" s="300"/>
      <c r="N809" s="300"/>
      <c r="O809" s="300"/>
      <c r="P809" s="300"/>
      <c r="Q809" s="300"/>
      <c r="R809" s="300"/>
      <c r="S809" s="300"/>
      <c r="T809" s="300"/>
      <c r="U809" s="300"/>
      <c r="V809" s="300"/>
      <c r="W809" s="300"/>
      <c r="X809" s="300"/>
      <c r="Y809" s="300"/>
      <c r="Z809" s="300"/>
      <c r="AA809" s="301"/>
    </row>
    <row r="810" spans="1:27">
      <c r="A810" s="319"/>
      <c r="B810" s="351"/>
      <c r="C810" s="381"/>
      <c r="D810" s="369"/>
      <c r="E810" s="369"/>
      <c r="F810" s="300"/>
      <c r="G810" s="300"/>
      <c r="H810" s="300"/>
      <c r="I810" s="300"/>
      <c r="J810" s="300"/>
      <c r="K810" s="300"/>
      <c r="L810" s="300"/>
      <c r="M810" s="300"/>
      <c r="N810" s="300"/>
      <c r="O810" s="300"/>
      <c r="P810" s="300"/>
      <c r="Q810" s="300"/>
      <c r="R810" s="300"/>
      <c r="S810" s="300"/>
      <c r="T810" s="300"/>
      <c r="U810" s="300"/>
      <c r="V810" s="300"/>
      <c r="W810" s="300"/>
      <c r="X810" s="300"/>
      <c r="Y810" s="300"/>
      <c r="Z810" s="300"/>
      <c r="AA810" s="301"/>
    </row>
    <row r="811" spans="1:27">
      <c r="A811" s="319"/>
      <c r="B811" s="351"/>
      <c r="C811" s="381"/>
      <c r="D811" s="369"/>
      <c r="E811" s="369"/>
      <c r="F811" s="300"/>
      <c r="G811" s="300"/>
      <c r="H811" s="300"/>
      <c r="I811" s="300"/>
      <c r="J811" s="300"/>
      <c r="K811" s="300"/>
      <c r="L811" s="300"/>
      <c r="M811" s="300"/>
      <c r="N811" s="300"/>
      <c r="O811" s="300"/>
      <c r="P811" s="300"/>
      <c r="Q811" s="300"/>
      <c r="R811" s="300"/>
      <c r="S811" s="300"/>
      <c r="T811" s="300"/>
      <c r="U811" s="300"/>
      <c r="V811" s="300"/>
      <c r="W811" s="300"/>
      <c r="X811" s="300"/>
      <c r="Y811" s="300"/>
      <c r="Z811" s="300"/>
      <c r="AA811" s="301"/>
    </row>
    <row r="812" spans="1:27">
      <c r="A812" s="319"/>
      <c r="B812" s="351"/>
      <c r="C812" s="381"/>
      <c r="D812" s="369"/>
      <c r="E812" s="369"/>
      <c r="F812" s="300"/>
      <c r="G812" s="300"/>
      <c r="H812" s="300"/>
      <c r="I812" s="300"/>
      <c r="J812" s="300"/>
      <c r="K812" s="300"/>
      <c r="L812" s="300"/>
      <c r="M812" s="300"/>
      <c r="N812" s="300"/>
      <c r="O812" s="300"/>
      <c r="P812" s="300"/>
      <c r="Q812" s="300"/>
      <c r="R812" s="300"/>
      <c r="S812" s="300"/>
      <c r="T812" s="300"/>
      <c r="U812" s="300"/>
      <c r="V812" s="300"/>
      <c r="W812" s="300"/>
      <c r="X812" s="300"/>
      <c r="Y812" s="300"/>
      <c r="Z812" s="300"/>
      <c r="AA812" s="301"/>
    </row>
    <row r="813" spans="1:27">
      <c r="A813" s="319"/>
      <c r="B813" s="351"/>
      <c r="C813" s="381"/>
      <c r="D813" s="369"/>
      <c r="E813" s="369"/>
      <c r="F813" s="300"/>
      <c r="G813" s="300"/>
      <c r="H813" s="300"/>
      <c r="I813" s="300"/>
      <c r="J813" s="300"/>
      <c r="K813" s="300"/>
      <c r="L813" s="300"/>
      <c r="M813" s="300"/>
      <c r="N813" s="300"/>
      <c r="O813" s="300"/>
      <c r="P813" s="300"/>
      <c r="Q813" s="300"/>
      <c r="R813" s="300"/>
      <c r="S813" s="300"/>
      <c r="T813" s="300"/>
      <c r="U813" s="300"/>
      <c r="V813" s="300"/>
      <c r="W813" s="300"/>
      <c r="X813" s="300"/>
      <c r="Y813" s="300"/>
      <c r="Z813" s="300"/>
      <c r="AA813" s="301"/>
    </row>
    <row r="814" spans="1:27">
      <c r="A814" s="319"/>
      <c r="B814" s="351"/>
      <c r="C814" s="381"/>
      <c r="D814" s="369"/>
      <c r="E814" s="369"/>
      <c r="F814" s="300"/>
      <c r="G814" s="300"/>
      <c r="H814" s="300"/>
      <c r="I814" s="300"/>
      <c r="J814" s="300"/>
      <c r="K814" s="300"/>
      <c r="L814" s="300"/>
      <c r="M814" s="300"/>
      <c r="N814" s="300"/>
      <c r="O814" s="300"/>
      <c r="P814" s="300"/>
      <c r="Q814" s="300"/>
      <c r="R814" s="300"/>
      <c r="S814" s="300"/>
      <c r="T814" s="300"/>
      <c r="U814" s="300"/>
      <c r="V814" s="300"/>
      <c r="W814" s="300"/>
      <c r="X814" s="300"/>
      <c r="Y814" s="300"/>
      <c r="Z814" s="300"/>
      <c r="AA814" s="301"/>
    </row>
    <row r="815" spans="1:27">
      <c r="A815" s="319"/>
      <c r="B815" s="351"/>
      <c r="C815" s="381"/>
      <c r="D815" s="369"/>
      <c r="E815" s="369"/>
      <c r="F815" s="300"/>
      <c r="G815" s="300"/>
      <c r="H815" s="300"/>
      <c r="I815" s="300"/>
      <c r="J815" s="300"/>
      <c r="K815" s="300"/>
      <c r="L815" s="300"/>
      <c r="M815" s="300"/>
      <c r="N815" s="300"/>
      <c r="O815" s="300"/>
      <c r="P815" s="300"/>
      <c r="Q815" s="300"/>
      <c r="R815" s="300"/>
      <c r="S815" s="300"/>
      <c r="T815" s="300"/>
      <c r="U815" s="300"/>
      <c r="V815" s="300"/>
      <c r="W815" s="300"/>
      <c r="X815" s="300"/>
      <c r="Y815" s="300"/>
      <c r="Z815" s="300"/>
      <c r="AA815" s="301"/>
    </row>
    <row r="816" spans="1:27">
      <c r="A816" s="319"/>
      <c r="B816" s="351"/>
      <c r="C816" s="381"/>
      <c r="D816" s="369"/>
      <c r="E816" s="369"/>
      <c r="F816" s="300"/>
      <c r="G816" s="300"/>
      <c r="H816" s="300"/>
      <c r="I816" s="300"/>
      <c r="J816" s="300"/>
      <c r="K816" s="300"/>
      <c r="L816" s="300"/>
      <c r="M816" s="300"/>
      <c r="N816" s="300"/>
      <c r="O816" s="300"/>
      <c r="P816" s="300"/>
      <c r="Q816" s="300"/>
      <c r="R816" s="300"/>
      <c r="S816" s="300"/>
      <c r="T816" s="300"/>
      <c r="U816" s="300"/>
      <c r="V816" s="300"/>
      <c r="W816" s="300"/>
      <c r="X816" s="300"/>
      <c r="Y816" s="300"/>
      <c r="Z816" s="300"/>
      <c r="AA816" s="301"/>
    </row>
    <row r="817" spans="1:27">
      <c r="A817" s="319"/>
      <c r="B817" s="351"/>
      <c r="C817" s="381"/>
      <c r="D817" s="369"/>
      <c r="E817" s="369"/>
      <c r="F817" s="300"/>
      <c r="G817" s="300"/>
      <c r="H817" s="300"/>
      <c r="I817" s="300"/>
      <c r="J817" s="300"/>
      <c r="K817" s="300"/>
      <c r="L817" s="300"/>
      <c r="M817" s="300"/>
      <c r="N817" s="300"/>
      <c r="O817" s="300"/>
      <c r="P817" s="300"/>
      <c r="Q817" s="300"/>
      <c r="R817" s="300"/>
      <c r="S817" s="300"/>
      <c r="T817" s="300"/>
      <c r="U817" s="300"/>
      <c r="V817" s="300"/>
      <c r="W817" s="300"/>
      <c r="X817" s="300"/>
      <c r="Y817" s="300"/>
      <c r="Z817" s="300"/>
      <c r="AA817" s="301"/>
    </row>
    <row r="818" spans="1:27">
      <c r="A818" s="319"/>
      <c r="B818" s="351"/>
      <c r="C818" s="381"/>
      <c r="D818" s="369"/>
      <c r="E818" s="369"/>
      <c r="F818" s="300"/>
      <c r="G818" s="300"/>
      <c r="H818" s="300"/>
      <c r="I818" s="300"/>
      <c r="J818" s="300"/>
      <c r="K818" s="300"/>
      <c r="L818" s="300"/>
      <c r="M818" s="300"/>
      <c r="N818" s="300"/>
      <c r="O818" s="300"/>
      <c r="P818" s="300"/>
      <c r="Q818" s="300"/>
      <c r="R818" s="300"/>
      <c r="S818" s="300"/>
      <c r="T818" s="300"/>
      <c r="U818" s="300"/>
      <c r="V818" s="300"/>
      <c r="W818" s="300"/>
      <c r="X818" s="300"/>
      <c r="Y818" s="300"/>
      <c r="Z818" s="300"/>
      <c r="AA818" s="301"/>
    </row>
    <row r="819" spans="1:27">
      <c r="A819" s="319"/>
      <c r="B819" s="351"/>
      <c r="C819" s="381"/>
      <c r="D819" s="369"/>
      <c r="E819" s="369"/>
      <c r="F819" s="300"/>
      <c r="G819" s="300"/>
      <c r="H819" s="300"/>
      <c r="I819" s="300"/>
      <c r="J819" s="300"/>
      <c r="K819" s="300"/>
      <c r="L819" s="300"/>
      <c r="M819" s="300"/>
      <c r="N819" s="300"/>
      <c r="O819" s="300"/>
      <c r="P819" s="300"/>
      <c r="Q819" s="300"/>
      <c r="R819" s="300"/>
      <c r="S819" s="300"/>
      <c r="T819" s="300"/>
      <c r="U819" s="300"/>
      <c r="V819" s="300"/>
      <c r="W819" s="300"/>
      <c r="X819" s="300"/>
      <c r="Y819" s="300"/>
      <c r="Z819" s="300"/>
      <c r="AA819" s="301"/>
    </row>
    <row r="820" spans="1:27">
      <c r="A820" s="319"/>
      <c r="B820" s="351"/>
      <c r="C820" s="381"/>
      <c r="D820" s="369"/>
      <c r="E820" s="369"/>
      <c r="F820" s="300"/>
      <c r="G820" s="300"/>
      <c r="H820" s="300"/>
      <c r="I820" s="300"/>
      <c r="J820" s="300"/>
      <c r="K820" s="300"/>
      <c r="L820" s="300"/>
      <c r="M820" s="300"/>
      <c r="N820" s="300"/>
      <c r="O820" s="300"/>
      <c r="P820" s="300"/>
      <c r="Q820" s="300"/>
      <c r="R820" s="300"/>
      <c r="S820" s="300"/>
      <c r="T820" s="300"/>
      <c r="U820" s="300"/>
      <c r="V820" s="300"/>
      <c r="W820" s="300"/>
      <c r="X820" s="300"/>
      <c r="Y820" s="300"/>
      <c r="Z820" s="300"/>
      <c r="AA820" s="301"/>
    </row>
    <row r="821" spans="1:27">
      <c r="A821" s="319"/>
      <c r="B821" s="351"/>
      <c r="C821" s="381"/>
      <c r="D821" s="369"/>
      <c r="E821" s="369"/>
      <c r="F821" s="300"/>
      <c r="G821" s="300"/>
      <c r="H821" s="300"/>
      <c r="I821" s="300"/>
      <c r="J821" s="300"/>
      <c r="K821" s="300"/>
      <c r="L821" s="300"/>
      <c r="M821" s="300"/>
      <c r="N821" s="300"/>
      <c r="O821" s="300"/>
      <c r="P821" s="300"/>
      <c r="Q821" s="300"/>
      <c r="R821" s="300"/>
      <c r="S821" s="300"/>
      <c r="T821" s="300"/>
      <c r="U821" s="300"/>
      <c r="V821" s="300"/>
      <c r="W821" s="300"/>
      <c r="X821" s="300"/>
      <c r="Y821" s="300"/>
      <c r="Z821" s="300"/>
      <c r="AA821" s="301"/>
    </row>
    <row r="822" spans="1:27">
      <c r="A822" s="319"/>
      <c r="B822" s="351"/>
      <c r="C822" s="381"/>
      <c r="D822" s="369"/>
      <c r="E822" s="369"/>
      <c r="F822" s="300"/>
      <c r="G822" s="300"/>
      <c r="H822" s="300"/>
      <c r="I822" s="300"/>
      <c r="J822" s="300"/>
      <c r="K822" s="300"/>
      <c r="L822" s="300"/>
      <c r="M822" s="300"/>
      <c r="N822" s="300"/>
      <c r="O822" s="300"/>
      <c r="P822" s="300"/>
      <c r="Q822" s="300"/>
      <c r="R822" s="300"/>
      <c r="S822" s="300"/>
      <c r="T822" s="300"/>
      <c r="U822" s="300"/>
      <c r="V822" s="300"/>
      <c r="W822" s="300"/>
      <c r="X822" s="300"/>
      <c r="Y822" s="300"/>
      <c r="Z822" s="300"/>
      <c r="AA822" s="301"/>
    </row>
    <row r="823" spans="1:27">
      <c r="A823" s="319"/>
      <c r="B823" s="351"/>
      <c r="C823" s="381"/>
      <c r="D823" s="369"/>
      <c r="E823" s="369"/>
      <c r="F823" s="300"/>
      <c r="G823" s="300"/>
      <c r="H823" s="300"/>
      <c r="I823" s="300"/>
      <c r="J823" s="300"/>
      <c r="K823" s="300"/>
      <c r="L823" s="300"/>
      <c r="M823" s="300"/>
      <c r="N823" s="300"/>
      <c r="O823" s="300"/>
      <c r="P823" s="300"/>
      <c r="Q823" s="300"/>
      <c r="R823" s="300"/>
      <c r="S823" s="300"/>
      <c r="T823" s="300"/>
      <c r="U823" s="300"/>
      <c r="V823" s="300"/>
      <c r="W823" s="300"/>
      <c r="X823" s="300"/>
      <c r="Y823" s="300"/>
      <c r="Z823" s="300"/>
      <c r="AA823" s="301"/>
    </row>
    <row r="824" spans="1:27">
      <c r="A824" s="319"/>
      <c r="B824" s="351"/>
      <c r="C824" s="381"/>
      <c r="D824" s="369"/>
      <c r="E824" s="369"/>
      <c r="F824" s="300"/>
      <c r="G824" s="300"/>
      <c r="H824" s="300"/>
      <c r="I824" s="300"/>
      <c r="J824" s="300"/>
      <c r="K824" s="300"/>
      <c r="L824" s="300"/>
      <c r="M824" s="300"/>
      <c r="N824" s="300"/>
      <c r="O824" s="300"/>
      <c r="P824" s="300"/>
      <c r="Q824" s="300"/>
      <c r="R824" s="300"/>
      <c r="S824" s="300"/>
      <c r="T824" s="300"/>
      <c r="U824" s="300"/>
      <c r="V824" s="300"/>
      <c r="W824" s="300"/>
      <c r="X824" s="300"/>
      <c r="Y824" s="300"/>
      <c r="Z824" s="300"/>
      <c r="AA824" s="301"/>
    </row>
    <row r="825" spans="1:27">
      <c r="A825" s="319"/>
      <c r="B825" s="351"/>
      <c r="C825" s="381"/>
      <c r="D825" s="369"/>
      <c r="E825" s="369"/>
      <c r="F825" s="300"/>
      <c r="G825" s="300"/>
      <c r="H825" s="300"/>
      <c r="I825" s="300"/>
      <c r="J825" s="300"/>
      <c r="K825" s="300"/>
      <c r="L825" s="300"/>
      <c r="M825" s="300"/>
      <c r="N825" s="300"/>
      <c r="O825" s="300"/>
      <c r="P825" s="300"/>
      <c r="Q825" s="300"/>
      <c r="R825" s="300"/>
      <c r="S825" s="300"/>
      <c r="T825" s="300"/>
      <c r="U825" s="300"/>
      <c r="V825" s="300"/>
      <c r="W825" s="300"/>
      <c r="X825" s="300"/>
      <c r="Y825" s="300"/>
      <c r="Z825" s="300"/>
      <c r="AA825" s="301"/>
    </row>
    <row r="826" spans="1:27">
      <c r="A826" s="319"/>
      <c r="B826" s="351"/>
      <c r="C826" s="381"/>
      <c r="D826" s="369"/>
      <c r="E826" s="369"/>
      <c r="F826" s="300"/>
      <c r="G826" s="300"/>
      <c r="H826" s="300"/>
      <c r="I826" s="300"/>
      <c r="J826" s="300"/>
      <c r="K826" s="300"/>
      <c r="L826" s="300"/>
      <c r="M826" s="300"/>
      <c r="N826" s="300"/>
      <c r="O826" s="300"/>
      <c r="P826" s="300"/>
      <c r="Q826" s="300"/>
      <c r="R826" s="300"/>
      <c r="S826" s="300"/>
      <c r="T826" s="300"/>
      <c r="U826" s="300"/>
      <c r="V826" s="300"/>
      <c r="W826" s="300"/>
      <c r="X826" s="300"/>
      <c r="Y826" s="300"/>
      <c r="Z826" s="300"/>
      <c r="AA826" s="301"/>
    </row>
    <row r="827" spans="1:27">
      <c r="A827" s="319"/>
      <c r="B827" s="351"/>
      <c r="C827" s="381"/>
      <c r="D827" s="369"/>
      <c r="E827" s="369"/>
      <c r="F827" s="300"/>
      <c r="G827" s="300"/>
      <c r="H827" s="300"/>
      <c r="I827" s="300"/>
      <c r="J827" s="300"/>
      <c r="K827" s="300"/>
      <c r="L827" s="300"/>
      <c r="M827" s="300"/>
      <c r="N827" s="300"/>
      <c r="O827" s="300"/>
      <c r="P827" s="300"/>
      <c r="Q827" s="300"/>
      <c r="R827" s="300"/>
      <c r="S827" s="300"/>
      <c r="T827" s="300"/>
      <c r="U827" s="300"/>
      <c r="V827" s="300"/>
      <c r="W827" s="300"/>
      <c r="X827" s="300"/>
      <c r="Y827" s="300"/>
      <c r="Z827" s="300"/>
      <c r="AA827" s="301"/>
    </row>
    <row r="828" spans="1:27">
      <c r="A828" s="319"/>
      <c r="B828" s="351"/>
      <c r="C828" s="381"/>
      <c r="D828" s="369"/>
      <c r="E828" s="369"/>
      <c r="F828" s="300"/>
      <c r="G828" s="300"/>
      <c r="H828" s="300"/>
      <c r="I828" s="300"/>
      <c r="J828" s="300"/>
      <c r="K828" s="300"/>
      <c r="L828" s="300"/>
      <c r="M828" s="300"/>
      <c r="N828" s="300"/>
      <c r="O828" s="300"/>
      <c r="P828" s="300"/>
      <c r="Q828" s="300"/>
      <c r="R828" s="300"/>
      <c r="S828" s="300"/>
      <c r="T828" s="300"/>
      <c r="U828" s="300"/>
      <c r="V828" s="300"/>
      <c r="W828" s="300"/>
      <c r="X828" s="300"/>
      <c r="Y828" s="300"/>
      <c r="Z828" s="300"/>
      <c r="AA828" s="301"/>
    </row>
    <row r="829" spans="1:27">
      <c r="A829" s="319"/>
      <c r="B829" s="351"/>
      <c r="C829" s="381"/>
      <c r="D829" s="369"/>
      <c r="E829" s="369"/>
      <c r="F829" s="300"/>
      <c r="G829" s="300"/>
      <c r="H829" s="300"/>
      <c r="I829" s="300"/>
      <c r="J829" s="300"/>
      <c r="K829" s="300"/>
      <c r="L829" s="300"/>
      <c r="M829" s="300"/>
      <c r="N829" s="300"/>
      <c r="O829" s="300"/>
      <c r="P829" s="300"/>
      <c r="Q829" s="300"/>
      <c r="R829" s="300"/>
      <c r="S829" s="300"/>
      <c r="T829" s="300"/>
      <c r="U829" s="300"/>
      <c r="V829" s="300"/>
      <c r="W829" s="300"/>
      <c r="X829" s="300"/>
      <c r="Y829" s="300"/>
      <c r="Z829" s="300"/>
      <c r="AA829" s="301"/>
    </row>
    <row r="830" spans="1:27">
      <c r="A830" s="319"/>
      <c r="B830" s="351"/>
      <c r="C830" s="381"/>
      <c r="D830" s="369"/>
      <c r="E830" s="369"/>
      <c r="F830" s="300"/>
      <c r="G830" s="300"/>
      <c r="H830" s="300"/>
      <c r="I830" s="300"/>
      <c r="J830" s="300"/>
      <c r="K830" s="300"/>
      <c r="L830" s="300"/>
      <c r="M830" s="300"/>
      <c r="N830" s="300"/>
      <c r="O830" s="300"/>
      <c r="P830" s="300"/>
      <c r="Q830" s="300"/>
      <c r="R830" s="300"/>
      <c r="S830" s="300"/>
      <c r="T830" s="300"/>
      <c r="U830" s="300"/>
      <c r="V830" s="300"/>
      <c r="W830" s="300"/>
      <c r="X830" s="300"/>
      <c r="Y830" s="300"/>
      <c r="Z830" s="300"/>
      <c r="AA830" s="301"/>
    </row>
    <row r="831" spans="1:27">
      <c r="A831" s="319"/>
      <c r="B831" s="351"/>
      <c r="C831" s="381"/>
      <c r="D831" s="369"/>
      <c r="E831" s="369"/>
      <c r="F831" s="300"/>
      <c r="G831" s="300"/>
      <c r="H831" s="300"/>
      <c r="I831" s="300"/>
      <c r="J831" s="300"/>
      <c r="K831" s="300"/>
      <c r="L831" s="300"/>
      <c r="M831" s="300"/>
      <c r="N831" s="300"/>
      <c r="O831" s="300"/>
      <c r="P831" s="300"/>
      <c r="Q831" s="300"/>
      <c r="R831" s="300"/>
      <c r="S831" s="300"/>
      <c r="T831" s="300"/>
      <c r="U831" s="300"/>
      <c r="V831" s="300"/>
      <c r="W831" s="300"/>
      <c r="X831" s="300"/>
      <c r="Y831" s="300"/>
      <c r="Z831" s="300"/>
      <c r="AA831" s="301"/>
    </row>
    <row r="832" spans="1:27">
      <c r="A832" s="319"/>
      <c r="B832" s="351"/>
      <c r="C832" s="381"/>
      <c r="D832" s="369"/>
      <c r="E832" s="369"/>
      <c r="F832" s="300"/>
      <c r="G832" s="300"/>
      <c r="H832" s="300"/>
      <c r="I832" s="300"/>
      <c r="J832" s="300"/>
      <c r="K832" s="300"/>
      <c r="L832" s="300"/>
      <c r="M832" s="300"/>
      <c r="N832" s="300"/>
      <c r="O832" s="300"/>
      <c r="P832" s="300"/>
      <c r="Q832" s="300"/>
      <c r="R832" s="300"/>
      <c r="S832" s="300"/>
      <c r="T832" s="300"/>
      <c r="U832" s="300"/>
      <c r="V832" s="300"/>
      <c r="W832" s="300"/>
      <c r="X832" s="300"/>
      <c r="Y832" s="300"/>
      <c r="Z832" s="300"/>
      <c r="AA832" s="301"/>
    </row>
    <row r="833" spans="1:27">
      <c r="A833" s="319"/>
      <c r="B833" s="351"/>
      <c r="C833" s="381"/>
      <c r="D833" s="369"/>
      <c r="E833" s="369"/>
      <c r="F833" s="300"/>
      <c r="G833" s="300"/>
      <c r="H833" s="300"/>
      <c r="I833" s="300"/>
      <c r="J833" s="300"/>
      <c r="K833" s="300"/>
      <c r="L833" s="300"/>
      <c r="M833" s="300"/>
      <c r="N833" s="300"/>
      <c r="O833" s="300"/>
      <c r="P833" s="300"/>
      <c r="Q833" s="300"/>
      <c r="R833" s="300"/>
      <c r="S833" s="300"/>
      <c r="T833" s="300"/>
      <c r="U833" s="300"/>
      <c r="V833" s="300"/>
      <c r="W833" s="300"/>
      <c r="X833" s="300"/>
      <c r="Y833" s="300"/>
      <c r="Z833" s="300"/>
      <c r="AA833" s="301"/>
    </row>
    <row r="834" spans="1:27">
      <c r="A834" s="319"/>
      <c r="B834" s="351"/>
      <c r="C834" s="381"/>
      <c r="D834" s="369"/>
      <c r="E834" s="369"/>
      <c r="F834" s="300"/>
      <c r="G834" s="300"/>
      <c r="H834" s="300"/>
      <c r="I834" s="300"/>
      <c r="J834" s="300"/>
      <c r="K834" s="300"/>
      <c r="L834" s="300"/>
      <c r="M834" s="300"/>
      <c r="N834" s="300"/>
      <c r="O834" s="300"/>
      <c r="P834" s="300"/>
      <c r="Q834" s="300"/>
      <c r="R834" s="300"/>
      <c r="S834" s="300"/>
      <c r="T834" s="300"/>
      <c r="U834" s="300"/>
      <c r="V834" s="300"/>
      <c r="W834" s="300"/>
      <c r="X834" s="300"/>
      <c r="Y834" s="300"/>
      <c r="Z834" s="300"/>
      <c r="AA834" s="301"/>
    </row>
    <row r="835" spans="1:27">
      <c r="A835" s="319"/>
      <c r="B835" s="351"/>
      <c r="C835" s="381"/>
      <c r="D835" s="369"/>
      <c r="E835" s="369"/>
      <c r="F835" s="300"/>
      <c r="G835" s="300"/>
      <c r="H835" s="300"/>
      <c r="I835" s="300"/>
      <c r="J835" s="300"/>
      <c r="K835" s="300"/>
      <c r="L835" s="300"/>
      <c r="M835" s="300"/>
      <c r="N835" s="300"/>
      <c r="O835" s="300"/>
      <c r="P835" s="300"/>
      <c r="Q835" s="300"/>
      <c r="R835" s="300"/>
      <c r="S835" s="300"/>
      <c r="T835" s="300"/>
      <c r="U835" s="300"/>
      <c r="V835" s="300"/>
      <c r="W835" s="300"/>
      <c r="X835" s="300"/>
      <c r="Y835" s="300"/>
      <c r="Z835" s="300"/>
      <c r="AA835" s="301"/>
    </row>
    <row r="836" spans="1:27">
      <c r="A836" s="319"/>
      <c r="B836" s="351"/>
      <c r="C836" s="381"/>
      <c r="D836" s="369"/>
      <c r="E836" s="369"/>
      <c r="F836" s="300"/>
      <c r="G836" s="300"/>
      <c r="H836" s="300"/>
      <c r="I836" s="300"/>
      <c r="J836" s="300"/>
      <c r="K836" s="300"/>
      <c r="L836" s="300"/>
      <c r="M836" s="300"/>
      <c r="N836" s="300"/>
      <c r="O836" s="300"/>
      <c r="P836" s="300"/>
      <c r="Q836" s="300"/>
      <c r="R836" s="300"/>
      <c r="S836" s="300"/>
      <c r="T836" s="300"/>
      <c r="U836" s="300"/>
      <c r="V836" s="300"/>
      <c r="W836" s="300"/>
      <c r="X836" s="300"/>
      <c r="Y836" s="300"/>
      <c r="Z836" s="300"/>
      <c r="AA836" s="301"/>
    </row>
    <row r="837" spans="1:27">
      <c r="A837" s="319"/>
      <c r="B837" s="351"/>
      <c r="C837" s="381"/>
      <c r="D837" s="369"/>
      <c r="E837" s="369"/>
      <c r="F837" s="300"/>
      <c r="G837" s="300"/>
      <c r="H837" s="300"/>
      <c r="I837" s="300"/>
      <c r="J837" s="300"/>
      <c r="K837" s="300"/>
      <c r="L837" s="300"/>
      <c r="M837" s="300"/>
      <c r="N837" s="300"/>
      <c r="O837" s="300"/>
      <c r="P837" s="300"/>
      <c r="Q837" s="300"/>
      <c r="R837" s="300"/>
      <c r="S837" s="300"/>
      <c r="T837" s="300"/>
      <c r="U837" s="300"/>
      <c r="V837" s="300"/>
      <c r="W837" s="300"/>
      <c r="X837" s="300"/>
      <c r="Y837" s="300"/>
      <c r="Z837" s="300"/>
      <c r="AA837" s="301"/>
    </row>
    <row r="838" spans="1:27">
      <c r="A838" s="319"/>
      <c r="B838" s="351"/>
      <c r="C838" s="381"/>
      <c r="D838" s="369"/>
      <c r="E838" s="369"/>
      <c r="F838" s="300"/>
      <c r="G838" s="300"/>
      <c r="H838" s="300"/>
      <c r="I838" s="300"/>
      <c r="J838" s="300"/>
      <c r="K838" s="300"/>
      <c r="L838" s="300"/>
      <c r="M838" s="300"/>
      <c r="N838" s="300"/>
      <c r="O838" s="300"/>
      <c r="P838" s="300"/>
      <c r="Q838" s="300"/>
      <c r="R838" s="300"/>
      <c r="S838" s="300"/>
      <c r="T838" s="300"/>
      <c r="U838" s="300"/>
      <c r="V838" s="300"/>
      <c r="W838" s="300"/>
      <c r="X838" s="300"/>
      <c r="Y838" s="300"/>
      <c r="Z838" s="300"/>
      <c r="AA838" s="301"/>
    </row>
    <row r="839" spans="1:27">
      <c r="A839" s="319"/>
      <c r="B839" s="351"/>
      <c r="C839" s="381"/>
      <c r="D839" s="369"/>
      <c r="E839" s="369"/>
      <c r="F839" s="300"/>
      <c r="G839" s="300"/>
      <c r="H839" s="300"/>
      <c r="I839" s="300"/>
      <c r="J839" s="300"/>
      <c r="K839" s="300"/>
      <c r="L839" s="300"/>
      <c r="M839" s="300"/>
      <c r="N839" s="300"/>
      <c r="O839" s="300"/>
      <c r="P839" s="300"/>
      <c r="Q839" s="300"/>
      <c r="R839" s="300"/>
      <c r="S839" s="300"/>
      <c r="T839" s="300"/>
      <c r="U839" s="300"/>
      <c r="V839" s="300"/>
      <c r="W839" s="300"/>
      <c r="X839" s="300"/>
      <c r="Y839" s="300"/>
      <c r="Z839" s="300"/>
      <c r="AA839" s="301"/>
    </row>
    <row r="840" spans="1:27">
      <c r="A840" s="319"/>
      <c r="B840" s="351"/>
      <c r="C840" s="381"/>
      <c r="D840" s="369"/>
      <c r="E840" s="369"/>
      <c r="F840" s="300"/>
      <c r="G840" s="300"/>
      <c r="H840" s="300"/>
      <c r="I840" s="300"/>
      <c r="J840" s="300"/>
      <c r="K840" s="300"/>
      <c r="L840" s="300"/>
      <c r="M840" s="300"/>
      <c r="N840" s="300"/>
      <c r="O840" s="300"/>
      <c r="P840" s="300"/>
      <c r="Q840" s="300"/>
      <c r="R840" s="300"/>
      <c r="S840" s="300"/>
      <c r="T840" s="300"/>
      <c r="U840" s="300"/>
      <c r="V840" s="300"/>
      <c r="W840" s="300"/>
      <c r="X840" s="300"/>
      <c r="Y840" s="300"/>
      <c r="Z840" s="300"/>
      <c r="AA840" s="301"/>
    </row>
    <row r="841" spans="1:27">
      <c r="A841" s="319"/>
      <c r="B841" s="351"/>
      <c r="C841" s="381"/>
      <c r="D841" s="369"/>
      <c r="E841" s="369"/>
      <c r="F841" s="300"/>
      <c r="G841" s="300"/>
      <c r="H841" s="300"/>
      <c r="I841" s="300"/>
      <c r="J841" s="300"/>
      <c r="K841" s="300"/>
      <c r="L841" s="300"/>
      <c r="M841" s="300"/>
      <c r="N841" s="300"/>
      <c r="O841" s="300"/>
      <c r="P841" s="300"/>
      <c r="Q841" s="300"/>
      <c r="R841" s="300"/>
      <c r="S841" s="300"/>
      <c r="T841" s="300"/>
      <c r="U841" s="300"/>
      <c r="V841" s="300"/>
      <c r="W841" s="300"/>
      <c r="X841" s="300"/>
      <c r="Y841" s="300"/>
      <c r="Z841" s="300"/>
      <c r="AA841" s="301"/>
    </row>
    <row r="842" spans="1:27">
      <c r="A842" s="319"/>
      <c r="B842" s="351"/>
      <c r="C842" s="381"/>
      <c r="D842" s="369"/>
      <c r="E842" s="369"/>
      <c r="F842" s="300"/>
      <c r="G842" s="300"/>
      <c r="H842" s="300"/>
      <c r="I842" s="300"/>
      <c r="J842" s="300"/>
      <c r="K842" s="300"/>
      <c r="L842" s="300"/>
      <c r="M842" s="300"/>
      <c r="N842" s="300"/>
      <c r="O842" s="300"/>
      <c r="P842" s="300"/>
      <c r="Q842" s="300"/>
      <c r="R842" s="300"/>
      <c r="S842" s="300"/>
      <c r="T842" s="300"/>
      <c r="U842" s="300"/>
      <c r="V842" s="300"/>
      <c r="W842" s="300"/>
      <c r="X842" s="300"/>
      <c r="Y842" s="300"/>
      <c r="Z842" s="300"/>
      <c r="AA842" s="301"/>
    </row>
    <row r="843" spans="1:27">
      <c r="A843" s="319"/>
      <c r="B843" s="351"/>
      <c r="C843" s="381"/>
      <c r="D843" s="369"/>
      <c r="E843" s="369"/>
      <c r="F843" s="300"/>
      <c r="G843" s="300"/>
      <c r="H843" s="300"/>
      <c r="I843" s="300"/>
      <c r="J843" s="300"/>
      <c r="K843" s="300"/>
      <c r="L843" s="300"/>
      <c r="M843" s="300"/>
      <c r="N843" s="300"/>
      <c r="O843" s="300"/>
      <c r="P843" s="300"/>
      <c r="Q843" s="300"/>
      <c r="R843" s="300"/>
      <c r="S843" s="300"/>
      <c r="T843" s="300"/>
      <c r="U843" s="300"/>
      <c r="V843" s="300"/>
      <c r="W843" s="300"/>
      <c r="X843" s="300"/>
      <c r="Y843" s="300"/>
      <c r="Z843" s="300"/>
      <c r="AA843" s="301"/>
    </row>
    <row r="844" spans="1:27">
      <c r="A844" s="319"/>
      <c r="B844" s="351"/>
      <c r="C844" s="381"/>
      <c r="D844" s="369"/>
      <c r="E844" s="369"/>
      <c r="F844" s="300"/>
      <c r="G844" s="300"/>
      <c r="H844" s="300"/>
      <c r="I844" s="300"/>
      <c r="J844" s="300"/>
      <c r="K844" s="300"/>
      <c r="L844" s="300"/>
      <c r="M844" s="300"/>
      <c r="N844" s="300"/>
      <c r="O844" s="300"/>
      <c r="P844" s="300"/>
      <c r="Q844" s="300"/>
      <c r="R844" s="300"/>
      <c r="S844" s="300"/>
      <c r="T844" s="300"/>
      <c r="U844" s="300"/>
      <c r="V844" s="300"/>
      <c r="W844" s="300"/>
      <c r="X844" s="300"/>
      <c r="Y844" s="300"/>
      <c r="Z844" s="300"/>
      <c r="AA844" s="301"/>
    </row>
    <row r="845" spans="1:27">
      <c r="A845" s="319"/>
      <c r="B845" s="351"/>
      <c r="C845" s="381"/>
      <c r="D845" s="369"/>
      <c r="E845" s="369"/>
      <c r="F845" s="300"/>
      <c r="G845" s="300"/>
      <c r="H845" s="300"/>
      <c r="I845" s="300"/>
      <c r="J845" s="300"/>
      <c r="K845" s="300"/>
      <c r="L845" s="300"/>
      <c r="M845" s="300"/>
      <c r="N845" s="300"/>
      <c r="O845" s="300"/>
      <c r="P845" s="300"/>
      <c r="Q845" s="300"/>
      <c r="R845" s="300"/>
      <c r="S845" s="300"/>
      <c r="T845" s="300"/>
      <c r="U845" s="300"/>
      <c r="V845" s="300"/>
      <c r="W845" s="300"/>
      <c r="X845" s="300"/>
      <c r="Y845" s="300"/>
      <c r="Z845" s="300"/>
      <c r="AA845" s="301"/>
    </row>
    <row r="846" spans="1:27">
      <c r="A846" s="319"/>
      <c r="B846" s="351"/>
      <c r="C846" s="381"/>
      <c r="D846" s="369"/>
      <c r="E846" s="369"/>
      <c r="F846" s="300"/>
      <c r="G846" s="300"/>
      <c r="H846" s="300"/>
      <c r="I846" s="300"/>
      <c r="J846" s="300"/>
      <c r="K846" s="300"/>
      <c r="L846" s="300"/>
      <c r="M846" s="300"/>
      <c r="N846" s="300"/>
      <c r="O846" s="300"/>
      <c r="P846" s="300"/>
      <c r="Q846" s="300"/>
      <c r="R846" s="300"/>
      <c r="S846" s="300"/>
      <c r="T846" s="300"/>
      <c r="U846" s="300"/>
      <c r="V846" s="300"/>
      <c r="W846" s="300"/>
      <c r="X846" s="300"/>
      <c r="Y846" s="300"/>
      <c r="Z846" s="300"/>
      <c r="AA846" s="301"/>
    </row>
    <row r="847" spans="1:27">
      <c r="A847" s="319"/>
      <c r="B847" s="351"/>
      <c r="C847" s="381"/>
      <c r="D847" s="369"/>
      <c r="E847" s="369"/>
      <c r="F847" s="300"/>
      <c r="G847" s="300"/>
      <c r="H847" s="300"/>
      <c r="I847" s="300"/>
      <c r="J847" s="300"/>
      <c r="K847" s="300"/>
      <c r="L847" s="300"/>
      <c r="M847" s="300"/>
      <c r="N847" s="300"/>
      <c r="O847" s="300"/>
      <c r="P847" s="300"/>
      <c r="Q847" s="300"/>
      <c r="R847" s="300"/>
      <c r="S847" s="300"/>
      <c r="T847" s="300"/>
      <c r="U847" s="300"/>
      <c r="V847" s="300"/>
      <c r="W847" s="300"/>
      <c r="X847" s="300"/>
      <c r="Y847" s="300"/>
      <c r="Z847" s="300"/>
      <c r="AA847" s="301"/>
    </row>
    <row r="848" spans="1:27">
      <c r="A848" s="319"/>
      <c r="B848" s="351"/>
      <c r="C848" s="381"/>
      <c r="D848" s="369"/>
      <c r="E848" s="369"/>
      <c r="F848" s="300"/>
      <c r="G848" s="300"/>
      <c r="H848" s="300"/>
      <c r="I848" s="300"/>
      <c r="J848" s="300"/>
      <c r="K848" s="300"/>
      <c r="L848" s="300"/>
      <c r="M848" s="300"/>
      <c r="N848" s="300"/>
      <c r="O848" s="300"/>
      <c r="P848" s="300"/>
      <c r="Q848" s="300"/>
      <c r="R848" s="300"/>
      <c r="S848" s="300"/>
      <c r="T848" s="300"/>
      <c r="U848" s="300"/>
      <c r="V848" s="300"/>
      <c r="W848" s="300"/>
      <c r="X848" s="300"/>
      <c r="Y848" s="300"/>
      <c r="Z848" s="300"/>
      <c r="AA848" s="301"/>
    </row>
    <row r="849" spans="1:27">
      <c r="A849" s="319"/>
      <c r="B849" s="351"/>
      <c r="C849" s="381"/>
      <c r="D849" s="369"/>
      <c r="E849" s="369"/>
      <c r="F849" s="300"/>
      <c r="G849" s="300"/>
      <c r="H849" s="300"/>
      <c r="I849" s="300"/>
      <c r="J849" s="300"/>
      <c r="K849" s="300"/>
      <c r="L849" s="300"/>
      <c r="M849" s="300"/>
      <c r="N849" s="300"/>
      <c r="O849" s="300"/>
      <c r="P849" s="300"/>
      <c r="Q849" s="300"/>
      <c r="R849" s="300"/>
      <c r="S849" s="300"/>
      <c r="T849" s="300"/>
      <c r="U849" s="300"/>
      <c r="V849" s="300"/>
      <c r="W849" s="300"/>
      <c r="X849" s="300"/>
      <c r="Y849" s="300"/>
      <c r="Z849" s="300"/>
      <c r="AA849" s="301"/>
    </row>
    <row r="850" spans="1:27">
      <c r="A850" s="319"/>
      <c r="B850" s="351"/>
      <c r="C850" s="381"/>
      <c r="D850" s="369"/>
      <c r="E850" s="369"/>
      <c r="F850" s="300"/>
      <c r="G850" s="300"/>
      <c r="H850" s="300"/>
      <c r="I850" s="300"/>
      <c r="J850" s="300"/>
      <c r="K850" s="300"/>
      <c r="L850" s="300"/>
      <c r="M850" s="300"/>
      <c r="N850" s="300"/>
      <c r="O850" s="300"/>
      <c r="P850" s="300"/>
      <c r="Q850" s="300"/>
      <c r="R850" s="300"/>
      <c r="S850" s="300"/>
      <c r="T850" s="300"/>
      <c r="U850" s="300"/>
      <c r="V850" s="300"/>
      <c r="W850" s="300"/>
      <c r="X850" s="300"/>
      <c r="Y850" s="300"/>
      <c r="Z850" s="300"/>
      <c r="AA850" s="301"/>
    </row>
    <row r="851" spans="1:27">
      <c r="A851" s="319"/>
      <c r="B851" s="351"/>
      <c r="C851" s="381"/>
      <c r="D851" s="369"/>
      <c r="E851" s="369"/>
      <c r="F851" s="300"/>
      <c r="G851" s="300"/>
      <c r="H851" s="300"/>
      <c r="I851" s="300"/>
      <c r="J851" s="300"/>
      <c r="K851" s="300"/>
      <c r="L851" s="300"/>
      <c r="M851" s="300"/>
      <c r="N851" s="300"/>
      <c r="O851" s="300"/>
      <c r="P851" s="300"/>
      <c r="Q851" s="300"/>
      <c r="R851" s="300"/>
      <c r="S851" s="300"/>
      <c r="T851" s="300"/>
      <c r="U851" s="300"/>
      <c r="V851" s="300"/>
      <c r="W851" s="300"/>
      <c r="X851" s="300"/>
      <c r="Y851" s="300"/>
      <c r="Z851" s="300"/>
      <c r="AA851" s="301"/>
    </row>
    <row r="852" spans="1:27">
      <c r="A852" s="319"/>
      <c r="B852" s="351"/>
      <c r="C852" s="381"/>
      <c r="D852" s="369"/>
      <c r="E852" s="369"/>
      <c r="F852" s="300"/>
      <c r="G852" s="300"/>
      <c r="H852" s="300"/>
      <c r="I852" s="300"/>
      <c r="J852" s="300"/>
      <c r="K852" s="300"/>
      <c r="L852" s="300"/>
      <c r="M852" s="300"/>
      <c r="N852" s="300"/>
      <c r="O852" s="300"/>
      <c r="P852" s="300"/>
      <c r="Q852" s="300"/>
      <c r="R852" s="300"/>
      <c r="S852" s="300"/>
      <c r="T852" s="300"/>
      <c r="U852" s="300"/>
      <c r="V852" s="300"/>
      <c r="W852" s="300"/>
      <c r="X852" s="300"/>
      <c r="Y852" s="300"/>
      <c r="Z852" s="300"/>
      <c r="AA852" s="301"/>
    </row>
    <row r="853" spans="1:27">
      <c r="A853" s="319"/>
      <c r="B853" s="351"/>
      <c r="C853" s="381"/>
      <c r="D853" s="369"/>
      <c r="E853" s="369"/>
      <c r="F853" s="300"/>
      <c r="G853" s="300"/>
      <c r="H853" s="300"/>
      <c r="I853" s="300"/>
      <c r="J853" s="300"/>
      <c r="K853" s="300"/>
      <c r="L853" s="300"/>
      <c r="M853" s="300"/>
      <c r="N853" s="300"/>
      <c r="O853" s="300"/>
      <c r="P853" s="300"/>
      <c r="Q853" s="300"/>
      <c r="R853" s="300"/>
      <c r="S853" s="300"/>
      <c r="T853" s="300"/>
      <c r="U853" s="300"/>
      <c r="V853" s="300"/>
      <c r="W853" s="300"/>
      <c r="X853" s="300"/>
      <c r="Y853" s="300"/>
      <c r="Z853" s="300"/>
      <c r="AA853" s="301"/>
    </row>
    <row r="854" spans="1:27">
      <c r="A854" s="319"/>
      <c r="B854" s="351"/>
      <c r="C854" s="381"/>
      <c r="D854" s="369"/>
      <c r="E854" s="369"/>
      <c r="F854" s="300"/>
      <c r="G854" s="300"/>
      <c r="H854" s="300"/>
      <c r="I854" s="300"/>
      <c r="J854" s="300"/>
      <c r="K854" s="300"/>
      <c r="L854" s="300"/>
      <c r="M854" s="300"/>
      <c r="N854" s="300"/>
      <c r="O854" s="300"/>
      <c r="P854" s="300"/>
      <c r="Q854" s="300"/>
      <c r="R854" s="300"/>
      <c r="S854" s="300"/>
      <c r="T854" s="300"/>
      <c r="U854" s="300"/>
      <c r="V854" s="300"/>
      <c r="W854" s="300"/>
      <c r="X854" s="300"/>
      <c r="Y854" s="300"/>
      <c r="Z854" s="300"/>
      <c r="AA854" s="301"/>
    </row>
    <row r="855" spans="1:27">
      <c r="A855" s="319"/>
      <c r="B855" s="351"/>
      <c r="C855" s="381"/>
      <c r="D855" s="369"/>
      <c r="E855" s="369"/>
      <c r="F855" s="300"/>
      <c r="G855" s="300"/>
      <c r="H855" s="300"/>
      <c r="I855" s="300"/>
      <c r="J855" s="300"/>
      <c r="K855" s="300"/>
      <c r="L855" s="300"/>
      <c r="M855" s="300"/>
      <c r="N855" s="300"/>
      <c r="O855" s="300"/>
      <c r="P855" s="300"/>
      <c r="Q855" s="300"/>
      <c r="R855" s="300"/>
      <c r="S855" s="300"/>
      <c r="T855" s="300"/>
      <c r="U855" s="300"/>
      <c r="V855" s="300"/>
      <c r="W855" s="300"/>
      <c r="X855" s="300"/>
      <c r="Y855" s="300"/>
      <c r="Z855" s="300"/>
      <c r="AA855" s="301"/>
    </row>
    <row r="856" spans="1:27">
      <c r="A856" s="319"/>
      <c r="B856" s="351"/>
      <c r="C856" s="381"/>
      <c r="D856" s="369"/>
      <c r="E856" s="369"/>
      <c r="F856" s="300"/>
      <c r="G856" s="300"/>
      <c r="H856" s="300"/>
      <c r="I856" s="300"/>
      <c r="J856" s="300"/>
      <c r="K856" s="300"/>
      <c r="L856" s="300"/>
      <c r="M856" s="300"/>
      <c r="N856" s="300"/>
      <c r="O856" s="300"/>
      <c r="P856" s="300"/>
      <c r="Q856" s="300"/>
      <c r="R856" s="300"/>
      <c r="S856" s="300"/>
      <c r="T856" s="300"/>
      <c r="U856" s="300"/>
      <c r="V856" s="300"/>
      <c r="W856" s="300"/>
      <c r="X856" s="300"/>
      <c r="Y856" s="300"/>
      <c r="Z856" s="300"/>
      <c r="AA856" s="301"/>
    </row>
    <row r="857" spans="1:27">
      <c r="A857" s="319"/>
      <c r="B857" s="351"/>
      <c r="C857" s="381"/>
      <c r="D857" s="369"/>
      <c r="E857" s="369"/>
      <c r="F857" s="300"/>
      <c r="G857" s="300"/>
      <c r="H857" s="300"/>
      <c r="I857" s="300"/>
      <c r="J857" s="300"/>
      <c r="K857" s="300"/>
      <c r="L857" s="300"/>
      <c r="M857" s="300"/>
      <c r="N857" s="300"/>
      <c r="O857" s="300"/>
      <c r="P857" s="300"/>
      <c r="Q857" s="300"/>
      <c r="R857" s="300"/>
      <c r="S857" s="300"/>
      <c r="T857" s="300"/>
      <c r="U857" s="300"/>
      <c r="V857" s="300"/>
      <c r="W857" s="300"/>
      <c r="X857" s="300"/>
      <c r="Y857" s="300"/>
      <c r="Z857" s="300"/>
      <c r="AA857" s="301"/>
    </row>
    <row r="858" spans="1:27">
      <c r="A858" s="319"/>
      <c r="B858" s="351"/>
      <c r="C858" s="381"/>
      <c r="D858" s="369"/>
      <c r="E858" s="369"/>
      <c r="F858" s="300"/>
      <c r="G858" s="300"/>
      <c r="H858" s="300"/>
      <c r="I858" s="300"/>
      <c r="J858" s="300"/>
      <c r="K858" s="300"/>
      <c r="L858" s="300"/>
      <c r="M858" s="300"/>
      <c r="N858" s="300"/>
      <c r="O858" s="300"/>
      <c r="P858" s="300"/>
      <c r="Q858" s="300"/>
      <c r="R858" s="300"/>
      <c r="S858" s="300"/>
      <c r="T858" s="300"/>
      <c r="U858" s="300"/>
      <c r="V858" s="300"/>
      <c r="W858" s="300"/>
      <c r="X858" s="300"/>
      <c r="Y858" s="300"/>
      <c r="Z858" s="300"/>
      <c r="AA858" s="301"/>
    </row>
    <row r="859" spans="1:27">
      <c r="A859" s="319"/>
      <c r="B859" s="351"/>
      <c r="C859" s="381"/>
      <c r="D859" s="369"/>
      <c r="E859" s="369"/>
      <c r="F859" s="300"/>
      <c r="G859" s="300"/>
      <c r="H859" s="300"/>
      <c r="I859" s="300"/>
      <c r="J859" s="300"/>
      <c r="K859" s="300"/>
      <c r="L859" s="300"/>
      <c r="M859" s="300"/>
      <c r="N859" s="300"/>
      <c r="O859" s="300"/>
      <c r="P859" s="300"/>
      <c r="Q859" s="300"/>
      <c r="R859" s="300"/>
      <c r="S859" s="300"/>
      <c r="T859" s="300"/>
      <c r="U859" s="300"/>
      <c r="V859" s="300"/>
      <c r="W859" s="300"/>
      <c r="X859" s="300"/>
      <c r="Y859" s="300"/>
      <c r="Z859" s="300"/>
      <c r="AA859" s="301"/>
    </row>
    <row r="860" spans="1:27">
      <c r="A860" s="319"/>
      <c r="B860" s="351"/>
      <c r="C860" s="381"/>
      <c r="D860" s="369"/>
      <c r="E860" s="369"/>
      <c r="F860" s="300"/>
      <c r="G860" s="300"/>
      <c r="H860" s="300"/>
      <c r="I860" s="300"/>
      <c r="J860" s="300"/>
      <c r="K860" s="300"/>
      <c r="L860" s="300"/>
      <c r="M860" s="300"/>
      <c r="N860" s="300"/>
      <c r="O860" s="300"/>
      <c r="P860" s="300"/>
      <c r="Q860" s="300"/>
      <c r="R860" s="300"/>
      <c r="S860" s="300"/>
      <c r="T860" s="300"/>
      <c r="U860" s="300"/>
      <c r="V860" s="300"/>
      <c r="W860" s="300"/>
      <c r="X860" s="300"/>
      <c r="Y860" s="300"/>
      <c r="Z860" s="300"/>
      <c r="AA860" s="301"/>
    </row>
    <row r="861" spans="1:27">
      <c r="A861" s="319"/>
      <c r="B861" s="351"/>
      <c r="C861" s="381"/>
      <c r="D861" s="369"/>
      <c r="E861" s="369"/>
      <c r="F861" s="300"/>
      <c r="G861" s="300"/>
      <c r="H861" s="300"/>
      <c r="I861" s="300"/>
      <c r="J861" s="300"/>
      <c r="K861" s="300"/>
      <c r="L861" s="300"/>
      <c r="M861" s="300"/>
      <c r="N861" s="300"/>
      <c r="O861" s="300"/>
      <c r="P861" s="300"/>
      <c r="Q861" s="300"/>
      <c r="R861" s="300"/>
      <c r="S861" s="300"/>
      <c r="T861" s="300"/>
      <c r="U861" s="300"/>
      <c r="V861" s="300"/>
      <c r="W861" s="300"/>
      <c r="X861" s="300"/>
      <c r="Y861" s="300"/>
      <c r="Z861" s="300"/>
      <c r="AA861" s="301"/>
    </row>
    <row r="862" spans="1:27">
      <c r="A862" s="319"/>
      <c r="B862" s="351"/>
      <c r="C862" s="381"/>
      <c r="D862" s="369"/>
      <c r="E862" s="369"/>
      <c r="F862" s="300"/>
      <c r="G862" s="300"/>
      <c r="H862" s="300"/>
      <c r="I862" s="300"/>
      <c r="J862" s="300"/>
      <c r="K862" s="300"/>
      <c r="L862" s="300"/>
      <c r="M862" s="300"/>
      <c r="N862" s="300"/>
      <c r="O862" s="300"/>
      <c r="P862" s="300"/>
      <c r="Q862" s="300"/>
      <c r="R862" s="300"/>
      <c r="S862" s="300"/>
      <c r="T862" s="300"/>
      <c r="U862" s="300"/>
      <c r="V862" s="300"/>
      <c r="W862" s="300"/>
      <c r="X862" s="300"/>
      <c r="Y862" s="300"/>
      <c r="Z862" s="300"/>
      <c r="AA862" s="301"/>
    </row>
    <row r="863" spans="1:27">
      <c r="A863" s="319"/>
      <c r="B863" s="351"/>
      <c r="C863" s="381"/>
      <c r="D863" s="369"/>
      <c r="E863" s="369"/>
      <c r="F863" s="300"/>
      <c r="G863" s="300"/>
      <c r="H863" s="300"/>
      <c r="I863" s="300"/>
      <c r="J863" s="300"/>
      <c r="K863" s="300"/>
      <c r="L863" s="300"/>
      <c r="M863" s="300"/>
      <c r="N863" s="300"/>
      <c r="O863" s="300"/>
      <c r="P863" s="300"/>
      <c r="Q863" s="300"/>
      <c r="R863" s="300"/>
      <c r="S863" s="300"/>
      <c r="T863" s="300"/>
      <c r="U863" s="300"/>
      <c r="V863" s="300"/>
      <c r="W863" s="300"/>
      <c r="X863" s="300"/>
      <c r="Y863" s="300"/>
      <c r="Z863" s="300"/>
      <c r="AA863" s="301"/>
    </row>
    <row r="864" spans="1:27">
      <c r="A864" s="319"/>
      <c r="B864" s="351"/>
      <c r="C864" s="381"/>
      <c r="D864" s="369"/>
      <c r="E864" s="369"/>
      <c r="F864" s="300"/>
      <c r="G864" s="300"/>
      <c r="H864" s="300"/>
      <c r="I864" s="300"/>
      <c r="J864" s="300"/>
      <c r="K864" s="300"/>
      <c r="L864" s="300"/>
      <c r="M864" s="300"/>
      <c r="N864" s="300"/>
      <c r="O864" s="300"/>
      <c r="P864" s="300"/>
      <c r="Q864" s="300"/>
      <c r="R864" s="300"/>
      <c r="S864" s="300"/>
      <c r="T864" s="300"/>
      <c r="U864" s="300"/>
      <c r="V864" s="300"/>
      <c r="W864" s="300"/>
      <c r="X864" s="300"/>
      <c r="Y864" s="300"/>
      <c r="Z864" s="300"/>
      <c r="AA864" s="301"/>
    </row>
    <row r="865" spans="1:27">
      <c r="A865" s="319"/>
      <c r="B865" s="351"/>
      <c r="C865" s="381"/>
      <c r="D865" s="369"/>
      <c r="E865" s="369"/>
      <c r="F865" s="300"/>
      <c r="G865" s="300"/>
      <c r="H865" s="300"/>
      <c r="I865" s="300"/>
      <c r="J865" s="300"/>
      <c r="K865" s="300"/>
      <c r="L865" s="300"/>
      <c r="M865" s="300"/>
      <c r="N865" s="300"/>
      <c r="O865" s="300"/>
      <c r="P865" s="300"/>
      <c r="Q865" s="300"/>
      <c r="R865" s="300"/>
      <c r="S865" s="300"/>
      <c r="T865" s="300"/>
      <c r="U865" s="300"/>
      <c r="V865" s="300"/>
      <c r="W865" s="300"/>
      <c r="X865" s="300"/>
      <c r="Y865" s="300"/>
      <c r="Z865" s="300"/>
      <c r="AA865" s="301"/>
    </row>
    <row r="866" spans="1:27">
      <c r="A866" s="319"/>
      <c r="B866" s="351"/>
      <c r="C866" s="381"/>
      <c r="D866" s="369"/>
      <c r="E866" s="369"/>
      <c r="F866" s="300"/>
      <c r="G866" s="300"/>
      <c r="H866" s="300"/>
      <c r="I866" s="300"/>
      <c r="J866" s="300"/>
      <c r="K866" s="300"/>
      <c r="L866" s="300"/>
      <c r="M866" s="300"/>
      <c r="N866" s="300"/>
      <c r="O866" s="300"/>
      <c r="P866" s="300"/>
      <c r="Q866" s="300"/>
      <c r="R866" s="300"/>
      <c r="S866" s="300"/>
      <c r="T866" s="300"/>
      <c r="U866" s="300"/>
      <c r="V866" s="300"/>
      <c r="W866" s="300"/>
      <c r="X866" s="300"/>
      <c r="Y866" s="300"/>
      <c r="Z866" s="300"/>
      <c r="AA866" s="301"/>
    </row>
    <row r="867" spans="1:27">
      <c r="A867" s="319"/>
      <c r="B867" s="351"/>
      <c r="C867" s="381"/>
      <c r="D867" s="369"/>
      <c r="E867" s="369"/>
      <c r="F867" s="300"/>
      <c r="G867" s="300"/>
      <c r="H867" s="300"/>
      <c r="I867" s="300"/>
      <c r="J867" s="300"/>
      <c r="K867" s="300"/>
      <c r="L867" s="300"/>
      <c r="M867" s="300"/>
      <c r="N867" s="300"/>
      <c r="O867" s="300"/>
      <c r="P867" s="300"/>
      <c r="Q867" s="300"/>
      <c r="R867" s="300"/>
      <c r="S867" s="300"/>
      <c r="T867" s="300"/>
      <c r="U867" s="300"/>
      <c r="V867" s="300"/>
      <c r="W867" s="300"/>
      <c r="X867" s="300"/>
      <c r="Y867" s="300"/>
      <c r="Z867" s="300"/>
      <c r="AA867" s="301"/>
    </row>
    <row r="868" spans="1:27">
      <c r="A868" s="319"/>
      <c r="B868" s="351"/>
      <c r="C868" s="381"/>
      <c r="D868" s="369"/>
      <c r="E868" s="369"/>
      <c r="F868" s="300"/>
      <c r="G868" s="300"/>
      <c r="H868" s="300"/>
      <c r="I868" s="300"/>
      <c r="J868" s="300"/>
      <c r="K868" s="300"/>
      <c r="L868" s="300"/>
      <c r="M868" s="300"/>
      <c r="N868" s="300"/>
      <c r="O868" s="300"/>
      <c r="P868" s="300"/>
      <c r="Q868" s="300"/>
      <c r="R868" s="300"/>
      <c r="S868" s="300"/>
      <c r="T868" s="300"/>
      <c r="U868" s="300"/>
      <c r="V868" s="300"/>
      <c r="W868" s="300"/>
      <c r="X868" s="300"/>
      <c r="Y868" s="300"/>
      <c r="Z868" s="300"/>
      <c r="AA868" s="301"/>
    </row>
    <row r="869" spans="1:27">
      <c r="A869" s="319"/>
      <c r="B869" s="351"/>
      <c r="C869" s="381"/>
      <c r="D869" s="369"/>
      <c r="E869" s="369"/>
      <c r="F869" s="300"/>
      <c r="G869" s="300"/>
      <c r="H869" s="300"/>
      <c r="I869" s="300"/>
      <c r="J869" s="300"/>
      <c r="K869" s="300"/>
      <c r="L869" s="300"/>
      <c r="M869" s="300"/>
      <c r="N869" s="300"/>
      <c r="O869" s="300"/>
      <c r="P869" s="300"/>
      <c r="Q869" s="300"/>
      <c r="R869" s="300"/>
      <c r="S869" s="300"/>
      <c r="T869" s="300"/>
      <c r="U869" s="300"/>
      <c r="V869" s="300"/>
      <c r="W869" s="300"/>
      <c r="X869" s="300"/>
      <c r="Y869" s="300"/>
      <c r="Z869" s="300"/>
      <c r="AA869" s="301"/>
    </row>
    <row r="870" spans="1:27">
      <c r="A870" s="319"/>
      <c r="B870" s="351"/>
      <c r="C870" s="381"/>
      <c r="D870" s="369"/>
      <c r="E870" s="369"/>
      <c r="F870" s="300"/>
      <c r="G870" s="300"/>
      <c r="H870" s="300"/>
      <c r="I870" s="300"/>
      <c r="J870" s="300"/>
      <c r="K870" s="300"/>
      <c r="L870" s="300"/>
      <c r="M870" s="300"/>
      <c r="N870" s="300"/>
      <c r="O870" s="300"/>
      <c r="P870" s="300"/>
      <c r="Q870" s="300"/>
      <c r="R870" s="300"/>
      <c r="S870" s="300"/>
      <c r="T870" s="300"/>
      <c r="U870" s="300"/>
      <c r="V870" s="300"/>
      <c r="W870" s="300"/>
      <c r="X870" s="300"/>
      <c r="Y870" s="300"/>
      <c r="Z870" s="300"/>
      <c r="AA870" s="301"/>
    </row>
    <row r="871" spans="1:27">
      <c r="A871" s="319"/>
      <c r="B871" s="351"/>
      <c r="C871" s="381"/>
      <c r="D871" s="369"/>
      <c r="E871" s="369"/>
      <c r="F871" s="300"/>
      <c r="G871" s="300"/>
      <c r="H871" s="300"/>
      <c r="I871" s="300"/>
      <c r="J871" s="300"/>
      <c r="K871" s="300"/>
      <c r="L871" s="300"/>
      <c r="M871" s="300"/>
      <c r="N871" s="300"/>
      <c r="O871" s="300"/>
      <c r="P871" s="300"/>
      <c r="Q871" s="300"/>
      <c r="R871" s="300"/>
      <c r="S871" s="300"/>
      <c r="T871" s="300"/>
      <c r="U871" s="300"/>
      <c r="V871" s="300"/>
      <c r="W871" s="300"/>
      <c r="X871" s="300"/>
      <c r="Y871" s="300"/>
      <c r="Z871" s="300"/>
      <c r="AA871" s="301"/>
    </row>
    <row r="872" spans="1:27">
      <c r="A872" s="319"/>
      <c r="B872" s="351"/>
      <c r="C872" s="381"/>
      <c r="D872" s="369"/>
      <c r="E872" s="369"/>
      <c r="F872" s="300"/>
      <c r="G872" s="300"/>
      <c r="H872" s="300"/>
      <c r="I872" s="300"/>
      <c r="J872" s="300"/>
      <c r="K872" s="300"/>
      <c r="L872" s="300"/>
      <c r="M872" s="300"/>
      <c r="N872" s="300"/>
      <c r="O872" s="300"/>
      <c r="P872" s="300"/>
      <c r="Q872" s="300"/>
      <c r="R872" s="300"/>
      <c r="S872" s="300"/>
      <c r="T872" s="300"/>
      <c r="U872" s="300"/>
      <c r="V872" s="300"/>
      <c r="W872" s="300"/>
      <c r="X872" s="300"/>
      <c r="Y872" s="300"/>
      <c r="Z872" s="300"/>
      <c r="AA872" s="301"/>
    </row>
    <row r="873" spans="1:27">
      <c r="A873" s="319"/>
      <c r="B873" s="351"/>
      <c r="C873" s="381"/>
      <c r="D873" s="369"/>
      <c r="E873" s="369"/>
      <c r="F873" s="300"/>
      <c r="G873" s="300"/>
      <c r="H873" s="300"/>
      <c r="I873" s="300"/>
      <c r="J873" s="300"/>
      <c r="K873" s="300"/>
      <c r="L873" s="300"/>
      <c r="M873" s="300"/>
      <c r="N873" s="300"/>
      <c r="O873" s="300"/>
      <c r="P873" s="300"/>
      <c r="Q873" s="300"/>
      <c r="R873" s="300"/>
      <c r="S873" s="300"/>
      <c r="T873" s="300"/>
      <c r="U873" s="300"/>
      <c r="V873" s="300"/>
      <c r="W873" s="300"/>
      <c r="X873" s="300"/>
      <c r="Y873" s="300"/>
      <c r="Z873" s="300"/>
      <c r="AA873" s="301"/>
    </row>
    <row r="874" spans="1:27">
      <c r="A874" s="319"/>
      <c r="B874" s="351"/>
      <c r="C874" s="381"/>
      <c r="D874" s="369"/>
      <c r="E874" s="369"/>
      <c r="F874" s="300"/>
      <c r="G874" s="300"/>
      <c r="H874" s="300"/>
      <c r="I874" s="300"/>
      <c r="J874" s="300"/>
      <c r="K874" s="300"/>
      <c r="L874" s="300"/>
      <c r="M874" s="300"/>
      <c r="N874" s="300"/>
      <c r="O874" s="300"/>
      <c r="P874" s="300"/>
      <c r="Q874" s="300"/>
      <c r="R874" s="300"/>
      <c r="S874" s="300"/>
      <c r="T874" s="300"/>
      <c r="U874" s="300"/>
      <c r="V874" s="300"/>
      <c r="W874" s="300"/>
      <c r="X874" s="300"/>
      <c r="Y874" s="300"/>
      <c r="Z874" s="300"/>
      <c r="AA874" s="301"/>
    </row>
    <row r="875" spans="1:27">
      <c r="A875" s="319"/>
      <c r="B875" s="351"/>
      <c r="C875" s="381"/>
      <c r="D875" s="369"/>
      <c r="E875" s="369"/>
      <c r="F875" s="300"/>
      <c r="G875" s="300"/>
      <c r="H875" s="300"/>
      <c r="I875" s="300"/>
      <c r="J875" s="300"/>
      <c r="K875" s="300"/>
      <c r="L875" s="300"/>
      <c r="M875" s="300"/>
      <c r="N875" s="300"/>
      <c r="O875" s="300"/>
      <c r="P875" s="300"/>
      <c r="Q875" s="300"/>
      <c r="R875" s="300"/>
      <c r="S875" s="300"/>
      <c r="T875" s="300"/>
      <c r="U875" s="300"/>
      <c r="V875" s="300"/>
      <c r="W875" s="300"/>
      <c r="X875" s="300"/>
      <c r="Y875" s="300"/>
      <c r="Z875" s="300"/>
      <c r="AA875" s="301"/>
    </row>
    <row r="876" spans="1:27">
      <c r="A876" s="319"/>
      <c r="B876" s="351"/>
      <c r="C876" s="381"/>
      <c r="D876" s="369"/>
      <c r="E876" s="369"/>
      <c r="F876" s="300"/>
      <c r="G876" s="300"/>
      <c r="H876" s="300"/>
      <c r="I876" s="300"/>
      <c r="J876" s="300"/>
      <c r="K876" s="300"/>
      <c r="L876" s="300"/>
      <c r="M876" s="300"/>
      <c r="N876" s="300"/>
      <c r="O876" s="300"/>
      <c r="P876" s="300"/>
      <c r="Q876" s="300"/>
      <c r="R876" s="300"/>
      <c r="S876" s="300"/>
      <c r="T876" s="300"/>
      <c r="U876" s="300"/>
      <c r="V876" s="300"/>
      <c r="W876" s="300"/>
      <c r="X876" s="300"/>
      <c r="Y876" s="300"/>
      <c r="Z876" s="300"/>
      <c r="AA876" s="301"/>
    </row>
    <row r="877" spans="1:27">
      <c r="A877" s="319"/>
      <c r="B877" s="351"/>
      <c r="C877" s="381"/>
      <c r="D877" s="369"/>
      <c r="E877" s="369"/>
      <c r="F877" s="300"/>
      <c r="G877" s="300"/>
      <c r="H877" s="300"/>
      <c r="I877" s="300"/>
      <c r="J877" s="300"/>
      <c r="K877" s="300"/>
      <c r="L877" s="300"/>
      <c r="M877" s="300"/>
      <c r="N877" s="300"/>
      <c r="O877" s="300"/>
      <c r="P877" s="300"/>
      <c r="Q877" s="300"/>
      <c r="R877" s="300"/>
      <c r="S877" s="300"/>
      <c r="T877" s="300"/>
      <c r="U877" s="300"/>
      <c r="V877" s="300"/>
      <c r="W877" s="300"/>
      <c r="X877" s="300"/>
      <c r="Y877" s="300"/>
      <c r="Z877" s="300"/>
      <c r="AA877" s="301"/>
    </row>
    <row r="878" spans="1:27">
      <c r="A878" s="319"/>
      <c r="B878" s="351"/>
      <c r="C878" s="381"/>
      <c r="D878" s="369"/>
      <c r="E878" s="369"/>
      <c r="F878" s="300"/>
      <c r="G878" s="300"/>
      <c r="H878" s="300"/>
      <c r="I878" s="300"/>
      <c r="J878" s="300"/>
      <c r="K878" s="300"/>
      <c r="L878" s="300"/>
      <c r="M878" s="300"/>
      <c r="N878" s="300"/>
      <c r="O878" s="300"/>
      <c r="P878" s="300"/>
      <c r="Q878" s="300"/>
      <c r="R878" s="300"/>
      <c r="S878" s="300"/>
      <c r="T878" s="300"/>
      <c r="U878" s="300"/>
      <c r="V878" s="300"/>
      <c r="W878" s="300"/>
      <c r="X878" s="300"/>
      <c r="Y878" s="300"/>
      <c r="Z878" s="300"/>
      <c r="AA878" s="301"/>
    </row>
    <row r="879" spans="1:27">
      <c r="A879" s="319"/>
      <c r="B879" s="351"/>
      <c r="C879" s="381"/>
      <c r="D879" s="369"/>
      <c r="E879" s="369"/>
      <c r="F879" s="300"/>
      <c r="G879" s="300"/>
      <c r="H879" s="300"/>
      <c r="I879" s="300"/>
      <c r="J879" s="300"/>
      <c r="K879" s="300"/>
      <c r="L879" s="300"/>
      <c r="M879" s="300"/>
      <c r="N879" s="300"/>
      <c r="O879" s="300"/>
      <c r="P879" s="300"/>
      <c r="Q879" s="300"/>
      <c r="R879" s="300"/>
      <c r="S879" s="300"/>
      <c r="T879" s="300"/>
      <c r="U879" s="300"/>
      <c r="V879" s="300"/>
      <c r="W879" s="300"/>
      <c r="X879" s="300"/>
      <c r="Y879" s="300"/>
      <c r="Z879" s="300"/>
      <c r="AA879" s="301"/>
    </row>
    <row r="880" spans="1:27">
      <c r="A880" s="319"/>
      <c r="B880" s="351"/>
      <c r="C880" s="381"/>
      <c r="D880" s="369"/>
      <c r="E880" s="369"/>
      <c r="F880" s="300"/>
      <c r="G880" s="300"/>
      <c r="H880" s="300"/>
      <c r="I880" s="300"/>
      <c r="J880" s="300"/>
      <c r="K880" s="300"/>
      <c r="L880" s="300"/>
      <c r="M880" s="300"/>
      <c r="N880" s="300"/>
      <c r="O880" s="300"/>
      <c r="P880" s="300"/>
      <c r="Q880" s="300"/>
      <c r="R880" s="300"/>
      <c r="S880" s="300"/>
      <c r="T880" s="300"/>
      <c r="U880" s="300"/>
      <c r="V880" s="300"/>
      <c r="W880" s="300"/>
      <c r="X880" s="300"/>
      <c r="Y880" s="300"/>
      <c r="Z880" s="300"/>
      <c r="AA880" s="301"/>
    </row>
    <row r="881" spans="1:27">
      <c r="A881" s="319"/>
      <c r="B881" s="351"/>
      <c r="C881" s="381"/>
      <c r="D881" s="369"/>
      <c r="E881" s="369"/>
      <c r="F881" s="300"/>
      <c r="G881" s="300"/>
      <c r="H881" s="300"/>
      <c r="I881" s="300"/>
      <c r="J881" s="300"/>
      <c r="K881" s="300"/>
      <c r="L881" s="300"/>
      <c r="M881" s="300"/>
      <c r="N881" s="300"/>
      <c r="O881" s="300"/>
      <c r="P881" s="300"/>
      <c r="Q881" s="300"/>
      <c r="R881" s="300"/>
      <c r="S881" s="300"/>
      <c r="T881" s="300"/>
      <c r="U881" s="300"/>
      <c r="V881" s="300"/>
      <c r="W881" s="300"/>
      <c r="X881" s="300"/>
      <c r="Y881" s="300"/>
      <c r="Z881" s="300"/>
      <c r="AA881" s="301"/>
    </row>
    <row r="882" spans="1:27">
      <c r="A882" s="319"/>
      <c r="B882" s="351"/>
      <c r="C882" s="381"/>
      <c r="D882" s="369"/>
      <c r="E882" s="369"/>
      <c r="F882" s="300"/>
      <c r="G882" s="300"/>
      <c r="H882" s="300"/>
      <c r="I882" s="300"/>
      <c r="J882" s="300"/>
      <c r="K882" s="300"/>
      <c r="L882" s="300"/>
      <c r="M882" s="300"/>
      <c r="N882" s="300"/>
      <c r="O882" s="300"/>
      <c r="P882" s="300"/>
      <c r="Q882" s="300"/>
      <c r="R882" s="300"/>
      <c r="S882" s="300"/>
      <c r="T882" s="300"/>
      <c r="U882" s="300"/>
      <c r="V882" s="300"/>
      <c r="W882" s="300"/>
      <c r="X882" s="300"/>
      <c r="Y882" s="300"/>
      <c r="Z882" s="300"/>
      <c r="AA882" s="301"/>
    </row>
    <row r="883" spans="1:27">
      <c r="A883" s="319"/>
      <c r="B883" s="351"/>
      <c r="C883" s="381"/>
      <c r="D883" s="369"/>
      <c r="E883" s="369"/>
      <c r="F883" s="300"/>
      <c r="G883" s="300"/>
      <c r="H883" s="300"/>
      <c r="I883" s="300"/>
      <c r="J883" s="300"/>
      <c r="K883" s="300"/>
      <c r="L883" s="300"/>
      <c r="M883" s="300"/>
      <c r="N883" s="300"/>
      <c r="O883" s="300"/>
      <c r="P883" s="300"/>
      <c r="Q883" s="300"/>
      <c r="R883" s="300"/>
      <c r="S883" s="300"/>
      <c r="T883" s="300"/>
      <c r="U883" s="300"/>
      <c r="V883" s="300"/>
      <c r="W883" s="300"/>
      <c r="X883" s="300"/>
      <c r="Y883" s="300"/>
      <c r="Z883" s="300"/>
      <c r="AA883" s="301"/>
    </row>
    <row r="884" spans="1:27">
      <c r="A884" s="319"/>
      <c r="B884" s="351"/>
      <c r="C884" s="381"/>
      <c r="D884" s="369"/>
      <c r="E884" s="369"/>
      <c r="F884" s="300"/>
      <c r="G884" s="300"/>
      <c r="H884" s="300"/>
      <c r="I884" s="300"/>
      <c r="J884" s="300"/>
      <c r="K884" s="300"/>
      <c r="L884" s="300"/>
      <c r="M884" s="300"/>
      <c r="N884" s="300"/>
      <c r="O884" s="300"/>
      <c r="P884" s="300"/>
      <c r="Q884" s="300"/>
      <c r="R884" s="300"/>
      <c r="S884" s="300"/>
      <c r="T884" s="300"/>
      <c r="U884" s="300"/>
      <c r="V884" s="300"/>
      <c r="W884" s="300"/>
      <c r="X884" s="300"/>
      <c r="Y884" s="300"/>
      <c r="Z884" s="300"/>
      <c r="AA884" s="301"/>
    </row>
    <row r="885" spans="1:27">
      <c r="A885" s="319"/>
      <c r="B885" s="351"/>
      <c r="C885" s="381"/>
      <c r="D885" s="369"/>
      <c r="E885" s="369"/>
      <c r="F885" s="300"/>
      <c r="G885" s="300"/>
      <c r="H885" s="300"/>
      <c r="I885" s="300"/>
      <c r="J885" s="300"/>
      <c r="K885" s="300"/>
      <c r="L885" s="300"/>
      <c r="M885" s="300"/>
      <c r="N885" s="300"/>
      <c r="O885" s="300"/>
      <c r="P885" s="300"/>
      <c r="Q885" s="300"/>
      <c r="R885" s="300"/>
      <c r="S885" s="300"/>
      <c r="T885" s="300"/>
      <c r="U885" s="300"/>
      <c r="V885" s="300"/>
      <c r="W885" s="300"/>
      <c r="X885" s="300"/>
      <c r="Y885" s="300"/>
      <c r="Z885" s="300"/>
      <c r="AA885" s="301"/>
    </row>
    <row r="886" spans="1:27">
      <c r="A886" s="319"/>
      <c r="B886" s="351"/>
      <c r="C886" s="381"/>
      <c r="D886" s="369"/>
      <c r="E886" s="369"/>
      <c r="F886" s="300"/>
      <c r="G886" s="300"/>
      <c r="H886" s="300"/>
      <c r="I886" s="300"/>
      <c r="J886" s="300"/>
      <c r="K886" s="300"/>
      <c r="L886" s="300"/>
      <c r="M886" s="300"/>
      <c r="N886" s="300"/>
      <c r="O886" s="300"/>
      <c r="P886" s="300"/>
      <c r="Q886" s="300"/>
      <c r="R886" s="300"/>
      <c r="S886" s="300"/>
      <c r="T886" s="300"/>
      <c r="U886" s="300"/>
      <c r="V886" s="300"/>
      <c r="W886" s="300"/>
      <c r="X886" s="300"/>
      <c r="Y886" s="300"/>
      <c r="Z886" s="300"/>
      <c r="AA886" s="301"/>
    </row>
    <row r="887" spans="1:27">
      <c r="A887" s="319"/>
      <c r="B887" s="351"/>
      <c r="C887" s="381"/>
      <c r="D887" s="369"/>
      <c r="E887" s="369"/>
      <c r="F887" s="300"/>
      <c r="G887" s="300"/>
      <c r="H887" s="300"/>
      <c r="I887" s="300"/>
      <c r="J887" s="300"/>
      <c r="K887" s="300"/>
      <c r="L887" s="300"/>
      <c r="M887" s="300"/>
      <c r="N887" s="300"/>
      <c r="O887" s="300"/>
      <c r="P887" s="300"/>
      <c r="Q887" s="300"/>
      <c r="R887" s="300"/>
      <c r="S887" s="300"/>
      <c r="T887" s="300"/>
      <c r="U887" s="300"/>
      <c r="V887" s="300"/>
      <c r="W887" s="300"/>
      <c r="X887" s="300"/>
      <c r="Y887" s="300"/>
      <c r="Z887" s="300"/>
      <c r="AA887" s="301"/>
    </row>
    <row r="888" spans="1:27">
      <c r="A888" s="319"/>
      <c r="B888" s="351"/>
      <c r="C888" s="381"/>
      <c r="D888" s="369"/>
      <c r="E888" s="369"/>
      <c r="F888" s="300"/>
      <c r="G888" s="300"/>
      <c r="H888" s="300"/>
      <c r="I888" s="300"/>
      <c r="J888" s="300"/>
      <c r="K888" s="300"/>
      <c r="L888" s="300"/>
      <c r="M888" s="300"/>
      <c r="N888" s="300"/>
      <c r="O888" s="300"/>
      <c r="P888" s="300"/>
      <c r="Q888" s="300"/>
      <c r="R888" s="300"/>
      <c r="S888" s="300"/>
      <c r="T888" s="300"/>
      <c r="U888" s="300"/>
      <c r="V888" s="300"/>
      <c r="W888" s="300"/>
      <c r="X888" s="300"/>
      <c r="Y888" s="300"/>
      <c r="Z888" s="300"/>
      <c r="AA888" s="301"/>
    </row>
    <row r="889" spans="1:27">
      <c r="A889" s="319"/>
      <c r="B889" s="351"/>
      <c r="C889" s="381"/>
      <c r="D889" s="369"/>
      <c r="E889" s="369"/>
      <c r="F889" s="300"/>
      <c r="G889" s="300"/>
      <c r="H889" s="300"/>
      <c r="I889" s="300"/>
      <c r="J889" s="300"/>
      <c r="K889" s="300"/>
      <c r="L889" s="300"/>
      <c r="M889" s="300"/>
      <c r="N889" s="300"/>
      <c r="O889" s="300"/>
      <c r="P889" s="300"/>
      <c r="Q889" s="300"/>
      <c r="R889" s="300"/>
      <c r="S889" s="300"/>
      <c r="T889" s="300"/>
      <c r="U889" s="300"/>
      <c r="V889" s="300"/>
      <c r="W889" s="300"/>
      <c r="X889" s="300"/>
      <c r="Y889" s="300"/>
      <c r="Z889" s="300"/>
      <c r="AA889" s="301"/>
    </row>
    <row r="890" spans="1:27">
      <c r="A890" s="319"/>
      <c r="B890" s="351"/>
      <c r="C890" s="381"/>
      <c r="D890" s="369"/>
      <c r="E890" s="369"/>
      <c r="F890" s="300"/>
      <c r="G890" s="300"/>
      <c r="H890" s="300"/>
      <c r="I890" s="300"/>
      <c r="J890" s="300"/>
      <c r="K890" s="300"/>
      <c r="L890" s="300"/>
      <c r="M890" s="300"/>
      <c r="N890" s="300"/>
      <c r="O890" s="300"/>
      <c r="P890" s="300"/>
      <c r="Q890" s="300"/>
      <c r="R890" s="300"/>
      <c r="S890" s="300"/>
      <c r="T890" s="300"/>
      <c r="U890" s="300"/>
      <c r="V890" s="300"/>
      <c r="W890" s="300"/>
      <c r="X890" s="300"/>
      <c r="Y890" s="300"/>
      <c r="Z890" s="300"/>
      <c r="AA890" s="301"/>
    </row>
    <row r="891" spans="1:27">
      <c r="A891" s="319"/>
      <c r="B891" s="351"/>
      <c r="C891" s="381"/>
      <c r="D891" s="369"/>
      <c r="E891" s="369"/>
      <c r="F891" s="300"/>
      <c r="G891" s="300"/>
      <c r="H891" s="300"/>
      <c r="I891" s="300"/>
      <c r="J891" s="300"/>
      <c r="K891" s="300"/>
      <c r="L891" s="300"/>
      <c r="M891" s="300"/>
      <c r="N891" s="300"/>
      <c r="O891" s="300"/>
      <c r="P891" s="300"/>
      <c r="Q891" s="300"/>
      <c r="R891" s="300"/>
      <c r="S891" s="300"/>
      <c r="T891" s="300"/>
      <c r="U891" s="300"/>
      <c r="V891" s="300"/>
      <c r="W891" s="300"/>
      <c r="X891" s="300"/>
      <c r="Y891" s="300"/>
      <c r="Z891" s="300"/>
      <c r="AA891" s="301"/>
    </row>
    <row r="892" spans="1:27">
      <c r="A892" s="319"/>
      <c r="B892" s="351"/>
      <c r="C892" s="381"/>
      <c r="D892" s="369"/>
      <c r="E892" s="369"/>
      <c r="F892" s="300"/>
      <c r="G892" s="300"/>
      <c r="H892" s="300"/>
      <c r="I892" s="300"/>
      <c r="J892" s="300"/>
      <c r="K892" s="300"/>
      <c r="L892" s="300"/>
      <c r="M892" s="300"/>
      <c r="N892" s="300"/>
      <c r="O892" s="300"/>
      <c r="P892" s="300"/>
      <c r="Q892" s="300"/>
      <c r="R892" s="300"/>
      <c r="S892" s="300"/>
      <c r="T892" s="300"/>
      <c r="U892" s="300"/>
      <c r="V892" s="300"/>
      <c r="W892" s="300"/>
      <c r="X892" s="300"/>
      <c r="Y892" s="300"/>
      <c r="Z892" s="300"/>
      <c r="AA892" s="301"/>
    </row>
    <row r="893" spans="1:27">
      <c r="A893" s="319"/>
      <c r="B893" s="351"/>
      <c r="C893" s="381"/>
      <c r="D893" s="369"/>
      <c r="E893" s="369"/>
      <c r="F893" s="300"/>
      <c r="G893" s="300"/>
      <c r="H893" s="300"/>
      <c r="I893" s="300"/>
      <c r="J893" s="300"/>
      <c r="K893" s="300"/>
      <c r="L893" s="300"/>
      <c r="M893" s="300"/>
      <c r="N893" s="300"/>
      <c r="O893" s="300"/>
      <c r="P893" s="300"/>
      <c r="Q893" s="300"/>
      <c r="R893" s="300"/>
      <c r="S893" s="300"/>
      <c r="T893" s="300"/>
      <c r="U893" s="300"/>
      <c r="V893" s="300"/>
      <c r="W893" s="300"/>
      <c r="X893" s="300"/>
      <c r="Y893" s="300"/>
      <c r="Z893" s="300"/>
      <c r="AA893" s="301"/>
    </row>
    <row r="894" spans="1:27">
      <c r="A894" s="319"/>
      <c r="B894" s="351"/>
      <c r="C894" s="381"/>
      <c r="D894" s="369"/>
      <c r="E894" s="369"/>
      <c r="F894" s="300"/>
      <c r="G894" s="300"/>
      <c r="H894" s="300"/>
      <c r="I894" s="300"/>
      <c r="J894" s="300"/>
      <c r="K894" s="300"/>
      <c r="L894" s="300"/>
      <c r="M894" s="300"/>
      <c r="N894" s="300"/>
      <c r="O894" s="300"/>
      <c r="P894" s="300"/>
      <c r="Q894" s="300"/>
      <c r="R894" s="300"/>
      <c r="S894" s="300"/>
      <c r="T894" s="300"/>
      <c r="U894" s="300"/>
      <c r="V894" s="300"/>
      <c r="W894" s="300"/>
      <c r="X894" s="300"/>
      <c r="Y894" s="300"/>
      <c r="Z894" s="300"/>
      <c r="AA894" s="301"/>
    </row>
    <row r="895" spans="1:27">
      <c r="A895" s="319"/>
      <c r="B895" s="351"/>
      <c r="C895" s="381"/>
      <c r="D895" s="369"/>
      <c r="E895" s="369"/>
      <c r="F895" s="300"/>
      <c r="G895" s="300"/>
      <c r="H895" s="300"/>
      <c r="I895" s="300"/>
      <c r="J895" s="300"/>
      <c r="K895" s="300"/>
      <c r="L895" s="300"/>
      <c r="M895" s="300"/>
      <c r="N895" s="300"/>
      <c r="O895" s="300"/>
      <c r="P895" s="300"/>
      <c r="Q895" s="300"/>
      <c r="R895" s="300"/>
      <c r="S895" s="300"/>
      <c r="T895" s="300"/>
      <c r="U895" s="300"/>
      <c r="V895" s="300"/>
      <c r="W895" s="300"/>
      <c r="X895" s="300"/>
      <c r="Y895" s="300"/>
      <c r="Z895" s="300"/>
      <c r="AA895" s="301"/>
    </row>
    <row r="896" spans="1:27">
      <c r="A896" s="319"/>
      <c r="B896" s="351"/>
      <c r="C896" s="381"/>
      <c r="D896" s="369"/>
      <c r="E896" s="369"/>
      <c r="F896" s="300"/>
      <c r="G896" s="300"/>
      <c r="H896" s="300"/>
      <c r="I896" s="300"/>
      <c r="J896" s="300"/>
      <c r="K896" s="300"/>
      <c r="L896" s="300"/>
      <c r="M896" s="300"/>
      <c r="N896" s="300"/>
      <c r="O896" s="300"/>
      <c r="P896" s="300"/>
      <c r="Q896" s="300"/>
      <c r="R896" s="300"/>
      <c r="S896" s="300"/>
      <c r="T896" s="300"/>
      <c r="U896" s="300"/>
      <c r="V896" s="300"/>
      <c r="W896" s="300"/>
      <c r="X896" s="300"/>
      <c r="Y896" s="300"/>
      <c r="Z896" s="300"/>
      <c r="AA896" s="301"/>
    </row>
    <row r="897" spans="1:27">
      <c r="A897" s="319"/>
      <c r="B897" s="351"/>
      <c r="C897" s="381"/>
      <c r="D897" s="369"/>
      <c r="E897" s="369"/>
      <c r="F897" s="300"/>
      <c r="G897" s="300"/>
      <c r="H897" s="300"/>
      <c r="I897" s="300"/>
      <c r="J897" s="300"/>
      <c r="K897" s="300"/>
      <c r="L897" s="300"/>
      <c r="M897" s="300"/>
      <c r="N897" s="300"/>
      <c r="O897" s="300"/>
      <c r="P897" s="300"/>
      <c r="Q897" s="300"/>
      <c r="R897" s="300"/>
      <c r="S897" s="300"/>
      <c r="T897" s="300"/>
      <c r="U897" s="300"/>
      <c r="V897" s="300"/>
      <c r="W897" s="300"/>
      <c r="X897" s="300"/>
      <c r="Y897" s="300"/>
      <c r="Z897" s="300"/>
      <c r="AA897" s="301"/>
    </row>
    <row r="898" spans="1:27">
      <c r="A898" s="319"/>
      <c r="B898" s="351"/>
      <c r="C898" s="381"/>
      <c r="D898" s="369"/>
      <c r="E898" s="369"/>
      <c r="F898" s="300"/>
      <c r="G898" s="300"/>
      <c r="H898" s="300"/>
      <c r="I898" s="300"/>
      <c r="J898" s="300"/>
      <c r="K898" s="300"/>
      <c r="L898" s="300"/>
      <c r="M898" s="300"/>
      <c r="N898" s="300"/>
      <c r="O898" s="300"/>
      <c r="P898" s="300"/>
      <c r="Q898" s="300"/>
      <c r="R898" s="300"/>
      <c r="S898" s="300"/>
      <c r="T898" s="300"/>
      <c r="U898" s="300"/>
      <c r="V898" s="300"/>
      <c r="W898" s="300"/>
      <c r="X898" s="300"/>
      <c r="Y898" s="300"/>
      <c r="Z898" s="300"/>
      <c r="AA898" s="301"/>
    </row>
    <row r="899" spans="1:27">
      <c r="A899" s="319"/>
      <c r="B899" s="351"/>
      <c r="C899" s="381"/>
      <c r="D899" s="369"/>
      <c r="E899" s="369"/>
      <c r="F899" s="300"/>
      <c r="G899" s="300"/>
      <c r="H899" s="300"/>
      <c r="I899" s="300"/>
      <c r="J899" s="300"/>
      <c r="K899" s="300"/>
      <c r="L899" s="300"/>
      <c r="M899" s="300"/>
      <c r="N899" s="300"/>
      <c r="O899" s="300"/>
      <c r="P899" s="300"/>
      <c r="Q899" s="300"/>
      <c r="R899" s="300"/>
      <c r="S899" s="300"/>
      <c r="T899" s="300"/>
      <c r="U899" s="300"/>
      <c r="V899" s="300"/>
      <c r="W899" s="300"/>
      <c r="X899" s="300"/>
      <c r="Y899" s="300"/>
      <c r="Z899" s="300"/>
      <c r="AA899" s="301"/>
    </row>
    <row r="900" spans="1:27">
      <c r="A900" s="319"/>
      <c r="B900" s="351"/>
      <c r="C900" s="381"/>
      <c r="D900" s="369"/>
      <c r="E900" s="369"/>
      <c r="F900" s="300"/>
      <c r="G900" s="300"/>
      <c r="H900" s="300"/>
      <c r="I900" s="300"/>
      <c r="J900" s="300"/>
      <c r="K900" s="300"/>
      <c r="L900" s="300"/>
      <c r="M900" s="300"/>
      <c r="N900" s="300"/>
      <c r="O900" s="300"/>
      <c r="P900" s="300"/>
      <c r="Q900" s="300"/>
      <c r="R900" s="300"/>
      <c r="S900" s="300"/>
      <c r="T900" s="300"/>
      <c r="U900" s="300"/>
      <c r="V900" s="300"/>
      <c r="W900" s="300"/>
      <c r="X900" s="300"/>
      <c r="Y900" s="300"/>
      <c r="Z900" s="300"/>
      <c r="AA900" s="301"/>
    </row>
    <row r="901" spans="1:27">
      <c r="A901" s="319"/>
      <c r="B901" s="351"/>
      <c r="C901" s="381"/>
      <c r="D901" s="369"/>
      <c r="E901" s="369"/>
      <c r="F901" s="300"/>
      <c r="G901" s="300"/>
      <c r="H901" s="300"/>
      <c r="I901" s="300"/>
      <c r="J901" s="300"/>
      <c r="K901" s="300"/>
      <c r="L901" s="300"/>
      <c r="M901" s="300"/>
      <c r="N901" s="300"/>
      <c r="O901" s="300"/>
      <c r="P901" s="300"/>
      <c r="Q901" s="300"/>
      <c r="R901" s="300"/>
      <c r="S901" s="300"/>
      <c r="T901" s="300"/>
      <c r="U901" s="300"/>
      <c r="V901" s="300"/>
      <c r="W901" s="300"/>
      <c r="X901" s="300"/>
      <c r="Y901" s="300"/>
      <c r="Z901" s="300"/>
      <c r="AA901" s="301"/>
    </row>
    <row r="902" spans="1:27">
      <c r="A902" s="319"/>
      <c r="B902" s="351"/>
      <c r="C902" s="381"/>
      <c r="D902" s="369"/>
      <c r="E902" s="369"/>
      <c r="F902" s="300"/>
      <c r="G902" s="300"/>
      <c r="H902" s="300"/>
      <c r="I902" s="300"/>
      <c r="J902" s="300"/>
      <c r="K902" s="300"/>
      <c r="L902" s="300"/>
      <c r="M902" s="300"/>
      <c r="N902" s="300"/>
      <c r="O902" s="300"/>
      <c r="P902" s="300"/>
      <c r="Q902" s="300"/>
      <c r="R902" s="300"/>
      <c r="S902" s="300"/>
      <c r="T902" s="300"/>
      <c r="U902" s="300"/>
      <c r="V902" s="300"/>
      <c r="W902" s="300"/>
      <c r="X902" s="300"/>
      <c r="Y902" s="300"/>
      <c r="Z902" s="300"/>
      <c r="AA902" s="301"/>
    </row>
    <row r="903" spans="1:27">
      <c r="A903" s="319"/>
      <c r="B903" s="351"/>
      <c r="C903" s="381"/>
      <c r="D903" s="369"/>
      <c r="E903" s="369"/>
      <c r="F903" s="300"/>
      <c r="G903" s="300"/>
      <c r="H903" s="300"/>
      <c r="I903" s="300"/>
      <c r="J903" s="300"/>
      <c r="K903" s="300"/>
      <c r="L903" s="300"/>
      <c r="M903" s="300"/>
      <c r="N903" s="300"/>
      <c r="O903" s="300"/>
      <c r="P903" s="300"/>
      <c r="Q903" s="300"/>
      <c r="R903" s="300"/>
      <c r="S903" s="300"/>
      <c r="T903" s="300"/>
      <c r="U903" s="300"/>
      <c r="V903" s="300"/>
      <c r="W903" s="300"/>
      <c r="X903" s="300"/>
      <c r="Y903" s="300"/>
      <c r="Z903" s="300"/>
      <c r="AA903" s="301"/>
    </row>
    <row r="904" spans="1:27">
      <c r="A904" s="319"/>
      <c r="B904" s="351"/>
      <c r="C904" s="381"/>
      <c r="D904" s="369"/>
      <c r="E904" s="369"/>
      <c r="F904" s="300"/>
      <c r="G904" s="300"/>
      <c r="H904" s="300"/>
      <c r="I904" s="300"/>
      <c r="J904" s="300"/>
      <c r="K904" s="300"/>
      <c r="L904" s="300"/>
      <c r="M904" s="300"/>
      <c r="N904" s="300"/>
      <c r="O904" s="300"/>
      <c r="P904" s="300"/>
      <c r="Q904" s="300"/>
      <c r="R904" s="300"/>
      <c r="S904" s="300"/>
      <c r="T904" s="300"/>
      <c r="U904" s="300"/>
      <c r="V904" s="300"/>
      <c r="W904" s="300"/>
      <c r="X904" s="300"/>
      <c r="Y904" s="300"/>
      <c r="Z904" s="300"/>
      <c r="AA904" s="301"/>
    </row>
    <row r="905" spans="1:27">
      <c r="A905" s="319"/>
      <c r="B905" s="351"/>
      <c r="C905" s="381"/>
      <c r="D905" s="369"/>
      <c r="E905" s="369"/>
      <c r="F905" s="300"/>
      <c r="G905" s="300"/>
      <c r="H905" s="300"/>
      <c r="I905" s="300"/>
      <c r="J905" s="300"/>
      <c r="K905" s="300"/>
      <c r="L905" s="300"/>
      <c r="M905" s="300"/>
      <c r="N905" s="300"/>
      <c r="O905" s="300"/>
      <c r="P905" s="300"/>
      <c r="Q905" s="300"/>
      <c r="R905" s="300"/>
      <c r="S905" s="300"/>
      <c r="T905" s="300"/>
      <c r="U905" s="300"/>
      <c r="V905" s="300"/>
      <c r="W905" s="300"/>
      <c r="X905" s="300"/>
      <c r="Y905" s="300"/>
      <c r="Z905" s="300"/>
      <c r="AA905" s="301"/>
    </row>
    <row r="906" spans="1:27">
      <c r="A906" s="319"/>
      <c r="B906" s="351"/>
      <c r="C906" s="381"/>
      <c r="D906" s="369"/>
      <c r="E906" s="369"/>
      <c r="F906" s="300"/>
      <c r="G906" s="300"/>
      <c r="H906" s="300"/>
      <c r="I906" s="300"/>
      <c r="J906" s="300"/>
      <c r="K906" s="300"/>
      <c r="L906" s="300"/>
      <c r="M906" s="300"/>
      <c r="N906" s="300"/>
      <c r="O906" s="300"/>
      <c r="P906" s="300"/>
      <c r="Q906" s="300"/>
      <c r="R906" s="300"/>
      <c r="S906" s="300"/>
      <c r="T906" s="300"/>
      <c r="U906" s="300"/>
      <c r="V906" s="300"/>
      <c r="W906" s="300"/>
      <c r="X906" s="300"/>
      <c r="Y906" s="300"/>
      <c r="Z906" s="300"/>
      <c r="AA906" s="301"/>
    </row>
    <row r="907" spans="1:27">
      <c r="A907" s="319"/>
      <c r="B907" s="351"/>
      <c r="C907" s="381"/>
      <c r="D907" s="369"/>
      <c r="E907" s="369"/>
      <c r="F907" s="300"/>
      <c r="G907" s="300"/>
      <c r="H907" s="300"/>
      <c r="I907" s="300"/>
      <c r="J907" s="300"/>
      <c r="K907" s="300"/>
      <c r="L907" s="300"/>
      <c r="M907" s="300"/>
      <c r="N907" s="300"/>
      <c r="O907" s="300"/>
      <c r="P907" s="300"/>
      <c r="Q907" s="300"/>
      <c r="R907" s="300"/>
      <c r="S907" s="300"/>
      <c r="T907" s="300"/>
      <c r="U907" s="300"/>
      <c r="V907" s="300"/>
      <c r="W907" s="300"/>
      <c r="X907" s="300"/>
      <c r="Y907" s="300"/>
      <c r="Z907" s="300"/>
      <c r="AA907" s="301"/>
    </row>
    <row r="908" spans="1:27">
      <c r="A908" s="319"/>
      <c r="B908" s="351"/>
      <c r="C908" s="381"/>
      <c r="D908" s="369"/>
      <c r="E908" s="369"/>
      <c r="F908" s="300"/>
      <c r="G908" s="300"/>
      <c r="H908" s="300"/>
      <c r="I908" s="300"/>
      <c r="J908" s="300"/>
      <c r="K908" s="300"/>
      <c r="L908" s="300"/>
      <c r="M908" s="300"/>
      <c r="N908" s="300"/>
      <c r="O908" s="300"/>
      <c r="P908" s="300"/>
      <c r="Q908" s="300"/>
      <c r="R908" s="300"/>
      <c r="S908" s="300"/>
      <c r="T908" s="300"/>
      <c r="U908" s="300"/>
      <c r="V908" s="300"/>
      <c r="W908" s="300"/>
      <c r="X908" s="300"/>
      <c r="Y908" s="300"/>
      <c r="Z908" s="300"/>
      <c r="AA908" s="301"/>
    </row>
    <row r="909" spans="1:27">
      <c r="A909" s="319"/>
      <c r="B909" s="351"/>
      <c r="C909" s="381"/>
      <c r="D909" s="369"/>
      <c r="E909" s="369"/>
      <c r="F909" s="300"/>
      <c r="G909" s="300"/>
      <c r="H909" s="300"/>
      <c r="I909" s="300"/>
      <c r="J909" s="300"/>
      <c r="K909" s="300"/>
      <c r="L909" s="300"/>
      <c r="M909" s="300"/>
      <c r="N909" s="300"/>
      <c r="O909" s="300"/>
      <c r="P909" s="300"/>
      <c r="Q909" s="300"/>
      <c r="R909" s="300"/>
      <c r="S909" s="300"/>
      <c r="T909" s="300"/>
      <c r="U909" s="300"/>
      <c r="V909" s="300"/>
      <c r="W909" s="300"/>
      <c r="X909" s="300"/>
      <c r="Y909" s="300"/>
      <c r="Z909" s="300"/>
      <c r="AA909" s="301"/>
    </row>
    <row r="910" spans="1:27">
      <c r="A910" s="319"/>
      <c r="B910" s="351"/>
      <c r="C910" s="381"/>
      <c r="D910" s="369"/>
      <c r="E910" s="369"/>
      <c r="F910" s="300"/>
      <c r="G910" s="300"/>
      <c r="H910" s="300"/>
      <c r="I910" s="300"/>
      <c r="J910" s="300"/>
      <c r="K910" s="300"/>
      <c r="L910" s="300"/>
      <c r="M910" s="300"/>
      <c r="N910" s="300"/>
      <c r="O910" s="300"/>
      <c r="P910" s="300"/>
      <c r="Q910" s="300"/>
      <c r="R910" s="300"/>
      <c r="S910" s="300"/>
      <c r="T910" s="300"/>
      <c r="U910" s="300"/>
      <c r="V910" s="300"/>
      <c r="W910" s="300"/>
      <c r="X910" s="300"/>
      <c r="Y910" s="300"/>
      <c r="Z910" s="300"/>
      <c r="AA910" s="301"/>
    </row>
    <row r="911" spans="1:27">
      <c r="A911" s="319"/>
      <c r="B911" s="351"/>
      <c r="C911" s="381"/>
      <c r="D911" s="369"/>
      <c r="E911" s="369"/>
      <c r="F911" s="300"/>
      <c r="G911" s="300"/>
      <c r="H911" s="300"/>
      <c r="I911" s="300"/>
      <c r="J911" s="300"/>
      <c r="K911" s="300"/>
      <c r="L911" s="300"/>
      <c r="M911" s="300"/>
      <c r="N911" s="300"/>
      <c r="O911" s="300"/>
      <c r="P911" s="300"/>
      <c r="Q911" s="300"/>
      <c r="R911" s="300"/>
      <c r="S911" s="300"/>
      <c r="T911" s="300"/>
      <c r="U911" s="300"/>
      <c r="V911" s="300"/>
      <c r="W911" s="300"/>
      <c r="X911" s="300"/>
      <c r="Y911" s="300"/>
      <c r="Z911" s="300"/>
      <c r="AA911" s="301"/>
    </row>
    <row r="912" spans="1:27">
      <c r="A912" s="319"/>
      <c r="B912" s="351"/>
      <c r="C912" s="381"/>
      <c r="D912" s="369"/>
      <c r="E912" s="369"/>
      <c r="F912" s="300"/>
      <c r="G912" s="300"/>
      <c r="H912" s="300"/>
      <c r="I912" s="300"/>
      <c r="J912" s="300"/>
      <c r="K912" s="300"/>
      <c r="L912" s="300"/>
      <c r="M912" s="300"/>
      <c r="N912" s="300"/>
      <c r="O912" s="300"/>
      <c r="P912" s="300"/>
      <c r="Q912" s="300"/>
      <c r="R912" s="300"/>
      <c r="S912" s="300"/>
      <c r="T912" s="300"/>
      <c r="U912" s="300"/>
      <c r="V912" s="300"/>
      <c r="W912" s="300"/>
      <c r="X912" s="300"/>
      <c r="Y912" s="300"/>
      <c r="Z912" s="300"/>
      <c r="AA912" s="301"/>
    </row>
    <row r="913" spans="1:27">
      <c r="A913" s="319"/>
      <c r="B913" s="351"/>
      <c r="C913" s="381"/>
      <c r="D913" s="369"/>
      <c r="E913" s="369"/>
      <c r="F913" s="300"/>
      <c r="G913" s="300"/>
      <c r="H913" s="300"/>
      <c r="I913" s="300"/>
      <c r="J913" s="300"/>
      <c r="K913" s="300"/>
      <c r="L913" s="300"/>
      <c r="M913" s="300"/>
      <c r="N913" s="300"/>
      <c r="O913" s="300"/>
      <c r="P913" s="300"/>
      <c r="Q913" s="300"/>
      <c r="R913" s="300"/>
      <c r="S913" s="300"/>
      <c r="T913" s="300"/>
      <c r="U913" s="300"/>
      <c r="V913" s="300"/>
      <c r="W913" s="300"/>
      <c r="X913" s="300"/>
      <c r="Y913" s="300"/>
      <c r="Z913" s="300"/>
      <c r="AA913" s="301"/>
    </row>
    <row r="914" spans="1:27">
      <c r="A914" s="319"/>
      <c r="B914" s="351"/>
      <c r="C914" s="381"/>
      <c r="D914" s="369"/>
      <c r="E914" s="369"/>
      <c r="F914" s="300"/>
      <c r="G914" s="300"/>
      <c r="H914" s="300"/>
      <c r="I914" s="300"/>
      <c r="J914" s="300"/>
      <c r="K914" s="300"/>
      <c r="L914" s="300"/>
      <c r="M914" s="300"/>
      <c r="N914" s="300"/>
      <c r="O914" s="300"/>
      <c r="P914" s="300"/>
      <c r="Q914" s="300"/>
      <c r="R914" s="300"/>
      <c r="S914" s="300"/>
      <c r="T914" s="300"/>
      <c r="U914" s="300"/>
      <c r="V914" s="300"/>
      <c r="W914" s="300"/>
      <c r="X914" s="300"/>
      <c r="Y914" s="300"/>
      <c r="Z914" s="300"/>
      <c r="AA914" s="301"/>
    </row>
    <row r="915" spans="1:27">
      <c r="A915" s="319"/>
      <c r="B915" s="351"/>
      <c r="C915" s="381"/>
      <c r="D915" s="369"/>
      <c r="E915" s="369"/>
      <c r="F915" s="300"/>
      <c r="G915" s="300"/>
      <c r="H915" s="300"/>
      <c r="I915" s="300"/>
      <c r="J915" s="300"/>
      <c r="K915" s="300"/>
      <c r="L915" s="300"/>
      <c r="M915" s="300"/>
      <c r="N915" s="300"/>
      <c r="O915" s="300"/>
      <c r="P915" s="300"/>
      <c r="Q915" s="300"/>
      <c r="R915" s="300"/>
      <c r="S915" s="300"/>
      <c r="T915" s="300"/>
      <c r="U915" s="300"/>
      <c r="V915" s="300"/>
      <c r="W915" s="300"/>
      <c r="X915" s="300"/>
      <c r="Y915" s="300"/>
      <c r="Z915" s="300"/>
      <c r="AA915" s="301"/>
    </row>
    <row r="916" spans="1:27">
      <c r="A916" s="319"/>
      <c r="B916" s="351"/>
      <c r="C916" s="381"/>
      <c r="D916" s="369"/>
      <c r="E916" s="369"/>
      <c r="F916" s="300"/>
      <c r="G916" s="300"/>
      <c r="H916" s="300"/>
      <c r="I916" s="300"/>
      <c r="J916" s="300"/>
      <c r="K916" s="300"/>
      <c r="L916" s="300"/>
      <c r="M916" s="300"/>
      <c r="N916" s="300"/>
      <c r="O916" s="300"/>
      <c r="P916" s="300"/>
      <c r="Q916" s="300"/>
      <c r="R916" s="300"/>
      <c r="S916" s="300"/>
      <c r="T916" s="300"/>
      <c r="U916" s="300"/>
      <c r="V916" s="300"/>
      <c r="W916" s="300"/>
      <c r="X916" s="300"/>
      <c r="Y916" s="300"/>
      <c r="Z916" s="300"/>
      <c r="AA916" s="301"/>
    </row>
    <row r="917" spans="1:27">
      <c r="A917" s="319"/>
      <c r="B917" s="351"/>
      <c r="C917" s="381"/>
      <c r="D917" s="369"/>
      <c r="E917" s="369"/>
      <c r="F917" s="300"/>
      <c r="G917" s="300"/>
      <c r="H917" s="300"/>
      <c r="I917" s="300"/>
      <c r="J917" s="300"/>
      <c r="K917" s="300"/>
      <c r="L917" s="300"/>
      <c r="M917" s="300"/>
      <c r="N917" s="300"/>
      <c r="O917" s="300"/>
      <c r="P917" s="300"/>
      <c r="Q917" s="300"/>
      <c r="R917" s="300"/>
      <c r="S917" s="300"/>
      <c r="T917" s="300"/>
      <c r="U917" s="300"/>
      <c r="V917" s="300"/>
      <c r="W917" s="300"/>
      <c r="X917" s="300"/>
      <c r="Y917" s="300"/>
      <c r="Z917" s="300"/>
      <c r="AA917" s="301"/>
    </row>
    <row r="918" spans="1:27">
      <c r="A918" s="319"/>
      <c r="B918" s="351"/>
      <c r="C918" s="381"/>
      <c r="D918" s="369"/>
      <c r="E918" s="369"/>
      <c r="F918" s="300"/>
      <c r="G918" s="300"/>
      <c r="H918" s="300"/>
      <c r="I918" s="300"/>
      <c r="J918" s="300"/>
      <c r="K918" s="300"/>
      <c r="L918" s="300"/>
      <c r="M918" s="300"/>
      <c r="N918" s="300"/>
      <c r="O918" s="300"/>
      <c r="P918" s="300"/>
      <c r="Q918" s="300"/>
      <c r="R918" s="300"/>
      <c r="S918" s="300"/>
      <c r="T918" s="300"/>
      <c r="U918" s="300"/>
      <c r="V918" s="300"/>
      <c r="W918" s="300"/>
      <c r="X918" s="300"/>
      <c r="Y918" s="300"/>
      <c r="Z918" s="300"/>
      <c r="AA918" s="301"/>
    </row>
    <row r="919" spans="1:27">
      <c r="A919" s="319"/>
      <c r="B919" s="351"/>
      <c r="C919" s="381"/>
      <c r="D919" s="369"/>
      <c r="E919" s="369"/>
      <c r="F919" s="300"/>
      <c r="G919" s="300"/>
      <c r="H919" s="300"/>
      <c r="I919" s="300"/>
      <c r="J919" s="300"/>
      <c r="K919" s="300"/>
      <c r="L919" s="300"/>
      <c r="M919" s="300"/>
      <c r="N919" s="300"/>
      <c r="O919" s="300"/>
      <c r="P919" s="300"/>
      <c r="Q919" s="300"/>
      <c r="R919" s="300"/>
      <c r="S919" s="300"/>
      <c r="T919" s="300"/>
      <c r="U919" s="300"/>
      <c r="V919" s="300"/>
      <c r="W919" s="300"/>
      <c r="X919" s="300"/>
      <c r="Y919" s="300"/>
      <c r="Z919" s="300"/>
      <c r="AA919" s="301"/>
    </row>
    <row r="920" spans="1:27">
      <c r="A920" s="319"/>
      <c r="B920" s="351"/>
      <c r="C920" s="381"/>
      <c r="D920" s="369"/>
      <c r="E920" s="369"/>
      <c r="F920" s="300"/>
      <c r="G920" s="300"/>
      <c r="H920" s="300"/>
      <c r="I920" s="300"/>
      <c r="J920" s="300"/>
      <c r="K920" s="300"/>
      <c r="L920" s="300"/>
      <c r="M920" s="300"/>
      <c r="N920" s="300"/>
      <c r="O920" s="300"/>
      <c r="P920" s="300"/>
      <c r="Q920" s="300"/>
      <c r="R920" s="300"/>
      <c r="S920" s="300"/>
      <c r="T920" s="300"/>
      <c r="U920" s="300"/>
      <c r="V920" s="300"/>
      <c r="W920" s="300"/>
      <c r="X920" s="300"/>
      <c r="Y920" s="300"/>
      <c r="Z920" s="300"/>
      <c r="AA920" s="301"/>
    </row>
    <row r="921" spans="1:27">
      <c r="A921" s="319"/>
      <c r="B921" s="351"/>
      <c r="C921" s="381"/>
      <c r="D921" s="369"/>
      <c r="E921" s="369"/>
      <c r="F921" s="300"/>
      <c r="G921" s="300"/>
      <c r="H921" s="300"/>
      <c r="I921" s="300"/>
      <c r="J921" s="300"/>
      <c r="K921" s="300"/>
      <c r="L921" s="300"/>
      <c r="M921" s="300"/>
      <c r="N921" s="300"/>
      <c r="O921" s="300"/>
      <c r="P921" s="300"/>
      <c r="Q921" s="300"/>
      <c r="R921" s="300"/>
      <c r="S921" s="300"/>
      <c r="T921" s="300"/>
      <c r="U921" s="300"/>
      <c r="V921" s="300"/>
      <c r="W921" s="300"/>
      <c r="X921" s="300"/>
      <c r="Y921" s="300"/>
      <c r="Z921" s="300"/>
      <c r="AA921" s="301"/>
    </row>
    <row r="922" spans="1:27">
      <c r="A922" s="319"/>
      <c r="B922" s="351"/>
      <c r="C922" s="381"/>
      <c r="D922" s="369"/>
      <c r="E922" s="369"/>
      <c r="F922" s="300"/>
      <c r="G922" s="300"/>
      <c r="H922" s="300"/>
      <c r="I922" s="300"/>
      <c r="J922" s="300"/>
      <c r="K922" s="300"/>
      <c r="L922" s="300"/>
      <c r="M922" s="300"/>
      <c r="N922" s="300"/>
      <c r="O922" s="300"/>
      <c r="P922" s="300"/>
      <c r="Q922" s="300"/>
      <c r="R922" s="300"/>
      <c r="S922" s="300"/>
      <c r="T922" s="300"/>
      <c r="U922" s="300"/>
      <c r="V922" s="300"/>
      <c r="W922" s="300"/>
      <c r="X922" s="300"/>
      <c r="Y922" s="300"/>
      <c r="Z922" s="300"/>
      <c r="AA922" s="301"/>
    </row>
    <row r="923" spans="1:27">
      <c r="A923" s="319"/>
      <c r="B923" s="351"/>
      <c r="C923" s="381"/>
      <c r="D923" s="369"/>
      <c r="E923" s="369"/>
      <c r="F923" s="300"/>
      <c r="G923" s="300"/>
      <c r="H923" s="300"/>
      <c r="I923" s="300"/>
      <c r="J923" s="300"/>
      <c r="K923" s="300"/>
      <c r="L923" s="300"/>
      <c r="M923" s="300"/>
      <c r="N923" s="300"/>
      <c r="O923" s="300"/>
      <c r="P923" s="300"/>
      <c r="Q923" s="300"/>
      <c r="R923" s="300"/>
      <c r="S923" s="300"/>
      <c r="T923" s="300"/>
      <c r="U923" s="300"/>
      <c r="V923" s="300"/>
      <c r="W923" s="300"/>
      <c r="X923" s="300"/>
      <c r="Y923" s="300"/>
      <c r="Z923" s="300"/>
      <c r="AA923" s="301"/>
    </row>
    <row r="924" spans="1:27">
      <c r="A924" s="319"/>
      <c r="B924" s="351"/>
      <c r="C924" s="381"/>
      <c r="D924" s="369"/>
      <c r="E924" s="369"/>
      <c r="F924" s="300"/>
      <c r="G924" s="300"/>
      <c r="H924" s="300"/>
      <c r="I924" s="300"/>
      <c r="J924" s="300"/>
      <c r="K924" s="300"/>
      <c r="L924" s="300"/>
      <c r="M924" s="300"/>
      <c r="N924" s="300"/>
      <c r="O924" s="300"/>
      <c r="P924" s="300"/>
      <c r="Q924" s="300"/>
      <c r="R924" s="300"/>
      <c r="S924" s="300"/>
      <c r="T924" s="300"/>
      <c r="U924" s="300"/>
      <c r="V924" s="300"/>
      <c r="W924" s="300"/>
      <c r="X924" s="300"/>
      <c r="Y924" s="300"/>
      <c r="Z924" s="300"/>
      <c r="AA924" s="301"/>
    </row>
    <row r="925" spans="1:27">
      <c r="A925" s="319"/>
      <c r="B925" s="351"/>
      <c r="C925" s="381"/>
      <c r="D925" s="369"/>
      <c r="E925" s="369"/>
      <c r="F925" s="300"/>
      <c r="G925" s="300"/>
      <c r="H925" s="300"/>
      <c r="I925" s="300"/>
      <c r="J925" s="300"/>
      <c r="K925" s="300"/>
      <c r="L925" s="300"/>
      <c r="M925" s="300"/>
      <c r="N925" s="300"/>
      <c r="O925" s="300"/>
      <c r="P925" s="300"/>
      <c r="Q925" s="300"/>
      <c r="R925" s="300"/>
      <c r="S925" s="300"/>
      <c r="T925" s="300"/>
      <c r="U925" s="300"/>
      <c r="V925" s="300"/>
      <c r="W925" s="300"/>
      <c r="X925" s="300"/>
      <c r="Y925" s="300"/>
      <c r="Z925" s="300"/>
      <c r="AA925" s="301"/>
    </row>
    <row r="926" spans="1:27">
      <c r="A926" s="319"/>
      <c r="B926" s="351"/>
      <c r="C926" s="381"/>
      <c r="D926" s="369"/>
      <c r="E926" s="369"/>
      <c r="F926" s="300"/>
      <c r="G926" s="300"/>
      <c r="H926" s="300"/>
      <c r="I926" s="300"/>
      <c r="J926" s="300"/>
      <c r="K926" s="300"/>
      <c r="L926" s="300"/>
      <c r="M926" s="300"/>
      <c r="N926" s="300"/>
      <c r="O926" s="300"/>
      <c r="P926" s="300"/>
      <c r="Q926" s="300"/>
      <c r="R926" s="300"/>
      <c r="S926" s="300"/>
      <c r="T926" s="300"/>
      <c r="U926" s="300"/>
      <c r="V926" s="300"/>
      <c r="W926" s="300"/>
      <c r="X926" s="300"/>
      <c r="Y926" s="300"/>
      <c r="Z926" s="300"/>
      <c r="AA926" s="301"/>
    </row>
    <row r="927" spans="1:27">
      <c r="A927" s="319"/>
      <c r="B927" s="351"/>
      <c r="C927" s="381"/>
      <c r="D927" s="369"/>
      <c r="E927" s="369"/>
      <c r="F927" s="300"/>
      <c r="G927" s="300"/>
      <c r="H927" s="300"/>
      <c r="I927" s="300"/>
      <c r="J927" s="300"/>
      <c r="K927" s="300"/>
      <c r="L927" s="300"/>
      <c r="M927" s="300"/>
      <c r="N927" s="300"/>
      <c r="O927" s="300"/>
      <c r="P927" s="300"/>
      <c r="Q927" s="300"/>
      <c r="R927" s="300"/>
      <c r="S927" s="300"/>
      <c r="T927" s="300"/>
      <c r="U927" s="300"/>
      <c r="V927" s="300"/>
      <c r="W927" s="300"/>
      <c r="X927" s="300"/>
      <c r="Y927" s="300"/>
      <c r="Z927" s="300"/>
      <c r="AA927" s="301"/>
    </row>
    <row r="928" spans="1:27">
      <c r="A928" s="319"/>
      <c r="B928" s="351"/>
      <c r="C928" s="381"/>
      <c r="D928" s="369"/>
      <c r="E928" s="369"/>
      <c r="F928" s="300"/>
      <c r="G928" s="300"/>
      <c r="H928" s="300"/>
      <c r="I928" s="300"/>
      <c r="J928" s="300"/>
      <c r="K928" s="300"/>
      <c r="L928" s="300"/>
      <c r="M928" s="300"/>
      <c r="N928" s="300"/>
      <c r="O928" s="300"/>
      <c r="P928" s="300"/>
      <c r="Q928" s="300"/>
      <c r="R928" s="300"/>
      <c r="S928" s="300"/>
      <c r="T928" s="300"/>
      <c r="U928" s="300"/>
      <c r="V928" s="300"/>
      <c r="W928" s="300"/>
      <c r="X928" s="300"/>
      <c r="Y928" s="300"/>
      <c r="Z928" s="300"/>
      <c r="AA928" s="301"/>
    </row>
    <row r="929" spans="1:27">
      <c r="A929" s="319"/>
      <c r="B929" s="351"/>
      <c r="C929" s="381"/>
      <c r="D929" s="369"/>
      <c r="E929" s="369"/>
      <c r="F929" s="300"/>
      <c r="G929" s="300"/>
      <c r="H929" s="300"/>
      <c r="I929" s="300"/>
      <c r="J929" s="300"/>
      <c r="K929" s="300"/>
      <c r="L929" s="300"/>
      <c r="M929" s="300"/>
      <c r="N929" s="300"/>
      <c r="O929" s="300"/>
      <c r="P929" s="300"/>
      <c r="Q929" s="300"/>
      <c r="R929" s="300"/>
      <c r="S929" s="300"/>
      <c r="T929" s="300"/>
      <c r="U929" s="300"/>
      <c r="V929" s="300"/>
      <c r="W929" s="300"/>
      <c r="X929" s="300"/>
      <c r="Y929" s="300"/>
      <c r="Z929" s="300"/>
      <c r="AA929" s="301"/>
    </row>
    <row r="930" spans="1:27">
      <c r="A930" s="319"/>
      <c r="B930" s="351"/>
      <c r="C930" s="381"/>
      <c r="D930" s="369"/>
      <c r="E930" s="369"/>
      <c r="F930" s="300"/>
      <c r="G930" s="300"/>
      <c r="H930" s="300"/>
      <c r="I930" s="300"/>
      <c r="J930" s="300"/>
      <c r="K930" s="300"/>
      <c r="L930" s="300"/>
      <c r="M930" s="300"/>
      <c r="N930" s="300"/>
      <c r="O930" s="300"/>
      <c r="P930" s="300"/>
      <c r="Q930" s="300"/>
      <c r="R930" s="300"/>
      <c r="S930" s="300"/>
      <c r="T930" s="300"/>
      <c r="U930" s="300"/>
      <c r="V930" s="300"/>
      <c r="W930" s="300"/>
      <c r="X930" s="300"/>
      <c r="Y930" s="300"/>
      <c r="Z930" s="300"/>
      <c r="AA930" s="301"/>
    </row>
    <row r="931" spans="1:27">
      <c r="A931" s="319"/>
      <c r="B931" s="351"/>
      <c r="C931" s="381"/>
      <c r="D931" s="369"/>
      <c r="E931" s="369"/>
      <c r="F931" s="300"/>
      <c r="G931" s="300"/>
      <c r="H931" s="300"/>
      <c r="I931" s="300"/>
      <c r="J931" s="300"/>
      <c r="K931" s="300"/>
      <c r="L931" s="300"/>
      <c r="M931" s="300"/>
      <c r="N931" s="300"/>
      <c r="O931" s="300"/>
      <c r="P931" s="300"/>
      <c r="Q931" s="300"/>
      <c r="R931" s="300"/>
      <c r="S931" s="300"/>
      <c r="T931" s="300"/>
      <c r="U931" s="300"/>
      <c r="V931" s="300"/>
      <c r="W931" s="300"/>
      <c r="X931" s="300"/>
      <c r="Y931" s="300"/>
      <c r="Z931" s="300"/>
      <c r="AA931" s="301"/>
    </row>
    <row r="932" spans="1:27">
      <c r="A932" s="319"/>
      <c r="B932" s="351"/>
      <c r="C932" s="381"/>
      <c r="D932" s="369"/>
      <c r="E932" s="369"/>
      <c r="F932" s="300"/>
      <c r="G932" s="300"/>
      <c r="H932" s="300"/>
      <c r="I932" s="300"/>
      <c r="J932" s="300"/>
      <c r="K932" s="300"/>
      <c r="L932" s="300"/>
      <c r="M932" s="300"/>
      <c r="N932" s="300"/>
      <c r="O932" s="300"/>
      <c r="P932" s="300"/>
      <c r="Q932" s="300"/>
      <c r="R932" s="300"/>
      <c r="S932" s="300"/>
      <c r="T932" s="300"/>
      <c r="U932" s="300"/>
      <c r="V932" s="300"/>
      <c r="W932" s="300"/>
      <c r="X932" s="300"/>
      <c r="Y932" s="300"/>
      <c r="Z932" s="300"/>
      <c r="AA932" s="301"/>
    </row>
    <row r="933" spans="1:27">
      <c r="A933" s="319"/>
      <c r="B933" s="351"/>
      <c r="C933" s="381"/>
      <c r="D933" s="369"/>
      <c r="E933" s="369"/>
      <c r="F933" s="300"/>
      <c r="G933" s="300"/>
      <c r="H933" s="300"/>
      <c r="I933" s="300"/>
      <c r="J933" s="300"/>
      <c r="K933" s="300"/>
      <c r="L933" s="300"/>
      <c r="M933" s="300"/>
      <c r="N933" s="300"/>
      <c r="O933" s="300"/>
      <c r="P933" s="300"/>
      <c r="Q933" s="300"/>
      <c r="R933" s="300"/>
      <c r="S933" s="300"/>
      <c r="T933" s="300"/>
      <c r="U933" s="300"/>
      <c r="V933" s="300"/>
      <c r="W933" s="300"/>
      <c r="X933" s="300"/>
      <c r="Y933" s="300"/>
      <c r="Z933" s="300"/>
      <c r="AA933" s="301"/>
    </row>
    <row r="934" spans="1:27">
      <c r="A934" s="319"/>
      <c r="B934" s="351"/>
      <c r="C934" s="381"/>
      <c r="D934" s="369"/>
      <c r="E934" s="369"/>
      <c r="F934" s="300"/>
      <c r="G934" s="300"/>
      <c r="H934" s="300"/>
      <c r="I934" s="300"/>
      <c r="J934" s="300"/>
      <c r="K934" s="300"/>
      <c r="L934" s="300"/>
      <c r="M934" s="300"/>
      <c r="N934" s="300"/>
      <c r="O934" s="300"/>
      <c r="P934" s="300"/>
      <c r="Q934" s="300"/>
      <c r="R934" s="300"/>
      <c r="S934" s="300"/>
      <c r="T934" s="300"/>
      <c r="U934" s="300"/>
      <c r="V934" s="300"/>
      <c r="W934" s="300"/>
      <c r="X934" s="300"/>
      <c r="Y934" s="300"/>
      <c r="Z934" s="300"/>
      <c r="AA934" s="301"/>
    </row>
    <row r="935" spans="1:27">
      <c r="A935" s="319"/>
      <c r="B935" s="351"/>
      <c r="C935" s="381"/>
      <c r="D935" s="369"/>
      <c r="E935" s="369"/>
      <c r="F935" s="300"/>
      <c r="G935" s="300"/>
      <c r="H935" s="300"/>
      <c r="I935" s="300"/>
      <c r="J935" s="300"/>
      <c r="K935" s="300"/>
      <c r="L935" s="300"/>
      <c r="M935" s="300"/>
      <c r="N935" s="300"/>
      <c r="O935" s="300"/>
      <c r="P935" s="300"/>
      <c r="Q935" s="300"/>
      <c r="R935" s="300"/>
      <c r="S935" s="300"/>
      <c r="T935" s="300"/>
      <c r="U935" s="300"/>
      <c r="V935" s="300"/>
      <c r="W935" s="300"/>
      <c r="X935" s="300"/>
      <c r="Y935" s="300"/>
      <c r="Z935" s="300"/>
      <c r="AA935" s="301"/>
    </row>
    <row r="936" spans="1:27">
      <c r="A936" s="319"/>
      <c r="B936" s="351"/>
      <c r="C936" s="381"/>
      <c r="D936" s="369"/>
      <c r="E936" s="369"/>
      <c r="F936" s="300"/>
      <c r="G936" s="300"/>
      <c r="H936" s="300"/>
      <c r="I936" s="300"/>
      <c r="J936" s="300"/>
      <c r="K936" s="300"/>
      <c r="L936" s="300"/>
      <c r="M936" s="300"/>
      <c r="N936" s="300"/>
      <c r="O936" s="300"/>
      <c r="P936" s="300"/>
      <c r="Q936" s="300"/>
      <c r="R936" s="300"/>
      <c r="S936" s="300"/>
      <c r="T936" s="300"/>
      <c r="U936" s="300"/>
      <c r="V936" s="300"/>
      <c r="W936" s="300"/>
      <c r="X936" s="300"/>
      <c r="Y936" s="300"/>
      <c r="Z936" s="300"/>
      <c r="AA936" s="301"/>
    </row>
    <row r="937" spans="1:27">
      <c r="A937" s="319"/>
      <c r="B937" s="351"/>
      <c r="C937" s="381"/>
      <c r="D937" s="369"/>
      <c r="E937" s="369"/>
      <c r="F937" s="300"/>
      <c r="G937" s="300"/>
      <c r="H937" s="300"/>
      <c r="I937" s="300"/>
      <c r="J937" s="300"/>
      <c r="K937" s="300"/>
      <c r="L937" s="300"/>
      <c r="M937" s="300"/>
      <c r="N937" s="300"/>
      <c r="O937" s="300"/>
      <c r="P937" s="300"/>
      <c r="Q937" s="300"/>
      <c r="R937" s="300"/>
      <c r="S937" s="300"/>
      <c r="T937" s="300"/>
      <c r="U937" s="300"/>
      <c r="V937" s="300"/>
      <c r="W937" s="300"/>
      <c r="X937" s="300"/>
      <c r="Y937" s="300"/>
      <c r="Z937" s="300"/>
      <c r="AA937" s="301"/>
    </row>
    <row r="938" spans="1:27">
      <c r="A938" s="319"/>
      <c r="B938" s="351"/>
      <c r="C938" s="381"/>
      <c r="D938" s="369"/>
      <c r="E938" s="369"/>
      <c r="F938" s="300"/>
      <c r="G938" s="300"/>
      <c r="H938" s="300"/>
      <c r="I938" s="300"/>
      <c r="J938" s="300"/>
      <c r="K938" s="300"/>
      <c r="L938" s="300"/>
      <c r="M938" s="300"/>
      <c r="N938" s="300"/>
      <c r="O938" s="300"/>
      <c r="P938" s="300"/>
      <c r="Q938" s="300"/>
      <c r="R938" s="300"/>
      <c r="S938" s="300"/>
      <c r="T938" s="300"/>
      <c r="U938" s="300"/>
      <c r="V938" s="300"/>
      <c r="W938" s="300"/>
      <c r="X938" s="300"/>
      <c r="Y938" s="300"/>
      <c r="Z938" s="300"/>
      <c r="AA938" s="301"/>
    </row>
    <row r="939" spans="1:27">
      <c r="A939" s="319"/>
      <c r="B939" s="351"/>
      <c r="C939" s="381"/>
      <c r="D939" s="369"/>
      <c r="E939" s="369"/>
      <c r="F939" s="300"/>
      <c r="G939" s="300"/>
      <c r="H939" s="300"/>
      <c r="I939" s="300"/>
      <c r="J939" s="300"/>
      <c r="K939" s="300"/>
      <c r="L939" s="300"/>
      <c r="M939" s="300"/>
      <c r="N939" s="300"/>
      <c r="O939" s="300"/>
      <c r="P939" s="300"/>
      <c r="Q939" s="300"/>
      <c r="R939" s="300"/>
      <c r="S939" s="300"/>
      <c r="T939" s="300"/>
      <c r="U939" s="300"/>
      <c r="V939" s="300"/>
      <c r="W939" s="300"/>
      <c r="X939" s="300"/>
      <c r="Y939" s="300"/>
      <c r="Z939" s="300"/>
      <c r="AA939" s="301"/>
    </row>
    <row r="940" spans="1:27">
      <c r="A940" s="319"/>
      <c r="B940" s="351"/>
      <c r="C940" s="381"/>
      <c r="D940" s="369"/>
      <c r="E940" s="369"/>
      <c r="F940" s="300"/>
      <c r="G940" s="300"/>
      <c r="H940" s="300"/>
      <c r="I940" s="300"/>
      <c r="J940" s="300"/>
      <c r="K940" s="300"/>
      <c r="L940" s="300"/>
      <c r="M940" s="300"/>
      <c r="N940" s="300"/>
      <c r="O940" s="300"/>
      <c r="P940" s="300"/>
      <c r="Q940" s="300"/>
      <c r="R940" s="300"/>
      <c r="S940" s="300"/>
      <c r="T940" s="300"/>
      <c r="U940" s="300"/>
      <c r="V940" s="300"/>
      <c r="W940" s="300"/>
      <c r="X940" s="300"/>
      <c r="Y940" s="300"/>
      <c r="Z940" s="300"/>
      <c r="AA940" s="301"/>
    </row>
    <row r="941" spans="1:27">
      <c r="A941" s="319"/>
      <c r="B941" s="351"/>
      <c r="C941" s="381"/>
      <c r="D941" s="369"/>
      <c r="E941" s="369"/>
      <c r="F941" s="300"/>
      <c r="G941" s="300"/>
      <c r="H941" s="300"/>
      <c r="I941" s="300"/>
      <c r="J941" s="300"/>
      <c r="K941" s="300"/>
      <c r="L941" s="300"/>
      <c r="M941" s="300"/>
      <c r="N941" s="300"/>
      <c r="O941" s="300"/>
      <c r="P941" s="300"/>
      <c r="Q941" s="300"/>
      <c r="R941" s="300"/>
      <c r="S941" s="300"/>
      <c r="T941" s="300"/>
      <c r="U941" s="300"/>
      <c r="V941" s="300"/>
      <c r="W941" s="300"/>
      <c r="X941" s="300"/>
      <c r="Y941" s="300"/>
      <c r="Z941" s="300"/>
      <c r="AA941" s="301"/>
    </row>
    <row r="942" spans="1:27">
      <c r="A942" s="319"/>
      <c r="B942" s="351"/>
      <c r="C942" s="381"/>
      <c r="D942" s="369"/>
      <c r="E942" s="369"/>
      <c r="F942" s="300"/>
      <c r="G942" s="300"/>
      <c r="H942" s="300"/>
      <c r="I942" s="300"/>
      <c r="J942" s="300"/>
      <c r="K942" s="300"/>
      <c r="L942" s="300"/>
      <c r="M942" s="300"/>
      <c r="N942" s="300"/>
      <c r="O942" s="300"/>
      <c r="P942" s="300"/>
      <c r="Q942" s="300"/>
      <c r="R942" s="300"/>
      <c r="S942" s="300"/>
      <c r="T942" s="300"/>
      <c r="U942" s="300"/>
      <c r="V942" s="300"/>
      <c r="W942" s="300"/>
      <c r="X942" s="300"/>
      <c r="Y942" s="300"/>
      <c r="Z942" s="300"/>
      <c r="AA942" s="301"/>
    </row>
    <row r="943" spans="1:27">
      <c r="A943" s="319"/>
      <c r="B943" s="351"/>
      <c r="C943" s="381"/>
      <c r="D943" s="369"/>
      <c r="E943" s="369"/>
      <c r="F943" s="300"/>
      <c r="G943" s="300"/>
      <c r="H943" s="300"/>
      <c r="I943" s="300"/>
      <c r="J943" s="300"/>
      <c r="K943" s="300"/>
      <c r="L943" s="300"/>
      <c r="M943" s="300"/>
      <c r="N943" s="300"/>
      <c r="O943" s="300"/>
      <c r="P943" s="300"/>
      <c r="Q943" s="300"/>
      <c r="R943" s="300"/>
      <c r="S943" s="300"/>
      <c r="T943" s="300"/>
      <c r="U943" s="300"/>
      <c r="V943" s="300"/>
      <c r="W943" s="300"/>
      <c r="X943" s="300"/>
      <c r="Y943" s="300"/>
      <c r="Z943" s="300"/>
      <c r="AA943" s="301"/>
    </row>
    <row r="944" spans="1:27">
      <c r="A944" s="319"/>
      <c r="B944" s="351"/>
      <c r="C944" s="381"/>
      <c r="D944" s="369"/>
      <c r="E944" s="369"/>
      <c r="F944" s="300"/>
      <c r="G944" s="300"/>
      <c r="H944" s="300"/>
      <c r="I944" s="300"/>
      <c r="J944" s="300"/>
      <c r="K944" s="300"/>
      <c r="L944" s="300"/>
      <c r="M944" s="300"/>
      <c r="N944" s="300"/>
      <c r="O944" s="300"/>
      <c r="P944" s="300"/>
      <c r="Q944" s="300"/>
      <c r="R944" s="300"/>
      <c r="S944" s="300"/>
      <c r="T944" s="300"/>
      <c r="U944" s="300"/>
      <c r="V944" s="300"/>
      <c r="W944" s="300"/>
      <c r="X944" s="300"/>
      <c r="Y944" s="300"/>
      <c r="Z944" s="300"/>
      <c r="AA944" s="301"/>
    </row>
    <row r="945" spans="1:27">
      <c r="A945" s="319"/>
      <c r="B945" s="351"/>
      <c r="C945" s="381"/>
      <c r="D945" s="369"/>
      <c r="E945" s="369"/>
      <c r="F945" s="300"/>
      <c r="G945" s="300"/>
      <c r="H945" s="300"/>
      <c r="I945" s="300"/>
      <c r="J945" s="300"/>
      <c r="K945" s="300"/>
      <c r="L945" s="300"/>
      <c r="M945" s="300"/>
      <c r="N945" s="300"/>
      <c r="O945" s="300"/>
      <c r="P945" s="300"/>
      <c r="Q945" s="300"/>
      <c r="R945" s="300"/>
      <c r="S945" s="300"/>
      <c r="T945" s="300"/>
      <c r="U945" s="300"/>
      <c r="V945" s="300"/>
      <c r="W945" s="300"/>
      <c r="X945" s="300"/>
      <c r="Y945" s="300"/>
      <c r="Z945" s="300"/>
      <c r="AA945" s="301"/>
    </row>
    <row r="946" spans="1:27">
      <c r="A946" s="319"/>
      <c r="B946" s="351"/>
      <c r="C946" s="381"/>
      <c r="D946" s="369"/>
      <c r="E946" s="369"/>
      <c r="F946" s="300"/>
      <c r="G946" s="300"/>
      <c r="H946" s="300"/>
      <c r="I946" s="300"/>
      <c r="J946" s="300"/>
      <c r="K946" s="300"/>
      <c r="L946" s="300"/>
      <c r="M946" s="300"/>
      <c r="N946" s="300"/>
      <c r="O946" s="300"/>
      <c r="P946" s="300"/>
      <c r="Q946" s="300"/>
      <c r="R946" s="300"/>
      <c r="S946" s="300"/>
      <c r="T946" s="300"/>
      <c r="U946" s="300"/>
      <c r="V946" s="300"/>
      <c r="W946" s="300"/>
      <c r="X946" s="300"/>
      <c r="Y946" s="300"/>
      <c r="Z946" s="300"/>
      <c r="AA946" s="301"/>
    </row>
    <row r="947" spans="1:27">
      <c r="A947" s="319"/>
      <c r="B947" s="351"/>
      <c r="C947" s="381"/>
      <c r="D947" s="369"/>
      <c r="E947" s="369"/>
      <c r="F947" s="300"/>
      <c r="G947" s="300"/>
      <c r="H947" s="300"/>
      <c r="I947" s="300"/>
      <c r="J947" s="300"/>
      <c r="K947" s="300"/>
      <c r="L947" s="300"/>
      <c r="M947" s="300"/>
      <c r="N947" s="300"/>
      <c r="O947" s="300"/>
      <c r="P947" s="300"/>
      <c r="Q947" s="300"/>
      <c r="R947" s="300"/>
      <c r="S947" s="300"/>
      <c r="T947" s="300"/>
      <c r="U947" s="300"/>
      <c r="V947" s="300"/>
      <c r="W947" s="300"/>
      <c r="X947" s="300"/>
      <c r="Y947" s="300"/>
      <c r="Z947" s="300"/>
      <c r="AA947" s="301"/>
    </row>
    <row r="948" spans="1:27">
      <c r="A948" s="319"/>
      <c r="B948" s="351"/>
      <c r="C948" s="381"/>
      <c r="D948" s="369"/>
      <c r="E948" s="369"/>
      <c r="F948" s="300"/>
      <c r="G948" s="300"/>
      <c r="H948" s="300"/>
      <c r="I948" s="300"/>
      <c r="J948" s="300"/>
      <c r="K948" s="300"/>
      <c r="L948" s="300"/>
      <c r="M948" s="300"/>
      <c r="N948" s="300"/>
      <c r="O948" s="300"/>
      <c r="P948" s="300"/>
      <c r="Q948" s="300"/>
      <c r="R948" s="300"/>
      <c r="S948" s="300"/>
      <c r="T948" s="300"/>
      <c r="U948" s="300"/>
      <c r="V948" s="300"/>
      <c r="W948" s="300"/>
      <c r="X948" s="300"/>
      <c r="Y948" s="300"/>
      <c r="Z948" s="300"/>
      <c r="AA948" s="301"/>
    </row>
    <row r="949" spans="1:27">
      <c r="A949" s="319"/>
      <c r="B949" s="351"/>
      <c r="C949" s="381"/>
      <c r="D949" s="369"/>
      <c r="E949" s="369"/>
      <c r="F949" s="300"/>
      <c r="G949" s="300"/>
      <c r="H949" s="300"/>
      <c r="I949" s="300"/>
      <c r="J949" s="300"/>
      <c r="K949" s="300"/>
      <c r="L949" s="300"/>
      <c r="M949" s="300"/>
      <c r="N949" s="300"/>
      <c r="O949" s="300"/>
      <c r="P949" s="300"/>
      <c r="Q949" s="300"/>
      <c r="R949" s="300"/>
      <c r="S949" s="300"/>
      <c r="T949" s="300"/>
      <c r="U949" s="300"/>
      <c r="V949" s="300"/>
      <c r="W949" s="300"/>
      <c r="X949" s="300"/>
      <c r="Y949" s="300"/>
      <c r="Z949" s="300"/>
      <c r="AA949" s="301"/>
    </row>
    <row r="950" spans="1:27">
      <c r="A950" s="319"/>
      <c r="B950" s="351"/>
      <c r="C950" s="381"/>
      <c r="D950" s="369"/>
      <c r="E950" s="369"/>
      <c r="F950" s="300"/>
      <c r="G950" s="300"/>
      <c r="H950" s="300"/>
      <c r="I950" s="300"/>
      <c r="J950" s="300"/>
      <c r="K950" s="300"/>
      <c r="L950" s="300"/>
      <c r="M950" s="300"/>
      <c r="N950" s="300"/>
      <c r="O950" s="300"/>
      <c r="P950" s="300"/>
      <c r="Q950" s="300"/>
      <c r="R950" s="300"/>
      <c r="S950" s="300"/>
      <c r="T950" s="300"/>
      <c r="U950" s="300"/>
      <c r="V950" s="300"/>
      <c r="W950" s="300"/>
      <c r="X950" s="300"/>
      <c r="Y950" s="300"/>
      <c r="Z950" s="300"/>
      <c r="AA950" s="301"/>
    </row>
    <row r="951" spans="1:27">
      <c r="A951" s="319"/>
      <c r="B951" s="351"/>
      <c r="C951" s="381"/>
      <c r="D951" s="369"/>
      <c r="E951" s="369"/>
      <c r="F951" s="300"/>
      <c r="G951" s="300"/>
      <c r="H951" s="300"/>
      <c r="I951" s="300"/>
      <c r="J951" s="300"/>
      <c r="K951" s="300"/>
      <c r="L951" s="300"/>
      <c r="M951" s="300"/>
      <c r="N951" s="300"/>
      <c r="O951" s="300"/>
      <c r="P951" s="300"/>
      <c r="Q951" s="300"/>
      <c r="R951" s="300"/>
      <c r="S951" s="300"/>
      <c r="T951" s="300"/>
      <c r="U951" s="300"/>
      <c r="V951" s="300"/>
      <c r="W951" s="300"/>
      <c r="X951" s="300"/>
      <c r="Y951" s="300"/>
      <c r="Z951" s="300"/>
      <c r="AA951" s="301"/>
    </row>
    <row r="952" spans="1:27">
      <c r="A952" s="319"/>
      <c r="B952" s="351"/>
      <c r="C952" s="381"/>
      <c r="D952" s="369"/>
      <c r="E952" s="369"/>
      <c r="F952" s="300"/>
      <c r="G952" s="300"/>
      <c r="H952" s="300"/>
      <c r="I952" s="300"/>
      <c r="J952" s="300"/>
      <c r="K952" s="300"/>
      <c r="L952" s="300"/>
      <c r="M952" s="300"/>
      <c r="N952" s="300"/>
      <c r="O952" s="300"/>
      <c r="P952" s="300"/>
      <c r="Q952" s="300"/>
      <c r="R952" s="300"/>
      <c r="S952" s="300"/>
      <c r="T952" s="300"/>
      <c r="U952" s="300"/>
      <c r="V952" s="300"/>
      <c r="W952" s="300"/>
      <c r="X952" s="300"/>
      <c r="Y952" s="300"/>
      <c r="Z952" s="300"/>
      <c r="AA952" s="301"/>
    </row>
    <row r="953" spans="1:27">
      <c r="A953" s="319"/>
      <c r="B953" s="351"/>
      <c r="C953" s="381"/>
      <c r="D953" s="369"/>
      <c r="E953" s="369"/>
      <c r="F953" s="300"/>
      <c r="G953" s="300"/>
      <c r="H953" s="300"/>
      <c r="I953" s="300"/>
      <c r="J953" s="300"/>
      <c r="K953" s="300"/>
      <c r="L953" s="300"/>
      <c r="M953" s="300"/>
      <c r="N953" s="300"/>
      <c r="O953" s="300"/>
      <c r="P953" s="300"/>
      <c r="Q953" s="300"/>
      <c r="R953" s="300"/>
      <c r="S953" s="300"/>
      <c r="T953" s="300"/>
      <c r="U953" s="300"/>
      <c r="V953" s="300"/>
      <c r="W953" s="300"/>
      <c r="X953" s="300"/>
      <c r="Y953" s="300"/>
      <c r="Z953" s="300"/>
      <c r="AA953" s="301"/>
    </row>
    <row r="954" spans="1:27">
      <c r="A954" s="319"/>
      <c r="B954" s="351"/>
      <c r="C954" s="381"/>
      <c r="D954" s="369"/>
      <c r="E954" s="369"/>
      <c r="F954" s="300"/>
      <c r="G954" s="300"/>
      <c r="H954" s="300"/>
      <c r="I954" s="300"/>
      <c r="J954" s="300"/>
      <c r="K954" s="300"/>
      <c r="L954" s="300"/>
      <c r="M954" s="300"/>
      <c r="N954" s="300"/>
      <c r="O954" s="300"/>
      <c r="P954" s="300"/>
      <c r="Q954" s="300"/>
      <c r="R954" s="300"/>
      <c r="S954" s="300"/>
      <c r="T954" s="300"/>
      <c r="U954" s="300"/>
      <c r="V954" s="300"/>
      <c r="W954" s="300"/>
      <c r="X954" s="300"/>
      <c r="Y954" s="300"/>
      <c r="Z954" s="300"/>
      <c r="AA954" s="301"/>
    </row>
    <row r="955" spans="1:27">
      <c r="A955" s="319"/>
      <c r="B955" s="351"/>
      <c r="C955" s="381"/>
      <c r="D955" s="369"/>
      <c r="E955" s="369"/>
      <c r="F955" s="300"/>
      <c r="G955" s="300"/>
      <c r="H955" s="300"/>
      <c r="I955" s="300"/>
      <c r="J955" s="300"/>
      <c r="K955" s="300"/>
      <c r="L955" s="300"/>
      <c r="M955" s="300"/>
      <c r="N955" s="300"/>
      <c r="O955" s="300"/>
      <c r="P955" s="300"/>
      <c r="Q955" s="300"/>
      <c r="R955" s="300"/>
      <c r="S955" s="300"/>
      <c r="T955" s="300"/>
      <c r="U955" s="300"/>
      <c r="V955" s="300"/>
      <c r="W955" s="300"/>
      <c r="X955" s="300"/>
      <c r="Y955" s="300"/>
      <c r="Z955" s="300"/>
      <c r="AA955" s="301"/>
    </row>
    <row r="956" spans="1:27">
      <c r="A956" s="319"/>
      <c r="B956" s="351"/>
      <c r="C956" s="381"/>
      <c r="D956" s="369"/>
      <c r="E956" s="369"/>
      <c r="F956" s="300"/>
      <c r="G956" s="300"/>
      <c r="H956" s="300"/>
      <c r="I956" s="300"/>
      <c r="J956" s="300"/>
      <c r="K956" s="300"/>
      <c r="L956" s="300"/>
      <c r="M956" s="300"/>
      <c r="N956" s="300"/>
      <c r="O956" s="300"/>
      <c r="P956" s="300"/>
      <c r="Q956" s="300"/>
      <c r="R956" s="300"/>
      <c r="S956" s="300"/>
      <c r="T956" s="300"/>
      <c r="U956" s="300"/>
      <c r="V956" s="300"/>
      <c r="W956" s="300"/>
      <c r="X956" s="300"/>
      <c r="Y956" s="300"/>
      <c r="Z956" s="300"/>
      <c r="AA956" s="301"/>
    </row>
    <row r="957" spans="1:27">
      <c r="A957" s="319"/>
      <c r="B957" s="351"/>
      <c r="C957" s="381"/>
      <c r="D957" s="369"/>
      <c r="E957" s="369"/>
      <c r="F957" s="300"/>
      <c r="G957" s="300"/>
      <c r="H957" s="300"/>
      <c r="I957" s="300"/>
      <c r="J957" s="300"/>
      <c r="K957" s="300"/>
      <c r="L957" s="300"/>
      <c r="M957" s="300"/>
      <c r="N957" s="300"/>
      <c r="O957" s="300"/>
      <c r="P957" s="300"/>
      <c r="Q957" s="300"/>
      <c r="R957" s="300"/>
      <c r="S957" s="300"/>
      <c r="T957" s="300"/>
      <c r="U957" s="300"/>
      <c r="V957" s="300"/>
      <c r="W957" s="300"/>
      <c r="X957" s="300"/>
      <c r="Y957" s="300"/>
      <c r="Z957" s="300"/>
      <c r="AA957" s="301"/>
    </row>
    <row r="958" spans="1:27">
      <c r="A958" s="319"/>
      <c r="B958" s="351"/>
      <c r="C958" s="381"/>
      <c r="D958" s="369"/>
      <c r="E958" s="369"/>
      <c r="F958" s="300"/>
      <c r="G958" s="300"/>
      <c r="H958" s="300"/>
      <c r="I958" s="300"/>
      <c r="J958" s="300"/>
      <c r="K958" s="300"/>
      <c r="L958" s="300"/>
      <c r="M958" s="300"/>
      <c r="N958" s="300"/>
      <c r="O958" s="300"/>
      <c r="P958" s="300"/>
      <c r="Q958" s="300"/>
      <c r="R958" s="300"/>
      <c r="S958" s="300"/>
      <c r="T958" s="300"/>
      <c r="U958" s="300"/>
      <c r="V958" s="300"/>
      <c r="W958" s="300"/>
      <c r="X958" s="300"/>
      <c r="Y958" s="300"/>
      <c r="Z958" s="300"/>
      <c r="AA958" s="301"/>
    </row>
    <row r="959" spans="1:27">
      <c r="A959" s="319"/>
      <c r="B959" s="351"/>
      <c r="C959" s="381"/>
      <c r="D959" s="369"/>
      <c r="E959" s="369"/>
      <c r="F959" s="300"/>
      <c r="G959" s="300"/>
      <c r="H959" s="300"/>
      <c r="I959" s="300"/>
      <c r="J959" s="300"/>
      <c r="K959" s="300"/>
      <c r="L959" s="300"/>
      <c r="M959" s="300"/>
      <c r="N959" s="300"/>
      <c r="O959" s="300"/>
      <c r="P959" s="300"/>
      <c r="Q959" s="300"/>
      <c r="R959" s="300"/>
      <c r="S959" s="300"/>
      <c r="T959" s="300"/>
      <c r="U959" s="300"/>
      <c r="V959" s="300"/>
      <c r="W959" s="300"/>
      <c r="X959" s="300"/>
      <c r="Y959" s="300"/>
      <c r="Z959" s="300"/>
      <c r="AA959" s="301"/>
    </row>
    <row r="960" spans="1:27">
      <c r="A960" s="319"/>
      <c r="B960" s="351"/>
      <c r="C960" s="381"/>
      <c r="D960" s="369"/>
      <c r="E960" s="369"/>
      <c r="F960" s="300"/>
      <c r="G960" s="300"/>
      <c r="H960" s="300"/>
      <c r="I960" s="300"/>
      <c r="J960" s="300"/>
      <c r="K960" s="300"/>
      <c r="L960" s="300"/>
      <c r="M960" s="300"/>
      <c r="N960" s="300"/>
      <c r="O960" s="300"/>
      <c r="P960" s="300"/>
      <c r="Q960" s="300"/>
      <c r="R960" s="300"/>
      <c r="S960" s="300"/>
      <c r="T960" s="300"/>
      <c r="U960" s="300"/>
      <c r="V960" s="300"/>
      <c r="W960" s="300"/>
      <c r="X960" s="300"/>
      <c r="Y960" s="300"/>
      <c r="Z960" s="300"/>
      <c r="AA960" s="301"/>
    </row>
    <row r="961" spans="1:27">
      <c r="A961" s="319"/>
      <c r="B961" s="351"/>
      <c r="C961" s="381"/>
      <c r="D961" s="369"/>
      <c r="E961" s="369"/>
      <c r="F961" s="300"/>
      <c r="G961" s="300"/>
      <c r="H961" s="300"/>
      <c r="I961" s="300"/>
      <c r="J961" s="300"/>
      <c r="K961" s="300"/>
      <c r="L961" s="300"/>
      <c r="M961" s="300"/>
      <c r="N961" s="300"/>
      <c r="O961" s="300"/>
      <c r="P961" s="300"/>
      <c r="Q961" s="300"/>
      <c r="R961" s="300"/>
      <c r="S961" s="300"/>
      <c r="T961" s="300"/>
      <c r="U961" s="300"/>
      <c r="V961" s="300"/>
      <c r="W961" s="300"/>
      <c r="X961" s="300"/>
      <c r="Y961" s="300"/>
      <c r="Z961" s="300"/>
      <c r="AA961" s="301"/>
    </row>
    <row r="962" spans="1:27">
      <c r="A962" s="319"/>
      <c r="B962" s="351"/>
      <c r="C962" s="381"/>
      <c r="D962" s="369"/>
      <c r="E962" s="369"/>
      <c r="F962" s="300"/>
      <c r="G962" s="300"/>
      <c r="H962" s="300"/>
      <c r="I962" s="300"/>
      <c r="J962" s="300"/>
      <c r="K962" s="300"/>
      <c r="L962" s="300"/>
      <c r="M962" s="300"/>
      <c r="N962" s="300"/>
      <c r="O962" s="300"/>
      <c r="P962" s="300"/>
      <c r="Q962" s="300"/>
      <c r="R962" s="300"/>
      <c r="S962" s="300"/>
      <c r="T962" s="300"/>
      <c r="U962" s="300"/>
      <c r="V962" s="300"/>
      <c r="W962" s="300"/>
      <c r="X962" s="300"/>
      <c r="Y962" s="300"/>
      <c r="Z962" s="300"/>
      <c r="AA962" s="301"/>
    </row>
    <row r="963" spans="1:27">
      <c r="A963" s="319"/>
      <c r="B963" s="351"/>
      <c r="C963" s="381"/>
      <c r="D963" s="369"/>
      <c r="E963" s="369"/>
      <c r="F963" s="300"/>
      <c r="G963" s="300"/>
      <c r="H963" s="300"/>
      <c r="I963" s="300"/>
      <c r="J963" s="300"/>
      <c r="K963" s="300"/>
      <c r="L963" s="300"/>
      <c r="M963" s="300"/>
      <c r="N963" s="300"/>
      <c r="O963" s="300"/>
      <c r="P963" s="300"/>
      <c r="Q963" s="300"/>
      <c r="R963" s="300"/>
      <c r="S963" s="300"/>
      <c r="T963" s="300"/>
      <c r="U963" s="300"/>
      <c r="V963" s="300"/>
      <c r="W963" s="300"/>
      <c r="X963" s="300"/>
      <c r="Y963" s="300"/>
      <c r="Z963" s="300"/>
      <c r="AA963" s="301"/>
    </row>
    <row r="964" spans="1:27">
      <c r="A964" s="319"/>
      <c r="B964" s="351"/>
      <c r="C964" s="381"/>
      <c r="D964" s="369"/>
      <c r="E964" s="369"/>
      <c r="F964" s="300"/>
      <c r="G964" s="300"/>
      <c r="H964" s="300"/>
      <c r="I964" s="300"/>
      <c r="J964" s="300"/>
      <c r="K964" s="300"/>
      <c r="L964" s="300"/>
      <c r="M964" s="300"/>
      <c r="N964" s="300"/>
      <c r="O964" s="300"/>
      <c r="P964" s="300"/>
      <c r="Q964" s="300"/>
      <c r="R964" s="300"/>
      <c r="S964" s="300"/>
      <c r="T964" s="300"/>
      <c r="U964" s="300"/>
      <c r="V964" s="300"/>
      <c r="W964" s="300"/>
      <c r="X964" s="300"/>
      <c r="Y964" s="300"/>
      <c r="Z964" s="300"/>
      <c r="AA964" s="301"/>
    </row>
    <row r="965" spans="1:27">
      <c r="A965" s="319"/>
      <c r="B965" s="351"/>
      <c r="C965" s="381"/>
      <c r="D965" s="369"/>
      <c r="E965" s="369"/>
      <c r="F965" s="300"/>
      <c r="G965" s="300"/>
      <c r="H965" s="300"/>
      <c r="I965" s="300"/>
      <c r="J965" s="300"/>
      <c r="K965" s="300"/>
      <c r="L965" s="300"/>
      <c r="M965" s="300"/>
      <c r="N965" s="300"/>
      <c r="O965" s="300"/>
      <c r="P965" s="300"/>
      <c r="Q965" s="300"/>
      <c r="R965" s="300"/>
      <c r="S965" s="300"/>
      <c r="T965" s="300"/>
      <c r="U965" s="300"/>
      <c r="V965" s="300"/>
      <c r="W965" s="300"/>
      <c r="X965" s="300"/>
      <c r="Y965" s="300"/>
      <c r="Z965" s="300"/>
      <c r="AA965" s="301"/>
    </row>
    <row r="966" spans="1:27">
      <c r="A966" s="319"/>
      <c r="B966" s="351"/>
      <c r="C966" s="381"/>
      <c r="D966" s="369"/>
      <c r="E966" s="369"/>
      <c r="F966" s="300"/>
      <c r="G966" s="300"/>
      <c r="H966" s="300"/>
      <c r="I966" s="300"/>
      <c r="J966" s="300"/>
      <c r="K966" s="300"/>
      <c r="L966" s="300"/>
      <c r="M966" s="300"/>
      <c r="N966" s="300"/>
      <c r="O966" s="300"/>
      <c r="P966" s="300"/>
      <c r="Q966" s="300"/>
      <c r="R966" s="300"/>
      <c r="S966" s="300"/>
      <c r="T966" s="300"/>
      <c r="U966" s="300"/>
      <c r="V966" s="300"/>
      <c r="W966" s="300"/>
      <c r="X966" s="300"/>
      <c r="Y966" s="300"/>
      <c r="Z966" s="300"/>
      <c r="AA966" s="301"/>
    </row>
    <row r="967" spans="1:27">
      <c r="A967" s="319"/>
      <c r="B967" s="351"/>
      <c r="C967" s="381"/>
      <c r="D967" s="369"/>
      <c r="E967" s="369"/>
      <c r="F967" s="300"/>
      <c r="G967" s="300"/>
      <c r="H967" s="300"/>
      <c r="I967" s="300"/>
      <c r="J967" s="300"/>
      <c r="K967" s="300"/>
      <c r="L967" s="300"/>
      <c r="M967" s="300"/>
      <c r="N967" s="300"/>
      <c r="O967" s="300"/>
      <c r="P967" s="300"/>
      <c r="Q967" s="300"/>
      <c r="R967" s="300"/>
      <c r="S967" s="300"/>
      <c r="T967" s="300"/>
      <c r="U967" s="300"/>
      <c r="V967" s="300"/>
      <c r="W967" s="300"/>
      <c r="X967" s="300"/>
      <c r="Y967" s="300"/>
      <c r="Z967" s="300"/>
      <c r="AA967" s="301"/>
    </row>
    <row r="968" spans="1:27">
      <c r="A968" s="319"/>
      <c r="B968" s="351"/>
      <c r="C968" s="381"/>
      <c r="D968" s="369"/>
      <c r="E968" s="369"/>
      <c r="F968" s="300"/>
      <c r="G968" s="300"/>
      <c r="H968" s="300"/>
      <c r="I968" s="300"/>
      <c r="J968" s="300"/>
      <c r="K968" s="300"/>
      <c r="L968" s="300"/>
      <c r="M968" s="300"/>
      <c r="N968" s="300"/>
      <c r="O968" s="300"/>
      <c r="P968" s="300"/>
      <c r="Q968" s="300"/>
      <c r="R968" s="300"/>
      <c r="S968" s="300"/>
      <c r="T968" s="300"/>
      <c r="U968" s="300"/>
      <c r="V968" s="300"/>
      <c r="W968" s="300"/>
      <c r="X968" s="300"/>
      <c r="Y968" s="300"/>
      <c r="Z968" s="300"/>
      <c r="AA968" s="301"/>
    </row>
    <row r="969" spans="1:27">
      <c r="A969" s="319"/>
      <c r="B969" s="351"/>
      <c r="C969" s="381"/>
      <c r="D969" s="369"/>
      <c r="E969" s="369"/>
      <c r="F969" s="300"/>
      <c r="G969" s="300"/>
      <c r="H969" s="300"/>
      <c r="I969" s="300"/>
      <c r="J969" s="300"/>
      <c r="K969" s="300"/>
      <c r="L969" s="300"/>
      <c r="M969" s="300"/>
      <c r="N969" s="300"/>
      <c r="O969" s="300"/>
      <c r="P969" s="300"/>
      <c r="Q969" s="300"/>
      <c r="R969" s="300"/>
      <c r="S969" s="300"/>
      <c r="T969" s="300"/>
      <c r="U969" s="300"/>
      <c r="V969" s="300"/>
      <c r="W969" s="300"/>
      <c r="X969" s="300"/>
      <c r="Y969" s="300"/>
      <c r="Z969" s="300"/>
      <c r="AA969" s="301"/>
    </row>
    <row r="970" spans="1:27">
      <c r="A970" s="319"/>
      <c r="B970" s="351"/>
      <c r="C970" s="381"/>
      <c r="D970" s="369"/>
      <c r="E970" s="369"/>
      <c r="F970" s="300"/>
      <c r="G970" s="300"/>
      <c r="H970" s="300"/>
      <c r="I970" s="300"/>
      <c r="J970" s="300"/>
      <c r="K970" s="300"/>
      <c r="L970" s="300"/>
      <c r="M970" s="300"/>
      <c r="N970" s="300"/>
      <c r="O970" s="300"/>
      <c r="P970" s="300"/>
      <c r="Q970" s="300"/>
      <c r="R970" s="300"/>
      <c r="S970" s="300"/>
      <c r="T970" s="300"/>
      <c r="U970" s="300"/>
      <c r="V970" s="300"/>
      <c r="W970" s="300"/>
      <c r="X970" s="300"/>
      <c r="Y970" s="300"/>
      <c r="Z970" s="300"/>
      <c r="AA970" s="301"/>
    </row>
    <row r="971" spans="1:27">
      <c r="A971" s="319"/>
      <c r="B971" s="351"/>
      <c r="C971" s="381"/>
      <c r="D971" s="369"/>
      <c r="E971" s="369"/>
      <c r="F971" s="300"/>
      <c r="G971" s="300"/>
      <c r="H971" s="300"/>
      <c r="I971" s="300"/>
      <c r="J971" s="300"/>
      <c r="K971" s="300"/>
      <c r="L971" s="300"/>
      <c r="M971" s="300"/>
      <c r="N971" s="300"/>
      <c r="O971" s="300"/>
      <c r="P971" s="300"/>
      <c r="Q971" s="300"/>
      <c r="R971" s="300"/>
      <c r="S971" s="300"/>
      <c r="T971" s="300"/>
      <c r="U971" s="300"/>
      <c r="V971" s="300"/>
      <c r="W971" s="300"/>
      <c r="X971" s="300"/>
      <c r="Y971" s="300"/>
      <c r="Z971" s="300"/>
      <c r="AA971" s="301"/>
    </row>
    <row r="972" spans="1:27">
      <c r="A972" s="319"/>
      <c r="B972" s="351"/>
      <c r="C972" s="381"/>
      <c r="D972" s="369"/>
      <c r="E972" s="369"/>
      <c r="F972" s="300"/>
      <c r="G972" s="300"/>
      <c r="H972" s="300"/>
      <c r="I972" s="300"/>
      <c r="J972" s="300"/>
      <c r="K972" s="300"/>
      <c r="L972" s="300"/>
      <c r="M972" s="300"/>
      <c r="N972" s="300"/>
      <c r="O972" s="300"/>
      <c r="P972" s="300"/>
      <c r="Q972" s="300"/>
      <c r="R972" s="300"/>
      <c r="S972" s="300"/>
      <c r="T972" s="300"/>
      <c r="U972" s="300"/>
      <c r="V972" s="300"/>
      <c r="W972" s="300"/>
      <c r="X972" s="300"/>
      <c r="Y972" s="300"/>
      <c r="Z972" s="300"/>
      <c r="AA972" s="301"/>
    </row>
    <row r="973" spans="1:27">
      <c r="A973" s="319"/>
      <c r="B973" s="351"/>
      <c r="C973" s="381"/>
      <c r="D973" s="369"/>
      <c r="E973" s="369"/>
      <c r="F973" s="300"/>
      <c r="G973" s="300"/>
      <c r="H973" s="300"/>
      <c r="I973" s="300"/>
      <c r="J973" s="300"/>
      <c r="K973" s="300"/>
      <c r="L973" s="300"/>
      <c r="M973" s="300"/>
      <c r="N973" s="300"/>
      <c r="O973" s="300"/>
      <c r="P973" s="300"/>
      <c r="Q973" s="300"/>
      <c r="R973" s="300"/>
      <c r="S973" s="300"/>
      <c r="T973" s="300"/>
      <c r="U973" s="300"/>
      <c r="V973" s="300"/>
      <c r="W973" s="300"/>
      <c r="X973" s="300"/>
      <c r="Y973" s="300"/>
      <c r="Z973" s="300"/>
      <c r="AA973" s="301"/>
    </row>
    <row r="974" spans="1:27">
      <c r="A974" s="319"/>
      <c r="B974" s="351"/>
      <c r="C974" s="381"/>
      <c r="D974" s="369"/>
      <c r="E974" s="369"/>
      <c r="F974" s="300"/>
      <c r="G974" s="300"/>
      <c r="H974" s="300"/>
      <c r="I974" s="300"/>
      <c r="J974" s="300"/>
      <c r="K974" s="300"/>
      <c r="L974" s="300"/>
      <c r="M974" s="300"/>
      <c r="N974" s="300"/>
      <c r="O974" s="300"/>
      <c r="P974" s="300"/>
      <c r="Q974" s="300"/>
      <c r="R974" s="300"/>
      <c r="S974" s="300"/>
      <c r="T974" s="300"/>
      <c r="U974" s="300"/>
      <c r="V974" s="300"/>
      <c r="W974" s="300"/>
      <c r="X974" s="300"/>
      <c r="Y974" s="300"/>
      <c r="Z974" s="300"/>
      <c r="AA974" s="301"/>
    </row>
    <row r="975" spans="1:27">
      <c r="A975" s="319"/>
      <c r="B975" s="351"/>
      <c r="C975" s="381"/>
      <c r="D975" s="369"/>
      <c r="E975" s="369"/>
      <c r="F975" s="300"/>
      <c r="G975" s="300"/>
      <c r="H975" s="300"/>
      <c r="I975" s="300"/>
      <c r="J975" s="300"/>
      <c r="K975" s="300"/>
      <c r="L975" s="300"/>
      <c r="M975" s="300"/>
      <c r="N975" s="300"/>
      <c r="O975" s="300"/>
      <c r="P975" s="300"/>
      <c r="Q975" s="300"/>
      <c r="R975" s="300"/>
      <c r="S975" s="300"/>
      <c r="T975" s="300"/>
      <c r="U975" s="300"/>
      <c r="V975" s="300"/>
      <c r="W975" s="300"/>
      <c r="X975" s="300"/>
      <c r="Y975" s="300"/>
      <c r="Z975" s="300"/>
      <c r="AA975" s="301"/>
    </row>
    <row r="976" spans="1:27">
      <c r="A976" s="319"/>
      <c r="B976" s="351"/>
      <c r="C976" s="381"/>
      <c r="D976" s="369"/>
      <c r="E976" s="369"/>
      <c r="F976" s="300"/>
      <c r="G976" s="300"/>
      <c r="H976" s="300"/>
      <c r="I976" s="300"/>
      <c r="J976" s="300"/>
      <c r="K976" s="300"/>
      <c r="L976" s="300"/>
      <c r="M976" s="300"/>
      <c r="N976" s="300"/>
      <c r="O976" s="300"/>
      <c r="P976" s="300"/>
      <c r="Q976" s="300"/>
      <c r="R976" s="300"/>
      <c r="S976" s="300"/>
      <c r="T976" s="300"/>
      <c r="U976" s="300"/>
      <c r="V976" s="300"/>
      <c r="W976" s="300"/>
      <c r="X976" s="300"/>
      <c r="Y976" s="300"/>
      <c r="Z976" s="300"/>
      <c r="AA976" s="301"/>
    </row>
    <row r="977" spans="1:27">
      <c r="A977" s="319"/>
      <c r="B977" s="351"/>
      <c r="C977" s="381"/>
      <c r="D977" s="369"/>
      <c r="E977" s="369"/>
      <c r="F977" s="300"/>
      <c r="G977" s="300"/>
      <c r="H977" s="300"/>
      <c r="I977" s="300"/>
      <c r="J977" s="300"/>
      <c r="K977" s="300"/>
      <c r="L977" s="300"/>
      <c r="M977" s="300"/>
      <c r="N977" s="300"/>
      <c r="O977" s="300"/>
      <c r="P977" s="300"/>
      <c r="Q977" s="300"/>
      <c r="R977" s="300"/>
      <c r="S977" s="300"/>
      <c r="T977" s="300"/>
      <c r="U977" s="300"/>
      <c r="V977" s="300"/>
      <c r="W977" s="300"/>
      <c r="X977" s="300"/>
      <c r="Y977" s="300"/>
      <c r="Z977" s="300"/>
      <c r="AA977" s="301"/>
    </row>
    <row r="978" spans="1:27">
      <c r="A978" s="319"/>
      <c r="B978" s="351"/>
      <c r="C978" s="381"/>
      <c r="D978" s="369"/>
      <c r="E978" s="369"/>
      <c r="F978" s="300"/>
      <c r="G978" s="300"/>
      <c r="H978" s="300"/>
      <c r="I978" s="300"/>
      <c r="J978" s="300"/>
      <c r="K978" s="300"/>
      <c r="L978" s="300"/>
      <c r="M978" s="300"/>
      <c r="N978" s="300"/>
      <c r="O978" s="300"/>
      <c r="P978" s="300"/>
      <c r="Q978" s="300"/>
      <c r="R978" s="300"/>
      <c r="S978" s="300"/>
      <c r="T978" s="300"/>
      <c r="U978" s="300"/>
      <c r="V978" s="300"/>
      <c r="W978" s="300"/>
      <c r="X978" s="300"/>
      <c r="Y978" s="300"/>
      <c r="Z978" s="300"/>
      <c r="AA978" s="301"/>
    </row>
    <row r="979" spans="1:27">
      <c r="A979" s="319"/>
      <c r="B979" s="351"/>
      <c r="C979" s="381"/>
      <c r="D979" s="369"/>
      <c r="E979" s="369"/>
      <c r="F979" s="300"/>
      <c r="G979" s="300"/>
      <c r="H979" s="300"/>
      <c r="I979" s="300"/>
      <c r="J979" s="300"/>
      <c r="K979" s="300"/>
      <c r="L979" s="300"/>
      <c r="M979" s="300"/>
      <c r="N979" s="300"/>
      <c r="O979" s="300"/>
      <c r="P979" s="300"/>
      <c r="Q979" s="300"/>
      <c r="R979" s="300"/>
      <c r="S979" s="300"/>
      <c r="T979" s="300"/>
      <c r="U979" s="300"/>
      <c r="V979" s="300"/>
      <c r="W979" s="300"/>
      <c r="X979" s="300"/>
      <c r="Y979" s="300"/>
      <c r="Z979" s="300"/>
      <c r="AA979" s="301"/>
    </row>
    <row r="980" spans="1:27">
      <c r="A980" s="319"/>
      <c r="B980" s="351"/>
      <c r="C980" s="381"/>
      <c r="D980" s="369"/>
      <c r="E980" s="369"/>
      <c r="F980" s="300"/>
      <c r="G980" s="300"/>
      <c r="H980" s="300"/>
      <c r="I980" s="300"/>
      <c r="J980" s="300"/>
      <c r="K980" s="300"/>
      <c r="L980" s="300"/>
      <c r="M980" s="300"/>
      <c r="N980" s="300"/>
      <c r="O980" s="300"/>
      <c r="P980" s="300"/>
      <c r="Q980" s="300"/>
      <c r="R980" s="300"/>
      <c r="S980" s="300"/>
      <c r="T980" s="300"/>
      <c r="U980" s="300"/>
      <c r="V980" s="300"/>
      <c r="W980" s="300"/>
      <c r="X980" s="300"/>
      <c r="Y980" s="300"/>
      <c r="Z980" s="300"/>
      <c r="AA980" s="301"/>
    </row>
    <row r="981" spans="1:27">
      <c r="A981" s="319"/>
      <c r="B981" s="351"/>
      <c r="C981" s="381"/>
      <c r="D981" s="369"/>
      <c r="E981" s="369"/>
      <c r="F981" s="300"/>
      <c r="G981" s="300"/>
      <c r="H981" s="300"/>
      <c r="I981" s="300"/>
      <c r="J981" s="300"/>
      <c r="K981" s="300"/>
      <c r="L981" s="300"/>
      <c r="M981" s="300"/>
      <c r="N981" s="300"/>
      <c r="O981" s="300"/>
      <c r="P981" s="300"/>
      <c r="Q981" s="300"/>
      <c r="R981" s="300"/>
      <c r="S981" s="300"/>
      <c r="T981" s="300"/>
      <c r="U981" s="300"/>
      <c r="V981" s="300"/>
      <c r="W981" s="300"/>
      <c r="X981" s="300"/>
      <c r="Y981" s="300"/>
      <c r="Z981" s="300"/>
      <c r="AA981" s="301"/>
    </row>
    <row r="982" spans="1:27">
      <c r="A982" s="319"/>
      <c r="B982" s="351"/>
      <c r="C982" s="381"/>
      <c r="D982" s="369"/>
      <c r="E982" s="369"/>
      <c r="F982" s="300"/>
      <c r="G982" s="300"/>
      <c r="H982" s="300"/>
      <c r="I982" s="300"/>
      <c r="J982" s="300"/>
      <c r="K982" s="300"/>
      <c r="L982" s="300"/>
      <c r="M982" s="300"/>
      <c r="N982" s="300"/>
      <c r="O982" s="300"/>
      <c r="P982" s="300"/>
      <c r="Q982" s="300"/>
      <c r="R982" s="300"/>
      <c r="S982" s="300"/>
      <c r="T982" s="300"/>
      <c r="U982" s="300"/>
      <c r="V982" s="300"/>
      <c r="W982" s="300"/>
      <c r="X982" s="300"/>
      <c r="Y982" s="300"/>
      <c r="Z982" s="300"/>
      <c r="AA982" s="301"/>
    </row>
    <row r="983" spans="1:27">
      <c r="A983" s="319"/>
      <c r="B983" s="351"/>
      <c r="C983" s="381"/>
      <c r="D983" s="369"/>
      <c r="E983" s="369"/>
      <c r="F983" s="300"/>
      <c r="G983" s="300"/>
      <c r="H983" s="300"/>
      <c r="I983" s="300"/>
      <c r="J983" s="300"/>
      <c r="K983" s="300"/>
      <c r="L983" s="300"/>
      <c r="M983" s="300"/>
      <c r="N983" s="300"/>
      <c r="O983" s="300"/>
      <c r="P983" s="300"/>
      <c r="Q983" s="300"/>
      <c r="R983" s="300"/>
      <c r="S983" s="300"/>
      <c r="T983" s="300"/>
      <c r="U983" s="300"/>
      <c r="V983" s="300"/>
      <c r="W983" s="300"/>
      <c r="X983" s="300"/>
      <c r="Y983" s="300"/>
      <c r="Z983" s="300"/>
      <c r="AA983" s="301"/>
    </row>
    <row r="984" spans="1:27">
      <c r="A984" s="319"/>
      <c r="B984" s="351"/>
      <c r="C984" s="381"/>
      <c r="D984" s="369"/>
      <c r="E984" s="369"/>
      <c r="F984" s="300"/>
      <c r="G984" s="300"/>
      <c r="H984" s="300"/>
      <c r="I984" s="300"/>
      <c r="J984" s="300"/>
      <c r="K984" s="300"/>
      <c r="L984" s="300"/>
      <c r="M984" s="300"/>
      <c r="N984" s="300"/>
      <c r="O984" s="300"/>
      <c r="P984" s="300"/>
      <c r="Q984" s="300"/>
      <c r="R984" s="300"/>
      <c r="S984" s="300"/>
      <c r="T984" s="300"/>
      <c r="U984" s="300"/>
      <c r="V984" s="300"/>
      <c r="W984" s="300"/>
      <c r="X984" s="300"/>
      <c r="Y984" s="300"/>
      <c r="Z984" s="300"/>
      <c r="AA984" s="301"/>
    </row>
    <row r="985" spans="1:27">
      <c r="A985" s="319"/>
      <c r="B985" s="351"/>
      <c r="C985" s="381"/>
      <c r="D985" s="369"/>
      <c r="E985" s="369"/>
      <c r="F985" s="300"/>
      <c r="G985" s="300"/>
      <c r="H985" s="300"/>
      <c r="I985" s="300"/>
      <c r="J985" s="300"/>
      <c r="K985" s="300"/>
      <c r="L985" s="300"/>
      <c r="M985" s="300"/>
      <c r="N985" s="300"/>
      <c r="O985" s="300"/>
      <c r="P985" s="300"/>
      <c r="Q985" s="300"/>
      <c r="R985" s="300"/>
      <c r="S985" s="300"/>
      <c r="T985" s="300"/>
      <c r="U985" s="300"/>
      <c r="V985" s="300"/>
      <c r="W985" s="300"/>
      <c r="X985" s="300"/>
      <c r="Y985" s="300"/>
      <c r="Z985" s="300"/>
      <c r="AA985" s="301"/>
    </row>
    <row r="986" spans="1:27">
      <c r="A986" s="319"/>
      <c r="B986" s="351"/>
      <c r="C986" s="381"/>
      <c r="D986" s="369"/>
      <c r="E986" s="369"/>
      <c r="F986" s="300"/>
      <c r="G986" s="300"/>
      <c r="H986" s="300"/>
      <c r="I986" s="300"/>
      <c r="J986" s="300"/>
      <c r="K986" s="300"/>
      <c r="L986" s="300"/>
      <c r="M986" s="300"/>
      <c r="N986" s="300"/>
      <c r="O986" s="300"/>
      <c r="P986" s="300"/>
      <c r="Q986" s="300"/>
      <c r="R986" s="300"/>
      <c r="S986" s="300"/>
      <c r="T986" s="300"/>
      <c r="U986" s="300"/>
      <c r="V986" s="300"/>
      <c r="W986" s="300"/>
      <c r="X986" s="300"/>
      <c r="Y986" s="300"/>
      <c r="Z986" s="300"/>
      <c r="AA986" s="301"/>
    </row>
    <row r="987" spans="1:27">
      <c r="A987" s="319"/>
      <c r="B987" s="351"/>
      <c r="C987" s="381"/>
      <c r="D987" s="369"/>
      <c r="E987" s="369"/>
      <c r="F987" s="300"/>
      <c r="G987" s="300"/>
      <c r="H987" s="300"/>
      <c r="I987" s="300"/>
      <c r="J987" s="300"/>
      <c r="K987" s="300"/>
      <c r="L987" s="300"/>
      <c r="M987" s="300"/>
      <c r="N987" s="300"/>
      <c r="O987" s="300"/>
      <c r="P987" s="300"/>
      <c r="Q987" s="300"/>
      <c r="R987" s="300"/>
      <c r="S987" s="300"/>
      <c r="T987" s="300"/>
      <c r="U987" s="300"/>
      <c r="V987" s="300"/>
      <c r="W987" s="300"/>
      <c r="X987" s="300"/>
      <c r="Y987" s="300"/>
      <c r="Z987" s="300"/>
      <c r="AA987" s="301"/>
    </row>
    <row r="988" spans="1:27">
      <c r="A988" s="319"/>
      <c r="B988" s="351"/>
      <c r="C988" s="381"/>
      <c r="D988" s="369"/>
      <c r="E988" s="369"/>
      <c r="F988" s="300"/>
      <c r="G988" s="300"/>
      <c r="H988" s="300"/>
      <c r="I988" s="300"/>
      <c r="J988" s="300"/>
      <c r="K988" s="300"/>
      <c r="L988" s="300"/>
      <c r="M988" s="300"/>
      <c r="N988" s="300"/>
      <c r="O988" s="300"/>
      <c r="P988" s="300"/>
      <c r="Q988" s="300"/>
      <c r="R988" s="300"/>
      <c r="S988" s="300"/>
      <c r="T988" s="300"/>
      <c r="U988" s="300"/>
      <c r="V988" s="300"/>
      <c r="W988" s="300"/>
      <c r="X988" s="300"/>
      <c r="Y988" s="300"/>
      <c r="Z988" s="300"/>
      <c r="AA988" s="301"/>
    </row>
    <row r="989" spans="1:27">
      <c r="A989" s="319"/>
      <c r="B989" s="351"/>
      <c r="C989" s="381"/>
      <c r="D989" s="369"/>
      <c r="E989" s="369"/>
      <c r="F989" s="300"/>
      <c r="G989" s="300"/>
      <c r="H989" s="300"/>
      <c r="I989" s="300"/>
      <c r="J989" s="300"/>
      <c r="K989" s="300"/>
      <c r="L989" s="300"/>
      <c r="M989" s="300"/>
      <c r="N989" s="300"/>
      <c r="O989" s="300"/>
      <c r="P989" s="300"/>
      <c r="Q989" s="300"/>
      <c r="R989" s="300"/>
      <c r="S989" s="300"/>
      <c r="T989" s="300"/>
      <c r="U989" s="300"/>
      <c r="V989" s="300"/>
      <c r="W989" s="300"/>
      <c r="X989" s="300"/>
      <c r="Y989" s="300"/>
      <c r="Z989" s="300"/>
      <c r="AA989" s="301"/>
    </row>
    <row r="990" spans="1:27">
      <c r="A990" s="319"/>
      <c r="B990" s="351"/>
      <c r="C990" s="381"/>
      <c r="D990" s="369"/>
      <c r="E990" s="369"/>
      <c r="F990" s="300"/>
      <c r="G990" s="300"/>
      <c r="H990" s="300"/>
      <c r="I990" s="300"/>
      <c r="J990" s="300"/>
      <c r="K990" s="300"/>
      <c r="L990" s="300"/>
      <c r="M990" s="300"/>
      <c r="N990" s="300"/>
      <c r="O990" s="300"/>
      <c r="P990" s="300"/>
      <c r="Q990" s="300"/>
      <c r="R990" s="300"/>
      <c r="S990" s="300"/>
      <c r="T990" s="300"/>
      <c r="U990" s="300"/>
      <c r="V990" s="300"/>
      <c r="W990" s="300"/>
      <c r="X990" s="300"/>
      <c r="Y990" s="300"/>
      <c r="Z990" s="300"/>
      <c r="AA990" s="301"/>
    </row>
    <row r="991" spans="1:27">
      <c r="A991" s="319"/>
      <c r="B991" s="351"/>
      <c r="C991" s="381"/>
      <c r="D991" s="369"/>
      <c r="E991" s="369"/>
      <c r="F991" s="300"/>
      <c r="G991" s="300"/>
      <c r="H991" s="300"/>
      <c r="I991" s="300"/>
      <c r="J991" s="300"/>
      <c r="K991" s="300"/>
      <c r="L991" s="300"/>
      <c r="M991" s="300"/>
      <c r="N991" s="300"/>
      <c r="O991" s="300"/>
      <c r="P991" s="300"/>
      <c r="Q991" s="300"/>
      <c r="R991" s="300"/>
      <c r="S991" s="300"/>
      <c r="T991" s="300"/>
      <c r="U991" s="300"/>
      <c r="V991" s="300"/>
      <c r="W991" s="300"/>
      <c r="X991" s="300"/>
      <c r="Y991" s="300"/>
      <c r="Z991" s="300"/>
      <c r="AA991" s="301"/>
    </row>
    <row r="992" spans="1:27">
      <c r="A992" s="319"/>
      <c r="B992" s="351"/>
      <c r="C992" s="381"/>
      <c r="D992" s="369"/>
      <c r="E992" s="369"/>
      <c r="F992" s="300"/>
      <c r="G992" s="300"/>
      <c r="H992" s="300"/>
      <c r="I992" s="300"/>
      <c r="J992" s="300"/>
      <c r="K992" s="300"/>
      <c r="L992" s="300"/>
      <c r="M992" s="300"/>
      <c r="N992" s="300"/>
      <c r="O992" s="300"/>
      <c r="P992" s="300"/>
      <c r="Q992" s="300"/>
      <c r="R992" s="300"/>
      <c r="S992" s="300"/>
      <c r="T992" s="300"/>
      <c r="U992" s="300"/>
      <c r="V992" s="300"/>
      <c r="W992" s="300"/>
      <c r="X992" s="300"/>
      <c r="Y992" s="300"/>
      <c r="Z992" s="300"/>
      <c r="AA992" s="301"/>
    </row>
    <row r="993" spans="1:27">
      <c r="A993" s="319"/>
      <c r="B993" s="351"/>
      <c r="C993" s="381"/>
      <c r="D993" s="369"/>
      <c r="E993" s="369"/>
      <c r="F993" s="300"/>
      <c r="G993" s="300"/>
      <c r="H993" s="300"/>
      <c r="I993" s="300"/>
      <c r="J993" s="300"/>
      <c r="K993" s="300"/>
      <c r="L993" s="300"/>
      <c r="M993" s="300"/>
      <c r="N993" s="300"/>
      <c r="O993" s="300"/>
      <c r="P993" s="300"/>
      <c r="Q993" s="300"/>
      <c r="R993" s="300"/>
      <c r="S993" s="300"/>
      <c r="T993" s="300"/>
      <c r="U993" s="300"/>
      <c r="V993" s="300"/>
      <c r="W993" s="300"/>
      <c r="X993" s="300"/>
      <c r="Y993" s="300"/>
      <c r="Z993" s="300"/>
      <c r="AA993" s="301"/>
    </row>
    <row r="994" spans="1:27">
      <c r="A994" s="319"/>
      <c r="B994" s="351"/>
      <c r="C994" s="381"/>
      <c r="D994" s="369"/>
      <c r="E994" s="369"/>
      <c r="F994" s="300"/>
      <c r="G994" s="300"/>
      <c r="H994" s="300"/>
      <c r="I994" s="300"/>
      <c r="J994" s="300"/>
      <c r="K994" s="300"/>
      <c r="L994" s="300"/>
      <c r="M994" s="300"/>
      <c r="N994" s="300"/>
      <c r="O994" s="300"/>
      <c r="P994" s="300"/>
      <c r="Q994" s="300"/>
      <c r="R994" s="300"/>
      <c r="S994" s="300"/>
      <c r="T994" s="300"/>
      <c r="U994" s="300"/>
      <c r="V994" s="300"/>
      <c r="W994" s="300"/>
      <c r="X994" s="300"/>
      <c r="Y994" s="300"/>
      <c r="Z994" s="300"/>
      <c r="AA994" s="301"/>
    </row>
    <row r="995" spans="1:27">
      <c r="A995" s="319"/>
      <c r="B995" s="351"/>
      <c r="C995" s="381"/>
      <c r="D995" s="369"/>
      <c r="E995" s="369"/>
      <c r="F995" s="300"/>
      <c r="G995" s="300"/>
      <c r="H995" s="300"/>
      <c r="I995" s="300"/>
      <c r="J995" s="300"/>
      <c r="K995" s="300"/>
      <c r="L995" s="300"/>
      <c r="M995" s="300"/>
      <c r="N995" s="300"/>
      <c r="O995" s="300"/>
      <c r="P995" s="300"/>
      <c r="Q995" s="300"/>
      <c r="R995" s="300"/>
      <c r="S995" s="300"/>
      <c r="T995" s="300"/>
      <c r="U995" s="300"/>
      <c r="V995" s="300"/>
      <c r="W995" s="300"/>
      <c r="X995" s="300"/>
      <c r="Y995" s="300"/>
      <c r="Z995" s="300"/>
      <c r="AA995" s="301"/>
    </row>
    <row r="996" spans="1:27">
      <c r="A996" s="319"/>
      <c r="B996" s="351"/>
      <c r="C996" s="381"/>
      <c r="D996" s="369"/>
      <c r="E996" s="369"/>
      <c r="F996" s="300"/>
      <c r="G996" s="300"/>
      <c r="H996" s="300"/>
      <c r="I996" s="300"/>
      <c r="J996" s="300"/>
      <c r="K996" s="300"/>
      <c r="L996" s="300"/>
      <c r="M996" s="300"/>
      <c r="N996" s="300"/>
      <c r="O996" s="300"/>
      <c r="P996" s="300"/>
      <c r="Q996" s="300"/>
      <c r="R996" s="300"/>
      <c r="S996" s="300"/>
      <c r="T996" s="300"/>
      <c r="U996" s="300"/>
      <c r="V996" s="300"/>
      <c r="W996" s="300"/>
      <c r="X996" s="300"/>
      <c r="Y996" s="300"/>
      <c r="Z996" s="300"/>
      <c r="AA996" s="301"/>
    </row>
    <row r="997" spans="1:27">
      <c r="A997" s="319"/>
      <c r="B997" s="351"/>
      <c r="C997" s="381"/>
      <c r="D997" s="369"/>
      <c r="E997" s="369"/>
      <c r="F997" s="300"/>
      <c r="G997" s="300"/>
      <c r="H997" s="300"/>
      <c r="I997" s="300"/>
      <c r="J997" s="300"/>
      <c r="K997" s="300"/>
      <c r="L997" s="300"/>
      <c r="M997" s="300"/>
      <c r="N997" s="300"/>
      <c r="O997" s="300"/>
      <c r="P997" s="300"/>
      <c r="Q997" s="300"/>
      <c r="R997" s="300"/>
      <c r="S997" s="300"/>
      <c r="T997" s="300"/>
      <c r="U997" s="300"/>
      <c r="V997" s="300"/>
      <c r="W997" s="300"/>
      <c r="X997" s="300"/>
      <c r="Y997" s="300"/>
      <c r="Z997" s="300"/>
      <c r="AA997" s="301"/>
    </row>
    <row r="998" spans="1:27">
      <c r="A998" s="319"/>
      <c r="B998" s="351"/>
      <c r="C998" s="381"/>
      <c r="D998" s="369"/>
      <c r="E998" s="369"/>
      <c r="F998" s="300"/>
      <c r="G998" s="300"/>
      <c r="H998" s="300"/>
      <c r="I998" s="300"/>
      <c r="J998" s="300"/>
      <c r="K998" s="300"/>
      <c r="L998" s="300"/>
      <c r="M998" s="300"/>
      <c r="N998" s="300"/>
      <c r="O998" s="300"/>
      <c r="P998" s="300"/>
      <c r="Q998" s="300"/>
      <c r="R998" s="300"/>
      <c r="S998" s="300"/>
      <c r="T998" s="300"/>
      <c r="U998" s="300"/>
      <c r="V998" s="300"/>
      <c r="W998" s="300"/>
      <c r="X998" s="300"/>
      <c r="Y998" s="300"/>
      <c r="Z998" s="300"/>
      <c r="AA998" s="301"/>
    </row>
    <row r="999" spans="1:27">
      <c r="A999" s="319"/>
      <c r="B999" s="351"/>
      <c r="C999" s="381"/>
      <c r="D999" s="369"/>
      <c r="E999" s="369"/>
      <c r="F999" s="300"/>
      <c r="G999" s="300"/>
      <c r="H999" s="300"/>
      <c r="I999" s="300"/>
      <c r="J999" s="300"/>
      <c r="K999" s="300"/>
      <c r="L999" s="300"/>
      <c r="M999" s="300"/>
      <c r="N999" s="300"/>
      <c r="O999" s="300"/>
      <c r="P999" s="300"/>
      <c r="Q999" s="300"/>
      <c r="R999" s="300"/>
      <c r="S999" s="300"/>
      <c r="T999" s="300"/>
      <c r="U999" s="300"/>
      <c r="V999" s="300"/>
      <c r="W999" s="300"/>
      <c r="X999" s="300"/>
      <c r="Y999" s="300"/>
      <c r="Z999" s="300"/>
      <c r="AA999" s="301"/>
    </row>
    <row r="1000" spans="1:27">
      <c r="A1000" s="319"/>
      <c r="B1000" s="351"/>
      <c r="C1000" s="381"/>
      <c r="D1000" s="369"/>
      <c r="E1000" s="369"/>
      <c r="F1000" s="300"/>
      <c r="G1000" s="300"/>
      <c r="H1000" s="300"/>
      <c r="I1000" s="300"/>
      <c r="J1000" s="300"/>
      <c r="K1000" s="300"/>
      <c r="L1000" s="300"/>
      <c r="M1000" s="300"/>
      <c r="N1000" s="300"/>
      <c r="O1000" s="300"/>
      <c r="P1000" s="300"/>
      <c r="Q1000" s="300"/>
      <c r="R1000" s="300"/>
      <c r="S1000" s="300"/>
      <c r="T1000" s="300"/>
      <c r="U1000" s="300"/>
      <c r="V1000" s="300"/>
      <c r="W1000" s="300"/>
      <c r="X1000" s="300"/>
      <c r="Y1000" s="300"/>
      <c r="Z1000" s="300"/>
      <c r="AA1000" s="301"/>
    </row>
    <row r="1001" spans="1:27">
      <c r="A1001" s="319"/>
      <c r="B1001" s="351"/>
      <c r="C1001" s="381"/>
      <c r="D1001" s="369"/>
      <c r="E1001" s="369"/>
      <c r="F1001" s="300"/>
      <c r="G1001" s="300"/>
      <c r="H1001" s="300"/>
      <c r="I1001" s="300"/>
      <c r="J1001" s="300"/>
      <c r="K1001" s="300"/>
      <c r="L1001" s="300"/>
      <c r="M1001" s="300"/>
      <c r="N1001" s="300"/>
      <c r="O1001" s="300"/>
      <c r="P1001" s="300"/>
      <c r="Q1001" s="300"/>
      <c r="R1001" s="300"/>
      <c r="S1001" s="300"/>
      <c r="T1001" s="313"/>
      <c r="U1001" s="313"/>
      <c r="V1001" s="313"/>
      <c r="W1001" s="313"/>
      <c r="X1001" s="313"/>
      <c r="Y1001" s="313"/>
      <c r="Z1001" s="313"/>
      <c r="AA1001" s="311"/>
    </row>
    <row r="1002" spans="1:27">
      <c r="A1002" s="319"/>
      <c r="B1002" s="351"/>
      <c r="C1002" s="381"/>
      <c r="D1002" s="369"/>
      <c r="E1002" s="369"/>
      <c r="F1002" s="300"/>
      <c r="G1002" s="300"/>
      <c r="H1002" s="300"/>
      <c r="I1002" s="300"/>
      <c r="J1002" s="300"/>
      <c r="K1002" s="300"/>
      <c r="L1002" s="300"/>
      <c r="M1002" s="300"/>
      <c r="N1002" s="300"/>
      <c r="O1002" s="300"/>
      <c r="P1002" s="300"/>
      <c r="Q1002" s="300"/>
      <c r="R1002" s="300"/>
      <c r="S1002" s="300"/>
    </row>
    <row r="1003" spans="1:27">
      <c r="A1003" s="312"/>
      <c r="B1003" s="347"/>
      <c r="C1003" s="379"/>
      <c r="D1003" s="366"/>
      <c r="E1003" s="366"/>
      <c r="F1003" s="313"/>
      <c r="G1003" s="313"/>
      <c r="H1003" s="313"/>
      <c r="I1003" s="313"/>
      <c r="J1003" s="313"/>
      <c r="K1003" s="313"/>
      <c r="L1003" s="313"/>
      <c r="M1003" s="313"/>
      <c r="N1003" s="313"/>
      <c r="O1003" s="313"/>
      <c r="P1003" s="313"/>
      <c r="Q1003" s="313"/>
      <c r="R1003" s="313"/>
      <c r="S1003" s="313"/>
    </row>
  </sheetData>
  <mergeCells count="27">
    <mergeCell ref="B60:S72"/>
    <mergeCell ref="B38:D38"/>
    <mergeCell ref="B7:B11"/>
    <mergeCell ref="B12:B16"/>
    <mergeCell ref="B27:B31"/>
    <mergeCell ref="B33:B37"/>
    <mergeCell ref="B40:B44"/>
    <mergeCell ref="B45:B49"/>
    <mergeCell ref="A51:C52"/>
    <mergeCell ref="A53:C53"/>
    <mergeCell ref="A54:C55"/>
    <mergeCell ref="B17:B21"/>
    <mergeCell ref="B22:B26"/>
    <mergeCell ref="F4:S4"/>
    <mergeCell ref="F5:S5"/>
    <mergeCell ref="F1:S1"/>
    <mergeCell ref="F2:S2"/>
    <mergeCell ref="F3:S3"/>
    <mergeCell ref="AF71:AI74"/>
    <mergeCell ref="AE61:AS61"/>
    <mergeCell ref="AE62:AS62"/>
    <mergeCell ref="AE63:AI63"/>
    <mergeCell ref="AJ63:AS63"/>
    <mergeCell ref="AE65:AE69"/>
    <mergeCell ref="AF65:AF69"/>
    <mergeCell ref="AG65:AG69"/>
    <mergeCell ref="AE70:AS7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37612-7344-4C1A-B4D7-2FD383AFEAE4}">
  <sheetPr>
    <tabColor theme="9" tint="-0.499984740745262"/>
  </sheetPr>
  <dimension ref="A1:AL57"/>
  <sheetViews>
    <sheetView workbookViewId="0">
      <pane xSplit="2" ySplit="6" topLeftCell="F7" activePane="bottomRight" state="frozen"/>
      <selection pane="bottomRight" activeCell="F6" sqref="F6"/>
      <selection pane="bottomLeft"/>
      <selection pane="topRight"/>
    </sheetView>
  </sheetViews>
  <sheetFormatPr defaultRowHeight="15"/>
  <cols>
    <col min="4" max="4" width="23.7109375" style="356" customWidth="1"/>
    <col min="5" max="5" width="29.85546875" style="356" customWidth="1"/>
    <col min="6" max="6" width="9.28515625" bestFit="1" customWidth="1"/>
    <col min="10" max="10" width="9.28515625" bestFit="1" customWidth="1"/>
    <col min="12" max="12" width="9.28515625" bestFit="1" customWidth="1"/>
    <col min="14" max="15" width="10.85546875" bestFit="1" customWidth="1"/>
    <col min="17" max="17" width="10.42578125" bestFit="1" customWidth="1"/>
    <col min="23" max="23" width="21.85546875" bestFit="1" customWidth="1"/>
    <col min="27" max="27" width="15.28515625" bestFit="1" customWidth="1"/>
  </cols>
  <sheetData>
    <row r="1" spans="1:38">
      <c r="A1" s="1011" t="s">
        <v>40</v>
      </c>
      <c r="B1" s="1012"/>
      <c r="C1" s="1012"/>
      <c r="D1" s="1012"/>
      <c r="E1" s="1012"/>
      <c r="F1" s="1012"/>
      <c r="G1" s="1012"/>
      <c r="H1" s="1012"/>
      <c r="I1" s="1012"/>
      <c r="J1" s="1012"/>
      <c r="K1" s="1012"/>
      <c r="L1" s="1012"/>
      <c r="M1" s="1012"/>
      <c r="N1" s="1012"/>
      <c r="O1" s="1012"/>
      <c r="P1" s="1012"/>
      <c r="Q1" s="1012"/>
      <c r="R1" s="1012"/>
      <c r="S1" s="1122"/>
    </row>
    <row r="2" spans="1:38">
      <c r="A2" s="1014" t="s">
        <v>41</v>
      </c>
      <c r="B2" s="1015"/>
      <c r="C2" s="1015"/>
      <c r="D2" s="1015"/>
      <c r="E2" s="1015"/>
      <c r="F2" s="1015"/>
      <c r="G2" s="1015"/>
      <c r="H2" s="1015"/>
      <c r="I2" s="1015"/>
      <c r="J2" s="1015"/>
      <c r="K2" s="1015"/>
      <c r="L2" s="1015"/>
      <c r="M2" s="1015"/>
      <c r="N2" s="1015"/>
      <c r="O2" s="1015"/>
      <c r="P2" s="1015"/>
      <c r="Q2" s="1015"/>
      <c r="R2" s="1015"/>
      <c r="S2" s="1123"/>
    </row>
    <row r="3" spans="1:38">
      <c r="A3" s="1017" t="s">
        <v>42</v>
      </c>
      <c r="B3" s="1018"/>
      <c r="C3" s="1018"/>
      <c r="D3" s="1018"/>
      <c r="E3" s="1018"/>
      <c r="F3" s="1018"/>
      <c r="G3" s="1018"/>
      <c r="H3" s="1018"/>
      <c r="I3" s="1018"/>
      <c r="J3" s="1018"/>
      <c r="K3" s="1018"/>
      <c r="L3" s="1018"/>
      <c r="M3" s="1018"/>
      <c r="N3" s="1018"/>
      <c r="O3" s="1018"/>
      <c r="P3" s="1018"/>
      <c r="Q3" s="1018"/>
      <c r="R3" s="1018"/>
      <c r="S3" s="1124"/>
    </row>
    <row r="4" spans="1:38">
      <c r="A4" s="1023" t="s">
        <v>1245</v>
      </c>
      <c r="B4" s="1024"/>
      <c r="C4" s="1024"/>
      <c r="D4" s="1024"/>
      <c r="E4" s="1024"/>
      <c r="F4" s="1024"/>
      <c r="G4" s="1024"/>
      <c r="H4" s="1024"/>
      <c r="I4" s="1024"/>
      <c r="J4" s="1024"/>
      <c r="K4" s="1024"/>
      <c r="L4" s="1024"/>
      <c r="M4" s="1024"/>
      <c r="N4" s="1024"/>
      <c r="O4" s="1024"/>
      <c r="P4" s="1024"/>
      <c r="Q4" s="1024"/>
      <c r="R4" s="1024"/>
      <c r="S4" s="1055"/>
    </row>
    <row r="5" spans="1:38">
      <c r="A5" s="1023" t="s">
        <v>1005</v>
      </c>
      <c r="B5" s="1024"/>
      <c r="C5" s="1024"/>
      <c r="D5" s="1024"/>
      <c r="E5" s="1024"/>
      <c r="F5" s="1024"/>
      <c r="G5" s="1024"/>
      <c r="H5" s="1024"/>
      <c r="I5" s="1024"/>
      <c r="J5" s="1024"/>
      <c r="K5" s="1024"/>
      <c r="L5" s="1024"/>
      <c r="M5" s="1024"/>
      <c r="N5" s="1024"/>
      <c r="O5" s="1024"/>
      <c r="P5" s="1024"/>
      <c r="Q5" s="1024"/>
      <c r="R5" s="1024"/>
      <c r="S5" s="1055"/>
    </row>
    <row r="6" spans="1:38">
      <c r="A6" s="336" t="s">
        <v>45</v>
      </c>
      <c r="B6" s="327" t="s">
        <v>46</v>
      </c>
      <c r="C6" s="327" t="s">
        <v>47</v>
      </c>
      <c r="D6" s="337" t="s">
        <v>48</v>
      </c>
      <c r="E6" s="337" t="s">
        <v>49</v>
      </c>
      <c r="F6" s="327" t="s">
        <v>50</v>
      </c>
      <c r="G6" s="327" t="s">
        <v>51</v>
      </c>
      <c r="H6" s="327" t="s">
        <v>52</v>
      </c>
      <c r="I6" s="327" t="s">
        <v>53</v>
      </c>
      <c r="J6" s="327" t="s">
        <v>54</v>
      </c>
      <c r="K6" s="327" t="s">
        <v>55</v>
      </c>
      <c r="L6" s="327" t="s">
        <v>56</v>
      </c>
      <c r="M6" s="327" t="s">
        <v>57</v>
      </c>
      <c r="N6" s="327" t="s">
        <v>58</v>
      </c>
      <c r="O6" s="327" t="s">
        <v>59</v>
      </c>
      <c r="P6" s="327" t="s">
        <v>60</v>
      </c>
      <c r="Q6" s="327" t="s">
        <v>61</v>
      </c>
      <c r="R6" s="327" t="s">
        <v>62</v>
      </c>
      <c r="S6" s="327" t="s">
        <v>63</v>
      </c>
      <c r="W6" s="232"/>
      <c r="X6" s="232"/>
      <c r="Y6" s="232"/>
      <c r="Z6" s="232"/>
      <c r="AA6" s="232"/>
      <c r="AB6" s="232"/>
      <c r="AC6" s="232"/>
      <c r="AD6" s="232"/>
      <c r="AE6" s="232"/>
      <c r="AF6" s="232"/>
      <c r="AG6" s="232"/>
      <c r="AH6" s="232"/>
      <c r="AI6" s="232"/>
      <c r="AJ6" s="232"/>
      <c r="AK6" s="232"/>
    </row>
    <row r="7" spans="1:38" ht="60.75">
      <c r="A7" s="339" t="s">
        <v>65</v>
      </c>
      <c r="B7" s="456" t="s">
        <v>66</v>
      </c>
      <c r="C7" s="328">
        <v>1</v>
      </c>
      <c r="D7" s="340" t="s">
        <v>1246</v>
      </c>
      <c r="E7" s="340" t="s">
        <v>1247</v>
      </c>
      <c r="F7" s="520">
        <v>6.02</v>
      </c>
      <c r="G7" s="520">
        <v>6.01</v>
      </c>
      <c r="H7" s="520">
        <v>5.21</v>
      </c>
      <c r="I7" s="520">
        <v>5.18</v>
      </c>
      <c r="J7" s="520">
        <v>4</v>
      </c>
      <c r="K7" s="521">
        <v>5.8</v>
      </c>
      <c r="L7" s="520">
        <v>4.97</v>
      </c>
      <c r="M7" s="522">
        <v>7.8</v>
      </c>
      <c r="N7" s="522">
        <v>6</v>
      </c>
      <c r="O7" s="522">
        <v>4.41</v>
      </c>
      <c r="P7" s="522">
        <v>4.3499999999999996</v>
      </c>
      <c r="Q7" s="522">
        <v>5.5</v>
      </c>
      <c r="R7" s="765">
        <f>AVERAGE(F7:Q7)</f>
        <v>5.4375</v>
      </c>
      <c r="S7" s="341">
        <v>6</v>
      </c>
      <c r="V7" s="232"/>
      <c r="W7" s="970" t="s">
        <v>70</v>
      </c>
      <c r="X7" s="970"/>
      <c r="Y7" s="970"/>
      <c r="Z7" s="970"/>
      <c r="AA7" s="970"/>
      <c r="AB7" s="970"/>
      <c r="AC7" s="970"/>
      <c r="AD7" s="970"/>
      <c r="AE7" s="970"/>
      <c r="AF7" s="970"/>
      <c r="AG7" s="970"/>
      <c r="AH7" s="970"/>
      <c r="AI7" s="970"/>
      <c r="AJ7" s="970"/>
      <c r="AK7" s="970"/>
      <c r="AL7" s="232"/>
    </row>
    <row r="8" spans="1:38" ht="45.75">
      <c r="A8" s="342"/>
      <c r="B8" s="457"/>
      <c r="C8" s="329">
        <v>2</v>
      </c>
      <c r="D8" s="343" t="s">
        <v>1248</v>
      </c>
      <c r="E8" s="343" t="s">
        <v>1247</v>
      </c>
      <c r="F8" s="523">
        <v>5.98</v>
      </c>
      <c r="G8" s="523">
        <v>5.89</v>
      </c>
      <c r="H8" s="523">
        <v>5.18</v>
      </c>
      <c r="I8" s="523">
        <v>4.99</v>
      </c>
      <c r="J8" s="523">
        <v>4.9000000000000004</v>
      </c>
      <c r="K8" s="524">
        <v>5.71</v>
      </c>
      <c r="L8" s="523">
        <v>4.9000000000000004</v>
      </c>
      <c r="M8" s="525">
        <v>7.8</v>
      </c>
      <c r="N8" s="525">
        <v>5.93</v>
      </c>
      <c r="O8" s="525">
        <v>4.38</v>
      </c>
      <c r="P8" s="525">
        <v>4.25</v>
      </c>
      <c r="Q8" s="525">
        <v>5.6</v>
      </c>
      <c r="R8" s="524">
        <f>AVERAGE(F8:Q8)</f>
        <v>5.4591666666666656</v>
      </c>
      <c r="S8" s="344">
        <v>6</v>
      </c>
      <c r="V8" s="232"/>
      <c r="W8" s="970" t="s">
        <v>107</v>
      </c>
      <c r="X8" s="970"/>
      <c r="Y8" s="970"/>
      <c r="Z8" s="970"/>
      <c r="AA8" s="970"/>
      <c r="AB8" s="970"/>
      <c r="AC8" s="970"/>
      <c r="AD8" s="970"/>
      <c r="AE8" s="970"/>
      <c r="AF8" s="970"/>
      <c r="AG8" s="970"/>
      <c r="AH8" s="970"/>
      <c r="AI8" s="970"/>
      <c r="AJ8" s="970"/>
      <c r="AK8" s="970"/>
      <c r="AL8" s="232"/>
    </row>
    <row r="9" spans="1:38" ht="45.75">
      <c r="A9" s="342"/>
      <c r="B9" s="458"/>
      <c r="C9" s="329">
        <v>3</v>
      </c>
      <c r="D9" s="343" t="s">
        <v>1249</v>
      </c>
      <c r="E9" s="343" t="s">
        <v>1247</v>
      </c>
      <c r="F9" s="523">
        <v>6.01</v>
      </c>
      <c r="G9" s="523">
        <v>5.98</v>
      </c>
      <c r="H9" s="523">
        <v>5.08</v>
      </c>
      <c r="I9" s="523">
        <v>5.1100000000000003</v>
      </c>
      <c r="J9" s="523">
        <v>4</v>
      </c>
      <c r="K9" s="524">
        <v>5.78</v>
      </c>
      <c r="L9" s="523">
        <v>4.93</v>
      </c>
      <c r="M9" s="525">
        <v>8.3000000000000007</v>
      </c>
      <c r="N9" s="525">
        <v>6.1</v>
      </c>
      <c r="O9" s="525">
        <v>4.6500000000000004</v>
      </c>
      <c r="P9" s="525">
        <v>4.53</v>
      </c>
      <c r="Q9" s="525">
        <v>5.5</v>
      </c>
      <c r="R9" s="524">
        <f>AVERAGE(F9:Q9)</f>
        <v>5.4974999999999996</v>
      </c>
      <c r="S9" s="344">
        <v>6</v>
      </c>
      <c r="V9" s="232"/>
      <c r="W9" s="848"/>
      <c r="X9" s="848"/>
      <c r="Y9" s="848"/>
      <c r="Z9" s="848"/>
      <c r="AA9" s="848"/>
      <c r="AB9" s="848" t="s">
        <v>78</v>
      </c>
      <c r="AC9" s="1161"/>
      <c r="AD9" s="1161"/>
      <c r="AE9" s="1161"/>
      <c r="AF9" s="1161"/>
      <c r="AG9" s="1161"/>
      <c r="AH9" s="1161"/>
      <c r="AI9" s="1161"/>
      <c r="AJ9" s="1161"/>
      <c r="AK9" s="1161"/>
      <c r="AL9" s="232"/>
    </row>
    <row r="10" spans="1:38" ht="60.75">
      <c r="A10" s="342"/>
      <c r="B10" s="456" t="s">
        <v>92</v>
      </c>
      <c r="C10" s="328">
        <v>1</v>
      </c>
      <c r="D10" s="340" t="s">
        <v>1246</v>
      </c>
      <c r="E10" s="340" t="s">
        <v>1247</v>
      </c>
      <c r="F10" s="520">
        <v>28</v>
      </c>
      <c r="G10" s="520">
        <v>16</v>
      </c>
      <c r="H10" s="520">
        <v>26</v>
      </c>
      <c r="I10" s="520">
        <v>15</v>
      </c>
      <c r="J10" s="520">
        <v>98</v>
      </c>
      <c r="K10" s="521">
        <v>22</v>
      </c>
      <c r="L10" s="520">
        <v>40</v>
      </c>
      <c r="M10" s="522">
        <v>37</v>
      </c>
      <c r="N10" s="522">
        <v>26</v>
      </c>
      <c r="O10" s="522">
        <v>22</v>
      </c>
      <c r="P10" s="522">
        <v>55</v>
      </c>
      <c r="Q10" s="522">
        <v>78</v>
      </c>
      <c r="R10" s="765">
        <f t="shared" ref="R10:R21" si="0">AVERAGE(F10:Q10)</f>
        <v>38.583333333333336</v>
      </c>
      <c r="S10" s="341">
        <v>50</v>
      </c>
      <c r="V10" s="232"/>
      <c r="W10" s="14" t="s">
        <v>82</v>
      </c>
      <c r="X10" s="14" t="s">
        <v>83</v>
      </c>
      <c r="Y10" s="14" t="s">
        <v>84</v>
      </c>
      <c r="Z10" s="14" t="s">
        <v>85</v>
      </c>
      <c r="AA10" s="14" t="s">
        <v>86</v>
      </c>
      <c r="AB10" s="14" t="s">
        <v>4</v>
      </c>
      <c r="AC10" s="14" t="s">
        <v>5</v>
      </c>
      <c r="AD10" s="14" t="s">
        <v>6</v>
      </c>
      <c r="AE10" s="14" t="s">
        <v>7</v>
      </c>
      <c r="AF10" s="14" t="s">
        <v>8</v>
      </c>
      <c r="AG10" s="14" t="s">
        <v>9</v>
      </c>
      <c r="AH10" s="14" t="s">
        <v>10</v>
      </c>
      <c r="AI10" s="14" t="s">
        <v>11</v>
      </c>
      <c r="AJ10" s="14" t="s">
        <v>12</v>
      </c>
      <c r="AK10" s="14" t="s">
        <v>13</v>
      </c>
      <c r="AL10" s="232"/>
    </row>
    <row r="11" spans="1:38" ht="90.75">
      <c r="A11" s="342"/>
      <c r="B11" s="457"/>
      <c r="C11" s="329">
        <v>2</v>
      </c>
      <c r="D11" s="343" t="s">
        <v>1248</v>
      </c>
      <c r="E11" s="343" t="s">
        <v>1247</v>
      </c>
      <c r="F11" s="523">
        <v>23</v>
      </c>
      <c r="G11" s="523">
        <v>15</v>
      </c>
      <c r="H11" s="523">
        <v>33</v>
      </c>
      <c r="I11" s="523">
        <v>17</v>
      </c>
      <c r="J11" s="523">
        <v>60</v>
      </c>
      <c r="K11" s="524">
        <v>25</v>
      </c>
      <c r="L11" s="523">
        <v>34</v>
      </c>
      <c r="M11" s="525">
        <v>36</v>
      </c>
      <c r="N11" s="525">
        <v>26</v>
      </c>
      <c r="O11" s="525">
        <v>17</v>
      </c>
      <c r="P11" s="525">
        <v>51</v>
      </c>
      <c r="Q11" s="525">
        <v>72</v>
      </c>
      <c r="R11" s="524">
        <f t="shared" si="0"/>
        <v>34.083333333333336</v>
      </c>
      <c r="S11" s="344">
        <v>50</v>
      </c>
      <c r="V11" s="232"/>
      <c r="W11" s="847" t="s">
        <v>265</v>
      </c>
      <c r="X11" s="847" t="s">
        <v>1250</v>
      </c>
      <c r="Y11" s="855" t="s">
        <v>29</v>
      </c>
      <c r="Z11" s="32">
        <v>1</v>
      </c>
      <c r="AA11" s="65" t="s">
        <v>1246</v>
      </c>
      <c r="AB11" s="35">
        <f>R7</f>
        <v>5.4375</v>
      </c>
      <c r="AC11" s="14" t="s">
        <v>905</v>
      </c>
      <c r="AD11" s="35">
        <f>R10</f>
        <v>38.583333333333336</v>
      </c>
      <c r="AE11" s="35">
        <f>R13</f>
        <v>7.9050000000000011</v>
      </c>
      <c r="AF11" s="35">
        <f>R16</f>
        <v>28.311666666666667</v>
      </c>
      <c r="AG11" s="35">
        <f>R19</f>
        <v>7.916666666666667</v>
      </c>
      <c r="AH11" s="35">
        <f>R23</f>
        <v>345.8938414167568</v>
      </c>
      <c r="AI11" s="34">
        <f>R28</f>
        <v>0.19483333333333333</v>
      </c>
      <c r="AJ11" s="34">
        <f>R31</f>
        <v>0.21500000000000005</v>
      </c>
      <c r="AK11" s="14" t="s">
        <v>905</v>
      </c>
      <c r="AL11" s="232"/>
    </row>
    <row r="12" spans="1:38" ht="75.75">
      <c r="A12" s="342"/>
      <c r="B12" s="458"/>
      <c r="C12" s="329">
        <v>3</v>
      </c>
      <c r="D12" s="343" t="s">
        <v>1249</v>
      </c>
      <c r="E12" s="343" t="s">
        <v>1247</v>
      </c>
      <c r="F12" s="523">
        <v>18</v>
      </c>
      <c r="G12" s="523">
        <v>13</v>
      </c>
      <c r="H12" s="523">
        <v>18</v>
      </c>
      <c r="I12" s="523">
        <v>20</v>
      </c>
      <c r="J12" s="523">
        <v>63</v>
      </c>
      <c r="K12" s="524">
        <v>24</v>
      </c>
      <c r="L12" s="523">
        <v>27</v>
      </c>
      <c r="M12" s="525">
        <v>40</v>
      </c>
      <c r="N12" s="525">
        <v>29</v>
      </c>
      <c r="O12" s="525">
        <v>33</v>
      </c>
      <c r="P12" s="525">
        <v>54</v>
      </c>
      <c r="Q12" s="525">
        <v>60</v>
      </c>
      <c r="R12" s="524">
        <f t="shared" si="0"/>
        <v>33.25</v>
      </c>
      <c r="S12" s="344">
        <v>50</v>
      </c>
      <c r="V12" s="232"/>
      <c r="W12" s="1161"/>
      <c r="X12" s="1161"/>
      <c r="Y12" s="1161"/>
      <c r="Z12" s="32">
        <v>2</v>
      </c>
      <c r="AA12" s="65" t="s">
        <v>1248</v>
      </c>
      <c r="AB12" s="35">
        <f t="shared" ref="AB12:AB13" si="1">R8</f>
        <v>5.4591666666666656</v>
      </c>
      <c r="AC12" s="14" t="s">
        <v>905</v>
      </c>
      <c r="AD12" s="35">
        <f t="shared" ref="AD12:AD13" si="2">R11</f>
        <v>34.083333333333336</v>
      </c>
      <c r="AE12" s="35">
        <f t="shared" ref="AE12:AE13" si="3">R14</f>
        <v>7.8958333333333348</v>
      </c>
      <c r="AF12" s="35">
        <f t="shared" ref="AF12:AF13" si="4">R17</f>
        <v>28.422499999999999</v>
      </c>
      <c r="AG12" s="35">
        <f t="shared" ref="AG12:AG13" si="5">R20</f>
        <v>7.916666666666667</v>
      </c>
      <c r="AH12" s="35">
        <f t="shared" ref="AH12:AH13" si="6">R24</f>
        <v>522.51781601473567</v>
      </c>
      <c r="AI12" s="34">
        <f t="shared" ref="AI12:AI13" si="7">R29</f>
        <v>0.22591666666666665</v>
      </c>
      <c r="AJ12" s="34">
        <f t="shared" ref="AJ12:AJ13" si="8">R32</f>
        <v>0.20075000000000001</v>
      </c>
      <c r="AK12" s="14" t="s">
        <v>905</v>
      </c>
      <c r="AL12" s="232"/>
    </row>
    <row r="13" spans="1:38" ht="75.75">
      <c r="A13" s="342"/>
      <c r="B13" s="456" t="s">
        <v>7</v>
      </c>
      <c r="C13" s="328">
        <v>1</v>
      </c>
      <c r="D13" s="340" t="s">
        <v>1246</v>
      </c>
      <c r="E13" s="340" t="s">
        <v>1247</v>
      </c>
      <c r="F13" s="520">
        <v>7.81</v>
      </c>
      <c r="G13" s="520">
        <v>8.2100000000000009</v>
      </c>
      <c r="H13" s="520">
        <v>8.11</v>
      </c>
      <c r="I13" s="520">
        <v>8.76</v>
      </c>
      <c r="J13" s="520">
        <v>8.2799999999999994</v>
      </c>
      <c r="K13" s="521">
        <v>7.82</v>
      </c>
      <c r="L13" s="520">
        <v>7.86</v>
      </c>
      <c r="M13" s="522">
        <v>8.16</v>
      </c>
      <c r="N13" s="522">
        <v>8.0399999999999991</v>
      </c>
      <c r="O13" s="522">
        <v>7.53</v>
      </c>
      <c r="P13" s="522">
        <v>7.58</v>
      </c>
      <c r="Q13" s="522">
        <v>6.7</v>
      </c>
      <c r="R13" s="765">
        <f t="shared" si="0"/>
        <v>7.9050000000000011</v>
      </c>
      <c r="S13" s="341" t="s">
        <v>908</v>
      </c>
      <c r="V13" s="232"/>
      <c r="W13" s="1161"/>
      <c r="X13" s="1161"/>
      <c r="Y13" s="1161"/>
      <c r="Z13" s="32">
        <v>3</v>
      </c>
      <c r="AA13" s="65" t="s">
        <v>1249</v>
      </c>
      <c r="AB13" s="35">
        <f t="shared" si="1"/>
        <v>5.4974999999999996</v>
      </c>
      <c r="AC13" s="14" t="s">
        <v>905</v>
      </c>
      <c r="AD13" s="35">
        <f t="shared" si="2"/>
        <v>33.25</v>
      </c>
      <c r="AE13" s="35">
        <f t="shared" si="3"/>
        <v>7.8933333333333344</v>
      </c>
      <c r="AF13" s="35">
        <f t="shared" si="4"/>
        <v>28.526666666666667</v>
      </c>
      <c r="AG13" s="35">
        <f t="shared" si="5"/>
        <v>7.916666666666667</v>
      </c>
      <c r="AH13" s="35">
        <f t="shared" si="6"/>
        <v>239.76908368662808</v>
      </c>
      <c r="AI13" s="34">
        <f t="shared" si="7"/>
        <v>0.21050000000000002</v>
      </c>
      <c r="AJ13" s="34">
        <f t="shared" si="8"/>
        <v>0.19900000000000004</v>
      </c>
      <c r="AK13" s="14" t="s">
        <v>905</v>
      </c>
      <c r="AL13" s="232"/>
    </row>
    <row r="14" spans="1:38" ht="45.75">
      <c r="A14" s="342"/>
      <c r="B14" s="457"/>
      <c r="C14" s="329">
        <v>2</v>
      </c>
      <c r="D14" s="343" t="s">
        <v>1248</v>
      </c>
      <c r="E14" s="343" t="s">
        <v>1247</v>
      </c>
      <c r="F14" s="523">
        <v>7.78</v>
      </c>
      <c r="G14" s="523">
        <v>8.25</v>
      </c>
      <c r="H14" s="523">
        <v>7.98</v>
      </c>
      <c r="I14" s="523">
        <v>8.61</v>
      </c>
      <c r="J14" s="523">
        <v>8.15</v>
      </c>
      <c r="K14" s="524">
        <v>7.85</v>
      </c>
      <c r="L14" s="523">
        <v>7.91</v>
      </c>
      <c r="M14" s="525">
        <v>8.26</v>
      </c>
      <c r="N14" s="525">
        <v>7.98</v>
      </c>
      <c r="O14" s="525">
        <v>7.62</v>
      </c>
      <c r="P14" s="525">
        <v>7.61</v>
      </c>
      <c r="Q14" s="525">
        <v>6.75</v>
      </c>
      <c r="R14" s="524">
        <f t="shared" si="0"/>
        <v>7.8958333333333348</v>
      </c>
      <c r="S14" s="344" t="s">
        <v>908</v>
      </c>
      <c r="V14" s="232"/>
      <c r="W14" s="848"/>
      <c r="X14" s="848"/>
      <c r="Y14" s="848"/>
      <c r="Z14" s="848"/>
      <c r="AA14" s="848"/>
      <c r="AB14" s="848"/>
      <c r="AC14" s="848"/>
      <c r="AD14" s="848"/>
      <c r="AE14" s="848"/>
      <c r="AF14" s="848"/>
      <c r="AG14" s="848"/>
      <c r="AH14" s="848"/>
      <c r="AI14" s="848"/>
      <c r="AJ14" s="848"/>
      <c r="AK14" s="848"/>
      <c r="AL14" s="232"/>
    </row>
    <row r="15" spans="1:38" ht="45.75">
      <c r="A15" s="342"/>
      <c r="B15" s="458"/>
      <c r="C15" s="329">
        <v>3</v>
      </c>
      <c r="D15" s="343" t="s">
        <v>1249</v>
      </c>
      <c r="E15" s="343" t="s">
        <v>1247</v>
      </c>
      <c r="F15" s="523">
        <v>7.73</v>
      </c>
      <c r="G15" s="523">
        <v>8.1999999999999993</v>
      </c>
      <c r="H15" s="523">
        <v>7.99</v>
      </c>
      <c r="I15" s="523">
        <v>8.6999999999999993</v>
      </c>
      <c r="J15" s="523">
        <v>8.19</v>
      </c>
      <c r="K15" s="524">
        <v>7.91</v>
      </c>
      <c r="L15" s="523">
        <v>7.88</v>
      </c>
      <c r="M15" s="525">
        <v>8.17</v>
      </c>
      <c r="N15" s="525">
        <v>7.98</v>
      </c>
      <c r="O15" s="525">
        <v>7.65</v>
      </c>
      <c r="P15" s="525">
        <v>7.53</v>
      </c>
      <c r="Q15" s="525">
        <v>6.79</v>
      </c>
      <c r="R15" s="524">
        <f t="shared" si="0"/>
        <v>7.8933333333333344</v>
      </c>
      <c r="S15" s="344" t="s">
        <v>908</v>
      </c>
      <c r="V15" s="232"/>
      <c r="W15" s="14" t="s">
        <v>93</v>
      </c>
      <c r="X15" s="1162"/>
      <c r="Y15" s="1161"/>
      <c r="Z15" s="1161"/>
      <c r="AA15" s="1161"/>
      <c r="AB15" s="35">
        <f>AVERAGEA(AB11:AB13)</f>
        <v>5.4647222222222211</v>
      </c>
      <c r="AC15" s="35" t="s">
        <v>905</v>
      </c>
      <c r="AD15" s="35">
        <f t="shared" ref="AC15:AK15" si="9">AVERAGEA(AD11:AD13)</f>
        <v>35.305555555555557</v>
      </c>
      <c r="AE15" s="35">
        <f t="shared" si="9"/>
        <v>7.8980555555555574</v>
      </c>
      <c r="AF15" s="35">
        <f t="shared" si="9"/>
        <v>28.42027777777778</v>
      </c>
      <c r="AG15" s="35">
        <f t="shared" si="9"/>
        <v>7.916666666666667</v>
      </c>
      <c r="AH15" s="35">
        <f t="shared" si="9"/>
        <v>369.39358037270682</v>
      </c>
      <c r="AI15" s="35">
        <f t="shared" si="9"/>
        <v>0.21041666666666667</v>
      </c>
      <c r="AJ15" s="35">
        <f t="shared" si="9"/>
        <v>0.20491666666666672</v>
      </c>
      <c r="AK15" s="35" t="s">
        <v>905</v>
      </c>
      <c r="AL15" s="232"/>
    </row>
    <row r="16" spans="1:38" ht="60.75">
      <c r="A16" s="342"/>
      <c r="B16" s="456" t="s">
        <v>725</v>
      </c>
      <c r="C16" s="328">
        <v>1</v>
      </c>
      <c r="D16" s="340" t="s">
        <v>1246</v>
      </c>
      <c r="E16" s="340" t="s">
        <v>1247</v>
      </c>
      <c r="F16" s="520">
        <v>27.81</v>
      </c>
      <c r="G16" s="520">
        <v>28.11</v>
      </c>
      <c r="H16" s="520">
        <v>27.58</v>
      </c>
      <c r="I16" s="520">
        <v>28.21</v>
      </c>
      <c r="J16" s="520">
        <v>28.15</v>
      </c>
      <c r="K16" s="521">
        <v>29.12</v>
      </c>
      <c r="L16" s="520">
        <v>27.12</v>
      </c>
      <c r="M16" s="522">
        <v>31.9</v>
      </c>
      <c r="N16" s="522">
        <v>28.5</v>
      </c>
      <c r="O16" s="522">
        <v>28.9</v>
      </c>
      <c r="P16" s="522">
        <v>26.8</v>
      </c>
      <c r="Q16" s="522">
        <v>27.54</v>
      </c>
      <c r="R16" s="765">
        <f t="shared" si="0"/>
        <v>28.311666666666667</v>
      </c>
      <c r="S16" s="340" t="s">
        <v>777</v>
      </c>
      <c r="V16" s="232"/>
      <c r="W16" s="14" t="s">
        <v>94</v>
      </c>
      <c r="X16" s="1161"/>
      <c r="Y16" s="1163"/>
      <c r="Z16" s="1163"/>
      <c r="AA16" s="1161"/>
      <c r="AB16" s="35">
        <f>MIN(AB11:AB13)</f>
        <v>5.4375</v>
      </c>
      <c r="AC16" s="35" t="s">
        <v>905</v>
      </c>
      <c r="AD16" s="35">
        <f t="shared" ref="AC16:AK16" si="10">MIN(AD11:AD13)</f>
        <v>33.25</v>
      </c>
      <c r="AE16" s="35">
        <f t="shared" si="10"/>
        <v>7.8933333333333344</v>
      </c>
      <c r="AF16" s="35">
        <f t="shared" si="10"/>
        <v>28.311666666666667</v>
      </c>
      <c r="AG16" s="35">
        <f t="shared" si="10"/>
        <v>7.916666666666667</v>
      </c>
      <c r="AH16" s="35">
        <f t="shared" si="10"/>
        <v>239.76908368662808</v>
      </c>
      <c r="AI16" s="35">
        <f t="shared" si="10"/>
        <v>0.19483333333333333</v>
      </c>
      <c r="AJ16" s="35">
        <f t="shared" si="10"/>
        <v>0.19900000000000004</v>
      </c>
      <c r="AK16" s="35" t="s">
        <v>905</v>
      </c>
      <c r="AL16" s="232"/>
    </row>
    <row r="17" spans="1:38" ht="45.75">
      <c r="A17" s="342"/>
      <c r="B17" s="457"/>
      <c r="C17" s="329">
        <v>2</v>
      </c>
      <c r="D17" s="343" t="s">
        <v>1248</v>
      </c>
      <c r="E17" s="343" t="s">
        <v>1247</v>
      </c>
      <c r="F17" s="523">
        <v>27.9</v>
      </c>
      <c r="G17" s="523">
        <v>28.09</v>
      </c>
      <c r="H17" s="523">
        <v>27.61</v>
      </c>
      <c r="I17" s="523">
        <v>28.38</v>
      </c>
      <c r="J17" s="523">
        <v>28.23</v>
      </c>
      <c r="K17" s="524">
        <v>29.15</v>
      </c>
      <c r="L17" s="523">
        <v>27.21</v>
      </c>
      <c r="M17" s="525">
        <v>32.200000000000003</v>
      </c>
      <c r="N17" s="525">
        <v>28.5</v>
      </c>
      <c r="O17" s="525">
        <v>29</v>
      </c>
      <c r="P17" s="525">
        <v>27.3</v>
      </c>
      <c r="Q17" s="766">
        <v>27.5</v>
      </c>
      <c r="R17" s="524">
        <f t="shared" si="0"/>
        <v>28.422499999999999</v>
      </c>
      <c r="S17" s="343" t="s">
        <v>777</v>
      </c>
      <c r="V17" s="232"/>
      <c r="W17" s="14" t="s">
        <v>95</v>
      </c>
      <c r="X17" s="1161"/>
      <c r="Y17" s="1163"/>
      <c r="Z17" s="1163"/>
      <c r="AA17" s="1161"/>
      <c r="AB17" s="35">
        <f>MAX(AB11:AB13)</f>
        <v>5.4974999999999996</v>
      </c>
      <c r="AC17" s="35" t="s">
        <v>905</v>
      </c>
      <c r="AD17" s="35">
        <f t="shared" ref="AC17:AK17" si="11">MAX(AD11:AD13)</f>
        <v>38.583333333333336</v>
      </c>
      <c r="AE17" s="35">
        <f t="shared" si="11"/>
        <v>7.9050000000000011</v>
      </c>
      <c r="AF17" s="35">
        <f t="shared" si="11"/>
        <v>28.526666666666667</v>
      </c>
      <c r="AG17" s="35">
        <f t="shared" si="11"/>
        <v>7.916666666666667</v>
      </c>
      <c r="AH17" s="35">
        <f t="shared" si="11"/>
        <v>522.51781601473567</v>
      </c>
      <c r="AI17" s="35">
        <f t="shared" si="11"/>
        <v>0.22591666666666665</v>
      </c>
      <c r="AJ17" s="35">
        <f t="shared" si="11"/>
        <v>0.21500000000000005</v>
      </c>
      <c r="AK17" s="35" t="s">
        <v>905</v>
      </c>
      <c r="AL17" s="232"/>
    </row>
    <row r="18" spans="1:38" ht="45.75">
      <c r="A18" s="342"/>
      <c r="B18" s="458"/>
      <c r="C18" s="329">
        <v>3</v>
      </c>
      <c r="D18" s="343" t="s">
        <v>1249</v>
      </c>
      <c r="E18" s="343" t="s">
        <v>1247</v>
      </c>
      <c r="F18" s="523">
        <v>28.11</v>
      </c>
      <c r="G18" s="523">
        <v>28.11</v>
      </c>
      <c r="H18" s="523">
        <v>27.75</v>
      </c>
      <c r="I18" s="523">
        <v>28.5</v>
      </c>
      <c r="J18" s="523">
        <v>28.31</v>
      </c>
      <c r="K18" s="524">
        <v>29.11</v>
      </c>
      <c r="L18" s="523">
        <v>27.23</v>
      </c>
      <c r="M18" s="525">
        <v>32.9</v>
      </c>
      <c r="N18" s="525">
        <v>28.5</v>
      </c>
      <c r="O18" s="525">
        <v>29</v>
      </c>
      <c r="P18" s="525">
        <v>27.3</v>
      </c>
      <c r="Q18" s="766">
        <v>27.5</v>
      </c>
      <c r="R18" s="524">
        <f t="shared" si="0"/>
        <v>28.526666666666667</v>
      </c>
      <c r="S18" s="343" t="s">
        <v>777</v>
      </c>
      <c r="V18" s="232"/>
      <c r="W18" s="14" t="s">
        <v>96</v>
      </c>
      <c r="X18" s="1161"/>
      <c r="Y18" s="1161"/>
      <c r="Z18" s="1161"/>
      <c r="AA18" s="1161"/>
      <c r="AB18" s="118" t="s">
        <v>906</v>
      </c>
      <c r="AC18" s="118" t="s">
        <v>905</v>
      </c>
      <c r="AD18" s="118" t="s">
        <v>907</v>
      </c>
      <c r="AE18" s="118" t="s">
        <v>908</v>
      </c>
      <c r="AF18" s="29" t="s">
        <v>909</v>
      </c>
      <c r="AG18" s="118" t="s">
        <v>699</v>
      </c>
      <c r="AH18" s="118" t="s">
        <v>700</v>
      </c>
      <c r="AI18" s="118" t="s">
        <v>910</v>
      </c>
      <c r="AJ18" s="118" t="s">
        <v>911</v>
      </c>
      <c r="AK18" s="118" t="s">
        <v>905</v>
      </c>
      <c r="AL18" s="232"/>
    </row>
    <row r="19" spans="1:38" ht="60.75">
      <c r="A19" s="342"/>
      <c r="B19" s="456" t="s">
        <v>110</v>
      </c>
      <c r="C19" s="328">
        <v>1</v>
      </c>
      <c r="D19" s="340" t="s">
        <v>1246</v>
      </c>
      <c r="E19" s="340" t="s">
        <v>1247</v>
      </c>
      <c r="F19" s="520">
        <v>5</v>
      </c>
      <c r="G19" s="520">
        <v>5</v>
      </c>
      <c r="H19" s="520">
        <v>5</v>
      </c>
      <c r="I19" s="520">
        <v>5</v>
      </c>
      <c r="J19" s="520">
        <v>5</v>
      </c>
      <c r="K19" s="521">
        <v>5</v>
      </c>
      <c r="L19" s="520">
        <v>20</v>
      </c>
      <c r="M19" s="522">
        <v>5</v>
      </c>
      <c r="N19" s="522">
        <v>15</v>
      </c>
      <c r="O19" s="522">
        <v>10</v>
      </c>
      <c r="P19" s="522">
        <v>10</v>
      </c>
      <c r="Q19" s="522">
        <v>5</v>
      </c>
      <c r="R19" s="765">
        <f t="shared" si="0"/>
        <v>7.916666666666667</v>
      </c>
      <c r="S19" s="340">
        <v>50</v>
      </c>
      <c r="W19" s="232"/>
      <c r="X19" s="232"/>
      <c r="Y19" s="232"/>
      <c r="Z19" s="232"/>
      <c r="AA19" s="232"/>
      <c r="AB19" s="232"/>
      <c r="AC19" s="232"/>
      <c r="AD19" s="232"/>
      <c r="AE19" s="232"/>
      <c r="AF19" s="232"/>
      <c r="AG19" s="232"/>
      <c r="AH19" s="232"/>
      <c r="AI19" s="232"/>
      <c r="AJ19" s="232"/>
      <c r="AK19" s="232"/>
    </row>
    <row r="20" spans="1:38" ht="45.75">
      <c r="A20" s="342"/>
      <c r="B20" s="457"/>
      <c r="C20" s="329">
        <v>2</v>
      </c>
      <c r="D20" s="343" t="s">
        <v>1248</v>
      </c>
      <c r="E20" s="343" t="s">
        <v>1247</v>
      </c>
      <c r="F20" s="523">
        <v>5</v>
      </c>
      <c r="G20" s="523">
        <v>5</v>
      </c>
      <c r="H20" s="523">
        <v>5</v>
      </c>
      <c r="I20" s="523">
        <v>5</v>
      </c>
      <c r="J20" s="523">
        <v>5</v>
      </c>
      <c r="K20" s="524">
        <v>5</v>
      </c>
      <c r="L20" s="523">
        <v>20</v>
      </c>
      <c r="M20" s="525">
        <v>5</v>
      </c>
      <c r="N20" s="525">
        <v>15</v>
      </c>
      <c r="O20" s="525">
        <v>10</v>
      </c>
      <c r="P20" s="525">
        <v>10</v>
      </c>
      <c r="Q20" s="525">
        <v>5</v>
      </c>
      <c r="R20" s="524">
        <f t="shared" si="0"/>
        <v>7.916666666666667</v>
      </c>
      <c r="S20" s="343">
        <v>50</v>
      </c>
    </row>
    <row r="21" spans="1:38" ht="45.75">
      <c r="A21" s="342"/>
      <c r="B21" s="458"/>
      <c r="C21" s="329">
        <v>3</v>
      </c>
      <c r="D21" s="343" t="s">
        <v>1249</v>
      </c>
      <c r="E21" s="343" t="s">
        <v>1247</v>
      </c>
      <c r="F21" s="523">
        <v>5</v>
      </c>
      <c r="G21" s="523">
        <v>5</v>
      </c>
      <c r="H21" s="523">
        <v>5</v>
      </c>
      <c r="I21" s="523">
        <v>5</v>
      </c>
      <c r="J21" s="523">
        <v>5</v>
      </c>
      <c r="K21" s="524">
        <v>5</v>
      </c>
      <c r="L21" s="523">
        <v>20</v>
      </c>
      <c r="M21" s="525">
        <v>10</v>
      </c>
      <c r="N21" s="525">
        <v>15</v>
      </c>
      <c r="O21" s="525">
        <v>10</v>
      </c>
      <c r="P21" s="525">
        <v>5</v>
      </c>
      <c r="Q21" s="525">
        <v>5</v>
      </c>
      <c r="R21" s="524">
        <f t="shared" si="0"/>
        <v>7.916666666666667</v>
      </c>
      <c r="S21" s="343">
        <v>50</v>
      </c>
    </row>
    <row r="22" spans="1:38">
      <c r="A22" s="312"/>
      <c r="B22" s="313"/>
      <c r="C22" s="313"/>
      <c r="D22" s="354"/>
      <c r="E22" s="354" t="s">
        <v>1251</v>
      </c>
      <c r="F22" s="509"/>
      <c r="G22" s="509"/>
      <c r="H22" s="509"/>
      <c r="I22" s="509"/>
      <c r="J22" s="509"/>
      <c r="K22" s="509"/>
      <c r="L22" s="509"/>
      <c r="M22" s="509"/>
      <c r="N22" s="313"/>
      <c r="O22" s="509"/>
      <c r="P22" s="313"/>
      <c r="Q22" s="313"/>
      <c r="R22" s="313"/>
      <c r="S22" s="311"/>
    </row>
    <row r="23" spans="1:38" ht="58.5">
      <c r="A23" s="307"/>
      <c r="B23" s="456" t="s">
        <v>111</v>
      </c>
      <c r="C23" s="303">
        <v>1</v>
      </c>
      <c r="D23" s="305" t="s">
        <v>1246</v>
      </c>
      <c r="E23" s="305" t="s">
        <v>1247</v>
      </c>
      <c r="F23" s="620">
        <v>2200</v>
      </c>
      <c r="G23" s="620">
        <v>79</v>
      </c>
      <c r="H23" s="620">
        <v>33</v>
      </c>
      <c r="I23" s="620">
        <v>6.8</v>
      </c>
      <c r="J23" s="620">
        <v>240</v>
      </c>
      <c r="K23" s="622">
        <v>23</v>
      </c>
      <c r="L23" s="620">
        <v>540</v>
      </c>
      <c r="M23" s="621">
        <v>23</v>
      </c>
      <c r="N23" s="621">
        <v>9200</v>
      </c>
      <c r="O23" s="506">
        <v>9200</v>
      </c>
      <c r="P23" s="597">
        <v>24000</v>
      </c>
      <c r="Q23" s="506">
        <v>540</v>
      </c>
      <c r="R23" s="304">
        <f>GEOMEAN(F23:Q23)</f>
        <v>345.8938414167568</v>
      </c>
      <c r="S23" s="304">
        <v>100</v>
      </c>
    </row>
    <row r="24" spans="1:38" ht="44.25">
      <c r="A24" s="307"/>
      <c r="B24" s="457"/>
      <c r="C24" s="308">
        <v>2</v>
      </c>
      <c r="D24" s="310" t="s">
        <v>1248</v>
      </c>
      <c r="E24" s="310" t="s">
        <v>1247</v>
      </c>
      <c r="F24" s="608">
        <v>920</v>
      </c>
      <c r="G24" s="608">
        <v>49</v>
      </c>
      <c r="H24" s="608">
        <v>49</v>
      </c>
      <c r="I24" s="608">
        <v>17</v>
      </c>
      <c r="J24" s="608">
        <v>240</v>
      </c>
      <c r="K24" s="609">
        <v>130</v>
      </c>
      <c r="L24" s="608">
        <v>350</v>
      </c>
      <c r="M24" s="610">
        <v>920</v>
      </c>
      <c r="N24" s="610">
        <v>5400</v>
      </c>
      <c r="O24" s="505">
        <v>17000</v>
      </c>
      <c r="P24" s="598">
        <v>13000</v>
      </c>
      <c r="Q24" s="505">
        <v>920</v>
      </c>
      <c r="R24" s="309">
        <f t="shared" ref="R24:R25" si="12">GEOMEAN(F24:Q24)</f>
        <v>522.51781601473567</v>
      </c>
      <c r="S24" s="309">
        <v>100</v>
      </c>
    </row>
    <row r="25" spans="1:38" ht="44.25">
      <c r="A25" s="307"/>
      <c r="B25" s="458"/>
      <c r="C25" s="308">
        <v>3</v>
      </c>
      <c r="D25" s="310" t="s">
        <v>1249</v>
      </c>
      <c r="E25" s="310" t="s">
        <v>1247</v>
      </c>
      <c r="F25" s="608">
        <v>350</v>
      </c>
      <c r="G25" s="608">
        <v>49</v>
      </c>
      <c r="H25" s="608">
        <v>46</v>
      </c>
      <c r="I25" s="608">
        <v>17</v>
      </c>
      <c r="J25" s="608">
        <v>79</v>
      </c>
      <c r="K25" s="609">
        <v>23</v>
      </c>
      <c r="L25" s="608">
        <v>330</v>
      </c>
      <c r="M25" s="610">
        <v>23</v>
      </c>
      <c r="N25" s="610">
        <v>16000</v>
      </c>
      <c r="O25" s="505">
        <v>4412</v>
      </c>
      <c r="P25" s="598">
        <v>7900</v>
      </c>
      <c r="Q25" s="505">
        <v>350</v>
      </c>
      <c r="R25" s="309">
        <f t="shared" si="12"/>
        <v>239.76908368662808</v>
      </c>
      <c r="S25" s="309">
        <v>100</v>
      </c>
    </row>
    <row r="26" spans="1:38">
      <c r="A26" s="307"/>
      <c r="B26" s="1080" t="s">
        <v>1068</v>
      </c>
      <c r="C26" s="1081"/>
      <c r="D26" s="1082"/>
      <c r="E26" s="317"/>
      <c r="F26" s="510">
        <f t="shared" ref="F26:L26" si="13">GEOMEAN(F23:F25)</f>
        <v>891.44150524423128</v>
      </c>
      <c r="G26" s="510">
        <f t="shared" si="13"/>
        <v>57.456577172111778</v>
      </c>
      <c r="H26" s="510">
        <f t="shared" si="13"/>
        <v>42.05548223095019</v>
      </c>
      <c r="I26" s="510">
        <f t="shared" si="13"/>
        <v>12.525707095377314</v>
      </c>
      <c r="J26" s="510">
        <f t="shared" si="13"/>
        <v>165.71043533321961</v>
      </c>
      <c r="K26" s="510">
        <f t="shared" si="13"/>
        <v>40.970035611652186</v>
      </c>
      <c r="L26" s="510">
        <f t="shared" si="13"/>
        <v>396.57492248529263</v>
      </c>
      <c r="M26" s="510">
        <f>GEOMEAN(M23:M25)</f>
        <v>78.658893547128059</v>
      </c>
      <c r="N26" s="510">
        <f t="shared" ref="N26:Q26" si="14">GEOMEAN(N23:N25)</f>
        <v>9263.3311552339692</v>
      </c>
      <c r="O26" s="510">
        <f t="shared" si="14"/>
        <v>8836.7130139384153</v>
      </c>
      <c r="P26" s="510">
        <f t="shared" si="14"/>
        <v>13508.088431368251</v>
      </c>
      <c r="Q26" s="510">
        <f t="shared" si="14"/>
        <v>558.14864810701374</v>
      </c>
      <c r="R26" s="318">
        <v>95.54</v>
      </c>
      <c r="S26" s="338">
        <v>100</v>
      </c>
    </row>
    <row r="27" spans="1:38">
      <c r="A27" s="312"/>
      <c r="B27" s="313"/>
      <c r="C27" s="313"/>
      <c r="D27" s="354"/>
      <c r="E27" s="354"/>
      <c r="F27" s="509"/>
      <c r="G27" s="509"/>
      <c r="H27" s="509"/>
      <c r="I27" s="509"/>
      <c r="J27" s="509"/>
      <c r="K27" s="509"/>
      <c r="L27" s="509"/>
      <c r="M27" s="509"/>
      <c r="N27" s="313"/>
      <c r="O27" s="509"/>
      <c r="P27" s="313"/>
      <c r="Q27" s="313"/>
      <c r="R27" s="313"/>
      <c r="S27" s="311"/>
    </row>
    <row r="28" spans="1:38" ht="58.5">
      <c r="A28" s="307"/>
      <c r="B28" s="456" t="s">
        <v>726</v>
      </c>
      <c r="C28" s="303">
        <v>1</v>
      </c>
      <c r="D28" s="305" t="s">
        <v>1246</v>
      </c>
      <c r="E28" s="305" t="s">
        <v>1247</v>
      </c>
      <c r="F28" s="572">
        <v>0.13200000000000001</v>
      </c>
      <c r="G28" s="572">
        <v>0.123</v>
      </c>
      <c r="H28" s="572">
        <v>0.20300000000000001</v>
      </c>
      <c r="I28" s="572">
        <v>4.2999999999999997E-2</v>
      </c>
      <c r="J28" s="572">
        <v>0.22900000000000001</v>
      </c>
      <c r="K28" s="573">
        <v>0.109</v>
      </c>
      <c r="L28" s="572">
        <v>0.45400000000000001</v>
      </c>
      <c r="M28" s="483">
        <v>4.2999999999999997E-2</v>
      </c>
      <c r="N28" s="483">
        <v>0.499</v>
      </c>
      <c r="O28" s="483">
        <v>0.16300000000000001</v>
      </c>
      <c r="P28" s="483">
        <v>0.20100000000000001</v>
      </c>
      <c r="Q28" s="483">
        <v>0.13900000000000001</v>
      </c>
      <c r="R28" s="538">
        <f>AVERAGE(F28:Q28)</f>
        <v>0.19483333333333333</v>
      </c>
      <c r="S28" s="304">
        <v>10</v>
      </c>
    </row>
    <row r="29" spans="1:38" ht="44.25">
      <c r="A29" s="307"/>
      <c r="B29" s="457"/>
      <c r="C29" s="308">
        <v>2</v>
      </c>
      <c r="D29" s="310" t="s">
        <v>1248</v>
      </c>
      <c r="E29" s="310" t="s">
        <v>1247</v>
      </c>
      <c r="F29" s="536">
        <v>0.159</v>
      </c>
      <c r="G29" s="536">
        <v>0.20799999999999999</v>
      </c>
      <c r="H29" s="536">
        <v>0.156</v>
      </c>
      <c r="I29" s="536">
        <v>4.2999999999999997E-2</v>
      </c>
      <c r="J29" s="536">
        <v>0.249</v>
      </c>
      <c r="K29" s="537">
        <v>0.14299999999999999</v>
      </c>
      <c r="L29" s="536">
        <v>0.499</v>
      </c>
      <c r="M29" s="484">
        <v>4.2999999999999997E-2</v>
      </c>
      <c r="N29" s="484">
        <v>0.45300000000000001</v>
      </c>
      <c r="O29" s="484">
        <v>0.23100000000000001</v>
      </c>
      <c r="P29" s="484">
        <v>0.29199999999999998</v>
      </c>
      <c r="Q29" s="484">
        <v>0.23499999999999999</v>
      </c>
      <c r="R29" s="537">
        <f t="shared" ref="R29:R33" si="15">AVERAGE(F29:Q29)</f>
        <v>0.22591666666666665</v>
      </c>
      <c r="S29" s="309">
        <v>10</v>
      </c>
    </row>
    <row r="30" spans="1:38" ht="44.25">
      <c r="A30" s="307"/>
      <c r="B30" s="458"/>
      <c r="C30" s="308">
        <v>3</v>
      </c>
      <c r="D30" s="310" t="s">
        <v>1249</v>
      </c>
      <c r="E30" s="310" t="s">
        <v>1247</v>
      </c>
      <c r="F30" s="536">
        <v>0.20699999999999999</v>
      </c>
      <c r="G30" s="536">
        <v>0.23599999999999999</v>
      </c>
      <c r="H30" s="536">
        <v>0.17299999999999999</v>
      </c>
      <c r="I30" s="536">
        <v>4.2999999999999997E-2</v>
      </c>
      <c r="J30" s="536">
        <v>4.2999999999999997E-2</v>
      </c>
      <c r="K30" s="537">
        <v>0.188</v>
      </c>
      <c r="L30" s="536">
        <v>0.42299999999999999</v>
      </c>
      <c r="M30" s="484">
        <v>4.2999999999999997E-2</v>
      </c>
      <c r="N30" s="484">
        <v>0.438</v>
      </c>
      <c r="O30" s="484">
        <v>0.28299999999999997</v>
      </c>
      <c r="P30" s="484">
        <v>0.16400000000000001</v>
      </c>
      <c r="Q30" s="484">
        <v>0.28499999999999998</v>
      </c>
      <c r="R30" s="537">
        <f t="shared" si="15"/>
        <v>0.21050000000000002</v>
      </c>
      <c r="S30" s="309">
        <v>10</v>
      </c>
    </row>
    <row r="31" spans="1:38" ht="58.5">
      <c r="A31" s="307"/>
      <c r="B31" s="456" t="s">
        <v>727</v>
      </c>
      <c r="C31" s="303">
        <v>1</v>
      </c>
      <c r="D31" s="305" t="s">
        <v>1246</v>
      </c>
      <c r="E31" s="305" t="s">
        <v>1247</v>
      </c>
      <c r="F31" s="572">
        <v>0.121</v>
      </c>
      <c r="G31" s="572">
        <v>0.18099999999999999</v>
      </c>
      <c r="H31" s="572">
        <v>8.6999999999999994E-2</v>
      </c>
      <c r="I31" s="572">
        <v>0.13900000000000001</v>
      </c>
      <c r="J31" s="572">
        <v>8.1000000000000003E-2</v>
      </c>
      <c r="K31" s="573">
        <v>0.20699999999999999</v>
      </c>
      <c r="L31" s="572">
        <v>0.32300000000000001</v>
      </c>
      <c r="M31" s="483">
        <v>0.153</v>
      </c>
      <c r="N31" s="483">
        <v>0.38</v>
      </c>
      <c r="O31" s="483">
        <v>0.308</v>
      </c>
      <c r="P31" s="483">
        <v>0.27900000000000003</v>
      </c>
      <c r="Q31" s="483">
        <v>0.32100000000000001</v>
      </c>
      <c r="R31" s="538">
        <f t="shared" si="15"/>
        <v>0.21500000000000005</v>
      </c>
      <c r="S31" s="304">
        <v>0.2</v>
      </c>
    </row>
    <row r="32" spans="1:38" ht="44.25">
      <c r="A32" s="307"/>
      <c r="B32" s="457"/>
      <c r="C32" s="308">
        <v>2</v>
      </c>
      <c r="D32" s="310" t="s">
        <v>1248</v>
      </c>
      <c r="E32" s="310" t="s">
        <v>1247</v>
      </c>
      <c r="F32" s="536">
        <v>4.4999999999999998E-2</v>
      </c>
      <c r="G32" s="536">
        <v>0.17899999999999999</v>
      </c>
      <c r="H32" s="536">
        <v>0.14199999999999999</v>
      </c>
      <c r="I32" s="536">
        <v>0.14699999999999999</v>
      </c>
      <c r="J32" s="536">
        <v>6.8000000000000005E-2</v>
      </c>
      <c r="K32" s="537">
        <v>0.183</v>
      </c>
      <c r="L32" s="536">
        <v>0.34</v>
      </c>
      <c r="M32" s="484">
        <v>9.7000000000000003E-2</v>
      </c>
      <c r="N32" s="484">
        <v>0.34300000000000003</v>
      </c>
      <c r="O32" s="484">
        <v>0.38700000000000001</v>
      </c>
      <c r="P32" s="484">
        <v>0.23300000000000001</v>
      </c>
      <c r="Q32" s="484">
        <v>0.245</v>
      </c>
      <c r="R32" s="537">
        <f t="shared" si="15"/>
        <v>0.20075000000000001</v>
      </c>
      <c r="S32" s="309">
        <v>0.2</v>
      </c>
    </row>
    <row r="33" spans="1:20" ht="44.25">
      <c r="A33" s="307"/>
      <c r="B33" s="458"/>
      <c r="C33" s="308">
        <v>3</v>
      </c>
      <c r="D33" s="310" t="s">
        <v>1249</v>
      </c>
      <c r="E33" s="310" t="s">
        <v>1247</v>
      </c>
      <c r="F33" s="536">
        <v>3.7999999999999999E-2</v>
      </c>
      <c r="G33" s="536">
        <v>9.1999999999999998E-2</v>
      </c>
      <c r="H33" s="536">
        <v>0.13400000000000001</v>
      </c>
      <c r="I33" s="536">
        <v>0.21199999999999999</v>
      </c>
      <c r="J33" s="536">
        <v>9.1999999999999998E-2</v>
      </c>
      <c r="K33" s="537">
        <v>0.192</v>
      </c>
      <c r="L33" s="536">
        <v>0.33600000000000002</v>
      </c>
      <c r="M33" s="484">
        <v>0.15</v>
      </c>
      <c r="N33" s="484">
        <v>0.38600000000000001</v>
      </c>
      <c r="O33" s="484">
        <v>0.312</v>
      </c>
      <c r="P33" s="484">
        <v>0.24</v>
      </c>
      <c r="Q33" s="484">
        <v>0.20399999999999999</v>
      </c>
      <c r="R33" s="537">
        <f t="shared" si="15"/>
        <v>0.19900000000000004</v>
      </c>
      <c r="S33" s="309">
        <v>0.2</v>
      </c>
    </row>
    <row r="34" spans="1:20">
      <c r="A34" s="319"/>
      <c r="B34" s="300"/>
      <c r="C34" s="301"/>
      <c r="D34" s="320"/>
      <c r="E34" s="320"/>
      <c r="F34" s="311"/>
      <c r="G34" s="311"/>
      <c r="H34" s="311"/>
      <c r="I34" s="311"/>
      <c r="J34" s="311"/>
      <c r="K34" s="311"/>
      <c r="L34" s="311"/>
      <c r="M34" s="311"/>
      <c r="N34" s="311"/>
      <c r="O34" s="311"/>
      <c r="P34" s="311" t="s">
        <v>949</v>
      </c>
      <c r="Q34" s="311"/>
      <c r="R34" s="300"/>
      <c r="S34" s="301"/>
    </row>
    <row r="35" spans="1:20">
      <c r="A35" s="1005"/>
      <c r="B35" s="1006"/>
      <c r="C35" s="1061"/>
      <c r="D35" s="355" t="s">
        <v>314</v>
      </c>
      <c r="E35" s="355"/>
      <c r="F35" s="311"/>
      <c r="G35" s="311"/>
      <c r="H35" s="311"/>
      <c r="I35" s="311"/>
      <c r="J35" s="311"/>
      <c r="K35" s="311"/>
      <c r="L35" s="311"/>
      <c r="M35" s="311"/>
      <c r="N35" s="311"/>
      <c r="O35" s="311"/>
      <c r="P35" s="311"/>
      <c r="Q35" s="311"/>
      <c r="R35" s="300"/>
      <c r="S35" s="301"/>
    </row>
    <row r="36" spans="1:20" ht="168">
      <c r="A36" s="1008"/>
      <c r="B36" s="1009"/>
      <c r="C36" s="1062"/>
      <c r="D36" s="320" t="s">
        <v>39</v>
      </c>
      <c r="E36" s="320" t="s">
        <v>1247</v>
      </c>
      <c r="F36" s="310" t="s">
        <v>1252</v>
      </c>
      <c r="G36" s="310" t="s">
        <v>1253</v>
      </c>
      <c r="H36" s="310" t="s">
        <v>1254</v>
      </c>
      <c r="I36" s="310" t="s">
        <v>1255</v>
      </c>
      <c r="J36" s="310" t="s">
        <v>1256</v>
      </c>
      <c r="K36" s="310" t="s">
        <v>1257</v>
      </c>
      <c r="L36" s="310" t="s">
        <v>1258</v>
      </c>
      <c r="M36" s="320" t="s">
        <v>1259</v>
      </c>
      <c r="N36" s="320" t="s">
        <v>1260</v>
      </c>
      <c r="O36" s="320" t="s">
        <v>1261</v>
      </c>
      <c r="P36" s="320" t="s">
        <v>1262</v>
      </c>
      <c r="Q36" s="320" t="s">
        <v>1263</v>
      </c>
      <c r="R36" s="300"/>
      <c r="S36" s="301"/>
    </row>
    <row r="37" spans="1:20" ht="258.75">
      <c r="A37" s="1116" t="s">
        <v>1264</v>
      </c>
      <c r="B37" s="1117"/>
      <c r="C37" s="1118"/>
      <c r="D37" s="320" t="s">
        <v>1265</v>
      </c>
      <c r="E37" s="320" t="s">
        <v>1247</v>
      </c>
      <c r="F37" s="310" t="s">
        <v>1266</v>
      </c>
      <c r="G37" s="310" t="s">
        <v>1267</v>
      </c>
      <c r="H37" s="310" t="s">
        <v>1268</v>
      </c>
      <c r="I37" s="310" t="s">
        <v>1269</v>
      </c>
      <c r="J37" s="310" t="s">
        <v>1270</v>
      </c>
      <c r="K37" s="310" t="s">
        <v>1271</v>
      </c>
      <c r="L37" s="310" t="s">
        <v>1272</v>
      </c>
      <c r="M37" s="320" t="s">
        <v>1273</v>
      </c>
      <c r="N37" s="320" t="s">
        <v>1260</v>
      </c>
      <c r="O37" s="320" t="s">
        <v>1261</v>
      </c>
      <c r="P37" s="320" t="s">
        <v>1274</v>
      </c>
      <c r="Q37" s="320" t="s">
        <v>1263</v>
      </c>
      <c r="R37" s="300"/>
      <c r="S37" s="301"/>
    </row>
    <row r="38" spans="1:20" ht="241.5" customHeight="1">
      <c r="A38" s="1119"/>
      <c r="B38" s="1120"/>
      <c r="C38" s="1121"/>
      <c r="D38" s="320" t="s">
        <v>1275</v>
      </c>
      <c r="E38" s="320" t="s">
        <v>1247</v>
      </c>
      <c r="F38" s="310" t="s">
        <v>1235</v>
      </c>
      <c r="G38" s="310" t="s">
        <v>1276</v>
      </c>
      <c r="H38" s="310" t="s">
        <v>1277</v>
      </c>
      <c r="I38" s="310" t="s">
        <v>1278</v>
      </c>
      <c r="J38" s="310" t="s">
        <v>1270</v>
      </c>
      <c r="K38" s="310" t="s">
        <v>1271</v>
      </c>
      <c r="L38" s="310" t="s">
        <v>1279</v>
      </c>
      <c r="M38" s="320" t="s">
        <v>1273</v>
      </c>
      <c r="N38" s="320" t="s">
        <v>1260</v>
      </c>
      <c r="O38" s="320" t="s">
        <v>1261</v>
      </c>
      <c r="P38" s="320" t="s">
        <v>1274</v>
      </c>
      <c r="Q38" s="320" t="s">
        <v>1263</v>
      </c>
      <c r="R38" s="300"/>
      <c r="S38" s="301"/>
    </row>
    <row r="39" spans="1:20">
      <c r="A39" s="312"/>
      <c r="B39" s="313"/>
      <c r="C39" s="313"/>
      <c r="D39" s="354"/>
      <c r="E39" s="354"/>
      <c r="F39" s="313"/>
      <c r="G39" s="313"/>
      <c r="H39" s="313"/>
      <c r="I39" s="313"/>
      <c r="J39" s="313"/>
      <c r="K39" s="313"/>
      <c r="L39" s="313"/>
      <c r="M39" s="313"/>
      <c r="N39" s="313">
        <v>25</v>
      </c>
      <c r="O39" s="313"/>
      <c r="P39" s="313">
        <v>25</v>
      </c>
      <c r="Q39" s="313">
        <v>9</v>
      </c>
      <c r="R39" s="313"/>
      <c r="S39" s="311"/>
    </row>
    <row r="42" spans="1:20">
      <c r="D42" s="640" t="s">
        <v>175</v>
      </c>
      <c r="E42" s="640"/>
      <c r="F42" s="232"/>
      <c r="G42" s="232"/>
      <c r="H42" s="232"/>
      <c r="I42" s="232"/>
      <c r="J42" s="232"/>
      <c r="K42" s="232"/>
      <c r="L42" s="232"/>
      <c r="M42" s="232"/>
      <c r="N42" s="232"/>
      <c r="O42" s="232"/>
      <c r="P42" s="232"/>
      <c r="Q42" s="232"/>
      <c r="R42" s="232"/>
      <c r="S42" s="232"/>
    </row>
    <row r="43" spans="1:20">
      <c r="C43" s="232"/>
      <c r="D43" s="873" t="s">
        <v>1280</v>
      </c>
      <c r="E43" s="874"/>
      <c r="F43" s="874"/>
      <c r="G43" s="874"/>
      <c r="H43" s="874"/>
      <c r="I43" s="874"/>
      <c r="J43" s="874"/>
      <c r="K43" s="874"/>
      <c r="L43" s="874"/>
      <c r="M43" s="874"/>
      <c r="N43" s="874"/>
      <c r="O43" s="874"/>
      <c r="P43" s="874"/>
      <c r="Q43" s="874"/>
      <c r="R43" s="874"/>
      <c r="S43" s="875"/>
      <c r="T43" s="232"/>
    </row>
    <row r="44" spans="1:20">
      <c r="C44" s="232"/>
      <c r="D44" s="876"/>
      <c r="E44" s="877"/>
      <c r="F44" s="877"/>
      <c r="G44" s="877"/>
      <c r="H44" s="877"/>
      <c r="I44" s="877"/>
      <c r="J44" s="877"/>
      <c r="K44" s="877"/>
      <c r="L44" s="877"/>
      <c r="M44" s="877"/>
      <c r="N44" s="877"/>
      <c r="O44" s="877"/>
      <c r="P44" s="877"/>
      <c r="Q44" s="877"/>
      <c r="R44" s="877"/>
      <c r="S44" s="878"/>
      <c r="T44" s="232"/>
    </row>
    <row r="45" spans="1:20">
      <c r="C45" s="232"/>
      <c r="D45" s="876"/>
      <c r="E45" s="877"/>
      <c r="F45" s="877"/>
      <c r="G45" s="877"/>
      <c r="H45" s="877"/>
      <c r="I45" s="877"/>
      <c r="J45" s="877"/>
      <c r="K45" s="877"/>
      <c r="L45" s="877"/>
      <c r="M45" s="877"/>
      <c r="N45" s="877"/>
      <c r="O45" s="877"/>
      <c r="P45" s="877"/>
      <c r="Q45" s="877"/>
      <c r="R45" s="877"/>
      <c r="S45" s="878"/>
      <c r="T45" s="232"/>
    </row>
    <row r="46" spans="1:20">
      <c r="C46" s="232"/>
      <c r="D46" s="876"/>
      <c r="E46" s="877"/>
      <c r="F46" s="877"/>
      <c r="G46" s="877"/>
      <c r="H46" s="877"/>
      <c r="I46" s="877"/>
      <c r="J46" s="877"/>
      <c r="K46" s="877"/>
      <c r="L46" s="877"/>
      <c r="M46" s="877"/>
      <c r="N46" s="877"/>
      <c r="O46" s="877"/>
      <c r="P46" s="877"/>
      <c r="Q46" s="877"/>
      <c r="R46" s="877"/>
      <c r="S46" s="878"/>
      <c r="T46" s="232"/>
    </row>
    <row r="47" spans="1:20">
      <c r="C47" s="232"/>
      <c r="D47" s="876"/>
      <c r="E47" s="877"/>
      <c r="F47" s="877"/>
      <c r="G47" s="877"/>
      <c r="H47" s="877"/>
      <c r="I47" s="877"/>
      <c r="J47" s="877"/>
      <c r="K47" s="877"/>
      <c r="L47" s="877"/>
      <c r="M47" s="877"/>
      <c r="N47" s="877"/>
      <c r="O47" s="877"/>
      <c r="P47" s="877"/>
      <c r="Q47" s="877"/>
      <c r="R47" s="877"/>
      <c r="S47" s="878"/>
      <c r="T47" s="232"/>
    </row>
    <row r="48" spans="1:20">
      <c r="C48" s="232"/>
      <c r="D48" s="876"/>
      <c r="E48" s="877"/>
      <c r="F48" s="877"/>
      <c r="G48" s="877"/>
      <c r="H48" s="877"/>
      <c r="I48" s="877"/>
      <c r="J48" s="877"/>
      <c r="K48" s="877"/>
      <c r="L48" s="877"/>
      <c r="M48" s="877"/>
      <c r="N48" s="877"/>
      <c r="O48" s="877"/>
      <c r="P48" s="877"/>
      <c r="Q48" s="877"/>
      <c r="R48" s="877"/>
      <c r="S48" s="878"/>
      <c r="T48" s="232"/>
    </row>
    <row r="49" spans="3:20">
      <c r="C49" s="232"/>
      <c r="D49" s="876"/>
      <c r="E49" s="877"/>
      <c r="F49" s="877"/>
      <c r="G49" s="877"/>
      <c r="H49" s="877"/>
      <c r="I49" s="877"/>
      <c r="J49" s="877"/>
      <c r="K49" s="877"/>
      <c r="L49" s="877"/>
      <c r="M49" s="877"/>
      <c r="N49" s="877"/>
      <c r="O49" s="877"/>
      <c r="P49" s="877"/>
      <c r="Q49" s="877"/>
      <c r="R49" s="877"/>
      <c r="S49" s="878"/>
      <c r="T49" s="232"/>
    </row>
    <row r="50" spans="3:20">
      <c r="C50" s="232"/>
      <c r="D50" s="876"/>
      <c r="E50" s="877"/>
      <c r="F50" s="877"/>
      <c r="G50" s="877"/>
      <c r="H50" s="877"/>
      <c r="I50" s="877"/>
      <c r="J50" s="877"/>
      <c r="K50" s="877"/>
      <c r="L50" s="877"/>
      <c r="M50" s="877"/>
      <c r="N50" s="877"/>
      <c r="O50" s="877"/>
      <c r="P50" s="877"/>
      <c r="Q50" s="877"/>
      <c r="R50" s="877"/>
      <c r="S50" s="878"/>
      <c r="T50" s="232"/>
    </row>
    <row r="51" spans="3:20">
      <c r="C51" s="232"/>
      <c r="D51" s="876"/>
      <c r="E51" s="877"/>
      <c r="F51" s="877"/>
      <c r="G51" s="877"/>
      <c r="H51" s="877"/>
      <c r="I51" s="877"/>
      <c r="J51" s="877"/>
      <c r="K51" s="877"/>
      <c r="L51" s="877"/>
      <c r="M51" s="877"/>
      <c r="N51" s="877"/>
      <c r="O51" s="877"/>
      <c r="P51" s="877"/>
      <c r="Q51" s="877"/>
      <c r="R51" s="877"/>
      <c r="S51" s="878"/>
      <c r="T51" s="232"/>
    </row>
    <row r="52" spans="3:20">
      <c r="C52" s="232"/>
      <c r="D52" s="876"/>
      <c r="E52" s="877"/>
      <c r="F52" s="877"/>
      <c r="G52" s="877"/>
      <c r="H52" s="877"/>
      <c r="I52" s="877"/>
      <c r="J52" s="877"/>
      <c r="K52" s="877"/>
      <c r="L52" s="877"/>
      <c r="M52" s="877"/>
      <c r="N52" s="877"/>
      <c r="O52" s="877"/>
      <c r="P52" s="877"/>
      <c r="Q52" s="877"/>
      <c r="R52" s="877"/>
      <c r="S52" s="878"/>
      <c r="T52" s="232"/>
    </row>
    <row r="53" spans="3:20">
      <c r="C53" s="232"/>
      <c r="D53" s="876"/>
      <c r="E53" s="877"/>
      <c r="F53" s="877"/>
      <c r="G53" s="877"/>
      <c r="H53" s="877"/>
      <c r="I53" s="877"/>
      <c r="J53" s="877"/>
      <c r="K53" s="877"/>
      <c r="L53" s="877"/>
      <c r="M53" s="877"/>
      <c r="N53" s="877"/>
      <c r="O53" s="877"/>
      <c r="P53" s="877"/>
      <c r="Q53" s="877"/>
      <c r="R53" s="877"/>
      <c r="S53" s="878"/>
      <c r="T53" s="232"/>
    </row>
    <row r="54" spans="3:20">
      <c r="C54" s="232"/>
      <c r="D54" s="876"/>
      <c r="E54" s="877"/>
      <c r="F54" s="877"/>
      <c r="G54" s="877"/>
      <c r="H54" s="877"/>
      <c r="I54" s="877"/>
      <c r="J54" s="877"/>
      <c r="K54" s="877"/>
      <c r="L54" s="877"/>
      <c r="M54" s="877"/>
      <c r="N54" s="877"/>
      <c r="O54" s="877"/>
      <c r="P54" s="877"/>
      <c r="Q54" s="877"/>
      <c r="R54" s="877"/>
      <c r="S54" s="878"/>
      <c r="T54" s="232"/>
    </row>
    <row r="55" spans="3:20">
      <c r="C55" s="232"/>
      <c r="D55" s="876"/>
      <c r="E55" s="877"/>
      <c r="F55" s="877"/>
      <c r="G55" s="877"/>
      <c r="H55" s="877"/>
      <c r="I55" s="877"/>
      <c r="J55" s="877"/>
      <c r="K55" s="877"/>
      <c r="L55" s="877"/>
      <c r="M55" s="877"/>
      <c r="N55" s="877"/>
      <c r="O55" s="877"/>
      <c r="P55" s="877"/>
      <c r="Q55" s="877"/>
      <c r="R55" s="877"/>
      <c r="S55" s="878"/>
      <c r="T55" s="232"/>
    </row>
    <row r="56" spans="3:20">
      <c r="C56" s="232"/>
      <c r="D56" s="879"/>
      <c r="E56" s="880"/>
      <c r="F56" s="880"/>
      <c r="G56" s="880"/>
      <c r="H56" s="880"/>
      <c r="I56" s="880"/>
      <c r="J56" s="880"/>
      <c r="K56" s="880"/>
      <c r="L56" s="880"/>
      <c r="M56" s="880"/>
      <c r="N56" s="880"/>
      <c r="O56" s="880"/>
      <c r="P56" s="880"/>
      <c r="Q56" s="880"/>
      <c r="R56" s="880"/>
      <c r="S56" s="881"/>
      <c r="T56" s="232"/>
    </row>
    <row r="57" spans="3:20">
      <c r="D57" s="640"/>
      <c r="E57" s="640"/>
      <c r="F57" s="232"/>
      <c r="G57" s="232"/>
      <c r="H57" s="232"/>
      <c r="I57" s="232"/>
      <c r="J57" s="232"/>
      <c r="K57" s="232"/>
      <c r="L57" s="232"/>
      <c r="M57" s="232"/>
      <c r="N57" s="232"/>
      <c r="O57" s="232"/>
      <c r="P57" s="232"/>
      <c r="Q57" s="232"/>
      <c r="R57" s="232"/>
      <c r="S57" s="232"/>
    </row>
  </sheetData>
  <mergeCells count="18">
    <mergeCell ref="D43:S56"/>
    <mergeCell ref="A35:C36"/>
    <mergeCell ref="A37:C38"/>
    <mergeCell ref="B26:D26"/>
    <mergeCell ref="A1:S1"/>
    <mergeCell ref="A2:S2"/>
    <mergeCell ref="A3:S3"/>
    <mergeCell ref="A4:S4"/>
    <mergeCell ref="A5:S5"/>
    <mergeCell ref="W14:AK14"/>
    <mergeCell ref="X15:AA18"/>
    <mergeCell ref="W7:AK7"/>
    <mergeCell ref="W8:AK8"/>
    <mergeCell ref="W9:AA9"/>
    <mergeCell ref="AB9:AK9"/>
    <mergeCell ref="W11:W13"/>
    <mergeCell ref="X11:X13"/>
    <mergeCell ref="Y11:Y1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833C0B"/>
    <outlinePr summaryBelow="0" summaryRight="0"/>
  </sheetPr>
  <dimension ref="A1:AL78"/>
  <sheetViews>
    <sheetView workbookViewId="0">
      <pane xSplit="2" ySplit="6" topLeftCell="H7" activePane="bottomRight" state="frozen"/>
      <selection pane="bottomRight" activeCell="I10" sqref="I10"/>
      <selection pane="bottomLeft" activeCell="A7" sqref="A7"/>
      <selection pane="topRight" activeCell="C1" sqref="C1"/>
    </sheetView>
  </sheetViews>
  <sheetFormatPr defaultColWidth="14.42578125" defaultRowHeight="15" customHeight="1"/>
  <cols>
    <col min="2" max="2" width="18.42578125" customWidth="1"/>
    <col min="3" max="3" width="5.7109375" customWidth="1"/>
    <col min="4" max="5" width="25" customWidth="1"/>
    <col min="6" max="6" width="9.85546875" customWidth="1"/>
    <col min="7" max="7" width="10.42578125" customWidth="1"/>
    <col min="8" max="8" width="12.140625" customWidth="1"/>
    <col min="9" max="9" width="11.140625" customWidth="1"/>
    <col min="10" max="10" width="10" customWidth="1"/>
    <col min="11" max="11" width="11.85546875" customWidth="1"/>
    <col min="18" max="18" width="18" customWidth="1"/>
    <col min="20" max="20" width="7.28515625" hidden="1" customWidth="1"/>
  </cols>
  <sheetData>
    <row r="1" spans="1:38">
      <c r="A1" s="60"/>
      <c r="B1" s="168"/>
      <c r="C1" s="892" t="s">
        <v>40</v>
      </c>
      <c r="D1" s="1160"/>
      <c r="E1" s="1160"/>
      <c r="F1" s="1160"/>
      <c r="G1" s="1160"/>
      <c r="H1" s="1160"/>
      <c r="I1" s="1160"/>
      <c r="J1" s="1160"/>
      <c r="K1" s="1160"/>
      <c r="L1" s="1160"/>
      <c r="M1" s="1160"/>
      <c r="N1" s="1160"/>
      <c r="O1" s="1160"/>
      <c r="P1" s="1160"/>
      <c r="Q1" s="1160"/>
      <c r="R1" s="1160"/>
      <c r="S1" s="1160"/>
    </row>
    <row r="2" spans="1:38">
      <c r="A2" s="138"/>
      <c r="B2" s="93"/>
      <c r="C2" s="868" t="s">
        <v>41</v>
      </c>
      <c r="D2" s="1158"/>
      <c r="E2" s="1158"/>
      <c r="F2" s="1158"/>
      <c r="G2" s="1158"/>
      <c r="H2" s="1158"/>
      <c r="I2" s="1158"/>
      <c r="J2" s="1158"/>
      <c r="K2" s="1158"/>
      <c r="L2" s="1158"/>
      <c r="M2" s="1158"/>
      <c r="N2" s="1158"/>
      <c r="O2" s="1158"/>
      <c r="P2" s="1158"/>
      <c r="Q2" s="1158"/>
      <c r="R2" s="1158"/>
      <c r="S2" s="1158"/>
    </row>
    <row r="3" spans="1:38">
      <c r="A3" s="139"/>
      <c r="B3" s="86"/>
      <c r="C3" s="869" t="s">
        <v>42</v>
      </c>
      <c r="D3" s="1159"/>
      <c r="E3" s="1159"/>
      <c r="F3" s="1159"/>
      <c r="G3" s="1159"/>
      <c r="H3" s="1159"/>
      <c r="I3" s="1159"/>
      <c r="J3" s="1159"/>
      <c r="K3" s="1159"/>
      <c r="L3" s="1159"/>
      <c r="M3" s="1159"/>
      <c r="N3" s="1159"/>
      <c r="O3" s="1159"/>
      <c r="P3" s="1159"/>
      <c r="Q3" s="1159"/>
      <c r="R3" s="1159"/>
      <c r="S3" s="1159"/>
    </row>
    <row r="4" spans="1:38">
      <c r="A4" s="140"/>
      <c r="B4" s="141"/>
      <c r="C4" s="870" t="s">
        <v>1281</v>
      </c>
      <c r="D4" s="1160"/>
      <c r="E4" s="1160"/>
      <c r="F4" s="1160"/>
      <c r="G4" s="1160"/>
      <c r="H4" s="1160"/>
      <c r="I4" s="1160"/>
      <c r="J4" s="1160"/>
      <c r="K4" s="1160"/>
      <c r="L4" s="1160"/>
      <c r="M4" s="1160"/>
      <c r="N4" s="1160"/>
      <c r="O4" s="1160"/>
      <c r="P4" s="1160"/>
      <c r="Q4" s="1160"/>
      <c r="R4" s="1160"/>
      <c r="S4" s="1160"/>
    </row>
    <row r="5" spans="1:38">
      <c r="A5" s="88"/>
      <c r="B5" s="89"/>
      <c r="C5" s="894" t="s">
        <v>1005</v>
      </c>
      <c r="D5" s="1176"/>
      <c r="E5" s="1176"/>
      <c r="F5" s="1176"/>
      <c r="G5" s="1176"/>
      <c r="H5" s="1176"/>
      <c r="I5" s="1176"/>
      <c r="J5" s="1176"/>
      <c r="K5" s="1176"/>
      <c r="L5" s="1176"/>
      <c r="M5" s="1176"/>
      <c r="N5" s="1176"/>
      <c r="O5" s="1176"/>
      <c r="P5" s="1176"/>
      <c r="Q5" s="1176"/>
      <c r="R5" s="1176"/>
      <c r="S5" s="1176"/>
    </row>
    <row r="6" spans="1:38">
      <c r="A6" s="113" t="s">
        <v>45</v>
      </c>
      <c r="B6" s="4" t="s">
        <v>46</v>
      </c>
      <c r="C6" s="4" t="s">
        <v>47</v>
      </c>
      <c r="D6" s="4" t="s">
        <v>48</v>
      </c>
      <c r="E6" s="4" t="s">
        <v>49</v>
      </c>
      <c r="F6" s="4" t="s">
        <v>352</v>
      </c>
      <c r="G6" s="4" t="s">
        <v>51</v>
      </c>
      <c r="H6" s="4" t="s">
        <v>52</v>
      </c>
      <c r="I6" s="4" t="s">
        <v>53</v>
      </c>
      <c r="J6" s="4" t="s">
        <v>54</v>
      </c>
      <c r="K6" s="4" t="s">
        <v>55</v>
      </c>
      <c r="L6" s="4" t="s">
        <v>56</v>
      </c>
      <c r="M6" s="4" t="s">
        <v>57</v>
      </c>
      <c r="N6" s="4" t="s">
        <v>58</v>
      </c>
      <c r="O6" s="4" t="s">
        <v>59</v>
      </c>
      <c r="P6" s="4" t="s">
        <v>60</v>
      </c>
      <c r="Q6" s="4" t="s">
        <v>61</v>
      </c>
      <c r="R6" s="3" t="s">
        <v>62</v>
      </c>
      <c r="S6" s="38" t="s">
        <v>63</v>
      </c>
      <c r="T6" s="253" t="s">
        <v>64</v>
      </c>
    </row>
    <row r="7" spans="1:38">
      <c r="A7" s="39" t="s">
        <v>65</v>
      </c>
      <c r="B7" s="149" t="s">
        <v>66</v>
      </c>
      <c r="C7" s="15">
        <v>1</v>
      </c>
      <c r="D7" s="95" t="s">
        <v>1282</v>
      </c>
      <c r="E7" s="95" t="s">
        <v>1283</v>
      </c>
      <c r="F7" s="7">
        <v>3.9</v>
      </c>
      <c r="G7" s="7">
        <v>3.89</v>
      </c>
      <c r="H7" s="7">
        <v>3.45</v>
      </c>
      <c r="I7" s="7">
        <v>4.59</v>
      </c>
      <c r="J7" s="7">
        <v>4.55</v>
      </c>
      <c r="K7" s="7">
        <v>4.95</v>
      </c>
      <c r="L7" s="7">
        <v>6.51</v>
      </c>
      <c r="M7" s="7">
        <v>5.89</v>
      </c>
      <c r="N7" s="7">
        <v>6.41</v>
      </c>
      <c r="O7" s="7">
        <v>6.41</v>
      </c>
      <c r="P7" s="7">
        <v>6.09</v>
      </c>
      <c r="Q7" s="7">
        <v>5.42</v>
      </c>
      <c r="R7" s="48">
        <f t="shared" ref="R7:R21" si="0">IFERROR(AVERAGE(F7:Q7), 0)</f>
        <v>5.1716666666666669</v>
      </c>
      <c r="S7" s="8">
        <v>6</v>
      </c>
      <c r="T7" s="242" t="s">
        <v>1284</v>
      </c>
    </row>
    <row r="8" spans="1:38">
      <c r="A8" s="9"/>
      <c r="B8" s="10" t="s">
        <v>66</v>
      </c>
      <c r="C8" s="11">
        <v>2</v>
      </c>
      <c r="D8" s="185" t="s">
        <v>1285</v>
      </c>
      <c r="E8" s="185" t="s">
        <v>1283</v>
      </c>
      <c r="F8" s="12">
        <v>3.6</v>
      </c>
      <c r="G8" s="12">
        <v>3.92</v>
      </c>
      <c r="H8" s="12">
        <v>3.5</v>
      </c>
      <c r="I8" s="12">
        <v>4.62</v>
      </c>
      <c r="J8" s="12">
        <v>4.75</v>
      </c>
      <c r="K8" s="12">
        <v>4.8899999999999997</v>
      </c>
      <c r="L8" s="12">
        <v>6.61</v>
      </c>
      <c r="M8" s="12">
        <v>5.0999999999999996</v>
      </c>
      <c r="N8" s="12">
        <v>6.48</v>
      </c>
      <c r="O8" s="12">
        <v>6.34</v>
      </c>
      <c r="P8" s="12">
        <v>6.12</v>
      </c>
      <c r="Q8" s="12">
        <v>5.24</v>
      </c>
      <c r="R8" s="35">
        <f t="shared" si="0"/>
        <v>5.0975000000000001</v>
      </c>
      <c r="S8" s="14">
        <v>6</v>
      </c>
      <c r="T8" s="242" t="s">
        <v>1286</v>
      </c>
      <c r="X8" s="970"/>
      <c r="Y8" s="970"/>
      <c r="Z8" s="970"/>
      <c r="AA8" s="970"/>
      <c r="AB8" s="970"/>
      <c r="AC8" s="970"/>
      <c r="AD8" s="970"/>
      <c r="AE8" s="970"/>
      <c r="AF8" s="970"/>
      <c r="AG8" s="970"/>
      <c r="AH8" s="970"/>
      <c r="AI8" s="970"/>
      <c r="AJ8" s="970"/>
      <c r="AK8" s="970"/>
      <c r="AL8" s="970"/>
    </row>
    <row r="9" spans="1:38">
      <c r="A9" s="9"/>
      <c r="B9" s="10" t="s">
        <v>66</v>
      </c>
      <c r="C9" s="11">
        <v>3</v>
      </c>
      <c r="D9" s="185" t="s">
        <v>1287</v>
      </c>
      <c r="E9" s="185" t="s">
        <v>1283</v>
      </c>
      <c r="F9" s="12">
        <v>4.9000000000000004</v>
      </c>
      <c r="G9" s="12">
        <v>3.79</v>
      </c>
      <c r="H9" s="12">
        <v>3.48</v>
      </c>
      <c r="I9" s="12">
        <v>4.1500000000000004</v>
      </c>
      <c r="J9" s="12">
        <v>7.59</v>
      </c>
      <c r="K9" s="12">
        <v>4.78</v>
      </c>
      <c r="L9" s="12">
        <v>6.78</v>
      </c>
      <c r="M9" s="12">
        <v>4.46</v>
      </c>
      <c r="N9" s="12">
        <v>6.5</v>
      </c>
      <c r="O9" s="12">
        <v>6.43</v>
      </c>
      <c r="P9" s="12">
        <v>6.03</v>
      </c>
      <c r="Q9" s="12">
        <v>5.18</v>
      </c>
      <c r="R9" s="35">
        <f t="shared" si="0"/>
        <v>5.3391666666666664</v>
      </c>
      <c r="S9" s="14">
        <v>6</v>
      </c>
      <c r="T9" s="242" t="s">
        <v>1288</v>
      </c>
      <c r="X9" s="970"/>
      <c r="Y9" s="970"/>
      <c r="Z9" s="970"/>
      <c r="AA9" s="970"/>
      <c r="AB9" s="970"/>
      <c r="AC9" s="970"/>
      <c r="AD9" s="970"/>
      <c r="AE9" s="970"/>
      <c r="AF9" s="970"/>
      <c r="AG9" s="970"/>
      <c r="AH9" s="970"/>
      <c r="AI9" s="970"/>
      <c r="AJ9" s="970"/>
      <c r="AK9" s="970"/>
      <c r="AL9" s="970"/>
    </row>
    <row r="10" spans="1:38">
      <c r="A10" s="9"/>
      <c r="B10" s="149" t="s">
        <v>92</v>
      </c>
      <c r="C10" s="15">
        <v>1</v>
      </c>
      <c r="D10" s="95" t="s">
        <v>1282</v>
      </c>
      <c r="E10" s="95" t="s">
        <v>1283</v>
      </c>
      <c r="F10" s="128">
        <v>30</v>
      </c>
      <c r="G10" s="7">
        <v>9</v>
      </c>
      <c r="H10" s="7">
        <v>14</v>
      </c>
      <c r="I10" s="7">
        <v>10</v>
      </c>
      <c r="J10" s="7">
        <v>16</v>
      </c>
      <c r="K10" s="7">
        <v>17</v>
      </c>
      <c r="L10" s="7">
        <v>212</v>
      </c>
      <c r="M10" s="7">
        <v>9</v>
      </c>
      <c r="N10" s="7">
        <v>41</v>
      </c>
      <c r="O10" s="7">
        <v>16</v>
      </c>
      <c r="P10" s="7">
        <v>18</v>
      </c>
      <c r="Q10" s="7">
        <v>17</v>
      </c>
      <c r="R10" s="48">
        <f t="shared" si="0"/>
        <v>34.083333333333336</v>
      </c>
      <c r="S10" s="8">
        <v>50</v>
      </c>
      <c r="T10" s="242" t="s">
        <v>1284</v>
      </c>
      <c r="X10" s="848"/>
      <c r="Y10" s="848"/>
      <c r="Z10" s="848"/>
      <c r="AA10" s="848"/>
      <c r="AB10" s="848"/>
      <c r="AC10" s="848"/>
      <c r="AD10" s="1161"/>
      <c r="AE10" s="1161"/>
      <c r="AF10" s="1161"/>
      <c r="AG10" s="1161"/>
      <c r="AH10" s="1161"/>
      <c r="AI10" s="1161"/>
      <c r="AJ10" s="1161"/>
      <c r="AK10" s="1161"/>
      <c r="AL10" s="1161"/>
    </row>
    <row r="11" spans="1:38">
      <c r="A11" s="9"/>
      <c r="B11" s="10" t="s">
        <v>92</v>
      </c>
      <c r="C11" s="11">
        <v>2</v>
      </c>
      <c r="D11" s="185" t="s">
        <v>1285</v>
      </c>
      <c r="E11" s="185" t="s">
        <v>1283</v>
      </c>
      <c r="F11" s="129">
        <v>14</v>
      </c>
      <c r="G11" s="12">
        <v>12</v>
      </c>
      <c r="H11" s="12">
        <v>14</v>
      </c>
      <c r="I11" s="12">
        <v>14</v>
      </c>
      <c r="J11" s="12">
        <v>13</v>
      </c>
      <c r="K11" s="12">
        <v>15</v>
      </c>
      <c r="L11" s="12">
        <v>96</v>
      </c>
      <c r="M11" s="12">
        <v>10</v>
      </c>
      <c r="N11" s="12">
        <v>53</v>
      </c>
      <c r="O11" s="12">
        <v>21</v>
      </c>
      <c r="P11" s="12">
        <v>14</v>
      </c>
      <c r="Q11" s="12">
        <v>26</v>
      </c>
      <c r="R11" s="35">
        <f t="shared" si="0"/>
        <v>25.166666666666668</v>
      </c>
      <c r="S11" s="14">
        <v>50</v>
      </c>
      <c r="T11" s="242" t="s">
        <v>1286</v>
      </c>
      <c r="X11" s="729"/>
      <c r="Y11" s="729"/>
      <c r="Z11" s="729"/>
      <c r="AA11" s="729"/>
      <c r="AB11" s="729"/>
      <c r="AC11" s="729"/>
      <c r="AD11" s="729"/>
      <c r="AE11" s="729"/>
      <c r="AF11" s="729"/>
      <c r="AG11" s="729"/>
      <c r="AH11" s="729"/>
      <c r="AI11" s="729"/>
      <c r="AJ11" s="729"/>
      <c r="AK11" s="729"/>
      <c r="AL11" s="729"/>
    </row>
    <row r="12" spans="1:38" ht="15" customHeight="1">
      <c r="A12" s="9"/>
      <c r="B12" s="10" t="s">
        <v>92</v>
      </c>
      <c r="C12" s="11">
        <v>3</v>
      </c>
      <c r="D12" s="185" t="s">
        <v>1287</v>
      </c>
      <c r="E12" s="185" t="s">
        <v>1283</v>
      </c>
      <c r="F12" s="129">
        <v>9</v>
      </c>
      <c r="G12" s="12">
        <v>16</v>
      </c>
      <c r="H12" s="12">
        <v>13</v>
      </c>
      <c r="I12" s="12">
        <v>21</v>
      </c>
      <c r="J12" s="12">
        <v>16</v>
      </c>
      <c r="K12" s="12">
        <v>29</v>
      </c>
      <c r="L12" s="12">
        <v>123</v>
      </c>
      <c r="M12" s="12">
        <v>11</v>
      </c>
      <c r="N12" s="12">
        <v>54</v>
      </c>
      <c r="O12" s="12">
        <v>31</v>
      </c>
      <c r="P12" s="12">
        <v>30</v>
      </c>
      <c r="Q12" s="12">
        <v>29</v>
      </c>
      <c r="R12" s="35">
        <f t="shared" si="0"/>
        <v>31.833333333333332</v>
      </c>
      <c r="S12" s="14">
        <v>50</v>
      </c>
      <c r="T12" s="242" t="s">
        <v>1288</v>
      </c>
      <c r="X12" s="883"/>
      <c r="Y12" s="883"/>
      <c r="Z12" s="883"/>
      <c r="AA12" s="32"/>
      <c r="AB12" s="364"/>
      <c r="AC12" s="304"/>
      <c r="AD12" s="14"/>
      <c r="AE12" s="35"/>
      <c r="AF12" s="304"/>
      <c r="AG12" s="35"/>
      <c r="AH12" s="35"/>
      <c r="AI12" s="35"/>
      <c r="AJ12" s="34"/>
      <c r="AK12" s="34"/>
      <c r="AL12" s="14"/>
    </row>
    <row r="13" spans="1:38" ht="15" customHeight="1">
      <c r="A13" s="9"/>
      <c r="B13" s="149" t="s">
        <v>7</v>
      </c>
      <c r="C13" s="15">
        <v>1</v>
      </c>
      <c r="D13" s="95" t="s">
        <v>1282</v>
      </c>
      <c r="E13" s="95" t="s">
        <v>1283</v>
      </c>
      <c r="F13" s="7">
        <v>7.1</v>
      </c>
      <c r="G13" s="7">
        <v>7.21</v>
      </c>
      <c r="H13" s="7">
        <v>7.15</v>
      </c>
      <c r="I13" s="7">
        <v>7.18</v>
      </c>
      <c r="J13" s="7">
        <v>7.12</v>
      </c>
      <c r="K13" s="7">
        <v>7.18</v>
      </c>
      <c r="L13" s="7">
        <v>7.21</v>
      </c>
      <c r="M13" s="7">
        <v>7.15</v>
      </c>
      <c r="N13" s="7">
        <v>7.57</v>
      </c>
      <c r="O13" s="7">
        <v>7.69</v>
      </c>
      <c r="P13" s="7">
        <v>7.83</v>
      </c>
      <c r="Q13" s="7">
        <v>7.83</v>
      </c>
      <c r="R13" s="48">
        <f t="shared" si="0"/>
        <v>7.3516666666666666</v>
      </c>
      <c r="S13" s="114" t="s">
        <v>908</v>
      </c>
      <c r="T13" s="242" t="s">
        <v>1284</v>
      </c>
      <c r="X13" s="884"/>
      <c r="Y13" s="884"/>
      <c r="Z13" s="884"/>
      <c r="AA13" s="32"/>
      <c r="AB13" s="365"/>
      <c r="AC13" s="304"/>
      <c r="AD13" s="14"/>
      <c r="AE13" s="35"/>
      <c r="AF13" s="304"/>
      <c r="AG13" s="35"/>
      <c r="AH13" s="35"/>
      <c r="AI13" s="35"/>
      <c r="AJ13" s="34"/>
      <c r="AK13" s="34"/>
      <c r="AL13" s="14"/>
    </row>
    <row r="14" spans="1:38" ht="15" customHeight="1">
      <c r="A14" s="9"/>
      <c r="B14" s="10" t="s">
        <v>7</v>
      </c>
      <c r="C14" s="11">
        <v>2</v>
      </c>
      <c r="D14" s="185" t="s">
        <v>1285</v>
      </c>
      <c r="E14" s="185" t="s">
        <v>1283</v>
      </c>
      <c r="F14" s="12">
        <v>7.1</v>
      </c>
      <c r="G14" s="12">
        <v>7.18</v>
      </c>
      <c r="H14" s="12">
        <v>7.21</v>
      </c>
      <c r="I14" s="12">
        <v>7.21</v>
      </c>
      <c r="J14" s="12">
        <v>7.18</v>
      </c>
      <c r="K14" s="12">
        <v>7.18</v>
      </c>
      <c r="L14" s="12">
        <v>7.18</v>
      </c>
      <c r="M14" s="12">
        <v>7.1</v>
      </c>
      <c r="N14" s="12">
        <v>7.77</v>
      </c>
      <c r="O14" s="12">
        <v>7.81</v>
      </c>
      <c r="P14" s="12">
        <v>7.79</v>
      </c>
      <c r="Q14" s="12">
        <v>7.77</v>
      </c>
      <c r="R14" s="35">
        <f t="shared" si="0"/>
        <v>7.373333333333334</v>
      </c>
      <c r="S14" s="115" t="s">
        <v>908</v>
      </c>
      <c r="T14" s="242" t="s">
        <v>1286</v>
      </c>
      <c r="X14" s="884"/>
      <c r="Y14" s="884"/>
      <c r="Z14" s="884"/>
      <c r="AA14" s="32"/>
      <c r="AB14" s="367"/>
      <c r="AC14" s="304"/>
      <c r="AD14" s="14"/>
      <c r="AE14" s="35"/>
      <c r="AF14" s="304"/>
      <c r="AG14" s="35"/>
      <c r="AH14" s="35"/>
      <c r="AI14" s="35"/>
      <c r="AJ14" s="34"/>
      <c r="AK14" s="34"/>
      <c r="AL14" s="14"/>
    </row>
    <row r="15" spans="1:38" ht="15" customHeight="1">
      <c r="A15" s="9"/>
      <c r="B15" s="10"/>
      <c r="C15" s="11">
        <v>3</v>
      </c>
      <c r="D15" s="185" t="s">
        <v>1287</v>
      </c>
      <c r="E15" s="185" t="s">
        <v>1283</v>
      </c>
      <c r="F15" s="12">
        <v>7</v>
      </c>
      <c r="G15" s="12">
        <v>7.09</v>
      </c>
      <c r="H15" s="12">
        <v>7.02</v>
      </c>
      <c r="I15" s="12">
        <v>7.03</v>
      </c>
      <c r="J15" s="12">
        <v>7.05</v>
      </c>
      <c r="K15" s="12">
        <v>7.15</v>
      </c>
      <c r="L15" s="12">
        <v>7.1</v>
      </c>
      <c r="M15" s="12">
        <v>7.5</v>
      </c>
      <c r="N15" s="12">
        <v>7.92</v>
      </c>
      <c r="O15" s="12">
        <v>7.58</v>
      </c>
      <c r="P15" s="12">
        <v>7.15</v>
      </c>
      <c r="Q15" s="12">
        <v>7.18</v>
      </c>
      <c r="R15" s="35">
        <f>IFERROR(AVERAGE(F15:Q15), 0)</f>
        <v>7.2308333333333339</v>
      </c>
      <c r="S15" s="18" t="s">
        <v>106</v>
      </c>
      <c r="T15" s="242"/>
      <c r="X15" s="727"/>
      <c r="Y15" s="756"/>
      <c r="Z15" s="756"/>
      <c r="AA15" s="750"/>
      <c r="AB15" s="751"/>
      <c r="AC15" s="752"/>
      <c r="AD15" s="728"/>
      <c r="AE15" s="753"/>
      <c r="AF15" s="752"/>
      <c r="AG15" s="753"/>
      <c r="AH15" s="753"/>
      <c r="AI15" s="753"/>
      <c r="AJ15" s="754"/>
      <c r="AK15" s="754"/>
      <c r="AL15" s="192"/>
    </row>
    <row r="16" spans="1:38" ht="15" customHeight="1">
      <c r="A16" s="9"/>
      <c r="B16" s="755" t="s">
        <v>108</v>
      </c>
      <c r="C16" s="15">
        <v>1</v>
      </c>
      <c r="D16" s="95" t="s">
        <v>1282</v>
      </c>
      <c r="E16" s="757" t="s">
        <v>1283</v>
      </c>
      <c r="F16" s="7">
        <v>27.3</v>
      </c>
      <c r="G16" s="7">
        <v>29.2</v>
      </c>
      <c r="H16" s="7">
        <v>28.5</v>
      </c>
      <c r="I16" s="7">
        <v>30</v>
      </c>
      <c r="J16" s="7">
        <v>29.9</v>
      </c>
      <c r="K16" s="7">
        <v>28.8</v>
      </c>
      <c r="L16" s="7">
        <v>27.1</v>
      </c>
      <c r="M16" s="7">
        <v>30.1</v>
      </c>
      <c r="N16" s="7">
        <v>27.1</v>
      </c>
      <c r="O16" s="7">
        <v>27.5</v>
      </c>
      <c r="P16" s="7">
        <v>29.1</v>
      </c>
      <c r="Q16" s="7">
        <v>27.1</v>
      </c>
      <c r="R16" s="48">
        <f>IFERROR(AVERAGE(F16:Q16), 0)</f>
        <v>28.475000000000005</v>
      </c>
      <c r="S16" s="17" t="s">
        <v>109</v>
      </c>
      <c r="T16" s="242"/>
      <c r="X16" s="727"/>
      <c r="Y16" s="756"/>
      <c r="Z16" s="756"/>
      <c r="AA16" s="750"/>
      <c r="AB16" s="751"/>
      <c r="AC16" s="752"/>
      <c r="AD16" s="728"/>
      <c r="AE16" s="753"/>
      <c r="AF16" s="752"/>
      <c r="AG16" s="753"/>
      <c r="AH16" s="753"/>
      <c r="AI16" s="753"/>
      <c r="AJ16" s="754"/>
      <c r="AK16" s="754"/>
      <c r="AL16" s="192"/>
    </row>
    <row r="17" spans="1:38">
      <c r="A17" s="9"/>
      <c r="B17" s="10" t="s">
        <v>108</v>
      </c>
      <c r="C17" s="11">
        <v>2</v>
      </c>
      <c r="D17" s="185" t="s">
        <v>1285</v>
      </c>
      <c r="E17" s="185" t="s">
        <v>1283</v>
      </c>
      <c r="F17" s="12">
        <v>27.5</v>
      </c>
      <c r="G17" s="12">
        <v>29.4</v>
      </c>
      <c r="H17" s="12">
        <v>31.1</v>
      </c>
      <c r="I17" s="12">
        <v>31.3</v>
      </c>
      <c r="J17" s="12">
        <v>30</v>
      </c>
      <c r="K17" s="12">
        <v>26.2</v>
      </c>
      <c r="L17" s="12">
        <v>28.3</v>
      </c>
      <c r="M17" s="12">
        <v>29.1</v>
      </c>
      <c r="N17" s="12">
        <v>26.1</v>
      </c>
      <c r="O17" s="12">
        <v>29.1</v>
      </c>
      <c r="P17" s="12">
        <v>26</v>
      </c>
      <c r="Q17" s="12">
        <v>30</v>
      </c>
      <c r="R17" s="35">
        <f t="shared" si="0"/>
        <v>28.675000000000001</v>
      </c>
      <c r="S17" s="18" t="s">
        <v>777</v>
      </c>
      <c r="T17" s="242" t="s">
        <v>1286</v>
      </c>
      <c r="X17" s="967"/>
      <c r="Y17" s="968"/>
      <c r="Z17" s="968"/>
      <c r="AA17" s="968"/>
      <c r="AB17" s="968"/>
      <c r="AC17" s="968"/>
      <c r="AD17" s="968"/>
      <c r="AE17" s="968"/>
      <c r="AF17" s="968"/>
      <c r="AG17" s="968"/>
      <c r="AH17" s="968"/>
      <c r="AI17" s="968"/>
      <c r="AJ17" s="968"/>
      <c r="AK17" s="968"/>
      <c r="AL17" s="969"/>
    </row>
    <row r="18" spans="1:38">
      <c r="A18" s="9"/>
      <c r="B18" s="10" t="s">
        <v>108</v>
      </c>
      <c r="C18" s="11">
        <v>3</v>
      </c>
      <c r="D18" s="185" t="s">
        <v>1287</v>
      </c>
      <c r="E18" s="185" t="s">
        <v>1283</v>
      </c>
      <c r="F18" s="12">
        <v>27.8</v>
      </c>
      <c r="G18" s="12">
        <v>29.8</v>
      </c>
      <c r="H18" s="12">
        <v>31.1</v>
      </c>
      <c r="I18" s="12">
        <v>31.3</v>
      </c>
      <c r="J18" s="12">
        <v>30</v>
      </c>
      <c r="K18" s="12">
        <v>26.2</v>
      </c>
      <c r="L18" s="12">
        <v>28.3</v>
      </c>
      <c r="M18" s="12">
        <v>29.6</v>
      </c>
      <c r="N18" s="12">
        <v>26.1</v>
      </c>
      <c r="O18" s="12">
        <v>29.1</v>
      </c>
      <c r="P18" s="12">
        <v>26.1</v>
      </c>
      <c r="Q18" s="12">
        <v>30</v>
      </c>
      <c r="R18" s="35">
        <f t="shared" si="0"/>
        <v>28.783333333333335</v>
      </c>
      <c r="S18" s="18" t="s">
        <v>777</v>
      </c>
      <c r="T18" s="242" t="s">
        <v>1288</v>
      </c>
      <c r="X18" s="14"/>
      <c r="Y18" s="961"/>
      <c r="Z18" s="962"/>
      <c r="AA18" s="962"/>
      <c r="AB18" s="963"/>
      <c r="AC18" s="35"/>
      <c r="AD18" s="14"/>
      <c r="AE18" s="35"/>
      <c r="AF18" s="35"/>
      <c r="AG18" s="35"/>
      <c r="AH18" s="35"/>
      <c r="AI18" s="35"/>
      <c r="AJ18" s="34"/>
      <c r="AK18" s="34"/>
      <c r="AL18" s="14"/>
    </row>
    <row r="19" spans="1:38">
      <c r="A19" s="9"/>
      <c r="B19" s="149" t="s">
        <v>110</v>
      </c>
      <c r="C19" s="15">
        <v>1</v>
      </c>
      <c r="D19" s="95" t="s">
        <v>1282</v>
      </c>
      <c r="E19" s="95" t="s">
        <v>1283</v>
      </c>
      <c r="F19" s="17">
        <v>5</v>
      </c>
      <c r="G19" s="17">
        <v>5</v>
      </c>
      <c r="H19" s="17">
        <v>5</v>
      </c>
      <c r="I19" s="17">
        <v>5</v>
      </c>
      <c r="J19" s="17">
        <v>5</v>
      </c>
      <c r="K19" s="17">
        <v>5</v>
      </c>
      <c r="L19" s="17">
        <v>5</v>
      </c>
      <c r="M19" s="17">
        <v>-5</v>
      </c>
      <c r="N19" s="17">
        <v>15</v>
      </c>
      <c r="O19" s="17">
        <v>5</v>
      </c>
      <c r="P19" s="17">
        <v>5</v>
      </c>
      <c r="Q19" s="17">
        <v>5</v>
      </c>
      <c r="R19" s="48">
        <f t="shared" si="0"/>
        <v>5</v>
      </c>
      <c r="S19" s="116">
        <v>50</v>
      </c>
      <c r="T19" s="242" t="s">
        <v>1284</v>
      </c>
      <c r="X19" s="14"/>
      <c r="Y19" s="964"/>
      <c r="Z19" s="1107"/>
      <c r="AA19" s="1107"/>
      <c r="AB19" s="966"/>
      <c r="AC19" s="35"/>
      <c r="AD19" s="14"/>
      <c r="AE19" s="35"/>
      <c r="AF19" s="35"/>
      <c r="AG19" s="35"/>
      <c r="AH19" s="35"/>
      <c r="AI19" s="35"/>
      <c r="AJ19" s="34"/>
      <c r="AK19" s="34"/>
      <c r="AL19" s="14"/>
    </row>
    <row r="20" spans="1:38">
      <c r="A20" s="9"/>
      <c r="B20" s="10" t="s">
        <v>110</v>
      </c>
      <c r="C20" s="11">
        <v>2</v>
      </c>
      <c r="D20" s="185" t="s">
        <v>1285</v>
      </c>
      <c r="E20" s="185" t="s">
        <v>1283</v>
      </c>
      <c r="F20" s="18">
        <v>5</v>
      </c>
      <c r="G20" s="18">
        <v>5</v>
      </c>
      <c r="H20" s="18">
        <v>5</v>
      </c>
      <c r="I20" s="18">
        <v>5</v>
      </c>
      <c r="J20" s="18">
        <v>5</v>
      </c>
      <c r="K20" s="18">
        <v>5</v>
      </c>
      <c r="L20" s="18">
        <v>5</v>
      </c>
      <c r="M20" s="18">
        <v>5</v>
      </c>
      <c r="N20" s="18">
        <v>10</v>
      </c>
      <c r="O20" s="18">
        <v>5</v>
      </c>
      <c r="P20" s="18">
        <v>5</v>
      </c>
      <c r="Q20" s="18">
        <v>5</v>
      </c>
      <c r="R20" s="35">
        <f t="shared" si="0"/>
        <v>5.416666666666667</v>
      </c>
      <c r="S20" s="117">
        <v>50</v>
      </c>
      <c r="T20" s="242" t="s">
        <v>1286</v>
      </c>
      <c r="X20" s="14"/>
      <c r="Y20" s="964"/>
      <c r="Z20" s="1107"/>
      <c r="AA20" s="1107"/>
      <c r="AB20" s="966"/>
      <c r="AC20" s="35"/>
      <c r="AD20" s="14"/>
      <c r="AE20" s="35"/>
      <c r="AF20" s="35"/>
      <c r="AG20" s="35"/>
      <c r="AH20" s="35"/>
      <c r="AI20" s="35"/>
      <c r="AJ20" s="34"/>
      <c r="AK20" s="34"/>
      <c r="AL20" s="14"/>
    </row>
    <row r="21" spans="1:38">
      <c r="A21" s="9"/>
      <c r="B21" s="10" t="s">
        <v>110</v>
      </c>
      <c r="C21" s="11">
        <v>3</v>
      </c>
      <c r="D21" s="185" t="s">
        <v>1287</v>
      </c>
      <c r="E21" s="185" t="s">
        <v>1283</v>
      </c>
      <c r="F21" s="18">
        <v>5</v>
      </c>
      <c r="G21" s="18">
        <v>5</v>
      </c>
      <c r="H21" s="18">
        <v>5</v>
      </c>
      <c r="I21" s="18">
        <v>5</v>
      </c>
      <c r="J21" s="18">
        <v>5</v>
      </c>
      <c r="K21" s="18">
        <v>5</v>
      </c>
      <c r="L21" s="18">
        <v>5</v>
      </c>
      <c r="M21" s="18">
        <v>5</v>
      </c>
      <c r="N21" s="18">
        <v>15</v>
      </c>
      <c r="O21" s="18">
        <v>5</v>
      </c>
      <c r="P21" s="18">
        <v>5</v>
      </c>
      <c r="Q21" s="18">
        <v>5</v>
      </c>
      <c r="R21" s="35">
        <f t="shared" si="0"/>
        <v>5.833333333333333</v>
      </c>
      <c r="S21" s="117">
        <v>50</v>
      </c>
      <c r="T21" s="242" t="s">
        <v>1288</v>
      </c>
      <c r="X21" s="14"/>
      <c r="Y21" s="967"/>
      <c r="Z21" s="968"/>
      <c r="AA21" s="968"/>
      <c r="AB21" s="969"/>
      <c r="AC21" s="118"/>
      <c r="AD21" s="118"/>
      <c r="AE21" s="118"/>
      <c r="AF21" s="118"/>
      <c r="AG21" s="29"/>
      <c r="AH21" s="118"/>
      <c r="AI21" s="118"/>
      <c r="AJ21" s="118"/>
      <c r="AK21" s="118"/>
      <c r="AL21" s="118"/>
    </row>
    <row r="22" spans="1:38" ht="28.5">
      <c r="A22" s="130"/>
      <c r="B22" s="215" t="s">
        <v>111</v>
      </c>
      <c r="C22" s="131">
        <v>1</v>
      </c>
      <c r="D22" s="132" t="s">
        <v>1282</v>
      </c>
      <c r="E22" s="132" t="s">
        <v>1283</v>
      </c>
      <c r="F22" s="128">
        <v>54000</v>
      </c>
      <c r="G22" s="7">
        <v>5400</v>
      </c>
      <c r="H22" s="128">
        <v>54000</v>
      </c>
      <c r="I22" s="128">
        <v>35000</v>
      </c>
      <c r="J22" s="128">
        <v>1700</v>
      </c>
      <c r="K22" s="128">
        <v>35000</v>
      </c>
      <c r="L22" s="128">
        <v>35000</v>
      </c>
      <c r="M22" s="128" t="s">
        <v>1289</v>
      </c>
      <c r="N22" s="128">
        <v>160000</v>
      </c>
      <c r="O22" s="128">
        <v>160000</v>
      </c>
      <c r="P22" s="128">
        <v>240000</v>
      </c>
      <c r="Q22" s="128">
        <v>160000</v>
      </c>
      <c r="R22" s="46">
        <f>IFERROR(GEOMEAN(F22:Q22), "")</f>
        <v>43765.084857410395</v>
      </c>
      <c r="S22" s="43">
        <v>100</v>
      </c>
      <c r="T22" s="242" t="s">
        <v>1284</v>
      </c>
    </row>
    <row r="23" spans="1:38" ht="28.5">
      <c r="A23" s="130"/>
      <c r="B23" s="133" t="s">
        <v>111</v>
      </c>
      <c r="C23" s="134">
        <v>2</v>
      </c>
      <c r="D23" s="216" t="s">
        <v>1285</v>
      </c>
      <c r="E23" s="216" t="s">
        <v>1283</v>
      </c>
      <c r="F23" s="129">
        <v>17000</v>
      </c>
      <c r="G23" s="12">
        <v>9200</v>
      </c>
      <c r="H23" s="129">
        <v>92000</v>
      </c>
      <c r="I23" s="129">
        <v>17000</v>
      </c>
      <c r="J23" s="129">
        <v>940</v>
      </c>
      <c r="K23" s="129">
        <v>54000</v>
      </c>
      <c r="L23" s="129">
        <v>92000</v>
      </c>
      <c r="M23" s="129" t="s">
        <v>510</v>
      </c>
      <c r="N23" s="129">
        <v>160000</v>
      </c>
      <c r="O23" s="129">
        <v>92000</v>
      </c>
      <c r="P23" s="129">
        <v>540000</v>
      </c>
      <c r="Q23" s="129">
        <v>54000</v>
      </c>
      <c r="R23" s="47">
        <f>IFERROR(GEOMEAN(F23:Q23), "")</f>
        <v>40571.895393959203</v>
      </c>
      <c r="S23" s="33">
        <v>100</v>
      </c>
      <c r="T23" s="242" t="s">
        <v>1286</v>
      </c>
    </row>
    <row r="24" spans="1:38" ht="28.5">
      <c r="A24" s="130"/>
      <c r="B24" s="133" t="s">
        <v>111</v>
      </c>
      <c r="C24" s="134">
        <v>3</v>
      </c>
      <c r="D24" s="216" t="s">
        <v>1287</v>
      </c>
      <c r="E24" s="216" t="s">
        <v>1283</v>
      </c>
      <c r="F24" s="129">
        <v>4600</v>
      </c>
      <c r="G24" s="12">
        <v>16000</v>
      </c>
      <c r="H24" s="129">
        <v>40000</v>
      </c>
      <c r="I24" s="129">
        <v>33</v>
      </c>
      <c r="J24" s="129">
        <v>350</v>
      </c>
      <c r="K24" s="129">
        <v>35000</v>
      </c>
      <c r="L24" s="129">
        <v>54000</v>
      </c>
      <c r="M24" s="129" t="s">
        <v>1289</v>
      </c>
      <c r="N24" s="129">
        <v>35000</v>
      </c>
      <c r="O24" s="129">
        <v>35000</v>
      </c>
      <c r="P24" s="129">
        <v>220000</v>
      </c>
      <c r="Q24" s="129">
        <v>24000</v>
      </c>
      <c r="R24" s="47">
        <f>IFERROR(GEOMEAN(F24:Q24), "")</f>
        <v>11382.827277524257</v>
      </c>
      <c r="S24" s="33">
        <v>10</v>
      </c>
      <c r="T24" s="242" t="s">
        <v>1288</v>
      </c>
    </row>
    <row r="25" spans="1:38">
      <c r="A25" s="9"/>
      <c r="B25" s="149" t="s">
        <v>113</v>
      </c>
      <c r="C25" s="15">
        <v>1</v>
      </c>
      <c r="D25" s="95" t="s">
        <v>1282</v>
      </c>
      <c r="E25" s="95" t="s">
        <v>1283</v>
      </c>
      <c r="F25" s="22">
        <v>0.28999999999999998</v>
      </c>
      <c r="G25" s="22">
        <v>4.3999999999999997E-2</v>
      </c>
      <c r="H25" s="22">
        <v>0.17299999999999999</v>
      </c>
      <c r="I25" s="22">
        <v>4.2999999999999997E-2</v>
      </c>
      <c r="J25" s="22">
        <v>4.2999999999999997E-2</v>
      </c>
      <c r="K25" s="22">
        <v>4.2999999999999997E-2</v>
      </c>
      <c r="L25" s="22">
        <v>0.621</v>
      </c>
      <c r="M25" s="22">
        <v>4.2999999999999997E-2</v>
      </c>
      <c r="N25" s="22">
        <v>0.92200000000000004</v>
      </c>
      <c r="O25" s="22">
        <v>0.36299999999999999</v>
      </c>
      <c r="P25" s="22">
        <v>0.49099999999999999</v>
      </c>
      <c r="Q25" s="22">
        <v>0.19400000000000001</v>
      </c>
      <c r="R25" s="23">
        <f t="shared" ref="R25:R30" si="1">IFERROR(AVERAGE(F25:Q25), 0)</f>
        <v>0.27250000000000002</v>
      </c>
      <c r="S25" s="8">
        <v>10</v>
      </c>
      <c r="T25" s="242" t="s">
        <v>1284</v>
      </c>
    </row>
    <row r="26" spans="1:38">
      <c r="A26" s="9"/>
      <c r="B26" s="10" t="s">
        <v>114</v>
      </c>
      <c r="C26" s="11">
        <v>2</v>
      </c>
      <c r="D26" s="185" t="s">
        <v>1285</v>
      </c>
      <c r="E26" s="185" t="s">
        <v>1283</v>
      </c>
      <c r="F26" s="26">
        <v>7.1999999999999995E-2</v>
      </c>
      <c r="G26" s="26">
        <v>0.13200000000000001</v>
      </c>
      <c r="H26" s="26">
        <v>0.17299999999999999</v>
      </c>
      <c r="I26" s="26">
        <v>4.2999999999999997E-2</v>
      </c>
      <c r="J26" s="26">
        <v>4.2999999999999997E-2</v>
      </c>
      <c r="K26" s="26">
        <v>0.17</v>
      </c>
      <c r="L26" s="26">
        <v>0.61199999999999999</v>
      </c>
      <c r="M26" s="26">
        <v>4.2999999999999997E-2</v>
      </c>
      <c r="N26" s="26">
        <v>0.96099999999999997</v>
      </c>
      <c r="O26" s="26">
        <v>0.46700000000000003</v>
      </c>
      <c r="P26" s="26">
        <v>0.498</v>
      </c>
      <c r="Q26" s="26">
        <v>0.17599999999999999</v>
      </c>
      <c r="R26" s="28">
        <f t="shared" si="1"/>
        <v>0.28250000000000003</v>
      </c>
      <c r="S26" s="14">
        <v>10</v>
      </c>
      <c r="T26" s="242" t="s">
        <v>1286</v>
      </c>
    </row>
    <row r="27" spans="1:38">
      <c r="A27" s="9"/>
      <c r="B27" s="10" t="s">
        <v>114</v>
      </c>
      <c r="C27" s="11">
        <v>3</v>
      </c>
      <c r="D27" s="185" t="s">
        <v>1287</v>
      </c>
      <c r="E27" s="185" t="s">
        <v>1283</v>
      </c>
      <c r="F27" s="26">
        <v>0.192</v>
      </c>
      <c r="G27" s="26">
        <v>0.19400000000000001</v>
      </c>
      <c r="H27" s="26">
        <v>0.20799999999999999</v>
      </c>
      <c r="I27" s="26">
        <v>4.2999999999999997E-2</v>
      </c>
      <c r="J27" s="26">
        <v>4.2999999999999997E-2</v>
      </c>
      <c r="K27" s="26">
        <v>0.29499999999999998</v>
      </c>
      <c r="L27" s="26">
        <v>0.63800000000000001</v>
      </c>
      <c r="M27" s="26">
        <v>4.2999999999999997E-2</v>
      </c>
      <c r="N27" s="26">
        <v>0.879</v>
      </c>
      <c r="O27" s="26">
        <v>0.441</v>
      </c>
      <c r="P27" s="26">
        <v>0.434</v>
      </c>
      <c r="Q27" s="26">
        <v>0.27400000000000002</v>
      </c>
      <c r="R27" s="28">
        <f t="shared" si="1"/>
        <v>0.307</v>
      </c>
      <c r="S27" s="14">
        <v>10</v>
      </c>
      <c r="T27" s="242" t="s">
        <v>1288</v>
      </c>
    </row>
    <row r="28" spans="1:38">
      <c r="A28" s="9"/>
      <c r="B28" s="149" t="s">
        <v>115</v>
      </c>
      <c r="C28" s="15">
        <v>1</v>
      </c>
      <c r="D28" s="95" t="s">
        <v>1282</v>
      </c>
      <c r="E28" s="95" t="s">
        <v>1283</v>
      </c>
      <c r="F28" s="22">
        <v>1.0999999999999999E-2</v>
      </c>
      <c r="G28" s="22">
        <v>0.04</v>
      </c>
      <c r="H28" s="22">
        <v>0.19</v>
      </c>
      <c r="I28" s="22">
        <v>0.154</v>
      </c>
      <c r="J28" s="22">
        <v>1.0999999999999999E-2</v>
      </c>
      <c r="K28" s="22">
        <v>3.1E-2</v>
      </c>
      <c r="L28" s="22">
        <v>0.28100000000000003</v>
      </c>
      <c r="M28" s="22">
        <v>9.8000000000000004E-2</v>
      </c>
      <c r="N28" s="22">
        <v>0.435</v>
      </c>
      <c r="O28" s="22">
        <v>5.1999999999999998E-2</v>
      </c>
      <c r="P28" s="22">
        <v>9.5000000000000001E-2</v>
      </c>
      <c r="Q28" s="22">
        <v>8.1000000000000003E-2</v>
      </c>
      <c r="R28" s="23">
        <f t="shared" si="1"/>
        <v>0.12325000000000001</v>
      </c>
      <c r="S28" s="8">
        <v>0.2</v>
      </c>
      <c r="T28" s="242" t="s">
        <v>1284</v>
      </c>
    </row>
    <row r="29" spans="1:38">
      <c r="A29" s="9"/>
      <c r="B29" s="10" t="s">
        <v>116</v>
      </c>
      <c r="C29" s="11">
        <v>2</v>
      </c>
      <c r="D29" s="185" t="s">
        <v>1285</v>
      </c>
      <c r="E29" s="185" t="s">
        <v>1283</v>
      </c>
      <c r="F29" s="26">
        <v>0.02</v>
      </c>
      <c r="G29" s="26">
        <v>5.1999999999999998E-2</v>
      </c>
      <c r="H29" s="26">
        <v>0.21199999999999999</v>
      </c>
      <c r="I29" s="26">
        <v>0.158</v>
      </c>
      <c r="J29" s="26">
        <v>1.0999999999999999E-2</v>
      </c>
      <c r="K29" s="26">
        <v>6.5000000000000002E-2</v>
      </c>
      <c r="L29" s="26">
        <v>8.6999999999999994E-2</v>
      </c>
      <c r="M29" s="26">
        <v>8.3000000000000004E-2</v>
      </c>
      <c r="N29" s="26">
        <v>0.373</v>
      </c>
      <c r="O29" s="26">
        <v>5.6000000000000001E-2</v>
      </c>
      <c r="P29" s="26">
        <v>8.5999999999999993E-2</v>
      </c>
      <c r="Q29" s="26">
        <v>6.9000000000000006E-2</v>
      </c>
      <c r="R29" s="28">
        <f t="shared" si="1"/>
        <v>0.106</v>
      </c>
      <c r="S29" s="14">
        <v>0.2</v>
      </c>
      <c r="T29" s="242" t="s">
        <v>1286</v>
      </c>
    </row>
    <row r="30" spans="1:38">
      <c r="A30" s="9"/>
      <c r="B30" s="10" t="s">
        <v>116</v>
      </c>
      <c r="C30" s="11">
        <v>3</v>
      </c>
      <c r="D30" s="185" t="s">
        <v>1287</v>
      </c>
      <c r="E30" s="185" t="s">
        <v>1283</v>
      </c>
      <c r="F30" s="26">
        <v>0.04</v>
      </c>
      <c r="G30" s="26">
        <v>0.06</v>
      </c>
      <c r="H30" s="26">
        <v>0.14000000000000001</v>
      </c>
      <c r="I30" s="26">
        <v>0.114</v>
      </c>
      <c r="J30" s="26">
        <v>1.0999999999999999E-2</v>
      </c>
      <c r="K30" s="26">
        <v>9.8000000000000004E-2</v>
      </c>
      <c r="L30" s="26">
        <v>7.4999999999999997E-2</v>
      </c>
      <c r="M30" s="26">
        <v>7.8E-2</v>
      </c>
      <c r="N30" s="26">
        <v>0.33600000000000002</v>
      </c>
      <c r="O30" s="26">
        <v>7.0000000000000007E-2</v>
      </c>
      <c r="P30" s="26">
        <v>6.9000000000000006E-2</v>
      </c>
      <c r="Q30" s="26">
        <v>9.0999999999999998E-2</v>
      </c>
      <c r="R30" s="28">
        <f t="shared" si="1"/>
        <v>9.849999999999999E-2</v>
      </c>
      <c r="S30" s="14">
        <v>0.2</v>
      </c>
      <c r="T30" s="242" t="s">
        <v>1288</v>
      </c>
    </row>
    <row r="31" spans="1:38" ht="183">
      <c r="A31" s="9"/>
      <c r="B31" s="149" t="s">
        <v>314</v>
      </c>
      <c r="C31" s="15">
        <v>1</v>
      </c>
      <c r="D31" s="95" t="s">
        <v>1282</v>
      </c>
      <c r="E31" s="95" t="s">
        <v>1283</v>
      </c>
      <c r="F31" s="30" t="s">
        <v>1290</v>
      </c>
      <c r="G31" s="7" t="s">
        <v>1291</v>
      </c>
      <c r="H31" s="7" t="s">
        <v>1292</v>
      </c>
      <c r="I31" s="7" t="s">
        <v>1293</v>
      </c>
      <c r="J31" s="7" t="s">
        <v>1294</v>
      </c>
      <c r="K31" s="7" t="s">
        <v>1295</v>
      </c>
      <c r="L31" s="7" t="s">
        <v>1296</v>
      </c>
      <c r="M31" s="7" t="s">
        <v>1297</v>
      </c>
      <c r="N31" s="7" t="s">
        <v>1298</v>
      </c>
      <c r="O31" s="7" t="s">
        <v>1299</v>
      </c>
      <c r="P31" s="7" t="s">
        <v>1300</v>
      </c>
      <c r="Q31" s="7" t="s">
        <v>1301</v>
      </c>
      <c r="T31" s="242" t="s">
        <v>1284</v>
      </c>
    </row>
    <row r="32" spans="1:38" ht="151.5">
      <c r="A32" s="9"/>
      <c r="B32" s="10" t="s">
        <v>116</v>
      </c>
      <c r="C32" s="11">
        <v>2</v>
      </c>
      <c r="D32" s="185" t="s">
        <v>1285</v>
      </c>
      <c r="E32" s="185" t="s">
        <v>1283</v>
      </c>
      <c r="F32" s="31" t="s">
        <v>1302</v>
      </c>
      <c r="G32" s="12" t="s">
        <v>1303</v>
      </c>
      <c r="H32" s="12" t="s">
        <v>1302</v>
      </c>
      <c r="I32" s="12" t="s">
        <v>1304</v>
      </c>
      <c r="J32" s="12" t="s">
        <v>1294</v>
      </c>
      <c r="K32" s="12" t="s">
        <v>1305</v>
      </c>
      <c r="L32" s="12" t="s">
        <v>1296</v>
      </c>
      <c r="M32" s="12" t="s">
        <v>1306</v>
      </c>
      <c r="N32" s="12" t="s">
        <v>1298</v>
      </c>
      <c r="O32" s="12" t="s">
        <v>1299</v>
      </c>
      <c r="P32" s="12" t="s">
        <v>1307</v>
      </c>
      <c r="Q32" s="12" t="s">
        <v>1308</v>
      </c>
      <c r="T32" s="242" t="s">
        <v>1286</v>
      </c>
    </row>
    <row r="33" spans="1:20" ht="183">
      <c r="A33" s="9"/>
      <c r="B33" s="10" t="s">
        <v>116</v>
      </c>
      <c r="C33" s="11">
        <v>3</v>
      </c>
      <c r="D33" s="185" t="s">
        <v>1287</v>
      </c>
      <c r="E33" s="185" t="s">
        <v>1283</v>
      </c>
      <c r="F33" s="31" t="s">
        <v>1309</v>
      </c>
      <c r="G33" s="12" t="s">
        <v>1310</v>
      </c>
      <c r="H33" s="12" t="s">
        <v>1311</v>
      </c>
      <c r="I33" s="12" t="s">
        <v>1312</v>
      </c>
      <c r="J33" s="12" t="s">
        <v>1294</v>
      </c>
      <c r="K33" s="12" t="s">
        <v>1313</v>
      </c>
      <c r="L33" s="12" t="s">
        <v>1296</v>
      </c>
      <c r="M33" s="12" t="s">
        <v>1314</v>
      </c>
      <c r="N33" s="12" t="s">
        <v>1298</v>
      </c>
      <c r="O33" s="12" t="s">
        <v>1299</v>
      </c>
      <c r="P33" s="12" t="s">
        <v>1315</v>
      </c>
      <c r="Q33" s="12" t="s">
        <v>1301</v>
      </c>
      <c r="T33" s="242" t="s">
        <v>1288</v>
      </c>
    </row>
    <row r="34" spans="1:20">
      <c r="C34" s="135" t="s">
        <v>173</v>
      </c>
      <c r="F34" s="135">
        <v>20</v>
      </c>
      <c r="G34" s="135">
        <v>17</v>
      </c>
      <c r="H34">
        <v>17</v>
      </c>
      <c r="I34">
        <v>14</v>
      </c>
      <c r="J34">
        <v>5</v>
      </c>
      <c r="K34">
        <v>9</v>
      </c>
      <c r="L34">
        <v>7</v>
      </c>
      <c r="M34">
        <v>5</v>
      </c>
      <c r="N34">
        <v>5</v>
      </c>
      <c r="O34">
        <v>9</v>
      </c>
      <c r="P34">
        <v>3</v>
      </c>
      <c r="Q34">
        <v>1</v>
      </c>
    </row>
    <row r="36" spans="1:20">
      <c r="D36" s="889" t="s">
        <v>70</v>
      </c>
      <c r="E36" s="890"/>
      <c r="F36" s="1177"/>
      <c r="G36" s="1177"/>
      <c r="H36" s="1177"/>
      <c r="I36" s="1177"/>
      <c r="J36" s="1177"/>
      <c r="K36" s="1177"/>
      <c r="L36" s="1177"/>
      <c r="M36" s="1177"/>
      <c r="N36" s="1177"/>
      <c r="O36" s="1177"/>
      <c r="P36" s="1177"/>
      <c r="Q36" s="1177"/>
      <c r="R36" s="1177"/>
      <c r="S36" s="1178"/>
    </row>
    <row r="37" spans="1:20">
      <c r="D37" s="889" t="s">
        <v>74</v>
      </c>
      <c r="E37" s="890"/>
      <c r="F37" s="1177"/>
      <c r="G37" s="1177"/>
      <c r="H37" s="1177"/>
      <c r="I37" s="1177"/>
      <c r="J37" s="1177"/>
      <c r="K37" s="1177"/>
      <c r="L37" s="1177"/>
      <c r="M37" s="1177"/>
      <c r="N37" s="1177"/>
      <c r="O37" s="1177"/>
      <c r="P37" s="1177"/>
      <c r="Q37" s="1177"/>
      <c r="R37" s="1177"/>
      <c r="S37" s="1178"/>
    </row>
    <row r="38" spans="1:20">
      <c r="D38" s="1179"/>
      <c r="E38" s="1180"/>
      <c r="F38" s="1177"/>
      <c r="G38" s="1177"/>
      <c r="H38" s="1177"/>
      <c r="I38" s="1178"/>
      <c r="J38" s="844" t="s">
        <v>78</v>
      </c>
      <c r="K38" s="1177"/>
      <c r="L38" s="1177"/>
      <c r="M38" s="1177"/>
      <c r="N38" s="1177"/>
      <c r="O38" s="1177"/>
      <c r="P38" s="1177"/>
      <c r="Q38" s="1177"/>
      <c r="R38" s="1177"/>
      <c r="S38" s="1178"/>
    </row>
    <row r="39" spans="1:20">
      <c r="D39" s="14" t="s">
        <v>82</v>
      </c>
      <c r="E39" s="14"/>
      <c r="F39" s="14" t="s">
        <v>83</v>
      </c>
      <c r="G39" s="14" t="s">
        <v>84</v>
      </c>
      <c r="H39" s="14" t="s">
        <v>85</v>
      </c>
      <c r="I39" s="14" t="s">
        <v>86</v>
      </c>
      <c r="J39" s="14" t="s">
        <v>4</v>
      </c>
      <c r="K39" s="14" t="s">
        <v>5</v>
      </c>
      <c r="L39" s="14" t="s">
        <v>6</v>
      </c>
      <c r="M39" s="14" t="s">
        <v>7</v>
      </c>
      <c r="N39" s="14" t="s">
        <v>8</v>
      </c>
      <c r="O39" s="14" t="s">
        <v>9</v>
      </c>
      <c r="P39" s="14" t="s">
        <v>10</v>
      </c>
      <c r="Q39" s="14" t="s">
        <v>11</v>
      </c>
      <c r="R39" s="14" t="s">
        <v>12</v>
      </c>
      <c r="S39" s="14" t="s">
        <v>13</v>
      </c>
    </row>
    <row r="40" spans="1:20" ht="30">
      <c r="D40" s="886" t="s">
        <v>1316</v>
      </c>
      <c r="E40" s="281"/>
      <c r="F40" s="886" t="s">
        <v>1281</v>
      </c>
      <c r="G40" s="883" t="s">
        <v>29</v>
      </c>
      <c r="H40" s="32">
        <v>1</v>
      </c>
      <c r="I40" s="65" t="s">
        <v>1282</v>
      </c>
      <c r="J40" s="33">
        <f t="shared" ref="J40:J42" si="2">AVERAGE(F7:K7)</f>
        <v>4.2216666666666667</v>
      </c>
      <c r="K40" s="14" t="s">
        <v>905</v>
      </c>
      <c r="L40" s="47">
        <f t="shared" ref="L40:L42" si="3">AVERAGE(F10:K10)</f>
        <v>16</v>
      </c>
      <c r="M40" s="33">
        <f>AVERAGE(F13:K13)</f>
        <v>7.1566666666666663</v>
      </c>
      <c r="N40" s="33">
        <f>AVERAGE(F16:K16)</f>
        <v>28.950000000000003</v>
      </c>
      <c r="O40" s="47">
        <f t="shared" ref="O40:O42" si="4">AVERAGE(F19:K19)</f>
        <v>5</v>
      </c>
      <c r="P40" s="47">
        <f t="shared" ref="P40:P42" si="5">GEOMEAN(F22:K22)</f>
        <v>17890.715720511504</v>
      </c>
      <c r="Q40" s="34">
        <f t="shared" ref="Q40:Q42" si="6">AVERAGE(F25:K25)</f>
        <v>0.106</v>
      </c>
      <c r="R40" s="34">
        <f t="shared" ref="R40:R42" si="7">AVERAGE(F28:K28)</f>
        <v>7.2833333333333347E-2</v>
      </c>
      <c r="S40" s="14" t="s">
        <v>905</v>
      </c>
    </row>
    <row r="41" spans="1:20" ht="45">
      <c r="D41" s="1196"/>
      <c r="E41" s="289"/>
      <c r="F41" s="1196"/>
      <c r="G41" s="1196"/>
      <c r="H41" s="32">
        <v>2</v>
      </c>
      <c r="I41" s="65" t="s">
        <v>1285</v>
      </c>
      <c r="J41" s="33">
        <f t="shared" si="2"/>
        <v>4.2133333333333338</v>
      </c>
      <c r="K41" s="14" t="s">
        <v>905</v>
      </c>
      <c r="L41" s="47">
        <f t="shared" si="3"/>
        <v>13.666666666666666</v>
      </c>
      <c r="M41" s="33">
        <f>AVERAGE(F14:K14)</f>
        <v>7.1766666666666659</v>
      </c>
      <c r="N41" s="33">
        <f t="shared" ref="N41:N42" si="8">AVERAGE(F17:K17)</f>
        <v>29.25</v>
      </c>
      <c r="O41" s="47">
        <f t="shared" si="4"/>
        <v>5</v>
      </c>
      <c r="P41" s="47">
        <f t="shared" si="5"/>
        <v>15217.121859326626</v>
      </c>
      <c r="Q41" s="34">
        <f t="shared" si="6"/>
        <v>0.1055</v>
      </c>
      <c r="R41" s="34">
        <f t="shared" si="7"/>
        <v>8.6333333333333331E-2</v>
      </c>
      <c r="S41" s="14" t="s">
        <v>905</v>
      </c>
    </row>
    <row r="42" spans="1:20" ht="45">
      <c r="D42" s="1197"/>
      <c r="E42" s="290"/>
      <c r="F42" s="1197"/>
      <c r="G42" s="1197"/>
      <c r="H42" s="32">
        <v>3</v>
      </c>
      <c r="I42" s="65" t="s">
        <v>1287</v>
      </c>
      <c r="J42" s="33">
        <f t="shared" si="2"/>
        <v>4.7816666666666672</v>
      </c>
      <c r="K42" s="14" t="s">
        <v>905</v>
      </c>
      <c r="L42" s="47">
        <f t="shared" si="3"/>
        <v>17.333333333333332</v>
      </c>
      <c r="M42" s="33">
        <f>AVERAGE(F15:K15)</f>
        <v>7.0566666666666658</v>
      </c>
      <c r="N42" s="33">
        <f t="shared" si="8"/>
        <v>29.366666666666664</v>
      </c>
      <c r="O42" s="47">
        <f t="shared" si="4"/>
        <v>5</v>
      </c>
      <c r="P42" s="47">
        <f t="shared" si="5"/>
        <v>3255.3521261532969</v>
      </c>
      <c r="Q42" s="34">
        <f t="shared" si="6"/>
        <v>0.16250000000000001</v>
      </c>
      <c r="R42" s="34">
        <f t="shared" si="7"/>
        <v>7.7166666666666675E-2</v>
      </c>
      <c r="S42" s="14" t="s">
        <v>905</v>
      </c>
    </row>
    <row r="43" spans="1:20">
      <c r="D43" s="1179"/>
      <c r="E43" s="1180"/>
      <c r="F43" s="1177"/>
      <c r="G43" s="1177"/>
      <c r="H43" s="1177"/>
      <c r="I43" s="1177"/>
      <c r="J43" s="1177"/>
      <c r="K43" s="1177"/>
      <c r="L43" s="1177"/>
      <c r="M43" s="1177"/>
      <c r="N43" s="1177"/>
      <c r="O43" s="1177"/>
      <c r="P43" s="1177"/>
      <c r="Q43" s="1177"/>
      <c r="R43" s="1177"/>
      <c r="S43" s="1178"/>
    </row>
    <row r="44" spans="1:20">
      <c r="D44" s="14" t="s">
        <v>93</v>
      </c>
      <c r="E44" s="291"/>
      <c r="F44" s="1167"/>
      <c r="G44" s="1160"/>
      <c r="H44" s="1160"/>
      <c r="I44" s="1181"/>
      <c r="J44" s="33">
        <f>AVERAGE(J40:J42)</f>
        <v>4.4055555555555559</v>
      </c>
      <c r="K44" s="14" t="s">
        <v>905</v>
      </c>
      <c r="L44" s="47">
        <f t="shared" ref="L44:R44" si="9">AVERAGE(L40:L42)</f>
        <v>15.666666666666666</v>
      </c>
      <c r="M44" s="33">
        <f t="shared" si="9"/>
        <v>7.129999999999999</v>
      </c>
      <c r="N44" s="33">
        <f t="shared" si="9"/>
        <v>29.188888888888886</v>
      </c>
      <c r="O44" s="47">
        <f t="shared" si="9"/>
        <v>5</v>
      </c>
      <c r="P44" s="47">
        <f t="shared" si="9"/>
        <v>12121.063235330475</v>
      </c>
      <c r="Q44" s="34">
        <f t="shared" si="9"/>
        <v>0.12466666666666666</v>
      </c>
      <c r="R44" s="34">
        <f t="shared" si="9"/>
        <v>7.877777777777778E-2</v>
      </c>
      <c r="S44" s="14" t="s">
        <v>905</v>
      </c>
    </row>
    <row r="45" spans="1:20">
      <c r="D45" s="14" t="s">
        <v>94</v>
      </c>
      <c r="E45" s="293"/>
      <c r="F45" s="1182"/>
      <c r="G45" s="1176"/>
      <c r="H45" s="1176"/>
      <c r="I45" s="1183"/>
      <c r="J45" s="33">
        <f>MIN(J40:J42)</f>
        <v>4.2133333333333338</v>
      </c>
      <c r="K45" s="14" t="s">
        <v>905</v>
      </c>
      <c r="L45" s="47">
        <f t="shared" ref="L45:R45" si="10">MIN(L40:L42)</f>
        <v>13.666666666666666</v>
      </c>
      <c r="M45" s="33">
        <f t="shared" si="10"/>
        <v>7.0566666666666658</v>
      </c>
      <c r="N45" s="33">
        <f t="shared" si="10"/>
        <v>28.950000000000003</v>
      </c>
      <c r="O45" s="47">
        <f t="shared" si="10"/>
        <v>5</v>
      </c>
      <c r="P45" s="47">
        <f t="shared" si="10"/>
        <v>3255.3521261532969</v>
      </c>
      <c r="Q45" s="34">
        <f t="shared" si="10"/>
        <v>0.1055</v>
      </c>
      <c r="R45" s="34">
        <f t="shared" si="10"/>
        <v>7.2833333333333347E-2</v>
      </c>
      <c r="S45" s="14" t="s">
        <v>905</v>
      </c>
    </row>
    <row r="46" spans="1:20">
      <c r="D46" s="14" t="s">
        <v>95</v>
      </c>
      <c r="E46" s="293"/>
      <c r="F46" s="1182"/>
      <c r="G46" s="1176"/>
      <c r="H46" s="1176"/>
      <c r="I46" s="1183"/>
      <c r="J46" s="33">
        <f>MAX(J40:J42)</f>
        <v>4.7816666666666672</v>
      </c>
      <c r="K46" s="14" t="s">
        <v>905</v>
      </c>
      <c r="L46" s="47">
        <f t="shared" ref="L46:R46" si="11">MAX(L40:L42)</f>
        <v>17.333333333333332</v>
      </c>
      <c r="M46" s="33">
        <f t="shared" si="11"/>
        <v>7.1766666666666659</v>
      </c>
      <c r="N46" s="33">
        <f t="shared" si="11"/>
        <v>29.366666666666664</v>
      </c>
      <c r="O46" s="47">
        <f t="shared" si="11"/>
        <v>5</v>
      </c>
      <c r="P46" s="47">
        <f t="shared" si="11"/>
        <v>17890.715720511504</v>
      </c>
      <c r="Q46" s="34">
        <f t="shared" si="11"/>
        <v>0.16250000000000001</v>
      </c>
      <c r="R46" s="34">
        <f t="shared" si="11"/>
        <v>8.6333333333333331E-2</v>
      </c>
      <c r="S46" s="14" t="s">
        <v>905</v>
      </c>
    </row>
    <row r="47" spans="1:20">
      <c r="D47" s="14" t="s">
        <v>96</v>
      </c>
      <c r="E47" s="292"/>
      <c r="F47" s="1184"/>
      <c r="G47" s="1159"/>
      <c r="H47" s="1159"/>
      <c r="I47" s="1185"/>
      <c r="J47" s="118" t="s">
        <v>906</v>
      </c>
      <c r="K47" s="118" t="s">
        <v>905</v>
      </c>
      <c r="L47" s="118" t="s">
        <v>907</v>
      </c>
      <c r="M47" s="118" t="s">
        <v>908</v>
      </c>
      <c r="N47" s="29" t="s">
        <v>909</v>
      </c>
      <c r="O47" s="118" t="s">
        <v>699</v>
      </c>
      <c r="P47" s="118" t="s">
        <v>700</v>
      </c>
      <c r="Q47" s="118" t="s">
        <v>910</v>
      </c>
      <c r="R47" s="118" t="s">
        <v>911</v>
      </c>
      <c r="S47" s="118" t="s">
        <v>905</v>
      </c>
    </row>
    <row r="50" spans="4:19">
      <c r="D50" s="971" t="s">
        <v>70</v>
      </c>
      <c r="E50" s="972"/>
      <c r="F50" s="1198"/>
      <c r="G50" s="1198"/>
      <c r="H50" s="1198"/>
      <c r="I50" s="1198"/>
      <c r="J50" s="1198"/>
      <c r="K50" s="1198"/>
      <c r="L50" s="1198"/>
      <c r="M50" s="1198"/>
      <c r="N50" s="1198"/>
      <c r="O50" s="1198"/>
      <c r="P50" s="1198"/>
      <c r="Q50" s="1198"/>
      <c r="R50" s="1198"/>
      <c r="S50" s="1199"/>
    </row>
    <row r="51" spans="4:19">
      <c r="D51" s="971" t="s">
        <v>107</v>
      </c>
      <c r="E51" s="972"/>
      <c r="F51" s="1198"/>
      <c r="G51" s="1198"/>
      <c r="H51" s="1198"/>
      <c r="I51" s="1198"/>
      <c r="J51" s="1198"/>
      <c r="K51" s="1198"/>
      <c r="L51" s="1198"/>
      <c r="M51" s="1198"/>
      <c r="N51" s="1198"/>
      <c r="O51" s="1198"/>
      <c r="P51" s="1198"/>
      <c r="Q51" s="1198"/>
      <c r="R51" s="1198"/>
      <c r="S51" s="1199"/>
    </row>
    <row r="52" spans="4:19">
      <c r="D52" s="1179"/>
      <c r="E52" s="1180"/>
      <c r="F52" s="1177"/>
      <c r="G52" s="1177"/>
      <c r="H52" s="1177"/>
      <c r="I52" s="1178"/>
      <c r="J52" s="844" t="s">
        <v>78</v>
      </c>
      <c r="K52" s="1177"/>
      <c r="L52" s="1177"/>
      <c r="M52" s="1177"/>
      <c r="N52" s="1177"/>
      <c r="O52" s="1177"/>
      <c r="P52" s="1177"/>
      <c r="Q52" s="1177"/>
      <c r="R52" s="1177"/>
      <c r="S52" s="1178"/>
    </row>
    <row r="53" spans="4:19">
      <c r="D53" s="14" t="s">
        <v>82</v>
      </c>
      <c r="E53" s="14"/>
      <c r="F53" s="14" t="s">
        <v>83</v>
      </c>
      <c r="G53" s="14" t="s">
        <v>84</v>
      </c>
      <c r="H53" s="14" t="s">
        <v>85</v>
      </c>
      <c r="I53" s="14" t="s">
        <v>86</v>
      </c>
      <c r="J53" s="14" t="s">
        <v>4</v>
      </c>
      <c r="K53" s="14" t="s">
        <v>5</v>
      </c>
      <c r="L53" s="14" t="s">
        <v>6</v>
      </c>
      <c r="M53" s="14" t="s">
        <v>7</v>
      </c>
      <c r="N53" s="14" t="s">
        <v>8</v>
      </c>
      <c r="O53" s="14" t="s">
        <v>9</v>
      </c>
      <c r="P53" s="14" t="s">
        <v>10</v>
      </c>
      <c r="Q53" s="14" t="s">
        <v>11</v>
      </c>
      <c r="R53" s="14" t="s">
        <v>12</v>
      </c>
      <c r="S53" s="14" t="s">
        <v>13</v>
      </c>
    </row>
    <row r="54" spans="4:19" ht="30">
      <c r="D54" s="886" t="s">
        <v>1316</v>
      </c>
      <c r="E54" s="281"/>
      <c r="F54" s="886" t="s">
        <v>1281</v>
      </c>
      <c r="G54" s="883" t="s">
        <v>29</v>
      </c>
      <c r="H54" s="32">
        <v>1</v>
      </c>
      <c r="I54" s="65" t="s">
        <v>1282</v>
      </c>
      <c r="J54" s="35">
        <f t="shared" ref="J54:J56" si="12">R7</f>
        <v>5.1716666666666669</v>
      </c>
      <c r="K54" s="14" t="s">
        <v>905</v>
      </c>
      <c r="L54" s="35">
        <f t="shared" ref="L54:L56" si="13">R10</f>
        <v>34.083333333333336</v>
      </c>
      <c r="M54" s="35">
        <f>R13</f>
        <v>7.3516666666666666</v>
      </c>
      <c r="N54" s="35">
        <f>R16</f>
        <v>28.475000000000005</v>
      </c>
      <c r="O54" s="35">
        <f t="shared" ref="O54:O56" si="14">R19</f>
        <v>5</v>
      </c>
      <c r="P54" s="33">
        <f t="shared" ref="P54:P56" si="15">R22</f>
        <v>43765.084857410395</v>
      </c>
      <c r="Q54" s="28">
        <f t="shared" ref="Q54:Q56" si="16">R25</f>
        <v>0.27250000000000002</v>
      </c>
      <c r="R54" s="28">
        <f t="shared" ref="R54:R56" si="17">R28</f>
        <v>0.12325000000000001</v>
      </c>
      <c r="S54" s="14" t="s">
        <v>905</v>
      </c>
    </row>
    <row r="55" spans="4:19" ht="45">
      <c r="D55" s="1196"/>
      <c r="E55" s="289"/>
      <c r="F55" s="1196"/>
      <c r="G55" s="1196"/>
      <c r="H55" s="32">
        <v>2</v>
      </c>
      <c r="I55" s="65" t="s">
        <v>1285</v>
      </c>
      <c r="J55" s="35">
        <f t="shared" si="12"/>
        <v>5.0975000000000001</v>
      </c>
      <c r="K55" s="14" t="s">
        <v>905</v>
      </c>
      <c r="L55" s="35">
        <f t="shared" si="13"/>
        <v>25.166666666666668</v>
      </c>
      <c r="M55" s="35">
        <f>R14</f>
        <v>7.373333333333334</v>
      </c>
      <c r="N55" s="35">
        <f>R17</f>
        <v>28.675000000000001</v>
      </c>
      <c r="O55" s="35">
        <f t="shared" si="14"/>
        <v>5.416666666666667</v>
      </c>
      <c r="P55" s="33">
        <f t="shared" si="15"/>
        <v>40571.895393959203</v>
      </c>
      <c r="Q55" s="28">
        <f t="shared" si="16"/>
        <v>0.28250000000000003</v>
      </c>
      <c r="R55" s="28">
        <f t="shared" si="17"/>
        <v>0.106</v>
      </c>
      <c r="S55" s="14" t="s">
        <v>905</v>
      </c>
    </row>
    <row r="56" spans="4:19" ht="45">
      <c r="D56" s="1197"/>
      <c r="E56" s="290"/>
      <c r="F56" s="1197"/>
      <c r="G56" s="1197"/>
      <c r="H56" s="32">
        <v>3</v>
      </c>
      <c r="I56" s="65" t="s">
        <v>1287</v>
      </c>
      <c r="J56" s="35">
        <f t="shared" si="12"/>
        <v>5.3391666666666664</v>
      </c>
      <c r="K56" s="14" t="s">
        <v>905</v>
      </c>
      <c r="L56" s="35">
        <f t="shared" si="13"/>
        <v>31.833333333333332</v>
      </c>
      <c r="M56" s="35">
        <f>R15</f>
        <v>7.2308333333333339</v>
      </c>
      <c r="N56" s="35">
        <f t="shared" ref="N55:N56" si="18">R18</f>
        <v>28.783333333333335</v>
      </c>
      <c r="O56" s="35">
        <f t="shared" si="14"/>
        <v>5.833333333333333</v>
      </c>
      <c r="P56" s="33">
        <f t="shared" si="15"/>
        <v>11382.827277524257</v>
      </c>
      <c r="Q56" s="28">
        <f t="shared" si="16"/>
        <v>0.307</v>
      </c>
      <c r="R56" s="28">
        <f t="shared" si="17"/>
        <v>9.849999999999999E-2</v>
      </c>
      <c r="S56" s="14" t="s">
        <v>905</v>
      </c>
    </row>
    <row r="57" spans="4:19">
      <c r="D57" s="1179"/>
      <c r="E57" s="1180"/>
      <c r="F57" s="1177"/>
      <c r="G57" s="1177"/>
      <c r="H57" s="1177"/>
      <c r="I57" s="1177"/>
      <c r="J57" s="1177"/>
      <c r="K57" s="1177"/>
      <c r="L57" s="1177"/>
      <c r="M57" s="1177"/>
      <c r="N57" s="1177"/>
      <c r="O57" s="1177"/>
      <c r="P57" s="1177"/>
      <c r="Q57" s="1177"/>
      <c r="R57" s="1177"/>
      <c r="S57" s="1178"/>
    </row>
    <row r="58" spans="4:19">
      <c r="D58" s="14" t="s">
        <v>93</v>
      </c>
      <c r="E58" s="291"/>
      <c r="F58" s="1167"/>
      <c r="G58" s="1160"/>
      <c r="H58" s="1160"/>
      <c r="I58" s="1181"/>
      <c r="J58" s="35">
        <f>AVERAGE(J54:J56)</f>
        <v>5.2027777777777784</v>
      </c>
      <c r="K58" s="14" t="s">
        <v>905</v>
      </c>
      <c r="L58" s="35">
        <f t="shared" ref="L58:R58" si="19">AVERAGE(L54:L56)</f>
        <v>30.361111111111111</v>
      </c>
      <c r="M58" s="35">
        <f t="shared" si="19"/>
        <v>7.3186111111111112</v>
      </c>
      <c r="N58" s="35">
        <f t="shared" si="19"/>
        <v>28.644444444444446</v>
      </c>
      <c r="O58" s="35">
        <f t="shared" si="19"/>
        <v>5.416666666666667</v>
      </c>
      <c r="P58" s="33">
        <f t="shared" si="19"/>
        <v>31906.602509631281</v>
      </c>
      <c r="Q58" s="28">
        <f t="shared" si="19"/>
        <v>0.28733333333333338</v>
      </c>
      <c r="R58" s="28">
        <f t="shared" si="19"/>
        <v>0.10925</v>
      </c>
      <c r="S58" s="14" t="s">
        <v>905</v>
      </c>
    </row>
    <row r="59" spans="4:19">
      <c r="D59" s="14" t="s">
        <v>94</v>
      </c>
      <c r="E59" s="293"/>
      <c r="F59" s="1182"/>
      <c r="G59" s="1176"/>
      <c r="H59" s="1176"/>
      <c r="I59" s="1183"/>
      <c r="J59" s="35">
        <f>MIN(J54:J56)</f>
        <v>5.0975000000000001</v>
      </c>
      <c r="K59" s="14" t="s">
        <v>905</v>
      </c>
      <c r="L59" s="35">
        <f t="shared" ref="L59:R59" si="20">MIN(L54:L56)</f>
        <v>25.166666666666668</v>
      </c>
      <c r="M59" s="35">
        <f t="shared" si="20"/>
        <v>7.2308333333333339</v>
      </c>
      <c r="N59" s="35">
        <f t="shared" si="20"/>
        <v>28.475000000000005</v>
      </c>
      <c r="O59" s="35">
        <f t="shared" si="20"/>
        <v>5</v>
      </c>
      <c r="P59" s="33">
        <f t="shared" si="20"/>
        <v>11382.827277524257</v>
      </c>
      <c r="Q59" s="28">
        <f t="shared" si="20"/>
        <v>0.27250000000000002</v>
      </c>
      <c r="R59" s="28">
        <f t="shared" si="20"/>
        <v>9.849999999999999E-2</v>
      </c>
      <c r="S59" s="14" t="s">
        <v>905</v>
      </c>
    </row>
    <row r="60" spans="4:19">
      <c r="D60" s="14" t="s">
        <v>95</v>
      </c>
      <c r="E60" s="293"/>
      <c r="F60" s="1182"/>
      <c r="G60" s="1176"/>
      <c r="H60" s="1176"/>
      <c r="I60" s="1183"/>
      <c r="J60" s="35">
        <f>MAX(J54:J56)</f>
        <v>5.3391666666666664</v>
      </c>
      <c r="K60" s="14" t="s">
        <v>905</v>
      </c>
      <c r="L60" s="35">
        <f t="shared" ref="L60:R60" si="21">MAX(L54:L56)</f>
        <v>34.083333333333336</v>
      </c>
      <c r="M60" s="35">
        <f t="shared" si="21"/>
        <v>7.373333333333334</v>
      </c>
      <c r="N60" s="35">
        <f t="shared" si="21"/>
        <v>28.783333333333335</v>
      </c>
      <c r="O60" s="35">
        <f t="shared" si="21"/>
        <v>5.833333333333333</v>
      </c>
      <c r="P60" s="33">
        <f t="shared" si="21"/>
        <v>43765.084857410395</v>
      </c>
      <c r="Q60" s="28">
        <f t="shared" si="21"/>
        <v>0.307</v>
      </c>
      <c r="R60" s="28">
        <f t="shared" si="21"/>
        <v>0.12325000000000001</v>
      </c>
      <c r="S60" s="14" t="s">
        <v>905</v>
      </c>
    </row>
    <row r="61" spans="4:19">
      <c r="D61" s="14" t="s">
        <v>96</v>
      </c>
      <c r="E61" s="292"/>
      <c r="F61" s="1184"/>
      <c r="G61" s="1159"/>
      <c r="H61" s="1159"/>
      <c r="I61" s="1185"/>
      <c r="J61" s="118" t="s">
        <v>906</v>
      </c>
      <c r="K61" s="118" t="s">
        <v>905</v>
      </c>
      <c r="L61" s="118" t="s">
        <v>907</v>
      </c>
      <c r="M61" s="118" t="s">
        <v>908</v>
      </c>
      <c r="N61" s="29" t="s">
        <v>909</v>
      </c>
      <c r="O61" s="118" t="s">
        <v>699</v>
      </c>
      <c r="P61" s="118" t="s">
        <v>700</v>
      </c>
      <c r="Q61" s="118" t="s">
        <v>910</v>
      </c>
      <c r="R61" s="118" t="s">
        <v>911</v>
      </c>
      <c r="S61" s="118" t="s">
        <v>905</v>
      </c>
    </row>
    <row r="64" spans="4:19" ht="15" customHeight="1">
      <c r="D64" t="s">
        <v>175</v>
      </c>
    </row>
    <row r="65" spans="4:19" ht="15" customHeight="1">
      <c r="D65" s="960" t="s">
        <v>1317</v>
      </c>
      <c r="E65" s="960"/>
      <c r="F65" s="960"/>
      <c r="G65" s="960"/>
      <c r="H65" s="960"/>
      <c r="I65" s="960"/>
      <c r="J65" s="960"/>
      <c r="K65" s="960"/>
      <c r="L65" s="960"/>
      <c r="M65" s="960"/>
      <c r="N65" s="960"/>
      <c r="O65" s="960"/>
      <c r="P65" s="960"/>
      <c r="Q65" s="960"/>
      <c r="R65" s="960"/>
      <c r="S65" s="960"/>
    </row>
    <row r="66" spans="4:19" ht="15" customHeight="1">
      <c r="D66" s="960"/>
      <c r="E66" s="960"/>
      <c r="F66" s="960"/>
      <c r="G66" s="960"/>
      <c r="H66" s="960"/>
      <c r="I66" s="960"/>
      <c r="J66" s="960"/>
      <c r="K66" s="960"/>
      <c r="L66" s="960"/>
      <c r="M66" s="960"/>
      <c r="N66" s="960"/>
      <c r="O66" s="960"/>
      <c r="P66" s="960"/>
      <c r="Q66" s="960"/>
      <c r="R66" s="960"/>
      <c r="S66" s="960"/>
    </row>
    <row r="67" spans="4:19" ht="15" customHeight="1">
      <c r="D67" s="960"/>
      <c r="E67" s="960"/>
      <c r="F67" s="960"/>
      <c r="G67" s="960"/>
      <c r="H67" s="960"/>
      <c r="I67" s="960"/>
      <c r="J67" s="960"/>
      <c r="K67" s="960"/>
      <c r="L67" s="960"/>
      <c r="M67" s="960"/>
      <c r="N67" s="960"/>
      <c r="O67" s="960"/>
      <c r="P67" s="960"/>
      <c r="Q67" s="960"/>
      <c r="R67" s="960"/>
      <c r="S67" s="960"/>
    </row>
    <row r="68" spans="4:19" ht="15" customHeight="1">
      <c r="D68" s="960"/>
      <c r="E68" s="960"/>
      <c r="F68" s="960"/>
      <c r="G68" s="960"/>
      <c r="H68" s="960"/>
      <c r="I68" s="960"/>
      <c r="J68" s="960"/>
      <c r="K68" s="960"/>
      <c r="L68" s="960"/>
      <c r="M68" s="960"/>
      <c r="N68" s="960"/>
      <c r="O68" s="960"/>
      <c r="P68" s="960"/>
      <c r="Q68" s="960"/>
      <c r="R68" s="960"/>
      <c r="S68" s="960"/>
    </row>
    <row r="69" spans="4:19" ht="15" customHeight="1">
      <c r="D69" s="960"/>
      <c r="E69" s="960"/>
      <c r="F69" s="960"/>
      <c r="G69" s="960"/>
      <c r="H69" s="960"/>
      <c r="I69" s="960"/>
      <c r="J69" s="960"/>
      <c r="K69" s="960"/>
      <c r="L69" s="960"/>
      <c r="M69" s="960"/>
      <c r="N69" s="960"/>
      <c r="O69" s="960"/>
      <c r="P69" s="960"/>
      <c r="Q69" s="960"/>
      <c r="R69" s="960"/>
      <c r="S69" s="960"/>
    </row>
    <row r="70" spans="4:19" ht="15" customHeight="1">
      <c r="D70" s="960"/>
      <c r="E70" s="960"/>
      <c r="F70" s="960"/>
      <c r="G70" s="960"/>
      <c r="H70" s="960"/>
      <c r="I70" s="960"/>
      <c r="J70" s="960"/>
      <c r="K70" s="960"/>
      <c r="L70" s="960"/>
      <c r="M70" s="960"/>
      <c r="N70" s="960"/>
      <c r="O70" s="960"/>
      <c r="P70" s="960"/>
      <c r="Q70" s="960"/>
      <c r="R70" s="960"/>
      <c r="S70" s="960"/>
    </row>
    <row r="71" spans="4:19" ht="15" customHeight="1">
      <c r="D71" s="960"/>
      <c r="E71" s="960"/>
      <c r="F71" s="960"/>
      <c r="G71" s="960"/>
      <c r="H71" s="960"/>
      <c r="I71" s="960"/>
      <c r="J71" s="960"/>
      <c r="K71" s="960"/>
      <c r="L71" s="960"/>
      <c r="M71" s="960"/>
      <c r="N71" s="960"/>
      <c r="O71" s="960"/>
      <c r="P71" s="960"/>
      <c r="Q71" s="960"/>
      <c r="R71" s="960"/>
      <c r="S71" s="960"/>
    </row>
    <row r="72" spans="4:19" ht="15" customHeight="1">
      <c r="D72" s="960"/>
      <c r="E72" s="960"/>
      <c r="F72" s="960"/>
      <c r="G72" s="960"/>
      <c r="H72" s="960"/>
      <c r="I72" s="960"/>
      <c r="J72" s="960"/>
      <c r="K72" s="960"/>
      <c r="L72" s="960"/>
      <c r="M72" s="960"/>
      <c r="N72" s="960"/>
      <c r="O72" s="960"/>
      <c r="P72" s="960"/>
      <c r="Q72" s="960"/>
      <c r="R72" s="960"/>
      <c r="S72" s="960"/>
    </row>
    <row r="73" spans="4:19" ht="15" customHeight="1">
      <c r="D73" s="960"/>
      <c r="E73" s="960"/>
      <c r="F73" s="960"/>
      <c r="G73" s="960"/>
      <c r="H73" s="960"/>
      <c r="I73" s="960"/>
      <c r="J73" s="960"/>
      <c r="K73" s="960"/>
      <c r="L73" s="960"/>
      <c r="M73" s="960"/>
      <c r="N73" s="960"/>
      <c r="O73" s="960"/>
      <c r="P73" s="960"/>
      <c r="Q73" s="960"/>
      <c r="R73" s="960"/>
      <c r="S73" s="960"/>
    </row>
    <row r="74" spans="4:19" ht="15" customHeight="1">
      <c r="D74" s="960"/>
      <c r="E74" s="960"/>
      <c r="F74" s="960"/>
      <c r="G74" s="960"/>
      <c r="H74" s="960"/>
      <c r="I74" s="960"/>
      <c r="J74" s="960"/>
      <c r="K74" s="960"/>
      <c r="L74" s="960"/>
      <c r="M74" s="960"/>
      <c r="N74" s="960"/>
      <c r="O74" s="960"/>
      <c r="P74" s="960"/>
      <c r="Q74" s="960"/>
      <c r="R74" s="960"/>
      <c r="S74" s="960"/>
    </row>
    <row r="75" spans="4:19" ht="15" customHeight="1">
      <c r="D75" s="960"/>
      <c r="E75" s="960"/>
      <c r="F75" s="960"/>
      <c r="G75" s="960"/>
      <c r="H75" s="960"/>
      <c r="I75" s="960"/>
      <c r="J75" s="960"/>
      <c r="K75" s="960"/>
      <c r="L75" s="960"/>
      <c r="M75" s="960"/>
      <c r="N75" s="960"/>
      <c r="O75" s="960"/>
      <c r="P75" s="960"/>
      <c r="Q75" s="960"/>
      <c r="R75" s="960"/>
      <c r="S75" s="960"/>
    </row>
    <row r="76" spans="4:19" ht="15" customHeight="1">
      <c r="D76" s="960"/>
      <c r="E76" s="960"/>
      <c r="F76" s="960"/>
      <c r="G76" s="960"/>
      <c r="H76" s="960"/>
      <c r="I76" s="960"/>
      <c r="J76" s="960"/>
      <c r="K76" s="960"/>
      <c r="L76" s="960"/>
      <c r="M76" s="960"/>
      <c r="N76" s="960"/>
      <c r="O76" s="960"/>
      <c r="P76" s="960"/>
      <c r="Q76" s="960"/>
      <c r="R76" s="960"/>
      <c r="S76" s="960"/>
    </row>
    <row r="77" spans="4:19" ht="15" customHeight="1">
      <c r="D77" s="960"/>
      <c r="E77" s="960"/>
      <c r="F77" s="960"/>
      <c r="G77" s="960"/>
      <c r="H77" s="960"/>
      <c r="I77" s="960"/>
      <c r="J77" s="960"/>
      <c r="K77" s="960"/>
      <c r="L77" s="960"/>
      <c r="M77" s="960"/>
      <c r="N77" s="960"/>
      <c r="O77" s="960"/>
      <c r="P77" s="960"/>
      <c r="Q77" s="960"/>
      <c r="R77" s="960"/>
      <c r="S77" s="960"/>
    </row>
    <row r="78" spans="4:19" ht="15" customHeight="1">
      <c r="D78" s="960"/>
      <c r="E78" s="960"/>
      <c r="F78" s="960"/>
      <c r="G78" s="960"/>
      <c r="H78" s="960"/>
      <c r="I78" s="960"/>
      <c r="J78" s="960"/>
      <c r="K78" s="960"/>
      <c r="L78" s="960"/>
      <c r="M78" s="960"/>
      <c r="N78" s="960"/>
      <c r="O78" s="960"/>
      <c r="P78" s="960"/>
      <c r="Q78" s="960"/>
      <c r="R78" s="960"/>
      <c r="S78" s="960"/>
    </row>
  </sheetData>
  <mergeCells count="33">
    <mergeCell ref="D65:S78"/>
    <mergeCell ref="C1:S1"/>
    <mergeCell ref="C2:S2"/>
    <mergeCell ref="C3:S3"/>
    <mergeCell ref="C4:S4"/>
    <mergeCell ref="C5:S5"/>
    <mergeCell ref="D36:S36"/>
    <mergeCell ref="D37:S37"/>
    <mergeCell ref="D38:I38"/>
    <mergeCell ref="J38:S38"/>
    <mergeCell ref="D40:D42"/>
    <mergeCell ref="F40:F42"/>
    <mergeCell ref="G40:G42"/>
    <mergeCell ref="D43:S43"/>
    <mergeCell ref="F44:I47"/>
    <mergeCell ref="G54:G56"/>
    <mergeCell ref="F58:I61"/>
    <mergeCell ref="D50:S50"/>
    <mergeCell ref="D51:S51"/>
    <mergeCell ref="D52:I52"/>
    <mergeCell ref="J52:S52"/>
    <mergeCell ref="D54:D56"/>
    <mergeCell ref="F54:F56"/>
    <mergeCell ref="D57:S57"/>
    <mergeCell ref="X17:AL17"/>
    <mergeCell ref="Y18:AB21"/>
    <mergeCell ref="X8:AL8"/>
    <mergeCell ref="X9:AL9"/>
    <mergeCell ref="X10:AB10"/>
    <mergeCell ref="AC10:AL10"/>
    <mergeCell ref="X12:X14"/>
    <mergeCell ref="Y12:Y14"/>
    <mergeCell ref="Z12:Z14"/>
  </mergeCells>
  <phoneticPr fontId="18" type="noConversion"/>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6EF02-129C-4160-A669-6C3F1D1F6E66}">
  <sheetPr>
    <tabColor rgb="FF00B0F0"/>
  </sheetPr>
  <dimension ref="A1:AL56"/>
  <sheetViews>
    <sheetView workbookViewId="0">
      <pane xSplit="4" ySplit="6" topLeftCell="F19" activePane="bottomRight" state="frozen"/>
      <selection pane="bottomRight" activeCell="R14" sqref="R14"/>
      <selection pane="bottomLeft"/>
      <selection pane="topRight"/>
    </sheetView>
  </sheetViews>
  <sheetFormatPr defaultRowHeight="15"/>
  <cols>
    <col min="2" max="2" width="15.42578125" customWidth="1"/>
    <col min="4" max="4" width="23.85546875" style="356" customWidth="1"/>
    <col min="5" max="5" width="26.42578125" customWidth="1"/>
    <col min="13" max="13" width="9.28515625" bestFit="1" customWidth="1"/>
    <col min="14" max="14" width="11.42578125" bestFit="1" customWidth="1"/>
    <col min="15" max="15" width="10.42578125" bestFit="1" customWidth="1"/>
    <col min="18" max="18" width="13.42578125" customWidth="1"/>
    <col min="27" max="27" width="13.42578125" bestFit="1" customWidth="1"/>
    <col min="28" max="28" width="15.28515625" bestFit="1" customWidth="1"/>
  </cols>
  <sheetData>
    <row r="1" spans="1:38" s="335" customFormat="1">
      <c r="B1" s="543"/>
      <c r="E1" s="1011" t="s">
        <v>40</v>
      </c>
      <c r="F1" s="1012"/>
      <c r="G1" s="1012"/>
      <c r="H1" s="1012"/>
      <c r="I1" s="1012"/>
      <c r="J1" s="1012"/>
      <c r="K1" s="1012"/>
      <c r="L1" s="1012"/>
      <c r="M1" s="1012"/>
      <c r="N1" s="1012"/>
      <c r="O1" s="1012"/>
      <c r="P1" s="1012"/>
      <c r="Q1" s="1012"/>
      <c r="R1" s="1012"/>
      <c r="S1" s="1122"/>
    </row>
    <row r="2" spans="1:38" s="335" customFormat="1">
      <c r="B2" s="546"/>
      <c r="E2" s="1014" t="s">
        <v>41</v>
      </c>
      <c r="F2" s="1015"/>
      <c r="G2" s="1015"/>
      <c r="H2" s="1015"/>
      <c r="I2" s="1015"/>
      <c r="J2" s="1015"/>
      <c r="K2" s="1015"/>
      <c r="L2" s="1015"/>
      <c r="M2" s="1015"/>
      <c r="N2" s="1015"/>
      <c r="O2" s="1015"/>
      <c r="P2" s="1015"/>
      <c r="Q2" s="1015"/>
      <c r="R2" s="1015"/>
      <c r="S2" s="1123"/>
    </row>
    <row r="3" spans="1:38" s="335" customFormat="1">
      <c r="A3" s="545"/>
      <c r="B3" s="544"/>
      <c r="C3" s="545"/>
      <c r="E3" s="1017" t="s">
        <v>42</v>
      </c>
      <c r="F3" s="1018"/>
      <c r="G3" s="1018"/>
      <c r="H3" s="1018"/>
      <c r="I3" s="1018"/>
      <c r="J3" s="1018"/>
      <c r="K3" s="1018"/>
      <c r="L3" s="1018"/>
      <c r="M3" s="1018"/>
      <c r="N3" s="1018"/>
      <c r="O3" s="1018"/>
      <c r="P3" s="1018"/>
      <c r="Q3" s="1018"/>
      <c r="R3" s="1018"/>
      <c r="S3" s="1124"/>
    </row>
    <row r="4" spans="1:38" s="335" customFormat="1" ht="22.5" customHeight="1">
      <c r="A4" s="545"/>
      <c r="B4" s="544"/>
      <c r="C4" s="545"/>
      <c r="E4" s="1125" t="s">
        <v>1318</v>
      </c>
      <c r="F4" s="1126"/>
      <c r="G4" s="1126"/>
      <c r="H4" s="1126"/>
      <c r="I4" s="1126"/>
      <c r="J4" s="1126"/>
      <c r="K4" s="1126"/>
      <c r="L4" s="1126"/>
      <c r="M4" s="1126"/>
      <c r="N4" s="1126"/>
      <c r="O4" s="1126"/>
      <c r="P4" s="1126"/>
      <c r="Q4" s="1126"/>
      <c r="R4" s="1126"/>
      <c r="S4" s="1127"/>
    </row>
    <row r="5" spans="1:38" s="335" customFormat="1">
      <c r="A5" s="545"/>
      <c r="B5" s="544"/>
      <c r="C5" s="545"/>
      <c r="D5" s="545"/>
      <c r="E5" s="1128" t="s">
        <v>1005</v>
      </c>
      <c r="F5" s="1126"/>
      <c r="G5" s="1126"/>
      <c r="H5" s="1126"/>
      <c r="I5" s="1126"/>
      <c r="J5" s="1126"/>
      <c r="K5" s="1126"/>
      <c r="L5" s="1126"/>
      <c r="M5" s="1126"/>
      <c r="N5" s="1126"/>
      <c r="O5" s="1126"/>
      <c r="P5" s="1126"/>
      <c r="Q5" s="1126"/>
      <c r="R5" s="1126"/>
      <c r="S5" s="1127"/>
    </row>
    <row r="6" spans="1:38" s="335" customFormat="1" ht="29.25">
      <c r="A6" s="547" t="s">
        <v>45</v>
      </c>
      <c r="B6" s="547" t="s">
        <v>46</v>
      </c>
      <c r="C6" s="547" t="s">
        <v>47</v>
      </c>
      <c r="D6" s="549" t="s">
        <v>48</v>
      </c>
      <c r="E6" s="547" t="s">
        <v>49</v>
      </c>
      <c r="F6" s="548" t="s">
        <v>50</v>
      </c>
      <c r="G6" s="327" t="s">
        <v>51</v>
      </c>
      <c r="H6" s="327" t="s">
        <v>52</v>
      </c>
      <c r="I6" s="327" t="s">
        <v>53</v>
      </c>
      <c r="J6" s="327" t="s">
        <v>54</v>
      </c>
      <c r="K6" s="327" t="s">
        <v>55</v>
      </c>
      <c r="L6" s="327" t="s">
        <v>56</v>
      </c>
      <c r="M6" s="327" t="s">
        <v>57</v>
      </c>
      <c r="N6" s="327" t="s">
        <v>58</v>
      </c>
      <c r="O6" s="327" t="s">
        <v>59</v>
      </c>
      <c r="P6" s="327" t="s">
        <v>60</v>
      </c>
      <c r="Q6" s="327" t="s">
        <v>61</v>
      </c>
      <c r="R6" s="337" t="s">
        <v>62</v>
      </c>
      <c r="S6" s="327" t="s">
        <v>63</v>
      </c>
    </row>
    <row r="7" spans="1:38" ht="15" customHeight="1">
      <c r="A7" s="550" t="s">
        <v>65</v>
      </c>
      <c r="B7" s="457" t="s">
        <v>66</v>
      </c>
      <c r="C7" s="551">
        <v>1</v>
      </c>
      <c r="D7" s="552" t="s">
        <v>1319</v>
      </c>
      <c r="E7" s="553" t="s">
        <v>1320</v>
      </c>
      <c r="F7" s="493">
        <v>5.1100000000000003</v>
      </c>
      <c r="G7" s="493">
        <v>4.8099999999999996</v>
      </c>
      <c r="H7" s="493">
        <v>5.46</v>
      </c>
      <c r="I7" s="493">
        <v>4.58</v>
      </c>
      <c r="J7" s="493">
        <v>5.0999999999999996</v>
      </c>
      <c r="K7" s="511">
        <v>6.02</v>
      </c>
      <c r="L7" s="493">
        <v>5.18</v>
      </c>
      <c r="M7" s="506">
        <v>10.5</v>
      </c>
      <c r="N7" s="506">
        <v>6.7</v>
      </c>
      <c r="O7" s="506">
        <v>5.78</v>
      </c>
      <c r="P7" s="506">
        <v>5.71</v>
      </c>
      <c r="Q7" s="506">
        <v>5</v>
      </c>
      <c r="R7" s="555">
        <f>AVERAGE(F7:Q7)</f>
        <v>5.8291666666666666</v>
      </c>
      <c r="S7" s="304">
        <v>6</v>
      </c>
      <c r="W7" s="889" t="s">
        <v>70</v>
      </c>
      <c r="X7" s="890"/>
      <c r="Y7" s="1177"/>
      <c r="Z7" s="1177"/>
      <c r="AA7" s="1177"/>
      <c r="AB7" s="1177"/>
      <c r="AC7" s="1177"/>
      <c r="AD7" s="1177"/>
      <c r="AE7" s="1177"/>
      <c r="AF7" s="1177"/>
      <c r="AG7" s="1177"/>
      <c r="AH7" s="1177"/>
      <c r="AI7" s="1177"/>
      <c r="AJ7" s="1177"/>
      <c r="AK7" s="1177"/>
      <c r="AL7" s="1178"/>
    </row>
    <row r="8" spans="1:38" ht="15" customHeight="1">
      <c r="A8" s="307"/>
      <c r="B8" s="457"/>
      <c r="C8" s="308">
        <v>2</v>
      </c>
      <c r="D8" s="310" t="s">
        <v>1321</v>
      </c>
      <c r="E8" s="309" t="s">
        <v>1320</v>
      </c>
      <c r="F8" s="492">
        <v>5.15</v>
      </c>
      <c r="G8" s="492">
        <v>4.92</v>
      </c>
      <c r="H8" s="492">
        <v>5.71</v>
      </c>
      <c r="I8" s="492">
        <v>4.76</v>
      </c>
      <c r="J8" s="492">
        <v>5.08</v>
      </c>
      <c r="K8" s="512">
        <v>6.12</v>
      </c>
      <c r="L8" s="492">
        <v>5.0999999999999996</v>
      </c>
      <c r="M8" s="505">
        <v>7.5</v>
      </c>
      <c r="N8" s="505">
        <v>6.71</v>
      </c>
      <c r="O8" s="505">
        <v>5.48</v>
      </c>
      <c r="P8" s="505">
        <v>5.6</v>
      </c>
      <c r="Q8" s="505">
        <v>4.0999999999999996</v>
      </c>
      <c r="R8" s="512">
        <f>AVERAGE(F8:Q8)</f>
        <v>5.519166666666667</v>
      </c>
      <c r="S8" s="309">
        <v>6</v>
      </c>
      <c r="W8" s="889" t="s">
        <v>107</v>
      </c>
      <c r="X8" s="890"/>
      <c r="Y8" s="1177"/>
      <c r="Z8" s="1177"/>
      <c r="AA8" s="1177"/>
      <c r="AB8" s="1177"/>
      <c r="AC8" s="1177"/>
      <c r="AD8" s="1177"/>
      <c r="AE8" s="1177"/>
      <c r="AF8" s="1177"/>
      <c r="AG8" s="1177"/>
      <c r="AH8" s="1177"/>
      <c r="AI8" s="1177"/>
      <c r="AJ8" s="1177"/>
      <c r="AK8" s="1177"/>
      <c r="AL8" s="1178"/>
    </row>
    <row r="9" spans="1:38" ht="15" customHeight="1">
      <c r="A9" s="307"/>
      <c r="B9" s="458"/>
      <c r="C9" s="308">
        <v>3</v>
      </c>
      <c r="D9" s="310" t="s">
        <v>1322</v>
      </c>
      <c r="E9" s="309" t="s">
        <v>1320</v>
      </c>
      <c r="F9" s="492">
        <v>5.08</v>
      </c>
      <c r="G9" s="492">
        <v>4.88</v>
      </c>
      <c r="H9" s="492">
        <v>5.98</v>
      </c>
      <c r="I9" s="492">
        <v>5.01</v>
      </c>
      <c r="J9" s="492">
        <v>5</v>
      </c>
      <c r="K9" s="512">
        <v>6.1</v>
      </c>
      <c r="L9" s="492">
        <v>5.14</v>
      </c>
      <c r="M9" s="505">
        <v>6.1</v>
      </c>
      <c r="N9" s="505">
        <v>6.81</v>
      </c>
      <c r="O9" s="505">
        <v>5.62</v>
      </c>
      <c r="P9" s="505">
        <v>5.49</v>
      </c>
      <c r="Q9" s="505">
        <v>5.2</v>
      </c>
      <c r="R9" s="512">
        <f>AVERAGE(F9:Q9)</f>
        <v>5.5341666666666676</v>
      </c>
      <c r="S9" s="309">
        <v>6</v>
      </c>
      <c r="W9" s="1179"/>
      <c r="X9" s="1180"/>
      <c r="Y9" s="1177"/>
      <c r="Z9" s="1177"/>
      <c r="AA9" s="1177"/>
      <c r="AB9" s="1178"/>
      <c r="AC9" s="844" t="s">
        <v>78</v>
      </c>
      <c r="AD9" s="1177"/>
      <c r="AE9" s="1177"/>
      <c r="AF9" s="1177"/>
      <c r="AG9" s="1177"/>
      <c r="AH9" s="1177"/>
      <c r="AI9" s="1177"/>
      <c r="AJ9" s="1177"/>
      <c r="AK9" s="1177"/>
      <c r="AL9" s="1178"/>
    </row>
    <row r="10" spans="1:38" ht="45.75">
      <c r="A10" s="307"/>
      <c r="B10" s="456" t="s">
        <v>92</v>
      </c>
      <c r="C10" s="303">
        <v>1</v>
      </c>
      <c r="D10" s="305" t="s">
        <v>1319</v>
      </c>
      <c r="E10" s="304" t="s">
        <v>1320</v>
      </c>
      <c r="F10" s="493">
        <v>22</v>
      </c>
      <c r="G10" s="493">
        <v>36</v>
      </c>
      <c r="H10" s="493">
        <v>32</v>
      </c>
      <c r="I10" s="493">
        <v>39</v>
      </c>
      <c r="J10" s="493">
        <v>84</v>
      </c>
      <c r="K10" s="511">
        <v>37</v>
      </c>
      <c r="L10" s="493">
        <v>39</v>
      </c>
      <c r="M10" s="506">
        <v>32</v>
      </c>
      <c r="N10" s="506">
        <v>50</v>
      </c>
      <c r="O10" s="506">
        <v>23</v>
      </c>
      <c r="P10" s="506">
        <v>74</v>
      </c>
      <c r="Q10" s="506">
        <v>42</v>
      </c>
      <c r="R10" s="555">
        <f t="shared" ref="R10:R21" si="0">AVERAGE(F10:Q10)</f>
        <v>42.5</v>
      </c>
      <c r="S10" s="304">
        <v>50</v>
      </c>
      <c r="W10" s="14" t="s">
        <v>82</v>
      </c>
      <c r="X10" s="14"/>
      <c r="Y10" s="14" t="s">
        <v>83</v>
      </c>
      <c r="Z10" s="14" t="s">
        <v>84</v>
      </c>
      <c r="AA10" s="14" t="s">
        <v>85</v>
      </c>
      <c r="AB10" s="14" t="s">
        <v>86</v>
      </c>
      <c r="AC10" s="14" t="s">
        <v>4</v>
      </c>
      <c r="AD10" s="14" t="s">
        <v>5</v>
      </c>
      <c r="AE10" s="14" t="s">
        <v>6</v>
      </c>
      <c r="AF10" s="14" t="s">
        <v>7</v>
      </c>
      <c r="AG10" s="14" t="s">
        <v>8</v>
      </c>
      <c r="AH10" s="14" t="s">
        <v>9</v>
      </c>
      <c r="AI10" s="14" t="s">
        <v>10</v>
      </c>
      <c r="AJ10" s="14" t="s">
        <v>11</v>
      </c>
      <c r="AK10" s="14" t="s">
        <v>12</v>
      </c>
      <c r="AL10" s="14" t="s">
        <v>13</v>
      </c>
    </row>
    <row r="11" spans="1:38" ht="15" customHeight="1">
      <c r="A11" s="307"/>
      <c r="B11" s="457"/>
      <c r="C11" s="308">
        <v>2</v>
      </c>
      <c r="D11" s="310" t="s">
        <v>1321</v>
      </c>
      <c r="E11" s="309" t="s">
        <v>1320</v>
      </c>
      <c r="F11" s="492">
        <v>19</v>
      </c>
      <c r="G11" s="492">
        <v>27</v>
      </c>
      <c r="H11" s="492">
        <v>28</v>
      </c>
      <c r="I11" s="492">
        <v>45</v>
      </c>
      <c r="J11" s="492">
        <v>88</v>
      </c>
      <c r="K11" s="512">
        <v>48</v>
      </c>
      <c r="L11" s="492">
        <v>61</v>
      </c>
      <c r="M11" s="505">
        <v>28</v>
      </c>
      <c r="N11" s="505">
        <v>220</v>
      </c>
      <c r="O11" s="505">
        <v>44</v>
      </c>
      <c r="P11" s="505">
        <v>74</v>
      </c>
      <c r="Q11" s="505">
        <v>37</v>
      </c>
      <c r="R11" s="512">
        <f t="shared" si="0"/>
        <v>59.916666666666664</v>
      </c>
      <c r="S11" s="309">
        <v>50</v>
      </c>
      <c r="W11" s="886" t="s">
        <v>498</v>
      </c>
      <c r="X11" s="281"/>
      <c r="Y11" s="886" t="s">
        <v>1318</v>
      </c>
      <c r="Z11" s="883" t="s">
        <v>29</v>
      </c>
      <c r="AA11" s="32">
        <v>1</v>
      </c>
      <c r="AB11" s="552" t="s">
        <v>1319</v>
      </c>
      <c r="AC11" s="33">
        <f>R7</f>
        <v>5.8291666666666666</v>
      </c>
      <c r="AD11" s="14" t="s">
        <v>905</v>
      </c>
      <c r="AE11" s="47">
        <f>R10</f>
        <v>42.5</v>
      </c>
      <c r="AF11" s="33">
        <f>R13</f>
        <v>7.706666666666667</v>
      </c>
      <c r="AG11" s="33">
        <f>R16</f>
        <v>29.370000000000005</v>
      </c>
      <c r="AH11" s="47">
        <f>R19</f>
        <v>12.083333333333334</v>
      </c>
      <c r="AI11" s="47">
        <f>R23</f>
        <v>398.95365240493186</v>
      </c>
      <c r="AJ11" s="34">
        <f>R28</f>
        <v>0.42575000000000007</v>
      </c>
      <c r="AK11" s="34">
        <f>R31</f>
        <v>0.17341666666666666</v>
      </c>
      <c r="AL11" s="14" t="s">
        <v>905</v>
      </c>
    </row>
    <row r="12" spans="1:38" ht="44.25" customHeight="1">
      <c r="A12" s="307"/>
      <c r="B12" s="458"/>
      <c r="C12" s="308">
        <v>3</v>
      </c>
      <c r="D12" s="310" t="s">
        <v>1322</v>
      </c>
      <c r="E12" s="309" t="s">
        <v>1320</v>
      </c>
      <c r="F12" s="492">
        <v>25</v>
      </c>
      <c r="G12" s="492">
        <v>130</v>
      </c>
      <c r="H12" s="492">
        <v>23</v>
      </c>
      <c r="I12" s="492">
        <v>34</v>
      </c>
      <c r="J12" s="492">
        <v>89</v>
      </c>
      <c r="K12" s="512">
        <v>14</v>
      </c>
      <c r="L12" s="492">
        <v>59</v>
      </c>
      <c r="M12" s="505">
        <v>24</v>
      </c>
      <c r="N12" s="505">
        <v>36</v>
      </c>
      <c r="O12" s="505">
        <v>43</v>
      </c>
      <c r="P12" s="505">
        <v>79</v>
      </c>
      <c r="Q12" s="505">
        <v>36</v>
      </c>
      <c r="R12" s="512">
        <f t="shared" si="0"/>
        <v>49.333333333333336</v>
      </c>
      <c r="S12" s="309">
        <v>50</v>
      </c>
      <c r="W12" s="1196"/>
      <c r="X12" s="289"/>
      <c r="Y12" s="1196"/>
      <c r="Z12" s="1196"/>
      <c r="AA12" s="32">
        <v>2</v>
      </c>
      <c r="AB12" s="310" t="s">
        <v>1321</v>
      </c>
      <c r="AC12" s="33">
        <f>R8</f>
        <v>5.519166666666667</v>
      </c>
      <c r="AD12" s="14" t="s">
        <v>905</v>
      </c>
      <c r="AE12" s="47">
        <f>R11</f>
        <v>59.916666666666664</v>
      </c>
      <c r="AF12" s="33">
        <f>R14</f>
        <v>7.7725</v>
      </c>
      <c r="AG12" s="33">
        <f>R17</f>
        <v>29.139166666666668</v>
      </c>
      <c r="AH12" s="47">
        <f>R20</f>
        <v>12.083333333333334</v>
      </c>
      <c r="AI12" s="47">
        <f>R24</f>
        <v>372.20464362419693</v>
      </c>
      <c r="AJ12" s="34">
        <f>R29</f>
        <v>0.45641666666666669</v>
      </c>
      <c r="AK12" s="34">
        <f>R32</f>
        <v>0.16875000000000004</v>
      </c>
      <c r="AL12" s="14" t="s">
        <v>905</v>
      </c>
    </row>
    <row r="13" spans="1:38" ht="15" customHeight="1">
      <c r="A13" s="307"/>
      <c r="B13" s="456" t="s">
        <v>7</v>
      </c>
      <c r="C13" s="303">
        <v>1</v>
      </c>
      <c r="D13" s="305" t="s">
        <v>1319</v>
      </c>
      <c r="E13" s="304" t="s">
        <v>1320</v>
      </c>
      <c r="F13" s="493">
        <v>7.68</v>
      </c>
      <c r="G13" s="493">
        <v>8.01</v>
      </c>
      <c r="H13" s="493">
        <v>7.98</v>
      </c>
      <c r="I13" s="493">
        <v>8.2100000000000009</v>
      </c>
      <c r="J13" s="493">
        <v>8.11</v>
      </c>
      <c r="K13" s="511">
        <v>8.02</v>
      </c>
      <c r="L13" s="493">
        <v>7.08</v>
      </c>
      <c r="M13" s="506">
        <v>8.3800000000000008</v>
      </c>
      <c r="N13" s="506">
        <v>7.51</v>
      </c>
      <c r="O13" s="506">
        <v>7.25</v>
      </c>
      <c r="P13" s="506">
        <v>7.25</v>
      </c>
      <c r="Q13" s="506">
        <v>7</v>
      </c>
      <c r="R13" s="555">
        <f t="shared" si="0"/>
        <v>7.706666666666667</v>
      </c>
      <c r="S13" s="305" t="s">
        <v>908</v>
      </c>
      <c r="W13" s="1197"/>
      <c r="X13" s="290"/>
      <c r="Y13" s="1197"/>
      <c r="Z13" s="1197"/>
      <c r="AA13" s="32">
        <v>3</v>
      </c>
      <c r="AB13" s="310" t="s">
        <v>1322</v>
      </c>
      <c r="AC13" s="33">
        <f>R9</f>
        <v>5.5341666666666676</v>
      </c>
      <c r="AD13" s="14" t="s">
        <v>905</v>
      </c>
      <c r="AE13" s="47">
        <f>R12</f>
        <v>49.333333333333336</v>
      </c>
      <c r="AF13" s="33">
        <f>R15</f>
        <v>7.7066666666666661</v>
      </c>
      <c r="AG13" s="33">
        <f>R18</f>
        <v>29.428333333333338</v>
      </c>
      <c r="AH13" s="47">
        <f>R21</f>
        <v>11.666666666666666</v>
      </c>
      <c r="AI13" s="47">
        <f>R25</f>
        <v>290.37621984740048</v>
      </c>
      <c r="AJ13" s="34">
        <f>R30</f>
        <v>0.42116666666666669</v>
      </c>
      <c r="AK13" s="34">
        <f>R33</f>
        <v>0.16425000000000001</v>
      </c>
      <c r="AL13" s="14" t="s">
        <v>905</v>
      </c>
    </row>
    <row r="14" spans="1:38" ht="15" customHeight="1">
      <c r="A14" s="307"/>
      <c r="B14" s="457"/>
      <c r="C14" s="308">
        <v>2</v>
      </c>
      <c r="D14" s="310" t="s">
        <v>1321</v>
      </c>
      <c r="E14" s="309" t="s">
        <v>1320</v>
      </c>
      <c r="F14" s="492">
        <v>7.7</v>
      </c>
      <c r="G14" s="492">
        <v>8.11</v>
      </c>
      <c r="H14" s="492">
        <v>7.96</v>
      </c>
      <c r="I14" s="492">
        <v>8.2799999999999994</v>
      </c>
      <c r="J14" s="492">
        <v>8.2200000000000006</v>
      </c>
      <c r="K14" s="512">
        <v>7.87</v>
      </c>
      <c r="L14" s="492">
        <v>7.7</v>
      </c>
      <c r="M14" s="505">
        <v>8.23</v>
      </c>
      <c r="N14" s="505">
        <v>7.58</v>
      </c>
      <c r="O14" s="505">
        <v>7.31</v>
      </c>
      <c r="P14" s="505">
        <v>7.31</v>
      </c>
      <c r="Q14" s="505">
        <v>7</v>
      </c>
      <c r="R14" s="512">
        <f t="shared" si="0"/>
        <v>7.7725</v>
      </c>
      <c r="S14" s="310" t="s">
        <v>908</v>
      </c>
      <c r="W14" s="1179"/>
      <c r="X14" s="1180"/>
      <c r="Y14" s="1177"/>
      <c r="Z14" s="1177"/>
      <c r="AA14" s="1177"/>
      <c r="AB14" s="1177"/>
      <c r="AC14" s="1177"/>
      <c r="AD14" s="1177"/>
      <c r="AE14" s="1177"/>
      <c r="AF14" s="1177"/>
      <c r="AG14" s="1177"/>
      <c r="AH14" s="1177"/>
      <c r="AI14" s="1177"/>
      <c r="AJ14" s="1177"/>
      <c r="AK14" s="1177"/>
      <c r="AL14" s="1178"/>
    </row>
    <row r="15" spans="1:38" ht="15" customHeight="1">
      <c r="A15" s="307"/>
      <c r="B15" s="458"/>
      <c r="C15" s="308">
        <v>3</v>
      </c>
      <c r="D15" s="310" t="s">
        <v>1322</v>
      </c>
      <c r="E15" s="309" t="s">
        <v>1320</v>
      </c>
      <c r="F15" s="492">
        <v>7.71</v>
      </c>
      <c r="G15" s="492">
        <v>8.08</v>
      </c>
      <c r="H15" s="492">
        <v>7.9</v>
      </c>
      <c r="I15" s="492">
        <v>8.31</v>
      </c>
      <c r="J15" s="492">
        <v>8.17</v>
      </c>
      <c r="K15" s="512">
        <v>7.9</v>
      </c>
      <c r="L15" s="492">
        <v>7.66</v>
      </c>
      <c r="M15" s="505">
        <v>7.76</v>
      </c>
      <c r="N15" s="505">
        <v>7.53</v>
      </c>
      <c r="O15" s="505">
        <v>7.18</v>
      </c>
      <c r="P15" s="505">
        <v>7.28</v>
      </c>
      <c r="Q15" s="505">
        <v>7</v>
      </c>
      <c r="R15" s="512">
        <f t="shared" si="0"/>
        <v>7.7066666666666661</v>
      </c>
      <c r="S15" s="310" t="s">
        <v>908</v>
      </c>
      <c r="W15" s="14" t="s">
        <v>93</v>
      </c>
      <c r="X15" s="291"/>
      <c r="Y15" s="1167"/>
      <c r="Z15" s="1160"/>
      <c r="AA15" s="1160"/>
      <c r="AB15" s="1181"/>
      <c r="AC15" s="33">
        <f>AVERAGE(AC11:AC13)</f>
        <v>5.6275000000000004</v>
      </c>
      <c r="AD15" s="14" t="s">
        <v>905</v>
      </c>
      <c r="AE15" s="47">
        <f>AVERAGE(AE11:AE13)</f>
        <v>50.583333333333336</v>
      </c>
      <c r="AF15" s="33">
        <f>AVERAGE(AF11:AF13)</f>
        <v>7.7286111111111113</v>
      </c>
      <c r="AG15" s="33">
        <f>AVERAGE(AG11:AG13)</f>
        <v>29.312500000000004</v>
      </c>
      <c r="AH15" s="47">
        <f>AVERAGE(AH11:AH13)</f>
        <v>11.944444444444445</v>
      </c>
      <c r="AI15" s="47">
        <f>AVERAGE(AI11:AI13)</f>
        <v>353.84483862550974</v>
      </c>
      <c r="AJ15" s="34">
        <f>AVERAGE(AJ11:AJ13)</f>
        <v>0.43444444444444447</v>
      </c>
      <c r="AK15" s="34">
        <f>AVERAGE(AK11:AK13)</f>
        <v>0.16880555555555557</v>
      </c>
      <c r="AL15" s="14" t="s">
        <v>905</v>
      </c>
    </row>
    <row r="16" spans="1:38" ht="15" customHeight="1">
      <c r="A16" s="307"/>
      <c r="B16" s="456" t="s">
        <v>725</v>
      </c>
      <c r="C16" s="303">
        <v>1</v>
      </c>
      <c r="D16" s="305" t="s">
        <v>1319</v>
      </c>
      <c r="E16" s="304" t="s">
        <v>1320</v>
      </c>
      <c r="F16" s="493">
        <v>28.18</v>
      </c>
      <c r="G16" s="493">
        <v>27.91</v>
      </c>
      <c r="H16" s="493">
        <v>27.81</v>
      </c>
      <c r="I16" s="493">
        <v>29.12</v>
      </c>
      <c r="J16" s="493">
        <v>28.71</v>
      </c>
      <c r="K16" s="511">
        <v>28.1</v>
      </c>
      <c r="L16" s="493">
        <v>27.61</v>
      </c>
      <c r="M16" s="506">
        <v>35.299999999999997</v>
      </c>
      <c r="N16" s="506">
        <v>29.6</v>
      </c>
      <c r="O16" s="506">
        <v>31</v>
      </c>
      <c r="P16" s="506">
        <v>30.1</v>
      </c>
      <c r="Q16" s="506">
        <v>29</v>
      </c>
      <c r="R16" s="555">
        <f t="shared" si="0"/>
        <v>29.370000000000005</v>
      </c>
      <c r="S16" s="305" t="s">
        <v>777</v>
      </c>
      <c r="W16" s="14" t="s">
        <v>94</v>
      </c>
      <c r="X16" s="293"/>
      <c r="Y16" s="1182"/>
      <c r="Z16" s="1176"/>
      <c r="AA16" s="1176"/>
      <c r="AB16" s="1183"/>
      <c r="AC16" s="33">
        <f>MIN(AC11:AC13)</f>
        <v>5.519166666666667</v>
      </c>
      <c r="AD16" s="14" t="s">
        <v>905</v>
      </c>
      <c r="AE16" s="47">
        <f>MIN(AE11:AE13)</f>
        <v>42.5</v>
      </c>
      <c r="AF16" s="33">
        <f>MIN(AF11:AF13)</f>
        <v>7.7066666666666661</v>
      </c>
      <c r="AG16" s="33">
        <f>MIN(AG11:AG13)</f>
        <v>29.139166666666668</v>
      </c>
      <c r="AH16" s="47">
        <f>MIN(AH11:AH13)</f>
        <v>11.666666666666666</v>
      </c>
      <c r="AI16" s="47">
        <f>MIN(AI11:AI13)</f>
        <v>290.37621984740048</v>
      </c>
      <c r="AJ16" s="34">
        <f>MIN(AJ11:AJ13)</f>
        <v>0.42116666666666669</v>
      </c>
      <c r="AK16" s="34">
        <f>MIN(AK11:AK13)</f>
        <v>0.16425000000000001</v>
      </c>
      <c r="AL16" s="14" t="s">
        <v>905</v>
      </c>
    </row>
    <row r="17" spans="1:38" ht="15" customHeight="1">
      <c r="A17" s="307"/>
      <c r="B17" s="457"/>
      <c r="C17" s="308">
        <v>2</v>
      </c>
      <c r="D17" s="310" t="s">
        <v>1321</v>
      </c>
      <c r="E17" s="309" t="s">
        <v>1320</v>
      </c>
      <c r="F17" s="492">
        <v>28.1</v>
      </c>
      <c r="G17" s="492">
        <v>28.01</v>
      </c>
      <c r="H17" s="492">
        <v>27.8</v>
      </c>
      <c r="I17" s="492">
        <v>29.02</v>
      </c>
      <c r="J17" s="492">
        <v>28.82</v>
      </c>
      <c r="K17" s="512">
        <v>28.07</v>
      </c>
      <c r="L17" s="492">
        <v>27.65</v>
      </c>
      <c r="M17" s="505">
        <v>32.700000000000003</v>
      </c>
      <c r="N17" s="505">
        <v>29.4</v>
      </c>
      <c r="O17" s="505">
        <v>31</v>
      </c>
      <c r="P17" s="505">
        <v>30.1</v>
      </c>
      <c r="Q17" s="505">
        <v>29</v>
      </c>
      <c r="R17" s="512">
        <f t="shared" si="0"/>
        <v>29.139166666666668</v>
      </c>
      <c r="S17" s="310" t="s">
        <v>777</v>
      </c>
      <c r="W17" s="14" t="s">
        <v>95</v>
      </c>
      <c r="X17" s="293"/>
      <c r="Y17" s="1182"/>
      <c r="Z17" s="1176"/>
      <c r="AA17" s="1176"/>
      <c r="AB17" s="1183"/>
      <c r="AC17" s="33">
        <f>MAX(AC11:AC13)</f>
        <v>5.8291666666666666</v>
      </c>
      <c r="AD17" s="14" t="s">
        <v>905</v>
      </c>
      <c r="AE17" s="47">
        <f>MAX(AE11:AE13)</f>
        <v>59.916666666666664</v>
      </c>
      <c r="AF17" s="33">
        <f>MAX(AF11:AF13)</f>
        <v>7.7725</v>
      </c>
      <c r="AG17" s="33">
        <f>MAX(AG11:AG13)</f>
        <v>29.428333333333338</v>
      </c>
      <c r="AH17" s="47">
        <f>MAX(AH11:AH13)</f>
        <v>12.083333333333334</v>
      </c>
      <c r="AI17" s="47">
        <f>MAX(AI11:AI13)</f>
        <v>398.95365240493186</v>
      </c>
      <c r="AJ17" s="34">
        <f>MAX(AJ11:AJ13)</f>
        <v>0.45641666666666669</v>
      </c>
      <c r="AK17" s="34">
        <f>MAX(AK11:AK13)</f>
        <v>0.17341666666666666</v>
      </c>
      <c r="AL17" s="14" t="s">
        <v>905</v>
      </c>
    </row>
    <row r="18" spans="1:38" ht="15" customHeight="1">
      <c r="A18" s="307"/>
      <c r="B18" s="458"/>
      <c r="C18" s="308">
        <v>3</v>
      </c>
      <c r="D18" s="310" t="s">
        <v>1322</v>
      </c>
      <c r="E18" s="309" t="s">
        <v>1320</v>
      </c>
      <c r="F18" s="492">
        <v>28.05</v>
      </c>
      <c r="G18" s="492">
        <v>27.95</v>
      </c>
      <c r="H18" s="492">
        <v>27.78</v>
      </c>
      <c r="I18" s="492">
        <v>28.98</v>
      </c>
      <c r="J18" s="492">
        <v>28.85</v>
      </c>
      <c r="K18" s="512">
        <v>28.05</v>
      </c>
      <c r="L18" s="492">
        <v>27.58</v>
      </c>
      <c r="M18" s="505">
        <v>35.4</v>
      </c>
      <c r="N18" s="505">
        <v>29.4</v>
      </c>
      <c r="O18" s="505">
        <v>31</v>
      </c>
      <c r="P18" s="505">
        <v>30.1</v>
      </c>
      <c r="Q18" s="505">
        <v>30</v>
      </c>
      <c r="R18" s="512">
        <f t="shared" si="0"/>
        <v>29.428333333333338</v>
      </c>
      <c r="S18" s="310" t="s">
        <v>777</v>
      </c>
      <c r="W18" s="14" t="s">
        <v>96</v>
      </c>
      <c r="X18" s="292"/>
      <c r="Y18" s="1184"/>
      <c r="Z18" s="1159"/>
      <c r="AA18" s="1159"/>
      <c r="AB18" s="1185"/>
      <c r="AC18" s="118" t="s">
        <v>906</v>
      </c>
      <c r="AD18" s="118" t="s">
        <v>905</v>
      </c>
      <c r="AE18" s="118" t="s">
        <v>907</v>
      </c>
      <c r="AF18" s="118" t="s">
        <v>908</v>
      </c>
      <c r="AG18" s="29" t="s">
        <v>909</v>
      </c>
      <c r="AH18" s="118" t="s">
        <v>699</v>
      </c>
      <c r="AI18" s="118" t="s">
        <v>700</v>
      </c>
      <c r="AJ18" s="118" t="s">
        <v>910</v>
      </c>
      <c r="AK18" s="118" t="s">
        <v>911</v>
      </c>
      <c r="AL18" s="118" t="s">
        <v>905</v>
      </c>
    </row>
    <row r="19" spans="1:38" ht="45.75">
      <c r="A19" s="307"/>
      <c r="B19" s="456" t="s">
        <v>110</v>
      </c>
      <c r="C19" s="303">
        <v>1</v>
      </c>
      <c r="D19" s="305" t="s">
        <v>1319</v>
      </c>
      <c r="E19" s="304" t="s">
        <v>1320</v>
      </c>
      <c r="F19" s="493">
        <v>5</v>
      </c>
      <c r="G19" s="493">
        <v>15</v>
      </c>
      <c r="H19" s="493">
        <v>5</v>
      </c>
      <c r="I19" s="493">
        <v>5</v>
      </c>
      <c r="J19" s="493">
        <v>5</v>
      </c>
      <c r="K19" s="511">
        <v>10</v>
      </c>
      <c r="L19" s="493">
        <v>25</v>
      </c>
      <c r="M19" s="506">
        <v>15</v>
      </c>
      <c r="N19" s="506">
        <v>15</v>
      </c>
      <c r="O19" s="506">
        <v>10</v>
      </c>
      <c r="P19" s="506">
        <v>20</v>
      </c>
      <c r="Q19" s="506">
        <v>15</v>
      </c>
      <c r="R19" s="555">
        <f t="shared" si="0"/>
        <v>12.083333333333334</v>
      </c>
      <c r="S19" s="305">
        <v>50</v>
      </c>
    </row>
    <row r="20" spans="1:38" ht="45.75">
      <c r="A20" s="307"/>
      <c r="B20" s="457"/>
      <c r="C20" s="308">
        <v>2</v>
      </c>
      <c r="D20" s="310" t="s">
        <v>1321</v>
      </c>
      <c r="E20" s="309" t="s">
        <v>1320</v>
      </c>
      <c r="F20" s="492">
        <v>5</v>
      </c>
      <c r="G20" s="492">
        <v>15</v>
      </c>
      <c r="H20" s="492">
        <v>10</v>
      </c>
      <c r="I20" s="492">
        <v>5</v>
      </c>
      <c r="J20" s="492">
        <v>5</v>
      </c>
      <c r="K20" s="512">
        <v>5</v>
      </c>
      <c r="L20" s="492">
        <v>25</v>
      </c>
      <c r="M20" s="505">
        <v>15</v>
      </c>
      <c r="N20" s="505">
        <v>20</v>
      </c>
      <c r="O20" s="505">
        <v>10</v>
      </c>
      <c r="P20" s="505">
        <v>20</v>
      </c>
      <c r="Q20" s="505">
        <v>10</v>
      </c>
      <c r="R20" s="512">
        <f t="shared" si="0"/>
        <v>12.083333333333334</v>
      </c>
      <c r="S20" s="310">
        <v>50</v>
      </c>
    </row>
    <row r="21" spans="1:38" ht="15" customHeight="1">
      <c r="A21" s="307"/>
      <c r="B21" s="458"/>
      <c r="C21" s="308">
        <v>3</v>
      </c>
      <c r="D21" s="310" t="s">
        <v>1322</v>
      </c>
      <c r="E21" s="309" t="s">
        <v>1320</v>
      </c>
      <c r="F21" s="492">
        <v>5</v>
      </c>
      <c r="G21" s="492">
        <v>15</v>
      </c>
      <c r="H21" s="492">
        <v>5</v>
      </c>
      <c r="I21" s="492">
        <v>5</v>
      </c>
      <c r="J21" s="492">
        <v>5</v>
      </c>
      <c r="K21" s="512">
        <v>5</v>
      </c>
      <c r="L21" s="492">
        <v>25</v>
      </c>
      <c r="M21" s="505">
        <v>15</v>
      </c>
      <c r="N21" s="505">
        <v>15</v>
      </c>
      <c r="O21" s="505">
        <v>10</v>
      </c>
      <c r="P21" s="505">
        <v>20</v>
      </c>
      <c r="Q21" s="505">
        <v>15</v>
      </c>
      <c r="R21" s="512">
        <f t="shared" si="0"/>
        <v>11.666666666666666</v>
      </c>
      <c r="S21" s="310">
        <v>50</v>
      </c>
      <c r="W21" s="971" t="s">
        <v>70</v>
      </c>
      <c r="X21" s="972"/>
      <c r="Y21" s="1198"/>
      <c r="Z21" s="1198"/>
      <c r="AA21" s="1198"/>
      <c r="AB21" s="1198"/>
      <c r="AC21" s="1198"/>
      <c r="AD21" s="1198"/>
      <c r="AE21" s="1198"/>
      <c r="AF21" s="1198"/>
      <c r="AG21" s="1198"/>
      <c r="AH21" s="1198"/>
      <c r="AI21" s="1198"/>
      <c r="AJ21" s="1198"/>
      <c r="AK21" s="1198"/>
      <c r="AL21" s="1199"/>
    </row>
    <row r="22" spans="1:38">
      <c r="A22" s="312"/>
      <c r="B22" s="313"/>
      <c r="C22" s="313"/>
      <c r="D22" s="354"/>
      <c r="E22" s="313"/>
      <c r="F22" s="509"/>
      <c r="G22" s="509"/>
      <c r="H22" s="509"/>
      <c r="I22" s="509"/>
      <c r="J22" s="509"/>
      <c r="K22" s="509"/>
      <c r="L22" s="509"/>
      <c r="M22" s="509"/>
      <c r="N22" s="509"/>
      <c r="O22" s="313"/>
      <c r="P22" s="509"/>
      <c r="Q22" s="509"/>
      <c r="R22" s="313"/>
      <c r="S22" s="311"/>
      <c r="W22" s="971" t="s">
        <v>107</v>
      </c>
      <c r="X22" s="972"/>
      <c r="Y22" s="1198"/>
      <c r="Z22" s="1198"/>
      <c r="AA22" s="1198"/>
      <c r="AB22" s="1198"/>
      <c r="AC22" s="1198"/>
      <c r="AD22" s="1198"/>
      <c r="AE22" s="1198"/>
      <c r="AF22" s="1198"/>
      <c r="AG22" s="1198"/>
      <c r="AH22" s="1198"/>
      <c r="AI22" s="1198"/>
      <c r="AJ22" s="1198"/>
      <c r="AK22" s="1198"/>
      <c r="AL22" s="1199"/>
    </row>
    <row r="23" spans="1:38" ht="44.25" customHeight="1">
      <c r="A23" s="307"/>
      <c r="B23" s="456" t="s">
        <v>111</v>
      </c>
      <c r="C23" s="303">
        <v>1</v>
      </c>
      <c r="D23" s="305" t="s">
        <v>1319</v>
      </c>
      <c r="E23" s="304" t="s">
        <v>1320</v>
      </c>
      <c r="F23" s="493">
        <v>350</v>
      </c>
      <c r="G23" s="493">
        <v>920</v>
      </c>
      <c r="H23" s="493">
        <v>70</v>
      </c>
      <c r="I23" s="493">
        <v>4.5</v>
      </c>
      <c r="J23" s="493">
        <v>33</v>
      </c>
      <c r="K23" s="511">
        <v>79</v>
      </c>
      <c r="L23" s="493">
        <v>9200</v>
      </c>
      <c r="M23" s="506">
        <v>350</v>
      </c>
      <c r="N23" s="506">
        <v>16000</v>
      </c>
      <c r="O23" s="506">
        <v>5400</v>
      </c>
      <c r="P23" s="506">
        <v>130</v>
      </c>
      <c r="Q23" s="506">
        <v>1700</v>
      </c>
      <c r="R23" s="304">
        <f>GEOMEAN(F23:Q23)</f>
        <v>398.95365240493186</v>
      </c>
      <c r="S23" s="304">
        <v>100</v>
      </c>
      <c r="W23" s="1179"/>
      <c r="X23" s="1180"/>
      <c r="Y23" s="1177"/>
      <c r="Z23" s="1177"/>
      <c r="AA23" s="1177"/>
      <c r="AB23" s="1178"/>
      <c r="AC23" s="844" t="s">
        <v>78</v>
      </c>
      <c r="AD23" s="1177"/>
      <c r="AE23" s="1177"/>
      <c r="AF23" s="1177"/>
      <c r="AG23" s="1177"/>
      <c r="AH23" s="1177"/>
      <c r="AI23" s="1177"/>
      <c r="AJ23" s="1177"/>
      <c r="AK23" s="1177"/>
      <c r="AL23" s="1178"/>
    </row>
    <row r="24" spans="1:38" ht="45.75">
      <c r="A24" s="307"/>
      <c r="B24" s="457"/>
      <c r="C24" s="308">
        <v>2</v>
      </c>
      <c r="D24" s="310" t="s">
        <v>1321</v>
      </c>
      <c r="E24" s="309" t="s">
        <v>1320</v>
      </c>
      <c r="F24" s="492">
        <v>2800</v>
      </c>
      <c r="G24" s="492">
        <v>1600</v>
      </c>
      <c r="H24" s="492">
        <v>49</v>
      </c>
      <c r="I24" s="492">
        <v>23</v>
      </c>
      <c r="J24" s="492">
        <v>49</v>
      </c>
      <c r="K24" s="512">
        <v>33</v>
      </c>
      <c r="L24" s="513">
        <v>3500</v>
      </c>
      <c r="M24" s="505">
        <v>540</v>
      </c>
      <c r="N24" s="763">
        <v>1700</v>
      </c>
      <c r="O24" s="763">
        <v>3500</v>
      </c>
      <c r="P24" s="505">
        <v>70</v>
      </c>
      <c r="Q24" s="763">
        <v>1100</v>
      </c>
      <c r="R24" s="309">
        <f t="shared" ref="R24:R25" si="1">GEOMEAN(F24:Q24)</f>
        <v>372.20464362419693</v>
      </c>
      <c r="S24" s="309">
        <v>100</v>
      </c>
      <c r="W24" s="14" t="s">
        <v>82</v>
      </c>
      <c r="X24" s="14"/>
      <c r="Y24" s="14" t="s">
        <v>83</v>
      </c>
      <c r="Z24" s="14" t="s">
        <v>84</v>
      </c>
      <c r="AA24" s="14" t="s">
        <v>85</v>
      </c>
      <c r="AB24" s="14" t="s">
        <v>86</v>
      </c>
      <c r="AC24" s="14" t="s">
        <v>4</v>
      </c>
      <c r="AD24" s="14" t="s">
        <v>5</v>
      </c>
      <c r="AE24" s="14" t="s">
        <v>6</v>
      </c>
      <c r="AF24" s="14" t="s">
        <v>7</v>
      </c>
      <c r="AG24" s="14" t="s">
        <v>8</v>
      </c>
      <c r="AH24" s="14" t="s">
        <v>9</v>
      </c>
      <c r="AI24" s="14" t="s">
        <v>10</v>
      </c>
      <c r="AJ24" s="14" t="s">
        <v>11</v>
      </c>
      <c r="AK24" s="14" t="s">
        <v>12</v>
      </c>
      <c r="AL24" s="14" t="s">
        <v>13</v>
      </c>
    </row>
    <row r="25" spans="1:38" ht="15" customHeight="1">
      <c r="A25" s="307"/>
      <c r="B25" s="458"/>
      <c r="C25" s="308">
        <v>3</v>
      </c>
      <c r="D25" s="310" t="s">
        <v>1322</v>
      </c>
      <c r="E25" s="309" t="s">
        <v>1320</v>
      </c>
      <c r="F25" s="492">
        <v>350</v>
      </c>
      <c r="G25" s="492">
        <v>79</v>
      </c>
      <c r="H25" s="492">
        <v>240</v>
      </c>
      <c r="I25" s="492">
        <v>2</v>
      </c>
      <c r="J25" s="492">
        <v>33</v>
      </c>
      <c r="K25" s="512">
        <v>23</v>
      </c>
      <c r="L25" s="513">
        <v>16000</v>
      </c>
      <c r="M25" s="505">
        <v>240</v>
      </c>
      <c r="N25" s="763">
        <v>5400</v>
      </c>
      <c r="O25" s="763">
        <v>9200</v>
      </c>
      <c r="P25" s="505">
        <v>110</v>
      </c>
      <c r="Q25" s="763">
        <v>1700</v>
      </c>
      <c r="R25" s="309">
        <f t="shared" si="1"/>
        <v>290.37621984740048</v>
      </c>
      <c r="S25" s="309">
        <v>100</v>
      </c>
      <c r="W25" s="1036" t="s">
        <v>1323</v>
      </c>
      <c r="X25" s="1037"/>
      <c r="Y25" s="886" t="s">
        <v>1318</v>
      </c>
      <c r="Z25" s="883" t="s">
        <v>29</v>
      </c>
      <c r="AA25" s="32">
        <v>1</v>
      </c>
      <c r="AB25" s="65" t="s">
        <v>1282</v>
      </c>
      <c r="AC25" s="35">
        <f>R7</f>
        <v>5.8291666666666666</v>
      </c>
      <c r="AD25" s="14" t="s">
        <v>905</v>
      </c>
      <c r="AE25" s="35">
        <f>R10</f>
        <v>42.5</v>
      </c>
      <c r="AF25" s="35">
        <f>R13</f>
        <v>7.706666666666667</v>
      </c>
      <c r="AG25" s="35">
        <f>R16</f>
        <v>29.370000000000005</v>
      </c>
      <c r="AH25" s="35">
        <f>R19</f>
        <v>12.083333333333334</v>
      </c>
      <c r="AI25" s="33">
        <f>R23</f>
        <v>398.95365240493186</v>
      </c>
      <c r="AJ25" s="28">
        <f>R28</f>
        <v>0.42575000000000007</v>
      </c>
      <c r="AK25" s="28">
        <f>R31</f>
        <v>0.17341666666666666</v>
      </c>
      <c r="AL25" s="14" t="s">
        <v>905</v>
      </c>
    </row>
    <row r="26" spans="1:38" ht="15" customHeight="1">
      <c r="A26" s="307"/>
      <c r="B26" s="1080" t="s">
        <v>1068</v>
      </c>
      <c r="C26" s="1081"/>
      <c r="D26" s="1082"/>
      <c r="E26" s="317"/>
      <c r="F26" s="514">
        <f>GEOMEAN(F23:F25)</f>
        <v>700</v>
      </c>
      <c r="G26" s="514">
        <f t="shared" ref="G26:Q26" si="2">GEOMEAN(G23:G25)</f>
        <v>488.10317624928086</v>
      </c>
      <c r="H26" s="514">
        <f t="shared" si="2"/>
        <v>93.72061301150373</v>
      </c>
      <c r="I26" s="514">
        <f t="shared" si="2"/>
        <v>5.9154816997007167</v>
      </c>
      <c r="J26" s="514">
        <f t="shared" si="2"/>
        <v>37.647948862612857</v>
      </c>
      <c r="K26" s="514">
        <f t="shared" si="2"/>
        <v>39.140192359989292</v>
      </c>
      <c r="L26" s="514">
        <f t="shared" si="2"/>
        <v>8016.6320645076603</v>
      </c>
      <c r="M26" s="514">
        <f t="shared" si="2"/>
        <v>356.6353171657878</v>
      </c>
      <c r="N26" s="514">
        <f t="shared" si="2"/>
        <v>5276.1956065898148</v>
      </c>
      <c r="O26" s="514">
        <f>GEOMEAN(O23:O25)</f>
        <v>5581.4864810701374</v>
      </c>
      <c r="P26" s="514">
        <f t="shared" si="2"/>
        <v>100.03332222839094</v>
      </c>
      <c r="Q26" s="514">
        <f t="shared" si="2"/>
        <v>1470.3819946068136</v>
      </c>
      <c r="R26" s="318">
        <f>GEOMEAN(F26:P26)</f>
        <v>307.81779444621685</v>
      </c>
      <c r="S26" s="338">
        <v>100</v>
      </c>
      <c r="W26" s="1038"/>
      <c r="X26" s="1039"/>
      <c r="Y26" s="1196"/>
      <c r="Z26" s="1196"/>
      <c r="AA26" s="32">
        <v>2</v>
      </c>
      <c r="AB26" s="65" t="s">
        <v>1285</v>
      </c>
      <c r="AC26" s="35">
        <f t="shared" ref="AC26:AC27" si="3">R8</f>
        <v>5.519166666666667</v>
      </c>
      <c r="AD26" s="14" t="s">
        <v>905</v>
      </c>
      <c r="AE26" s="35">
        <f t="shared" ref="AE26:AE27" si="4">R11</f>
        <v>59.916666666666664</v>
      </c>
      <c r="AF26" s="35">
        <f t="shared" ref="AF26:AF27" si="5">R14</f>
        <v>7.7725</v>
      </c>
      <c r="AG26" s="35">
        <f>R17</f>
        <v>29.139166666666668</v>
      </c>
      <c r="AH26" s="35">
        <f>R20</f>
        <v>12.083333333333334</v>
      </c>
      <c r="AI26" s="33">
        <f t="shared" ref="AI26:AI27" si="6">R24</f>
        <v>372.20464362419693</v>
      </c>
      <c r="AJ26" s="28">
        <f t="shared" ref="AJ26:AJ27" si="7">R29</f>
        <v>0.45641666666666669</v>
      </c>
      <c r="AK26" s="28">
        <f t="shared" ref="AK26:AK27" si="8">R32</f>
        <v>0.16875000000000004</v>
      </c>
      <c r="AL26" s="14" t="s">
        <v>905</v>
      </c>
    </row>
    <row r="27" spans="1:38" ht="15" customHeight="1">
      <c r="A27" s="312"/>
      <c r="B27" s="313"/>
      <c r="C27" s="313"/>
      <c r="D27" s="354"/>
      <c r="E27" s="313"/>
      <c r="F27" s="509"/>
      <c r="G27" s="509"/>
      <c r="H27" s="509"/>
      <c r="I27" s="509"/>
      <c r="J27" s="509"/>
      <c r="K27" s="509"/>
      <c r="L27" s="509"/>
      <c r="M27" s="509"/>
      <c r="N27" s="509"/>
      <c r="O27" s="313"/>
      <c r="P27" s="509"/>
      <c r="Q27" s="509"/>
      <c r="R27" s="313"/>
      <c r="S27" s="311"/>
      <c r="W27" s="1040"/>
      <c r="X27" s="1041"/>
      <c r="Y27" s="1197"/>
      <c r="Z27" s="1197"/>
      <c r="AA27" s="32">
        <v>3</v>
      </c>
      <c r="AB27" s="65" t="s">
        <v>1287</v>
      </c>
      <c r="AC27" s="35">
        <f t="shared" si="3"/>
        <v>5.5341666666666676</v>
      </c>
      <c r="AD27" s="14" t="s">
        <v>905</v>
      </c>
      <c r="AE27" s="35">
        <f t="shared" si="4"/>
        <v>49.333333333333336</v>
      </c>
      <c r="AF27" s="35">
        <f t="shared" si="5"/>
        <v>7.7066666666666661</v>
      </c>
      <c r="AG27" s="35">
        <f>R18</f>
        <v>29.428333333333338</v>
      </c>
      <c r="AH27" s="35">
        <f>R21</f>
        <v>11.666666666666666</v>
      </c>
      <c r="AI27" s="33">
        <f t="shared" si="6"/>
        <v>290.37621984740048</v>
      </c>
      <c r="AJ27" s="28">
        <f t="shared" si="7"/>
        <v>0.42116666666666669</v>
      </c>
      <c r="AK27" s="28">
        <f t="shared" si="8"/>
        <v>0.16425000000000001</v>
      </c>
      <c r="AL27" s="14" t="s">
        <v>905</v>
      </c>
    </row>
    <row r="28" spans="1:38" ht="15" customHeight="1">
      <c r="A28" s="307"/>
      <c r="B28" s="456" t="s">
        <v>726</v>
      </c>
      <c r="C28" s="303">
        <v>1</v>
      </c>
      <c r="D28" s="305" t="s">
        <v>1319</v>
      </c>
      <c r="E28" s="304" t="s">
        <v>1320</v>
      </c>
      <c r="F28" s="572">
        <v>6.9000000000000006E-2</v>
      </c>
      <c r="G28" s="572">
        <v>0.627</v>
      </c>
      <c r="H28" s="572">
        <v>0.33200000000000002</v>
      </c>
      <c r="I28" s="572">
        <v>0.79700000000000004</v>
      </c>
      <c r="J28" s="572">
        <v>0.16800000000000001</v>
      </c>
      <c r="K28" s="573">
        <v>0.42</v>
      </c>
      <c r="L28" s="572">
        <v>0.46700000000000003</v>
      </c>
      <c r="M28" s="483">
        <v>0.18</v>
      </c>
      <c r="N28" s="483">
        <v>0.38100000000000001</v>
      </c>
      <c r="O28" s="483">
        <v>0.70599999999999996</v>
      </c>
      <c r="P28" s="506">
        <v>0.45300000000000001</v>
      </c>
      <c r="Q28" s="483">
        <v>0.50900000000000001</v>
      </c>
      <c r="R28" s="538">
        <f>AVERAGE(F28:Q28)</f>
        <v>0.42575000000000007</v>
      </c>
      <c r="S28" s="304">
        <v>10</v>
      </c>
      <c r="W28" s="1179"/>
      <c r="X28" s="1180"/>
      <c r="Y28" s="1177"/>
      <c r="Z28" s="1177"/>
      <c r="AA28" s="1177"/>
      <c r="AB28" s="1177"/>
      <c r="AC28" s="1177"/>
      <c r="AD28" s="1177"/>
      <c r="AE28" s="1177"/>
      <c r="AF28" s="1177"/>
      <c r="AG28" s="1177"/>
      <c r="AH28" s="1177"/>
      <c r="AI28" s="1177"/>
      <c r="AJ28" s="1177"/>
      <c r="AK28" s="1177"/>
      <c r="AL28" s="1178"/>
    </row>
    <row r="29" spans="1:38" ht="15" customHeight="1">
      <c r="A29" s="307"/>
      <c r="B29" s="457"/>
      <c r="C29" s="308">
        <v>2</v>
      </c>
      <c r="D29" s="310" t="s">
        <v>1321</v>
      </c>
      <c r="E29" s="309" t="s">
        <v>1320</v>
      </c>
      <c r="F29" s="536">
        <v>0.159</v>
      </c>
      <c r="G29" s="536">
        <v>0.90500000000000003</v>
      </c>
      <c r="H29" s="536">
        <v>0.40899999999999997</v>
      </c>
      <c r="I29" s="536">
        <v>0.47199999999999998</v>
      </c>
      <c r="J29" s="536">
        <v>0.44600000000000001</v>
      </c>
      <c r="K29" s="537">
        <v>0.222</v>
      </c>
      <c r="L29" s="574">
        <v>0.52800000000000002</v>
      </c>
      <c r="M29" s="484">
        <v>0.151</v>
      </c>
      <c r="N29" s="484">
        <v>0.60699999999999998</v>
      </c>
      <c r="O29" s="484">
        <v>0.82</v>
      </c>
      <c r="P29" s="505">
        <v>0.40100000000000002</v>
      </c>
      <c r="Q29" s="484">
        <v>0.35699999999999998</v>
      </c>
      <c r="R29" s="537">
        <f t="shared" ref="R29:R33" si="9">AVERAGE(F29:Q29)</f>
        <v>0.45641666666666669</v>
      </c>
      <c r="S29" s="309">
        <v>10</v>
      </c>
      <c r="W29" s="14" t="s">
        <v>93</v>
      </c>
      <c r="X29" s="291"/>
      <c r="Y29" s="1167"/>
      <c r="Z29" s="1160"/>
      <c r="AA29" s="1160"/>
      <c r="AB29" s="1181"/>
      <c r="AC29" s="35">
        <f>AVERAGE(AC25:AC27)</f>
        <v>5.6275000000000004</v>
      </c>
      <c r="AD29" s="14" t="s">
        <v>905</v>
      </c>
      <c r="AE29" s="35">
        <f>AVERAGE(AE25:AE27)</f>
        <v>50.583333333333336</v>
      </c>
      <c r="AF29" s="35">
        <f>AVERAGE(AF25:AF27)</f>
        <v>7.7286111111111113</v>
      </c>
      <c r="AG29" s="35">
        <f>AVERAGE(AG25:AG27)</f>
        <v>29.312500000000004</v>
      </c>
      <c r="AH29" s="35">
        <f>AVERAGE(AH25:AH27)</f>
        <v>11.944444444444445</v>
      </c>
      <c r="AI29" s="33">
        <f>AVERAGE(AI25:AI27)</f>
        <v>353.84483862550974</v>
      </c>
      <c r="AJ29" s="28">
        <f>AVERAGE(AJ25:AJ27)</f>
        <v>0.43444444444444447</v>
      </c>
      <c r="AK29" s="28">
        <f>AVERAGE(AK25:AK27)</f>
        <v>0.16880555555555557</v>
      </c>
      <c r="AL29" s="14" t="s">
        <v>905</v>
      </c>
    </row>
    <row r="30" spans="1:38" ht="15" customHeight="1">
      <c r="A30" s="307"/>
      <c r="B30" s="458"/>
      <c r="C30" s="308">
        <v>3</v>
      </c>
      <c r="D30" s="310" t="s">
        <v>1322</v>
      </c>
      <c r="E30" s="309" t="s">
        <v>1320</v>
      </c>
      <c r="F30" s="536">
        <v>0.254</v>
      </c>
      <c r="G30" s="536">
        <v>1.0269999999999999</v>
      </c>
      <c r="H30" s="536">
        <v>0.33600000000000002</v>
      </c>
      <c r="I30" s="536">
        <v>4.2999999999999997E-2</v>
      </c>
      <c r="J30" s="536">
        <v>9.6000000000000002E-2</v>
      </c>
      <c r="K30" s="537">
        <v>4.2999999999999997E-2</v>
      </c>
      <c r="L30" s="574">
        <v>0.497</v>
      </c>
      <c r="M30" s="484">
        <v>0.158</v>
      </c>
      <c r="N30" s="484">
        <v>0.91300000000000003</v>
      </c>
      <c r="O30" s="484">
        <v>0.73199999999999998</v>
      </c>
      <c r="P30" s="505">
        <v>0.437</v>
      </c>
      <c r="Q30" s="484">
        <v>0.51800000000000002</v>
      </c>
      <c r="R30" s="537">
        <f t="shared" si="9"/>
        <v>0.42116666666666669</v>
      </c>
      <c r="S30" s="309">
        <v>10</v>
      </c>
      <c r="W30" s="14" t="s">
        <v>94</v>
      </c>
      <c r="X30" s="293"/>
      <c r="Y30" s="1182"/>
      <c r="Z30" s="1176"/>
      <c r="AA30" s="1176"/>
      <c r="AB30" s="1183"/>
      <c r="AC30" s="35">
        <f>MIN(AC25:AC27)</f>
        <v>5.519166666666667</v>
      </c>
      <c r="AD30" s="14" t="s">
        <v>905</v>
      </c>
      <c r="AE30" s="35">
        <f>MIN(AE25:AE27)</f>
        <v>42.5</v>
      </c>
      <c r="AF30" s="35">
        <f>MIN(AF25:AF27)</f>
        <v>7.7066666666666661</v>
      </c>
      <c r="AG30" s="35">
        <f>MIN(AG25:AG27)</f>
        <v>29.139166666666668</v>
      </c>
      <c r="AH30" s="35">
        <f>MIN(AH25:AH27)</f>
        <v>11.666666666666666</v>
      </c>
      <c r="AI30" s="33">
        <f>MIN(AI25:AI27)</f>
        <v>290.37621984740048</v>
      </c>
      <c r="AJ30" s="28">
        <f>MIN(AJ25:AJ27)</f>
        <v>0.42116666666666669</v>
      </c>
      <c r="AK30" s="28">
        <f>MIN(AK25:AK27)</f>
        <v>0.16425000000000001</v>
      </c>
      <c r="AL30" s="14" t="s">
        <v>905</v>
      </c>
    </row>
    <row r="31" spans="1:38" ht="15" customHeight="1">
      <c r="A31" s="307"/>
      <c r="B31" s="456" t="s">
        <v>727</v>
      </c>
      <c r="C31" s="303">
        <v>1</v>
      </c>
      <c r="D31" s="305" t="s">
        <v>1319</v>
      </c>
      <c r="E31" s="304" t="s">
        <v>1320</v>
      </c>
      <c r="F31" s="572">
        <v>0.156</v>
      </c>
      <c r="G31" s="572">
        <v>2.4E-2</v>
      </c>
      <c r="H31" s="572">
        <v>9.6000000000000002E-2</v>
      </c>
      <c r="I31" s="572">
        <v>0.20100000000000001</v>
      </c>
      <c r="J31" s="572">
        <v>0.11899999999999999</v>
      </c>
      <c r="K31" s="573">
        <v>0.26</v>
      </c>
      <c r="L31" s="572">
        <v>0.30499999999999999</v>
      </c>
      <c r="M31" s="483">
        <v>0.16</v>
      </c>
      <c r="N31" s="483">
        <v>0.33400000000000002</v>
      </c>
      <c r="O31" s="483">
        <v>0.12</v>
      </c>
      <c r="P31" s="506">
        <v>0.14499999999999999</v>
      </c>
      <c r="Q31" s="483">
        <v>0.161</v>
      </c>
      <c r="R31" s="538">
        <f t="shared" si="9"/>
        <v>0.17341666666666666</v>
      </c>
      <c r="S31" s="304">
        <v>0.2</v>
      </c>
      <c r="W31" s="14" t="s">
        <v>95</v>
      </c>
      <c r="X31" s="293"/>
      <c r="Y31" s="1182"/>
      <c r="Z31" s="1176"/>
      <c r="AA31" s="1176"/>
      <c r="AB31" s="1183"/>
      <c r="AC31" s="35">
        <f>MAX(AC25:AC27)</f>
        <v>5.8291666666666666</v>
      </c>
      <c r="AD31" s="14" t="s">
        <v>905</v>
      </c>
      <c r="AE31" s="35">
        <f>MAX(AE25:AE27)</f>
        <v>59.916666666666664</v>
      </c>
      <c r="AF31" s="35">
        <f>MAX(AF25:AF27)</f>
        <v>7.7725</v>
      </c>
      <c r="AG31" s="35">
        <f>MAX(AG25:AG27)</f>
        <v>29.428333333333338</v>
      </c>
      <c r="AH31" s="35">
        <f>MAX(AH25:AH27)</f>
        <v>12.083333333333334</v>
      </c>
      <c r="AI31" s="33">
        <f>MAX(AI25:AI27)</f>
        <v>398.95365240493186</v>
      </c>
      <c r="AJ31" s="28">
        <f>MAX(AJ25:AJ27)</f>
        <v>0.45641666666666669</v>
      </c>
      <c r="AK31" s="28">
        <f>MAX(AK25:AK27)</f>
        <v>0.17341666666666666</v>
      </c>
      <c r="AL31" s="14" t="s">
        <v>905</v>
      </c>
    </row>
    <row r="32" spans="1:38" ht="15" customHeight="1">
      <c r="A32" s="307"/>
      <c r="B32" s="457"/>
      <c r="C32" s="308">
        <v>2</v>
      </c>
      <c r="D32" s="310" t="s">
        <v>1321</v>
      </c>
      <c r="E32" s="309" t="s">
        <v>1320</v>
      </c>
      <c r="F32" s="536">
        <v>0.19900000000000001</v>
      </c>
      <c r="G32" s="536">
        <v>7.0000000000000007E-2</v>
      </c>
      <c r="H32" s="536">
        <v>6.3E-2</v>
      </c>
      <c r="I32" s="536">
        <v>0.14899999999999999</v>
      </c>
      <c r="J32" s="536">
        <v>9.4E-2</v>
      </c>
      <c r="K32" s="537">
        <v>0.23899999999999999</v>
      </c>
      <c r="L32" s="536">
        <v>0.307</v>
      </c>
      <c r="M32" s="484">
        <v>0.151</v>
      </c>
      <c r="N32" s="484">
        <v>0.35199999999999998</v>
      </c>
      <c r="O32" s="484">
        <v>0.10199999999999999</v>
      </c>
      <c r="P32" s="505">
        <v>0.122</v>
      </c>
      <c r="Q32" s="484">
        <v>0.17699999999999999</v>
      </c>
      <c r="R32" s="537">
        <f t="shared" si="9"/>
        <v>0.16875000000000004</v>
      </c>
      <c r="S32" s="309">
        <v>0.2</v>
      </c>
      <c r="W32" s="14" t="s">
        <v>96</v>
      </c>
      <c r="X32" s="292"/>
      <c r="Y32" s="1184"/>
      <c r="Z32" s="1159"/>
      <c r="AA32" s="1159"/>
      <c r="AB32" s="1185"/>
      <c r="AC32" s="118" t="s">
        <v>906</v>
      </c>
      <c r="AD32" s="118" t="s">
        <v>905</v>
      </c>
      <c r="AE32" s="118" t="s">
        <v>907</v>
      </c>
      <c r="AF32" s="118" t="s">
        <v>908</v>
      </c>
      <c r="AG32" s="29" t="s">
        <v>909</v>
      </c>
      <c r="AH32" s="118" t="s">
        <v>699</v>
      </c>
      <c r="AI32" s="118" t="s">
        <v>700</v>
      </c>
      <c r="AJ32" s="118" t="s">
        <v>910</v>
      </c>
      <c r="AK32" s="118" t="s">
        <v>911</v>
      </c>
      <c r="AL32" s="118" t="s">
        <v>905</v>
      </c>
    </row>
    <row r="33" spans="1:20" ht="45">
      <c r="A33" s="307"/>
      <c r="B33" s="458"/>
      <c r="C33" s="308">
        <v>3</v>
      </c>
      <c r="D33" s="310" t="s">
        <v>1322</v>
      </c>
      <c r="E33" s="309" t="s">
        <v>1320</v>
      </c>
      <c r="F33" s="536">
        <v>0.16700000000000001</v>
      </c>
      <c r="G33" s="536">
        <v>0.06</v>
      </c>
      <c r="H33" s="536">
        <v>5.8999999999999997E-2</v>
      </c>
      <c r="I33" s="536">
        <v>0.13900000000000001</v>
      </c>
      <c r="J33" s="536">
        <v>0.14199999999999999</v>
      </c>
      <c r="K33" s="537">
        <v>7.6999999999999999E-2</v>
      </c>
      <c r="L33" s="536">
        <v>0.32900000000000001</v>
      </c>
      <c r="M33" s="484">
        <v>0.158</v>
      </c>
      <c r="N33" s="484">
        <v>0.36199999999999999</v>
      </c>
      <c r="O33" s="484">
        <v>0.114</v>
      </c>
      <c r="P33" s="505">
        <v>0.17699999999999999</v>
      </c>
      <c r="Q33" s="484">
        <v>0.187</v>
      </c>
      <c r="R33" s="537">
        <f t="shared" si="9"/>
        <v>0.16425000000000001</v>
      </c>
      <c r="S33" s="309">
        <v>0.2</v>
      </c>
    </row>
    <row r="34" spans="1:20" ht="273.75">
      <c r="A34" s="452"/>
      <c r="B34" s="355" t="s">
        <v>314</v>
      </c>
      <c r="C34" s="303">
        <v>1</v>
      </c>
      <c r="D34" s="463" t="s">
        <v>1324</v>
      </c>
      <c r="E34" s="464" t="s">
        <v>1320</v>
      </c>
      <c r="F34" s="463" t="s">
        <v>1325</v>
      </c>
      <c r="G34" s="463" t="s">
        <v>1326</v>
      </c>
      <c r="H34" s="463" t="s">
        <v>1327</v>
      </c>
      <c r="I34" s="463" t="s">
        <v>1328</v>
      </c>
      <c r="J34" s="463" t="s">
        <v>1329</v>
      </c>
      <c r="K34" s="463" t="s">
        <v>1330</v>
      </c>
      <c r="L34" s="463" t="s">
        <v>1331</v>
      </c>
      <c r="M34" s="508" t="s">
        <v>1332</v>
      </c>
      <c r="N34" s="508" t="s">
        <v>1333</v>
      </c>
      <c r="O34" s="508" t="s">
        <v>1334</v>
      </c>
      <c r="P34" s="508" t="s">
        <v>1335</v>
      </c>
      <c r="Q34" s="508" t="s">
        <v>1336</v>
      </c>
      <c r="R34" s="300"/>
      <c r="S34" s="301"/>
    </row>
    <row r="35" spans="1:20" ht="304.5">
      <c r="A35" s="319"/>
      <c r="B35" s="300"/>
      <c r="C35" s="308">
        <v>2</v>
      </c>
      <c r="D35" s="310" t="s">
        <v>1265</v>
      </c>
      <c r="E35" s="309" t="s">
        <v>1320</v>
      </c>
      <c r="F35" s="310" t="s">
        <v>1337</v>
      </c>
      <c r="G35" s="310" t="s">
        <v>1338</v>
      </c>
      <c r="H35" s="310" t="s">
        <v>1339</v>
      </c>
      <c r="I35" s="310" t="s">
        <v>1340</v>
      </c>
      <c r="J35" s="310" t="s">
        <v>1341</v>
      </c>
      <c r="K35" s="310" t="s">
        <v>1342</v>
      </c>
      <c r="L35" s="310" t="s">
        <v>1343</v>
      </c>
      <c r="M35" s="320" t="s">
        <v>1344</v>
      </c>
      <c r="N35" s="320" t="s">
        <v>1333</v>
      </c>
      <c r="O35" s="320" t="s">
        <v>1334</v>
      </c>
      <c r="P35" s="320" t="s">
        <v>1345</v>
      </c>
      <c r="Q35" s="707" t="s">
        <v>1336</v>
      </c>
      <c r="R35" s="300"/>
      <c r="S35" s="301"/>
    </row>
    <row r="36" spans="1:20" ht="198">
      <c r="A36" s="450"/>
      <c r="B36" s="451"/>
      <c r="C36" s="308">
        <v>3</v>
      </c>
      <c r="D36" s="310" t="s">
        <v>1275</v>
      </c>
      <c r="E36" s="309" t="s">
        <v>1320</v>
      </c>
      <c r="F36" s="310" t="s">
        <v>1346</v>
      </c>
      <c r="G36" s="310" t="s">
        <v>1347</v>
      </c>
      <c r="H36" s="310" t="s">
        <v>1348</v>
      </c>
      <c r="I36" s="310" t="s">
        <v>1349</v>
      </c>
      <c r="J36" s="310" t="s">
        <v>1350</v>
      </c>
      <c r="K36" s="310" t="s">
        <v>1351</v>
      </c>
      <c r="L36" s="310" t="s">
        <v>1352</v>
      </c>
      <c r="M36" s="320" t="s">
        <v>1353</v>
      </c>
      <c r="N36" s="320" t="s">
        <v>1333</v>
      </c>
      <c r="O36" s="320" t="s">
        <v>1334</v>
      </c>
      <c r="P36" s="320" t="s">
        <v>1345</v>
      </c>
      <c r="Q36" s="707" t="s">
        <v>1336</v>
      </c>
      <c r="R36" s="300"/>
      <c r="S36" s="301"/>
    </row>
    <row r="37" spans="1:20">
      <c r="A37" s="453"/>
      <c r="B37" s="454"/>
      <c r="C37" s="455"/>
      <c r="D37" s="354"/>
      <c r="E37" s="313"/>
      <c r="F37" s="313"/>
      <c r="G37" s="313"/>
      <c r="H37" s="313"/>
      <c r="I37" s="313"/>
      <c r="J37" s="313"/>
      <c r="K37" s="313"/>
      <c r="L37" s="313"/>
      <c r="M37" s="313">
        <v>12</v>
      </c>
      <c r="N37" s="313"/>
      <c r="O37" s="313">
        <v>21</v>
      </c>
      <c r="P37" s="313"/>
      <c r="Q37" s="313"/>
      <c r="R37" s="313"/>
      <c r="S37" s="311"/>
    </row>
    <row r="40" spans="1:20">
      <c r="D40" s="640" t="s">
        <v>175</v>
      </c>
      <c r="E40" s="232"/>
      <c r="F40" s="232"/>
      <c r="G40" s="232"/>
      <c r="H40" s="232"/>
      <c r="I40" s="232"/>
      <c r="J40" s="232"/>
      <c r="K40" s="232"/>
      <c r="L40" s="232"/>
      <c r="M40" s="232"/>
      <c r="N40" s="232"/>
      <c r="O40" s="232"/>
      <c r="P40" s="232"/>
      <c r="Q40" s="232"/>
      <c r="R40" s="232"/>
      <c r="S40" s="232"/>
    </row>
    <row r="41" spans="1:20">
      <c r="C41" s="232"/>
      <c r="D41" s="873" t="s">
        <v>1354</v>
      </c>
      <c r="E41" s="874"/>
      <c r="F41" s="874"/>
      <c r="G41" s="874"/>
      <c r="H41" s="874"/>
      <c r="I41" s="874"/>
      <c r="J41" s="874"/>
      <c r="K41" s="874"/>
      <c r="L41" s="874"/>
      <c r="M41" s="874"/>
      <c r="N41" s="874"/>
      <c r="O41" s="874"/>
      <c r="P41" s="874"/>
      <c r="Q41" s="874"/>
      <c r="R41" s="874"/>
      <c r="S41" s="875"/>
      <c r="T41" s="232"/>
    </row>
    <row r="42" spans="1:20">
      <c r="C42" s="232"/>
      <c r="D42" s="876"/>
      <c r="E42" s="877"/>
      <c r="F42" s="877"/>
      <c r="G42" s="877"/>
      <c r="H42" s="877"/>
      <c r="I42" s="877"/>
      <c r="J42" s="877"/>
      <c r="K42" s="877"/>
      <c r="L42" s="877"/>
      <c r="M42" s="877"/>
      <c r="N42" s="877"/>
      <c r="O42" s="877"/>
      <c r="P42" s="877"/>
      <c r="Q42" s="877"/>
      <c r="R42" s="877"/>
      <c r="S42" s="878"/>
      <c r="T42" s="232"/>
    </row>
    <row r="43" spans="1:20">
      <c r="C43" s="232"/>
      <c r="D43" s="876"/>
      <c r="E43" s="877"/>
      <c r="F43" s="877"/>
      <c r="G43" s="877"/>
      <c r="H43" s="877"/>
      <c r="I43" s="877"/>
      <c r="J43" s="877"/>
      <c r="K43" s="877"/>
      <c r="L43" s="877"/>
      <c r="M43" s="877"/>
      <c r="N43" s="877"/>
      <c r="O43" s="877"/>
      <c r="P43" s="877"/>
      <c r="Q43" s="877"/>
      <c r="R43" s="877"/>
      <c r="S43" s="878"/>
      <c r="T43" s="232"/>
    </row>
    <row r="44" spans="1:20">
      <c r="C44" s="232"/>
      <c r="D44" s="876"/>
      <c r="E44" s="877"/>
      <c r="F44" s="877"/>
      <c r="G44" s="877"/>
      <c r="H44" s="877"/>
      <c r="I44" s="877"/>
      <c r="J44" s="877"/>
      <c r="K44" s="877"/>
      <c r="L44" s="877"/>
      <c r="M44" s="877"/>
      <c r="N44" s="877"/>
      <c r="O44" s="877"/>
      <c r="P44" s="877"/>
      <c r="Q44" s="877"/>
      <c r="R44" s="877"/>
      <c r="S44" s="878"/>
      <c r="T44" s="232"/>
    </row>
    <row r="45" spans="1:20">
      <c r="C45" s="232"/>
      <c r="D45" s="876"/>
      <c r="E45" s="877"/>
      <c r="F45" s="877"/>
      <c r="G45" s="877"/>
      <c r="H45" s="877"/>
      <c r="I45" s="877"/>
      <c r="J45" s="877"/>
      <c r="K45" s="877"/>
      <c r="L45" s="877"/>
      <c r="M45" s="877"/>
      <c r="N45" s="877"/>
      <c r="O45" s="877"/>
      <c r="P45" s="877"/>
      <c r="Q45" s="877"/>
      <c r="R45" s="877"/>
      <c r="S45" s="878"/>
      <c r="T45" s="232"/>
    </row>
    <row r="46" spans="1:20">
      <c r="C46" s="232"/>
      <c r="D46" s="876"/>
      <c r="E46" s="877"/>
      <c r="F46" s="877"/>
      <c r="G46" s="877"/>
      <c r="H46" s="877"/>
      <c r="I46" s="877"/>
      <c r="J46" s="877"/>
      <c r="K46" s="877"/>
      <c r="L46" s="877"/>
      <c r="M46" s="877"/>
      <c r="N46" s="877"/>
      <c r="O46" s="877"/>
      <c r="P46" s="877"/>
      <c r="Q46" s="877"/>
      <c r="R46" s="877"/>
      <c r="S46" s="878"/>
      <c r="T46" s="232"/>
    </row>
    <row r="47" spans="1:20">
      <c r="C47" s="232"/>
      <c r="D47" s="876"/>
      <c r="E47" s="877"/>
      <c r="F47" s="877"/>
      <c r="G47" s="877"/>
      <c r="H47" s="877"/>
      <c r="I47" s="877"/>
      <c r="J47" s="877"/>
      <c r="K47" s="877"/>
      <c r="L47" s="877"/>
      <c r="M47" s="877"/>
      <c r="N47" s="877"/>
      <c r="O47" s="877"/>
      <c r="P47" s="877"/>
      <c r="Q47" s="877"/>
      <c r="R47" s="877"/>
      <c r="S47" s="878"/>
      <c r="T47" s="232"/>
    </row>
    <row r="48" spans="1:20">
      <c r="C48" s="232"/>
      <c r="D48" s="876"/>
      <c r="E48" s="877"/>
      <c r="F48" s="877"/>
      <c r="G48" s="877"/>
      <c r="H48" s="877"/>
      <c r="I48" s="877"/>
      <c r="J48" s="877"/>
      <c r="K48" s="877"/>
      <c r="L48" s="877"/>
      <c r="M48" s="877"/>
      <c r="N48" s="877"/>
      <c r="O48" s="877"/>
      <c r="P48" s="877"/>
      <c r="Q48" s="877"/>
      <c r="R48" s="877"/>
      <c r="S48" s="878"/>
      <c r="T48" s="232"/>
    </row>
    <row r="49" spans="3:20">
      <c r="C49" s="232"/>
      <c r="D49" s="876"/>
      <c r="E49" s="877"/>
      <c r="F49" s="877"/>
      <c r="G49" s="877"/>
      <c r="H49" s="877"/>
      <c r="I49" s="877"/>
      <c r="J49" s="877"/>
      <c r="K49" s="877"/>
      <c r="L49" s="877"/>
      <c r="M49" s="877"/>
      <c r="N49" s="877"/>
      <c r="O49" s="877"/>
      <c r="P49" s="877"/>
      <c r="Q49" s="877"/>
      <c r="R49" s="877"/>
      <c r="S49" s="878"/>
      <c r="T49" s="232"/>
    </row>
    <row r="50" spans="3:20">
      <c r="C50" s="232"/>
      <c r="D50" s="876"/>
      <c r="E50" s="877"/>
      <c r="F50" s="877"/>
      <c r="G50" s="877"/>
      <c r="H50" s="877"/>
      <c r="I50" s="877"/>
      <c r="J50" s="877"/>
      <c r="K50" s="877"/>
      <c r="L50" s="877"/>
      <c r="M50" s="877"/>
      <c r="N50" s="877"/>
      <c r="O50" s="877"/>
      <c r="P50" s="877"/>
      <c r="Q50" s="877"/>
      <c r="R50" s="877"/>
      <c r="S50" s="878"/>
      <c r="T50" s="232"/>
    </row>
    <row r="51" spans="3:20">
      <c r="C51" s="232"/>
      <c r="D51" s="876"/>
      <c r="E51" s="877"/>
      <c r="F51" s="877"/>
      <c r="G51" s="877"/>
      <c r="H51" s="877"/>
      <c r="I51" s="877"/>
      <c r="J51" s="877"/>
      <c r="K51" s="877"/>
      <c r="L51" s="877"/>
      <c r="M51" s="877"/>
      <c r="N51" s="877"/>
      <c r="O51" s="877"/>
      <c r="P51" s="877"/>
      <c r="Q51" s="877"/>
      <c r="R51" s="877"/>
      <c r="S51" s="878"/>
      <c r="T51" s="232"/>
    </row>
    <row r="52" spans="3:20">
      <c r="C52" s="232"/>
      <c r="D52" s="876"/>
      <c r="E52" s="877"/>
      <c r="F52" s="877"/>
      <c r="G52" s="877"/>
      <c r="H52" s="877"/>
      <c r="I52" s="877"/>
      <c r="J52" s="877"/>
      <c r="K52" s="877"/>
      <c r="L52" s="877"/>
      <c r="M52" s="877"/>
      <c r="N52" s="877"/>
      <c r="O52" s="877"/>
      <c r="P52" s="877"/>
      <c r="Q52" s="877"/>
      <c r="R52" s="877"/>
      <c r="S52" s="878"/>
      <c r="T52" s="232"/>
    </row>
    <row r="53" spans="3:20">
      <c r="C53" s="232"/>
      <c r="D53" s="876"/>
      <c r="E53" s="877"/>
      <c r="F53" s="877"/>
      <c r="G53" s="877"/>
      <c r="H53" s="877"/>
      <c r="I53" s="877"/>
      <c r="J53" s="877"/>
      <c r="K53" s="877"/>
      <c r="L53" s="877"/>
      <c r="M53" s="877"/>
      <c r="N53" s="877"/>
      <c r="O53" s="877"/>
      <c r="P53" s="877"/>
      <c r="Q53" s="877"/>
      <c r="R53" s="877"/>
      <c r="S53" s="878"/>
      <c r="T53" s="232"/>
    </row>
    <row r="54" spans="3:20">
      <c r="C54" s="232"/>
      <c r="D54" s="876"/>
      <c r="E54" s="877"/>
      <c r="F54" s="877"/>
      <c r="G54" s="877"/>
      <c r="H54" s="877"/>
      <c r="I54" s="877"/>
      <c r="J54" s="877"/>
      <c r="K54" s="877"/>
      <c r="L54" s="877"/>
      <c r="M54" s="877"/>
      <c r="N54" s="877"/>
      <c r="O54" s="877"/>
      <c r="P54" s="877"/>
      <c r="Q54" s="877"/>
      <c r="R54" s="877"/>
      <c r="S54" s="878"/>
      <c r="T54" s="232"/>
    </row>
    <row r="55" spans="3:20">
      <c r="C55" s="232"/>
      <c r="D55" s="879"/>
      <c r="E55" s="880"/>
      <c r="F55" s="880"/>
      <c r="G55" s="880"/>
      <c r="H55" s="880"/>
      <c r="I55" s="880"/>
      <c r="J55" s="880"/>
      <c r="K55" s="880"/>
      <c r="L55" s="880"/>
      <c r="M55" s="880"/>
      <c r="N55" s="880"/>
      <c r="O55" s="880"/>
      <c r="P55" s="880"/>
      <c r="Q55" s="880"/>
      <c r="R55" s="880"/>
      <c r="S55" s="881"/>
      <c r="T55" s="232"/>
    </row>
    <row r="56" spans="3:20">
      <c r="D56" s="640"/>
      <c r="E56" s="232"/>
      <c r="F56" s="232"/>
      <c r="G56" s="232"/>
      <c r="H56" s="232"/>
      <c r="I56" s="232"/>
      <c r="J56" s="232"/>
      <c r="K56" s="232"/>
      <c r="L56" s="232"/>
      <c r="M56" s="232"/>
      <c r="N56" s="232"/>
      <c r="O56" s="232"/>
      <c r="P56" s="232"/>
      <c r="Q56" s="232"/>
      <c r="R56" s="232"/>
      <c r="S56" s="232"/>
    </row>
  </sheetData>
  <mergeCells count="25">
    <mergeCell ref="D41:S55"/>
    <mergeCell ref="B26:D26"/>
    <mergeCell ref="E1:S1"/>
    <mergeCell ref="E2:S2"/>
    <mergeCell ref="E3:S3"/>
    <mergeCell ref="E4:S4"/>
    <mergeCell ref="E5:S5"/>
    <mergeCell ref="W7:AL7"/>
    <mergeCell ref="W8:AL8"/>
    <mergeCell ref="W9:AB9"/>
    <mergeCell ref="AC9:AL9"/>
    <mergeCell ref="W11:W13"/>
    <mergeCell ref="Y11:Y13"/>
    <mergeCell ref="Z11:Z13"/>
    <mergeCell ref="W14:AL14"/>
    <mergeCell ref="Y15:AB18"/>
    <mergeCell ref="W21:AL21"/>
    <mergeCell ref="W22:AL22"/>
    <mergeCell ref="W23:AB23"/>
    <mergeCell ref="AC23:AL23"/>
    <mergeCell ref="Y25:Y27"/>
    <mergeCell ref="Z25:Z27"/>
    <mergeCell ref="W28:AL28"/>
    <mergeCell ref="Y29:AB32"/>
    <mergeCell ref="W25:X2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F68CB-B9A8-410B-A279-6756587FB0B4}">
  <sheetPr>
    <tabColor rgb="FF833C0B"/>
  </sheetPr>
  <dimension ref="A1:AA1009"/>
  <sheetViews>
    <sheetView workbookViewId="0">
      <pane xSplit="4" ySplit="6" topLeftCell="E14" activePane="bottomRight" state="frozen"/>
      <selection pane="bottomRight" activeCell="U28" sqref="U28"/>
      <selection pane="bottomLeft"/>
      <selection pane="topRight"/>
    </sheetView>
  </sheetViews>
  <sheetFormatPr defaultRowHeight="15"/>
  <cols>
    <col min="2" max="2" width="16.7109375" style="221" customWidth="1"/>
    <col min="3" max="3" width="13.5703125" customWidth="1"/>
    <col min="4" max="5" width="19.140625" customWidth="1"/>
    <col min="26" max="26" width="9.28515625" bestFit="1" customWidth="1"/>
  </cols>
  <sheetData>
    <row r="1" spans="1:27">
      <c r="B1" s="531"/>
      <c r="C1" s="531"/>
      <c r="D1" s="531"/>
      <c r="E1" s="1129" t="s">
        <v>40</v>
      </c>
      <c r="F1" s="1130"/>
      <c r="G1" s="1130"/>
      <c r="H1" s="1130"/>
      <c r="I1" s="1130"/>
      <c r="J1" s="1130"/>
      <c r="K1" s="1130"/>
      <c r="L1" s="1130"/>
      <c r="M1" s="1130"/>
      <c r="N1" s="1130"/>
      <c r="O1" s="1130"/>
      <c r="P1" s="1130"/>
      <c r="Q1" s="1130"/>
      <c r="R1" s="1130"/>
      <c r="S1" s="1131"/>
      <c r="T1" s="298"/>
      <c r="U1" s="298"/>
      <c r="V1" s="298"/>
      <c r="W1" s="298"/>
      <c r="X1" s="298"/>
      <c r="Y1" s="298"/>
      <c r="Z1" s="298"/>
      <c r="AA1" s="299"/>
    </row>
    <row r="2" spans="1:27">
      <c r="B2" s="532"/>
      <c r="C2" s="532"/>
      <c r="D2" s="532"/>
      <c r="E2" s="1132" t="s">
        <v>41</v>
      </c>
      <c r="F2" s="1133"/>
      <c r="G2" s="1133"/>
      <c r="H2" s="1133"/>
      <c r="I2" s="1133"/>
      <c r="J2" s="1133"/>
      <c r="K2" s="1133"/>
      <c r="L2" s="1133"/>
      <c r="M2" s="1133"/>
      <c r="N2" s="1133"/>
      <c r="O2" s="1133"/>
      <c r="P2" s="1133"/>
      <c r="Q2" s="1133"/>
      <c r="R2" s="1133"/>
      <c r="S2" s="1134"/>
      <c r="T2" s="300"/>
      <c r="U2" s="300"/>
      <c r="V2" s="300"/>
      <c r="W2" s="300"/>
      <c r="X2" s="300"/>
      <c r="Y2" s="300"/>
      <c r="Z2" s="300"/>
      <c r="AA2" s="301"/>
    </row>
    <row r="3" spans="1:27">
      <c r="B3" s="534"/>
      <c r="C3" s="534"/>
      <c r="D3" s="534"/>
      <c r="E3" s="1135" t="s">
        <v>42</v>
      </c>
      <c r="F3" s="1136"/>
      <c r="G3" s="1136"/>
      <c r="H3" s="1136"/>
      <c r="I3" s="1136"/>
      <c r="J3" s="1136"/>
      <c r="K3" s="1136"/>
      <c r="L3" s="1136"/>
      <c r="M3" s="1136"/>
      <c r="N3" s="1136"/>
      <c r="O3" s="1136"/>
      <c r="P3" s="1136"/>
      <c r="Q3" s="1136"/>
      <c r="R3" s="1136"/>
      <c r="S3" s="1137"/>
      <c r="T3" s="300"/>
      <c r="U3" s="300"/>
      <c r="V3" s="300"/>
      <c r="W3" s="300"/>
      <c r="X3" s="300"/>
      <c r="Y3" s="300"/>
      <c r="Z3" s="300"/>
      <c r="AA3" s="301"/>
    </row>
    <row r="4" spans="1:27">
      <c r="A4" s="232"/>
      <c r="B4" s="533"/>
      <c r="C4" s="533"/>
      <c r="D4" s="533"/>
      <c r="E4" s="1138" t="s">
        <v>1355</v>
      </c>
      <c r="F4" s="1138"/>
      <c r="G4" s="1138"/>
      <c r="H4" s="1138"/>
      <c r="I4" s="1138"/>
      <c r="J4" s="1138"/>
      <c r="K4" s="1138"/>
      <c r="L4" s="1138"/>
      <c r="M4" s="1138"/>
      <c r="N4" s="1138"/>
      <c r="O4" s="1138"/>
      <c r="P4" s="1138"/>
      <c r="Q4" s="1138"/>
      <c r="R4" s="1138"/>
      <c r="S4" s="1139"/>
      <c r="T4" s="300"/>
      <c r="U4" s="300"/>
      <c r="V4" s="300"/>
      <c r="W4" s="300"/>
      <c r="X4" s="300"/>
      <c r="Y4" s="300"/>
      <c r="Z4" s="300"/>
      <c r="AA4" s="301"/>
    </row>
    <row r="5" spans="1:27">
      <c r="B5" s="535"/>
      <c r="C5" s="535"/>
      <c r="D5" s="535"/>
      <c r="E5" s="1140" t="s">
        <v>1356</v>
      </c>
      <c r="F5" s="1138"/>
      <c r="G5" s="1138"/>
      <c r="H5" s="1138"/>
      <c r="I5" s="1138"/>
      <c r="J5" s="1138"/>
      <c r="K5" s="1138"/>
      <c r="L5" s="1138"/>
      <c r="M5" s="1138"/>
      <c r="N5" s="1138"/>
      <c r="O5" s="1138"/>
      <c r="P5" s="1138"/>
      <c r="Q5" s="1138"/>
      <c r="R5" s="1138"/>
      <c r="S5" s="1139"/>
      <c r="T5" s="300"/>
      <c r="U5" s="300"/>
      <c r="V5" s="300"/>
      <c r="W5" s="300"/>
      <c r="X5" s="300"/>
      <c r="Y5" s="300"/>
      <c r="Z5" s="300"/>
      <c r="AA5" s="301"/>
    </row>
    <row r="6" spans="1:27">
      <c r="A6" s="362" t="s">
        <v>45</v>
      </c>
      <c r="B6" s="352" t="s">
        <v>46</v>
      </c>
      <c r="C6" s="352" t="s">
        <v>47</v>
      </c>
      <c r="D6" s="352" t="s">
        <v>48</v>
      </c>
      <c r="E6" s="352" t="s">
        <v>49</v>
      </c>
      <c r="F6" s="352" t="s">
        <v>50</v>
      </c>
      <c r="G6" s="352" t="s">
        <v>51</v>
      </c>
      <c r="H6" s="352" t="s">
        <v>52</v>
      </c>
      <c r="I6" s="352" t="s">
        <v>53</v>
      </c>
      <c r="J6" s="352" t="s">
        <v>54</v>
      </c>
      <c r="K6" s="352" t="s">
        <v>55</v>
      </c>
      <c r="L6" s="352" t="s">
        <v>56</v>
      </c>
      <c r="M6" s="352" t="s">
        <v>57</v>
      </c>
      <c r="N6" s="352" t="s">
        <v>58</v>
      </c>
      <c r="O6" s="352" t="s">
        <v>59</v>
      </c>
      <c r="P6" s="352" t="s">
        <v>60</v>
      </c>
      <c r="Q6" s="352" t="s">
        <v>61</v>
      </c>
      <c r="R6" s="352" t="s">
        <v>62</v>
      </c>
      <c r="S6" s="352" t="s">
        <v>63</v>
      </c>
      <c r="T6" s="300"/>
      <c r="U6" s="300"/>
      <c r="V6" s="300"/>
      <c r="W6" s="300"/>
      <c r="X6" s="300"/>
      <c r="Y6" s="300"/>
      <c r="Z6" s="300"/>
      <c r="AA6" s="301"/>
    </row>
    <row r="7" spans="1:27" ht="30">
      <c r="A7" s="399" t="s">
        <v>65</v>
      </c>
      <c r="B7" s="527" t="s">
        <v>66</v>
      </c>
      <c r="C7" s="387">
        <v>1</v>
      </c>
      <c r="D7" s="388" t="s">
        <v>1357</v>
      </c>
      <c r="E7" s="388" t="s">
        <v>1358</v>
      </c>
      <c r="F7" s="556">
        <v>4.5599999999999996</v>
      </c>
      <c r="G7" s="556">
        <v>5.86</v>
      </c>
      <c r="H7" s="556">
        <v>5</v>
      </c>
      <c r="I7" s="557">
        <v>4.58</v>
      </c>
      <c r="J7" s="557">
        <v>4.76</v>
      </c>
      <c r="K7" s="558">
        <v>5.03</v>
      </c>
      <c r="L7" s="557">
        <v>5</v>
      </c>
      <c r="M7" s="648">
        <v>7.18</v>
      </c>
      <c r="N7" s="648">
        <v>7.67</v>
      </c>
      <c r="O7" s="648">
        <v>6.57</v>
      </c>
      <c r="P7" s="648">
        <v>6.58</v>
      </c>
      <c r="Q7" s="648">
        <v>5.65</v>
      </c>
      <c r="R7" s="557">
        <f>AVERAGE(F7:Q7)</f>
        <v>5.7033333333333331</v>
      </c>
      <c r="S7" s="400">
        <v>6</v>
      </c>
      <c r="T7" s="300"/>
      <c r="U7" s="300"/>
      <c r="V7" s="300"/>
      <c r="W7" s="300"/>
      <c r="X7" s="300"/>
      <c r="Y7" s="300"/>
      <c r="Z7" s="300"/>
      <c r="AA7" s="301"/>
    </row>
    <row r="8" spans="1:27" ht="15" customHeight="1">
      <c r="A8" s="401"/>
      <c r="B8" s="528"/>
      <c r="C8" s="402">
        <v>2</v>
      </c>
      <c r="D8" s="390" t="s">
        <v>1359</v>
      </c>
      <c r="E8" s="390" t="s">
        <v>1360</v>
      </c>
      <c r="F8" s="559">
        <v>4.3099999999999996</v>
      </c>
      <c r="G8" s="559">
        <v>5.52</v>
      </c>
      <c r="H8" s="559">
        <v>5.56</v>
      </c>
      <c r="I8" s="560">
        <v>4.1100000000000003</v>
      </c>
      <c r="J8" s="560">
        <v>4.8899999999999997</v>
      </c>
      <c r="K8" s="649">
        <v>5.0999999999999996</v>
      </c>
      <c r="L8" s="560">
        <v>5.9</v>
      </c>
      <c r="M8" s="505" t="s">
        <v>1361</v>
      </c>
      <c r="N8" s="505" t="s">
        <v>1361</v>
      </c>
      <c r="O8" s="505" t="s">
        <v>1361</v>
      </c>
      <c r="P8" s="505" t="s">
        <v>1361</v>
      </c>
      <c r="Q8" s="505" t="s">
        <v>1361</v>
      </c>
      <c r="R8" s="560">
        <f>AVERAGE(F8:Q8)</f>
        <v>5.0557142857142852</v>
      </c>
      <c r="S8" s="403">
        <v>6</v>
      </c>
      <c r="T8" s="300"/>
      <c r="U8" s="300"/>
      <c r="V8" s="300"/>
      <c r="W8" s="300"/>
      <c r="X8" s="300"/>
      <c r="Y8" s="300"/>
      <c r="Z8" s="300"/>
      <c r="AA8" s="301"/>
    </row>
    <row r="9" spans="1:27">
      <c r="A9" s="401"/>
      <c r="B9" s="528"/>
      <c r="C9" s="402">
        <v>3</v>
      </c>
      <c r="D9" s="403" t="s">
        <v>1362</v>
      </c>
      <c r="E9" s="403" t="s">
        <v>1358</v>
      </c>
      <c r="F9" s="559">
        <v>3.96</v>
      </c>
      <c r="G9" s="559">
        <v>4.9800000000000004</v>
      </c>
      <c r="H9" s="559">
        <v>4.75</v>
      </c>
      <c r="I9" s="559">
        <v>3.62</v>
      </c>
      <c r="J9" s="559">
        <v>4.2300000000000004</v>
      </c>
      <c r="K9" s="560">
        <v>4.7</v>
      </c>
      <c r="L9" s="559">
        <v>4.8099999999999996</v>
      </c>
      <c r="M9" s="650">
        <v>7.01</v>
      </c>
      <c r="N9" s="650">
        <v>8</v>
      </c>
      <c r="O9" s="650">
        <v>6.67</v>
      </c>
      <c r="P9" s="650">
        <v>6.55</v>
      </c>
      <c r="Q9" s="650">
        <v>8.43</v>
      </c>
      <c r="R9" s="560">
        <f>AVERAGE(F9:Q9)</f>
        <v>5.642500000000001</v>
      </c>
      <c r="S9" s="403">
        <v>6</v>
      </c>
      <c r="T9" s="300"/>
      <c r="U9" s="300"/>
      <c r="V9" s="300"/>
      <c r="W9" s="300"/>
      <c r="X9" s="300"/>
      <c r="Y9" s="300"/>
      <c r="Z9" s="300"/>
      <c r="AA9" s="301"/>
    </row>
    <row r="10" spans="1:27">
      <c r="A10" s="401"/>
      <c r="B10" s="529"/>
      <c r="C10" s="402">
        <v>4</v>
      </c>
      <c r="D10" s="403" t="s">
        <v>1363</v>
      </c>
      <c r="E10" s="403" t="s">
        <v>1364</v>
      </c>
      <c r="F10" s="559">
        <v>4.33</v>
      </c>
      <c r="G10" s="559">
        <v>5.91</v>
      </c>
      <c r="H10" s="559">
        <v>5.27</v>
      </c>
      <c r="I10" s="559">
        <v>4.51</v>
      </c>
      <c r="J10" s="559">
        <v>4.5599999999999996</v>
      </c>
      <c r="K10" s="560">
        <v>5.81</v>
      </c>
      <c r="L10" s="559">
        <v>4.8</v>
      </c>
      <c r="M10" s="650">
        <v>7.27</v>
      </c>
      <c r="N10" s="650">
        <v>8.92</v>
      </c>
      <c r="O10" s="650">
        <v>6.51</v>
      </c>
      <c r="P10" s="650">
        <v>6.35</v>
      </c>
      <c r="Q10" s="650">
        <v>7.52</v>
      </c>
      <c r="R10" s="560">
        <f>AVERAGE(F10:Q10)</f>
        <v>5.9799999999999995</v>
      </c>
      <c r="S10" s="403">
        <v>6</v>
      </c>
      <c r="T10" s="300"/>
      <c r="U10" s="300"/>
      <c r="V10" s="300"/>
      <c r="W10" s="300"/>
      <c r="X10" s="300"/>
      <c r="Y10" s="300"/>
      <c r="Z10" s="300"/>
      <c r="AA10" s="301"/>
    </row>
    <row r="11" spans="1:27" ht="15" customHeight="1">
      <c r="A11" s="401"/>
      <c r="B11" s="527" t="s">
        <v>92</v>
      </c>
      <c r="C11" s="387">
        <v>1</v>
      </c>
      <c r="D11" s="388" t="s">
        <v>1357</v>
      </c>
      <c r="E11" s="388" t="s">
        <v>1358</v>
      </c>
      <c r="F11" s="556">
        <v>12</v>
      </c>
      <c r="G11" s="556">
        <v>11</v>
      </c>
      <c r="H11" s="556">
        <v>11</v>
      </c>
      <c r="I11" s="557">
        <v>7</v>
      </c>
      <c r="J11" s="557">
        <v>30</v>
      </c>
      <c r="K11" s="558">
        <v>150</v>
      </c>
      <c r="L11" s="557">
        <v>42</v>
      </c>
      <c r="M11" s="648">
        <v>20</v>
      </c>
      <c r="N11" s="648">
        <v>28</v>
      </c>
      <c r="O11" s="648">
        <v>42</v>
      </c>
      <c r="P11" s="648">
        <v>27</v>
      </c>
      <c r="Q11" s="648">
        <v>20</v>
      </c>
      <c r="R11" s="557">
        <f t="shared" ref="R11:R26" si="0">AVERAGE(F11:Q11)</f>
        <v>33.333333333333336</v>
      </c>
      <c r="S11" s="400">
        <v>50</v>
      </c>
      <c r="T11" s="300"/>
      <c r="U11" s="300"/>
      <c r="V11" s="300"/>
      <c r="W11" s="300"/>
      <c r="X11" s="300"/>
      <c r="Y11" s="300"/>
      <c r="Z11" s="300"/>
      <c r="AA11" s="301"/>
    </row>
    <row r="12" spans="1:27" ht="15" customHeight="1">
      <c r="A12" s="401"/>
      <c r="B12" s="528"/>
      <c r="C12" s="402">
        <v>2</v>
      </c>
      <c r="D12" s="390" t="s">
        <v>1359</v>
      </c>
      <c r="E12" s="390" t="s">
        <v>1360</v>
      </c>
      <c r="F12" s="559">
        <v>11</v>
      </c>
      <c r="G12" s="559">
        <v>9</v>
      </c>
      <c r="H12" s="559">
        <v>10</v>
      </c>
      <c r="I12" s="560">
        <v>7</v>
      </c>
      <c r="J12" s="560">
        <v>34</v>
      </c>
      <c r="K12" s="649">
        <v>140</v>
      </c>
      <c r="L12" s="560">
        <v>52</v>
      </c>
      <c r="M12" s="505" t="s">
        <v>1361</v>
      </c>
      <c r="N12" s="505" t="s">
        <v>1361</v>
      </c>
      <c r="O12" s="505" t="s">
        <v>1361</v>
      </c>
      <c r="P12" s="505" t="s">
        <v>1361</v>
      </c>
      <c r="Q12" s="505" t="s">
        <v>1361</v>
      </c>
      <c r="R12" s="560">
        <f t="shared" si="0"/>
        <v>37.571428571428569</v>
      </c>
      <c r="S12" s="403">
        <v>50</v>
      </c>
      <c r="T12" s="300"/>
      <c r="U12" s="300"/>
      <c r="V12" s="300"/>
      <c r="W12" s="300"/>
      <c r="X12" s="300"/>
      <c r="Y12" s="300"/>
      <c r="Z12" s="300"/>
      <c r="AA12" s="301"/>
    </row>
    <row r="13" spans="1:27" ht="15" customHeight="1">
      <c r="A13" s="401"/>
      <c r="B13" s="530"/>
      <c r="C13" s="402">
        <v>3</v>
      </c>
      <c r="D13" s="403" t="s">
        <v>1362</v>
      </c>
      <c r="E13" s="403" t="s">
        <v>1358</v>
      </c>
      <c r="F13" s="559">
        <v>10</v>
      </c>
      <c r="G13" s="559">
        <v>9</v>
      </c>
      <c r="H13" s="559">
        <v>15</v>
      </c>
      <c r="I13" s="559">
        <v>11</v>
      </c>
      <c r="J13" s="559">
        <v>24</v>
      </c>
      <c r="K13" s="560">
        <v>152</v>
      </c>
      <c r="L13" s="559">
        <v>44</v>
      </c>
      <c r="M13" s="650">
        <v>27</v>
      </c>
      <c r="N13" s="650">
        <v>29</v>
      </c>
      <c r="O13" s="650">
        <v>42</v>
      </c>
      <c r="P13" s="650">
        <v>28</v>
      </c>
      <c r="Q13" s="650">
        <v>24</v>
      </c>
      <c r="R13" s="560">
        <f t="shared" si="0"/>
        <v>34.583333333333336</v>
      </c>
      <c r="S13" s="403">
        <v>50</v>
      </c>
      <c r="T13" s="300"/>
      <c r="U13" s="300"/>
      <c r="V13" s="300"/>
      <c r="W13" s="300"/>
      <c r="X13" s="300"/>
      <c r="Y13" s="300"/>
      <c r="Z13" s="300"/>
      <c r="AA13" s="301"/>
    </row>
    <row r="14" spans="1:27">
      <c r="A14" s="401"/>
      <c r="B14" s="529"/>
      <c r="C14" s="402">
        <v>4</v>
      </c>
      <c r="D14" s="403" t="s">
        <v>1363</v>
      </c>
      <c r="E14" s="403" t="s">
        <v>1364</v>
      </c>
      <c r="F14" s="559">
        <v>12</v>
      </c>
      <c r="G14" s="559">
        <v>21</v>
      </c>
      <c r="H14" s="559">
        <v>14</v>
      </c>
      <c r="I14" s="559">
        <v>10</v>
      </c>
      <c r="J14" s="559">
        <v>40</v>
      </c>
      <c r="K14" s="560">
        <v>283</v>
      </c>
      <c r="L14" s="559">
        <v>33</v>
      </c>
      <c r="M14" s="650">
        <v>28</v>
      </c>
      <c r="N14" s="650">
        <v>53</v>
      </c>
      <c r="O14" s="650">
        <v>71</v>
      </c>
      <c r="P14" s="650">
        <v>33</v>
      </c>
      <c r="Q14" s="650">
        <v>21</v>
      </c>
      <c r="R14" s="560">
        <f t="shared" si="0"/>
        <v>51.583333333333336</v>
      </c>
      <c r="S14" s="403">
        <v>50</v>
      </c>
      <c r="T14" s="300"/>
      <c r="U14" s="300"/>
      <c r="V14" s="300"/>
      <c r="W14" s="300"/>
      <c r="X14" s="300"/>
      <c r="Y14" s="300"/>
      <c r="Z14" s="300"/>
      <c r="AA14" s="301"/>
    </row>
    <row r="15" spans="1:27" ht="30">
      <c r="A15" s="401"/>
      <c r="B15" s="527" t="s">
        <v>7</v>
      </c>
      <c r="C15" s="387">
        <v>1</v>
      </c>
      <c r="D15" s="388" t="s">
        <v>1357</v>
      </c>
      <c r="E15" s="388" t="s">
        <v>1358</v>
      </c>
      <c r="F15" s="556">
        <v>7.86</v>
      </c>
      <c r="G15" s="556">
        <v>7.61</v>
      </c>
      <c r="H15" s="556">
        <v>7.89</v>
      </c>
      <c r="I15" s="557">
        <v>8.48</v>
      </c>
      <c r="J15" s="557">
        <v>8.7799999999999994</v>
      </c>
      <c r="K15" s="558">
        <v>7.94</v>
      </c>
      <c r="L15" s="557">
        <v>7.69</v>
      </c>
      <c r="M15" s="648">
        <v>8.65</v>
      </c>
      <c r="N15" s="648">
        <v>9.32</v>
      </c>
      <c r="O15" s="648">
        <v>8.16</v>
      </c>
      <c r="P15" s="648">
        <v>7.79</v>
      </c>
      <c r="Q15" s="648">
        <v>7.36</v>
      </c>
      <c r="R15" s="557">
        <f t="shared" si="0"/>
        <v>8.1274999999999995</v>
      </c>
      <c r="S15" s="400" t="s">
        <v>908</v>
      </c>
      <c r="T15" s="300"/>
      <c r="U15" s="300"/>
      <c r="V15" s="300"/>
      <c r="W15" s="300"/>
      <c r="X15" s="300"/>
      <c r="Y15" s="300"/>
      <c r="Z15" s="300"/>
      <c r="AA15" s="301" t="s">
        <v>1365</v>
      </c>
    </row>
    <row r="16" spans="1:27" ht="15" customHeight="1">
      <c r="A16" s="401"/>
      <c r="B16" s="528"/>
      <c r="C16" s="402">
        <v>2</v>
      </c>
      <c r="D16" s="390" t="s">
        <v>1359</v>
      </c>
      <c r="E16" s="390" t="s">
        <v>1360</v>
      </c>
      <c r="F16" s="559">
        <v>7.67</v>
      </c>
      <c r="G16" s="559">
        <v>7.48</v>
      </c>
      <c r="H16" s="559">
        <v>7.91</v>
      </c>
      <c r="I16" s="560">
        <v>8.41</v>
      </c>
      <c r="J16" s="560">
        <v>8.6199999999999992</v>
      </c>
      <c r="K16" s="649">
        <v>8.0299999999999994</v>
      </c>
      <c r="L16" s="560">
        <v>8.1</v>
      </c>
      <c r="M16" s="505" t="s">
        <v>1361</v>
      </c>
      <c r="N16" s="505" t="s">
        <v>1361</v>
      </c>
      <c r="O16" s="505" t="s">
        <v>1361</v>
      </c>
      <c r="P16" s="505" t="s">
        <v>1361</v>
      </c>
      <c r="Q16" s="505" t="s">
        <v>1361</v>
      </c>
      <c r="R16" s="560">
        <f t="shared" si="0"/>
        <v>8.031428571428572</v>
      </c>
      <c r="S16" s="403" t="s">
        <v>908</v>
      </c>
      <c r="T16" s="300"/>
      <c r="U16" s="300"/>
      <c r="V16" s="300"/>
      <c r="W16" s="300"/>
      <c r="X16" s="300"/>
      <c r="Y16" s="300"/>
      <c r="Z16" s="300"/>
      <c r="AA16" s="301"/>
    </row>
    <row r="17" spans="1:27">
      <c r="A17" s="401"/>
      <c r="B17" s="528"/>
      <c r="C17" s="402">
        <v>3</v>
      </c>
      <c r="D17" s="403" t="s">
        <v>1362</v>
      </c>
      <c r="E17" s="403"/>
      <c r="F17" s="559">
        <v>7.52</v>
      </c>
      <c r="G17" s="559">
        <v>7.89</v>
      </c>
      <c r="H17" s="559">
        <v>7.9</v>
      </c>
      <c r="I17" s="559">
        <v>8.5</v>
      </c>
      <c r="J17" s="559">
        <v>8.51</v>
      </c>
      <c r="K17" s="560">
        <v>7.89</v>
      </c>
      <c r="L17" s="559">
        <v>8.06</v>
      </c>
      <c r="M17" s="650">
        <v>9.02</v>
      </c>
      <c r="N17" s="650">
        <v>8.9499999999999993</v>
      </c>
      <c r="O17" s="650">
        <v>8.1</v>
      </c>
      <c r="P17" s="650">
        <v>7.8</v>
      </c>
      <c r="Q17" s="650">
        <v>7.43</v>
      </c>
      <c r="R17" s="560">
        <f t="shared" si="0"/>
        <v>8.1308333333333334</v>
      </c>
      <c r="S17" s="403" t="s">
        <v>908</v>
      </c>
      <c r="T17" s="300"/>
      <c r="U17" s="300"/>
      <c r="V17" s="300"/>
      <c r="W17" s="300"/>
      <c r="X17" s="300"/>
      <c r="Y17" s="300"/>
      <c r="Z17" s="300"/>
      <c r="AA17" s="301"/>
    </row>
    <row r="18" spans="1:27">
      <c r="A18" s="401"/>
      <c r="B18" s="529"/>
      <c r="C18" s="402">
        <v>4</v>
      </c>
      <c r="D18" s="403" t="s">
        <v>1363</v>
      </c>
      <c r="E18" s="403" t="s">
        <v>1364</v>
      </c>
      <c r="F18" s="559">
        <v>7.61</v>
      </c>
      <c r="G18" s="559">
        <v>7.78</v>
      </c>
      <c r="H18" s="559">
        <v>7.9</v>
      </c>
      <c r="I18" s="559">
        <v>8.61</v>
      </c>
      <c r="J18" s="559">
        <v>8.64</v>
      </c>
      <c r="K18" s="560">
        <v>7.99</v>
      </c>
      <c r="L18" s="559">
        <v>8.1</v>
      </c>
      <c r="M18" s="650">
        <v>8.5</v>
      </c>
      <c r="N18" s="650">
        <v>7.78</v>
      </c>
      <c r="O18" s="650">
        <v>8.0500000000000007</v>
      </c>
      <c r="P18" s="650">
        <v>7.83</v>
      </c>
      <c r="Q18" s="650">
        <v>6.87</v>
      </c>
      <c r="R18" s="560">
        <f t="shared" si="0"/>
        <v>7.9716666666666667</v>
      </c>
      <c r="S18" s="403" t="s">
        <v>908</v>
      </c>
      <c r="T18" s="300"/>
      <c r="U18" s="300"/>
      <c r="V18" s="300"/>
      <c r="W18" s="300"/>
      <c r="X18" s="300"/>
      <c r="Y18" s="300"/>
      <c r="Z18" s="300"/>
      <c r="AA18" s="301"/>
    </row>
    <row r="19" spans="1:27" ht="30">
      <c r="A19" s="401"/>
      <c r="B19" s="527" t="s">
        <v>725</v>
      </c>
      <c r="C19" s="387">
        <v>1</v>
      </c>
      <c r="D19" s="388" t="s">
        <v>1357</v>
      </c>
      <c r="E19" s="388" t="s">
        <v>1358</v>
      </c>
      <c r="F19" s="557">
        <v>28.3</v>
      </c>
      <c r="G19" s="556">
        <v>28.1</v>
      </c>
      <c r="H19" s="556">
        <v>27.72</v>
      </c>
      <c r="I19" s="557">
        <v>28.75</v>
      </c>
      <c r="J19" s="557">
        <v>28.53</v>
      </c>
      <c r="K19" s="558">
        <v>29</v>
      </c>
      <c r="L19" s="557">
        <v>29.1</v>
      </c>
      <c r="M19" s="648">
        <v>31.2</v>
      </c>
      <c r="N19" s="648">
        <v>31.8</v>
      </c>
      <c r="O19" s="648">
        <v>31.4</v>
      </c>
      <c r="P19" s="648">
        <v>26.3</v>
      </c>
      <c r="Q19" s="648">
        <v>30.1</v>
      </c>
      <c r="R19" s="557">
        <f t="shared" si="0"/>
        <v>29.191666666666666</v>
      </c>
      <c r="S19" s="388" t="s">
        <v>777</v>
      </c>
      <c r="T19" s="300"/>
      <c r="U19" s="300"/>
      <c r="V19" s="300"/>
      <c r="W19" s="300"/>
      <c r="X19" s="300"/>
      <c r="Y19" s="300"/>
      <c r="Z19" s="300"/>
      <c r="AA19" s="301"/>
    </row>
    <row r="20" spans="1:27" ht="30">
      <c r="A20" s="401"/>
      <c r="B20" s="528"/>
      <c r="C20" s="402">
        <v>2</v>
      </c>
      <c r="D20" s="390" t="s">
        <v>1359</v>
      </c>
      <c r="E20" s="390" t="s">
        <v>1360</v>
      </c>
      <c r="F20" s="560">
        <v>28.51</v>
      </c>
      <c r="G20" s="559">
        <v>28.35</v>
      </c>
      <c r="H20" s="559">
        <v>27.88</v>
      </c>
      <c r="I20" s="560">
        <v>29.62</v>
      </c>
      <c r="J20" s="560">
        <v>29.18</v>
      </c>
      <c r="K20" s="649">
        <v>29.1</v>
      </c>
      <c r="L20" s="560">
        <v>28.8</v>
      </c>
      <c r="M20" s="505" t="s">
        <v>1361</v>
      </c>
      <c r="N20" s="505" t="s">
        <v>1361</v>
      </c>
      <c r="O20" s="505" t="s">
        <v>1361</v>
      </c>
      <c r="P20" s="505" t="s">
        <v>1361</v>
      </c>
      <c r="Q20" s="505" t="s">
        <v>1361</v>
      </c>
      <c r="R20" s="560">
        <f t="shared" si="0"/>
        <v>28.777142857142856</v>
      </c>
      <c r="S20" s="390" t="s">
        <v>777</v>
      </c>
      <c r="T20" s="300"/>
      <c r="U20" s="300"/>
      <c r="V20" s="300"/>
      <c r="W20" s="300"/>
      <c r="X20" s="300"/>
      <c r="Y20" s="300"/>
      <c r="Z20" s="300"/>
      <c r="AA20" s="301"/>
    </row>
    <row r="21" spans="1:27">
      <c r="A21" s="401"/>
      <c r="B21" s="528"/>
      <c r="C21" s="402">
        <v>3</v>
      </c>
      <c r="D21" s="403" t="s">
        <v>1362</v>
      </c>
      <c r="E21" s="403" t="s">
        <v>1358</v>
      </c>
      <c r="F21" s="559">
        <v>28.78</v>
      </c>
      <c r="G21" s="559">
        <v>28.4</v>
      </c>
      <c r="H21" s="559">
        <v>27.82</v>
      </c>
      <c r="I21" s="559">
        <v>28.91</v>
      </c>
      <c r="J21" s="559">
        <v>28.76</v>
      </c>
      <c r="K21" s="560">
        <v>30</v>
      </c>
      <c r="L21" s="559">
        <v>29.1</v>
      </c>
      <c r="M21" s="650">
        <v>30.3</v>
      </c>
      <c r="N21" s="650">
        <v>31.2</v>
      </c>
      <c r="O21" s="650">
        <v>31.4</v>
      </c>
      <c r="P21" s="650">
        <v>26</v>
      </c>
      <c r="Q21" s="650">
        <v>30.1</v>
      </c>
      <c r="R21" s="560">
        <f t="shared" si="0"/>
        <v>29.230833333333333</v>
      </c>
      <c r="S21" s="390" t="s">
        <v>777</v>
      </c>
      <c r="T21" s="300"/>
      <c r="U21" s="300"/>
      <c r="V21" s="300"/>
      <c r="W21" s="300"/>
      <c r="X21" s="300"/>
      <c r="Y21" s="300"/>
      <c r="Z21" s="300"/>
      <c r="AA21" s="301"/>
    </row>
    <row r="22" spans="1:27">
      <c r="A22" s="401"/>
      <c r="B22" s="529"/>
      <c r="C22" s="402">
        <v>4</v>
      </c>
      <c r="D22" s="403" t="s">
        <v>1363</v>
      </c>
      <c r="E22" s="403" t="s">
        <v>1364</v>
      </c>
      <c r="F22" s="559">
        <v>28.75</v>
      </c>
      <c r="G22" s="559">
        <v>28.5</v>
      </c>
      <c r="H22" s="559">
        <v>28.13</v>
      </c>
      <c r="I22" s="559">
        <v>29.47</v>
      </c>
      <c r="J22" s="559">
        <v>29.01</v>
      </c>
      <c r="K22" s="560">
        <v>29.12</v>
      </c>
      <c r="L22" s="559">
        <v>28.3</v>
      </c>
      <c r="M22" s="650">
        <v>31.5</v>
      </c>
      <c r="N22" s="650">
        <v>31</v>
      </c>
      <c r="O22" s="650">
        <v>31.2</v>
      </c>
      <c r="P22" s="650">
        <v>26.1</v>
      </c>
      <c r="Q22" s="650">
        <v>29.1</v>
      </c>
      <c r="R22" s="560">
        <f t="shared" si="0"/>
        <v>29.181666666666668</v>
      </c>
      <c r="S22" s="390" t="s">
        <v>777</v>
      </c>
      <c r="T22" s="300"/>
      <c r="U22" s="300"/>
      <c r="V22" s="300"/>
      <c r="W22" s="300"/>
      <c r="X22" s="300"/>
      <c r="Y22" s="300"/>
      <c r="Z22" s="300"/>
      <c r="AA22" s="301"/>
    </row>
    <row r="23" spans="1:27" ht="30">
      <c r="A23" s="401"/>
      <c r="B23" s="527" t="s">
        <v>110</v>
      </c>
      <c r="C23" s="387">
        <v>1</v>
      </c>
      <c r="D23" s="388" t="s">
        <v>1357</v>
      </c>
      <c r="E23" s="388" t="s">
        <v>1358</v>
      </c>
      <c r="F23" s="556">
        <v>5</v>
      </c>
      <c r="G23" s="556">
        <v>5</v>
      </c>
      <c r="H23" s="556">
        <v>5</v>
      </c>
      <c r="I23" s="557">
        <v>5</v>
      </c>
      <c r="J23" s="557">
        <v>5</v>
      </c>
      <c r="K23" s="558">
        <v>5</v>
      </c>
      <c r="L23" s="557">
        <v>5</v>
      </c>
      <c r="M23" s="648">
        <v>5</v>
      </c>
      <c r="N23" s="648">
        <v>5</v>
      </c>
      <c r="O23" s="648">
        <v>5</v>
      </c>
      <c r="P23" s="648">
        <v>5</v>
      </c>
      <c r="Q23" s="648">
        <v>5</v>
      </c>
      <c r="R23" s="557">
        <f t="shared" si="0"/>
        <v>5</v>
      </c>
      <c r="S23" s="388">
        <v>50</v>
      </c>
      <c r="T23" s="300"/>
      <c r="U23" s="300"/>
      <c r="V23" s="300"/>
      <c r="W23" s="300"/>
      <c r="X23" s="300"/>
      <c r="Y23" s="300"/>
      <c r="Z23" s="300"/>
      <c r="AA23" s="301"/>
    </row>
    <row r="24" spans="1:27" ht="30">
      <c r="A24" s="401"/>
      <c r="B24" s="528"/>
      <c r="C24" s="402">
        <v>2</v>
      </c>
      <c r="D24" s="390" t="s">
        <v>1359</v>
      </c>
      <c r="E24" s="390" t="s">
        <v>1360</v>
      </c>
      <c r="F24" s="559">
        <v>5</v>
      </c>
      <c r="G24" s="559">
        <v>5</v>
      </c>
      <c r="H24" s="559">
        <v>5</v>
      </c>
      <c r="I24" s="560">
        <v>5</v>
      </c>
      <c r="J24" s="560">
        <v>5</v>
      </c>
      <c r="K24" s="560">
        <v>5</v>
      </c>
      <c r="L24" s="560">
        <v>5</v>
      </c>
      <c r="M24" s="505" t="s">
        <v>1361</v>
      </c>
      <c r="N24" s="505" t="s">
        <v>1361</v>
      </c>
      <c r="O24" s="505" t="s">
        <v>1361</v>
      </c>
      <c r="P24" s="505" t="s">
        <v>1361</v>
      </c>
      <c r="Q24" s="505" t="s">
        <v>1361</v>
      </c>
      <c r="R24" s="560">
        <f t="shared" si="0"/>
        <v>5</v>
      </c>
      <c r="S24" s="390">
        <v>50</v>
      </c>
      <c r="T24" s="300"/>
      <c r="U24" s="300"/>
      <c r="V24" s="300"/>
      <c r="W24" s="300"/>
      <c r="X24" s="300"/>
      <c r="Y24" s="300"/>
      <c r="Z24" s="300"/>
      <c r="AA24" s="301"/>
    </row>
    <row r="25" spans="1:27">
      <c r="A25" s="401"/>
      <c r="B25" s="528"/>
      <c r="C25" s="402">
        <v>3</v>
      </c>
      <c r="D25" s="403" t="s">
        <v>1362</v>
      </c>
      <c r="E25" s="403" t="s">
        <v>1358</v>
      </c>
      <c r="F25" s="559">
        <v>5</v>
      </c>
      <c r="G25" s="559">
        <v>5</v>
      </c>
      <c r="H25" s="559">
        <v>5</v>
      </c>
      <c r="I25" s="559">
        <v>5</v>
      </c>
      <c r="J25" s="559">
        <v>5</v>
      </c>
      <c r="K25" s="560">
        <v>5</v>
      </c>
      <c r="L25" s="559">
        <v>5</v>
      </c>
      <c r="M25" s="650">
        <v>5</v>
      </c>
      <c r="N25" s="650">
        <v>5</v>
      </c>
      <c r="O25" s="650">
        <v>5</v>
      </c>
      <c r="P25" s="650">
        <v>5</v>
      </c>
      <c r="Q25" s="650">
        <v>5</v>
      </c>
      <c r="R25" s="560">
        <f t="shared" si="0"/>
        <v>5</v>
      </c>
      <c r="S25" s="390">
        <v>50</v>
      </c>
      <c r="T25" s="300"/>
      <c r="U25" s="300"/>
      <c r="V25" s="300"/>
      <c r="W25" s="300"/>
      <c r="X25" s="300"/>
      <c r="Y25" s="300"/>
      <c r="Z25" s="300"/>
      <c r="AA25" s="301"/>
    </row>
    <row r="26" spans="1:27">
      <c r="A26" s="401"/>
      <c r="B26" s="529"/>
      <c r="C26" s="402">
        <v>4</v>
      </c>
      <c r="D26" s="403" t="s">
        <v>1363</v>
      </c>
      <c r="E26" s="403" t="s">
        <v>1364</v>
      </c>
      <c r="F26" s="559">
        <v>5</v>
      </c>
      <c r="G26" s="559">
        <v>5</v>
      </c>
      <c r="H26" s="559">
        <v>5</v>
      </c>
      <c r="I26" s="559">
        <v>5</v>
      </c>
      <c r="J26" s="559">
        <v>5</v>
      </c>
      <c r="K26" s="560">
        <v>5</v>
      </c>
      <c r="L26" s="559">
        <v>5</v>
      </c>
      <c r="M26" s="650">
        <v>5</v>
      </c>
      <c r="N26" s="650">
        <v>5</v>
      </c>
      <c r="O26" s="650">
        <v>5</v>
      </c>
      <c r="P26" s="650">
        <v>5</v>
      </c>
      <c r="Q26" s="650">
        <v>5</v>
      </c>
      <c r="R26" s="560">
        <f t="shared" si="0"/>
        <v>5</v>
      </c>
      <c r="S26" s="390">
        <v>50</v>
      </c>
      <c r="T26" s="300"/>
      <c r="U26" s="300"/>
      <c r="V26" s="300"/>
      <c r="W26" s="300"/>
      <c r="X26" s="300"/>
      <c r="Y26" s="300"/>
      <c r="Z26" s="300"/>
      <c r="AA26" s="301"/>
    </row>
    <row r="27" spans="1:27">
      <c r="A27" s="312"/>
      <c r="B27" s="347"/>
      <c r="C27" s="313"/>
      <c r="D27" s="313"/>
      <c r="E27" s="313"/>
      <c r="F27" s="313"/>
      <c r="G27" s="313"/>
      <c r="H27" s="313"/>
      <c r="I27" s="313"/>
      <c r="J27" s="313"/>
      <c r="K27" s="313"/>
      <c r="L27" s="313"/>
      <c r="M27" s="313"/>
      <c r="N27" s="313"/>
      <c r="O27" s="313"/>
      <c r="P27" s="313"/>
      <c r="Q27" s="313"/>
      <c r="R27" s="313"/>
      <c r="S27" s="311"/>
      <c r="T27" s="300"/>
      <c r="U27" s="300"/>
      <c r="V27" s="300"/>
      <c r="W27" s="300"/>
      <c r="X27" s="300"/>
      <c r="Y27" s="300"/>
      <c r="Z27" s="300"/>
      <c r="AA27" s="301"/>
    </row>
    <row r="28" spans="1:27" ht="30">
      <c r="A28" s="307"/>
      <c r="B28" s="527" t="s">
        <v>111</v>
      </c>
      <c r="C28" s="303">
        <v>1</v>
      </c>
      <c r="D28" s="305" t="s">
        <v>1357</v>
      </c>
      <c r="E28" s="388" t="s">
        <v>1358</v>
      </c>
      <c r="F28" s="493">
        <v>350</v>
      </c>
      <c r="G28" s="493">
        <v>49</v>
      </c>
      <c r="H28" s="493">
        <v>330</v>
      </c>
      <c r="I28" s="493">
        <v>31</v>
      </c>
      <c r="J28" s="493">
        <v>170</v>
      </c>
      <c r="K28" s="511">
        <v>3500</v>
      </c>
      <c r="L28" s="555">
        <v>3500</v>
      </c>
      <c r="M28" s="506">
        <v>920</v>
      </c>
      <c r="N28" s="506">
        <v>920</v>
      </c>
      <c r="O28" s="506">
        <v>49</v>
      </c>
      <c r="P28" s="506">
        <v>1600</v>
      </c>
      <c r="Q28" s="506">
        <v>540</v>
      </c>
      <c r="R28" s="555">
        <f>GEOMEAN(F28:Q28)</f>
        <v>391.81782284546455</v>
      </c>
      <c r="S28" s="304">
        <v>100</v>
      </c>
      <c r="T28" s="300"/>
      <c r="U28" s="300"/>
      <c r="V28" s="300"/>
      <c r="W28" s="300"/>
      <c r="X28" s="300"/>
      <c r="Y28" s="300"/>
      <c r="Z28" s="300"/>
      <c r="AA28" s="301"/>
    </row>
    <row r="29" spans="1:27" ht="30">
      <c r="A29" s="307"/>
      <c r="B29" s="528"/>
      <c r="C29" s="308">
        <v>2</v>
      </c>
      <c r="D29" s="310" t="s">
        <v>1359</v>
      </c>
      <c r="E29" s="390" t="s">
        <v>1360</v>
      </c>
      <c r="F29" s="492">
        <v>4</v>
      </c>
      <c r="G29" s="492">
        <v>13</v>
      </c>
      <c r="H29" s="492">
        <v>33</v>
      </c>
      <c r="I29" s="492">
        <v>49</v>
      </c>
      <c r="J29" s="492">
        <v>79</v>
      </c>
      <c r="K29" s="512">
        <v>54000</v>
      </c>
      <c r="L29" s="512">
        <v>920</v>
      </c>
      <c r="M29" s="505" t="s">
        <v>1361</v>
      </c>
      <c r="N29" s="505" t="s">
        <v>1361</v>
      </c>
      <c r="O29" s="505" t="s">
        <v>1361</v>
      </c>
      <c r="P29" s="505" t="s">
        <v>1361</v>
      </c>
      <c r="Q29" s="505" t="s">
        <v>1361</v>
      </c>
      <c r="R29" s="512">
        <f t="shared" ref="R29:R31" si="1">GEOMEAN(F29:Q29)</f>
        <v>118.59723868985763</v>
      </c>
      <c r="S29" s="309">
        <v>100</v>
      </c>
      <c r="T29" s="300"/>
      <c r="U29" s="300"/>
      <c r="V29" s="300"/>
      <c r="W29" s="300"/>
      <c r="X29" s="300"/>
      <c r="Y29" s="300"/>
      <c r="Z29" s="300"/>
      <c r="AA29" s="301"/>
    </row>
    <row r="30" spans="1:27">
      <c r="A30" s="307"/>
      <c r="B30" s="528"/>
      <c r="C30" s="308">
        <v>3</v>
      </c>
      <c r="D30" s="309" t="s">
        <v>1362</v>
      </c>
      <c r="E30" s="403" t="s">
        <v>1358</v>
      </c>
      <c r="F30" s="492">
        <v>540</v>
      </c>
      <c r="G30" s="492">
        <v>79</v>
      </c>
      <c r="H30" s="492">
        <v>49</v>
      </c>
      <c r="I30" s="492">
        <v>79</v>
      </c>
      <c r="J30" s="492">
        <v>110</v>
      </c>
      <c r="K30" s="512">
        <v>3500</v>
      </c>
      <c r="L30" s="492">
        <v>350</v>
      </c>
      <c r="M30" s="505">
        <v>920</v>
      </c>
      <c r="N30" s="505">
        <v>540</v>
      </c>
      <c r="O30" s="505">
        <v>350</v>
      </c>
      <c r="P30" s="505">
        <v>1400</v>
      </c>
      <c r="Q30" s="505">
        <v>540</v>
      </c>
      <c r="R30" s="512">
        <f t="shared" si="1"/>
        <v>345.81621409527042</v>
      </c>
      <c r="S30" s="309">
        <v>100</v>
      </c>
      <c r="T30" s="300"/>
      <c r="U30" s="300"/>
      <c r="V30" s="300"/>
      <c r="W30" s="300"/>
      <c r="X30" s="300"/>
      <c r="Y30" s="300"/>
      <c r="Z30" s="300"/>
      <c r="AA30" s="301"/>
    </row>
    <row r="31" spans="1:27">
      <c r="A31" s="307"/>
      <c r="B31" s="529"/>
      <c r="C31" s="308">
        <v>4</v>
      </c>
      <c r="D31" s="309" t="s">
        <v>1363</v>
      </c>
      <c r="E31" s="403" t="s">
        <v>1364</v>
      </c>
      <c r="F31" s="492">
        <v>33</v>
      </c>
      <c r="G31" s="492">
        <v>23</v>
      </c>
      <c r="H31" s="492">
        <v>70</v>
      </c>
      <c r="I31" s="492">
        <v>130</v>
      </c>
      <c r="J31" s="492">
        <v>350</v>
      </c>
      <c r="K31" s="512">
        <v>920</v>
      </c>
      <c r="L31" s="492">
        <v>350</v>
      </c>
      <c r="M31" s="505">
        <v>1700</v>
      </c>
      <c r="N31" s="505">
        <v>350</v>
      </c>
      <c r="O31" s="505">
        <v>1600</v>
      </c>
      <c r="P31" s="505">
        <v>5400</v>
      </c>
      <c r="Q31" s="505">
        <v>3500</v>
      </c>
      <c r="R31" s="512">
        <f t="shared" si="1"/>
        <v>394.02655026015924</v>
      </c>
      <c r="S31" s="309">
        <v>100</v>
      </c>
      <c r="T31" s="300"/>
      <c r="U31" s="300"/>
      <c r="V31" s="300"/>
      <c r="W31" s="300"/>
      <c r="X31" s="300"/>
      <c r="Y31" s="300"/>
      <c r="Z31" s="300"/>
      <c r="AA31" s="301"/>
    </row>
    <row r="32" spans="1:27" ht="30">
      <c r="A32" s="307"/>
      <c r="B32" s="527" t="s">
        <v>726</v>
      </c>
      <c r="C32" s="303">
        <v>1</v>
      </c>
      <c r="D32" s="305" t="s">
        <v>1357</v>
      </c>
      <c r="E32" s="388" t="s">
        <v>1358</v>
      </c>
      <c r="F32" s="572">
        <v>3.4000000000000002E-2</v>
      </c>
      <c r="G32" s="572">
        <v>0.58899999999999997</v>
      </c>
      <c r="H32" s="572">
        <v>0.19500000000000001</v>
      </c>
      <c r="I32" s="538">
        <v>4.2999999999999997E-2</v>
      </c>
      <c r="J32" s="538">
        <v>7.6999999999999999E-2</v>
      </c>
      <c r="K32" s="573">
        <v>0.67300000000000004</v>
      </c>
      <c r="L32" s="538">
        <v>0.28199999999999997</v>
      </c>
      <c r="M32" s="483">
        <v>4.2999999999999997E-2</v>
      </c>
      <c r="N32" s="483">
        <v>0.125</v>
      </c>
      <c r="O32" s="483">
        <v>0.14099999999999999</v>
      </c>
      <c r="P32" s="483">
        <v>0.17399999999999999</v>
      </c>
      <c r="Q32" s="306">
        <v>0.106</v>
      </c>
      <c r="R32" s="304">
        <f>AVERAGE(F32:Q32)</f>
        <v>0.20683333333333331</v>
      </c>
      <c r="S32" s="304">
        <v>10</v>
      </c>
      <c r="T32" s="300"/>
      <c r="U32" s="300"/>
      <c r="V32" s="300"/>
      <c r="W32" s="300"/>
      <c r="X32" s="300"/>
      <c r="Y32" s="300"/>
      <c r="Z32" s="300"/>
      <c r="AA32" s="301"/>
    </row>
    <row r="33" spans="1:27" ht="30">
      <c r="A33" s="307"/>
      <c r="B33" s="528"/>
      <c r="C33" s="308">
        <v>2</v>
      </c>
      <c r="D33" s="310" t="s">
        <v>1359</v>
      </c>
      <c r="E33" s="390" t="s">
        <v>1360</v>
      </c>
      <c r="F33" s="536">
        <v>4.9000000000000002E-2</v>
      </c>
      <c r="G33" s="536">
        <v>0.65</v>
      </c>
      <c r="H33" s="536">
        <v>0.16900000000000001</v>
      </c>
      <c r="I33" s="537">
        <v>0.17499999999999999</v>
      </c>
      <c r="J33" s="537">
        <v>4.2999999999999997E-2</v>
      </c>
      <c r="K33" s="537">
        <v>0.67300000000000004</v>
      </c>
      <c r="L33" s="537">
        <v>0.113</v>
      </c>
      <c r="M33" s="484" t="s">
        <v>1361</v>
      </c>
      <c r="N33" s="484" t="s">
        <v>1361</v>
      </c>
      <c r="O33" s="484" t="s">
        <v>1361</v>
      </c>
      <c r="P33" s="484" t="s">
        <v>1361</v>
      </c>
      <c r="Q33" s="505" t="s">
        <v>1361</v>
      </c>
      <c r="R33" s="537">
        <f t="shared" ref="R33:R39" si="2">AVERAGE(F33:Q33)</f>
        <v>0.26742857142857146</v>
      </c>
      <c r="S33" s="309">
        <v>10</v>
      </c>
      <c r="T33" s="300"/>
      <c r="U33" s="300"/>
      <c r="V33" s="300"/>
      <c r="W33" s="300"/>
      <c r="X33" s="300"/>
      <c r="Y33" s="300"/>
      <c r="Z33" s="300"/>
      <c r="AA33" s="301"/>
    </row>
    <row r="34" spans="1:27">
      <c r="A34" s="307"/>
      <c r="B34" s="528"/>
      <c r="C34" s="308">
        <v>3</v>
      </c>
      <c r="D34" s="309" t="s">
        <v>1362</v>
      </c>
      <c r="E34" s="403" t="s">
        <v>1358</v>
      </c>
      <c r="F34" s="536">
        <v>0.09</v>
      </c>
      <c r="G34" s="536">
        <v>0.128</v>
      </c>
      <c r="H34" s="536">
        <v>7.9000000000000001E-2</v>
      </c>
      <c r="I34" s="536">
        <v>4.2999999999999997E-2</v>
      </c>
      <c r="J34" s="536">
        <v>9.6000000000000002E-2</v>
      </c>
      <c r="K34" s="537">
        <v>0.33800000000000002</v>
      </c>
      <c r="L34" s="536">
        <v>0.45800000000000002</v>
      </c>
      <c r="M34" s="484">
        <v>0.18</v>
      </c>
      <c r="N34" s="484">
        <v>0.129</v>
      </c>
      <c r="O34" s="484">
        <v>0.161</v>
      </c>
      <c r="P34" s="484">
        <v>0.215</v>
      </c>
      <c r="Q34" s="311">
        <v>7.8E-2</v>
      </c>
      <c r="R34" s="537">
        <f t="shared" si="2"/>
        <v>0.16625000000000001</v>
      </c>
      <c r="S34" s="309">
        <v>10</v>
      </c>
      <c r="T34" s="300"/>
      <c r="U34" s="300"/>
      <c r="V34" s="300"/>
      <c r="W34" s="300"/>
      <c r="X34" s="300"/>
      <c r="Y34" s="300"/>
      <c r="Z34" s="300"/>
      <c r="AA34" s="301"/>
    </row>
    <row r="35" spans="1:27">
      <c r="A35" s="307"/>
      <c r="B35" s="529"/>
      <c r="C35" s="308">
        <v>4</v>
      </c>
      <c r="D35" s="309" t="s">
        <v>1363</v>
      </c>
      <c r="E35" s="403" t="s">
        <v>1364</v>
      </c>
      <c r="F35" s="536">
        <v>5.8000000000000003E-2</v>
      </c>
      <c r="G35" s="536">
        <v>0.21199999999999999</v>
      </c>
      <c r="H35" s="536">
        <v>9.1999999999999998E-2</v>
      </c>
      <c r="I35" s="536">
        <v>4.2999999999999997E-2</v>
      </c>
      <c r="J35" s="536">
        <v>4.2999999999999997E-2</v>
      </c>
      <c r="K35" s="537">
        <v>0.85599999999999998</v>
      </c>
      <c r="L35" s="536">
        <v>0.13700000000000001</v>
      </c>
      <c r="M35" s="484">
        <v>9.2999999999999999E-2</v>
      </c>
      <c r="N35" s="484">
        <v>0.14099999999999999</v>
      </c>
      <c r="O35" s="484">
        <v>0.183</v>
      </c>
      <c r="P35" s="484">
        <v>0.26400000000000001</v>
      </c>
      <c r="Q35" s="311">
        <v>0.17799999999999999</v>
      </c>
      <c r="R35" s="537">
        <f t="shared" si="2"/>
        <v>0.19166666666666665</v>
      </c>
      <c r="S35" s="309">
        <v>10</v>
      </c>
      <c r="T35" s="300"/>
      <c r="U35" s="300"/>
      <c r="V35" s="300"/>
      <c r="W35" s="300"/>
      <c r="X35" s="300"/>
      <c r="Y35" s="300"/>
      <c r="Z35" s="300"/>
      <c r="AA35" s="301"/>
    </row>
    <row r="36" spans="1:27" ht="30">
      <c r="A36" s="307"/>
      <c r="B36" s="527" t="s">
        <v>727</v>
      </c>
      <c r="C36" s="303">
        <v>1</v>
      </c>
      <c r="D36" s="305" t="s">
        <v>1357</v>
      </c>
      <c r="E36" s="388" t="s">
        <v>1358</v>
      </c>
      <c r="F36" s="572">
        <v>3.5000000000000003E-2</v>
      </c>
      <c r="G36" s="572">
        <v>1.0999999999999999E-2</v>
      </c>
      <c r="H36" s="572">
        <v>2.8000000000000001E-2</v>
      </c>
      <c r="I36" s="538">
        <v>3.1E-2</v>
      </c>
      <c r="J36" s="538">
        <v>4.9000000000000002E-2</v>
      </c>
      <c r="K36" s="573">
        <v>4.2000000000000003E-2</v>
      </c>
      <c r="L36" s="538">
        <v>2.5000000000000001E-2</v>
      </c>
      <c r="M36" s="483">
        <v>0.16800000000000001</v>
      </c>
      <c r="N36" s="483">
        <v>5.5E-2</v>
      </c>
      <c r="O36" s="483">
        <v>3.5000000000000003E-2</v>
      </c>
      <c r="P36" s="483">
        <v>2.8000000000000001E-2</v>
      </c>
      <c r="Q36" s="306">
        <v>3.3000000000000002E-2</v>
      </c>
      <c r="R36" s="538">
        <f t="shared" si="2"/>
        <v>4.5000000000000005E-2</v>
      </c>
      <c r="S36" s="304">
        <v>0.2</v>
      </c>
      <c r="T36" s="300"/>
      <c r="U36" s="300"/>
      <c r="V36" s="300"/>
      <c r="W36" s="300"/>
      <c r="X36" s="300"/>
      <c r="Y36" s="300"/>
      <c r="Z36" s="300"/>
      <c r="AA36" s="301"/>
    </row>
    <row r="37" spans="1:27" ht="30">
      <c r="A37" s="307"/>
      <c r="B37" s="528"/>
      <c r="C37" s="308">
        <v>2</v>
      </c>
      <c r="D37" s="310" t="s">
        <v>1359</v>
      </c>
      <c r="E37" s="390" t="s">
        <v>1360</v>
      </c>
      <c r="F37" s="536">
        <v>0.04</v>
      </c>
      <c r="G37" s="536">
        <v>1.0999999999999999E-2</v>
      </c>
      <c r="H37" s="536">
        <v>6.5000000000000002E-2</v>
      </c>
      <c r="I37" s="537">
        <v>0.02</v>
      </c>
      <c r="J37" s="537">
        <v>3.1E-2</v>
      </c>
      <c r="K37" s="537">
        <v>5.1999999999999998E-2</v>
      </c>
      <c r="L37" s="537">
        <v>6.8000000000000005E-2</v>
      </c>
      <c r="M37" s="484" t="s">
        <v>1361</v>
      </c>
      <c r="N37" s="484" t="s">
        <v>1361</v>
      </c>
      <c r="O37" s="484" t="s">
        <v>1361</v>
      </c>
      <c r="P37" s="484" t="s">
        <v>1361</v>
      </c>
      <c r="Q37" s="505" t="s">
        <v>1361</v>
      </c>
      <c r="R37" s="537">
        <f t="shared" si="2"/>
        <v>4.1000000000000002E-2</v>
      </c>
      <c r="S37" s="309">
        <v>0.2</v>
      </c>
      <c r="T37" s="300"/>
      <c r="U37" s="300"/>
      <c r="V37" s="300"/>
      <c r="W37" s="300"/>
      <c r="X37" s="300"/>
      <c r="Y37" s="300"/>
      <c r="Z37" s="300"/>
      <c r="AA37" s="301"/>
    </row>
    <row r="38" spans="1:27">
      <c r="A38" s="307"/>
      <c r="B38" s="528"/>
      <c r="C38" s="308">
        <v>3</v>
      </c>
      <c r="D38" s="309" t="s">
        <v>1362</v>
      </c>
      <c r="E38" s="403" t="s">
        <v>1358</v>
      </c>
      <c r="F38" s="536">
        <v>1.0999999999999999E-2</v>
      </c>
      <c r="G38" s="536">
        <v>0.20499999999999999</v>
      </c>
      <c r="H38" s="536">
        <v>5.1999999999999998E-2</v>
      </c>
      <c r="I38" s="536">
        <v>1.2E-2</v>
      </c>
      <c r="J38" s="536">
        <v>3.4000000000000002E-2</v>
      </c>
      <c r="K38" s="537">
        <v>3.7999999999999999E-2</v>
      </c>
      <c r="L38" s="536">
        <v>8.3000000000000004E-2</v>
      </c>
      <c r="M38" s="484">
        <v>5.1999999999999998E-2</v>
      </c>
      <c r="N38" s="484">
        <v>5.3999999999999999E-2</v>
      </c>
      <c r="O38" s="484">
        <v>6.4000000000000001E-2</v>
      </c>
      <c r="P38" s="484">
        <v>1.7000000000000001E-2</v>
      </c>
      <c r="Q38" s="311">
        <v>1.0999999999999999E-2</v>
      </c>
      <c r="R38" s="537">
        <f t="shared" si="2"/>
        <v>5.2749999999999998E-2</v>
      </c>
      <c r="S38" s="309">
        <v>0.2</v>
      </c>
      <c r="T38" s="300"/>
      <c r="U38" s="300"/>
      <c r="V38" s="300"/>
      <c r="W38" s="300"/>
      <c r="X38" s="300"/>
      <c r="Y38" s="300"/>
      <c r="Z38" s="300"/>
      <c r="AA38" s="301"/>
    </row>
    <row r="39" spans="1:27">
      <c r="A39" s="307"/>
      <c r="B39" s="528"/>
      <c r="C39" s="308">
        <v>4</v>
      </c>
      <c r="D39" s="309" t="s">
        <v>1363</v>
      </c>
      <c r="E39" s="403" t="s">
        <v>1364</v>
      </c>
      <c r="F39" s="536">
        <v>2.5000000000000001E-2</v>
      </c>
      <c r="G39" s="536">
        <v>4.3999999999999997E-2</v>
      </c>
      <c r="H39" s="536">
        <v>4.5999999999999999E-2</v>
      </c>
      <c r="I39" s="536">
        <v>4.7E-2</v>
      </c>
      <c r="J39" s="536">
        <v>1.7999999999999999E-2</v>
      </c>
      <c r="K39" s="537">
        <v>0.05</v>
      </c>
      <c r="L39" s="536">
        <v>9.2999999999999999E-2</v>
      </c>
      <c r="M39" s="484">
        <v>6.0999999999999999E-2</v>
      </c>
      <c r="N39" s="484">
        <v>7.8E-2</v>
      </c>
      <c r="O39" s="484">
        <v>3.7999999999999999E-2</v>
      </c>
      <c r="P39" s="484">
        <v>4.2000000000000003E-2</v>
      </c>
      <c r="Q39" s="311">
        <v>1.6E-2</v>
      </c>
      <c r="R39" s="537">
        <f t="shared" si="2"/>
        <v>4.6499999999999993E-2</v>
      </c>
      <c r="S39" s="309">
        <v>0.2</v>
      </c>
      <c r="T39" s="300"/>
      <c r="U39" s="300"/>
      <c r="V39" s="300"/>
      <c r="W39" s="300"/>
      <c r="X39" s="300"/>
      <c r="Y39" s="300"/>
      <c r="Z39" s="300"/>
      <c r="AA39" s="301"/>
    </row>
    <row r="40" spans="1:27">
      <c r="A40" s="1005"/>
      <c r="B40" s="1006"/>
      <c r="C40" s="1061"/>
      <c r="D40" s="308" t="s">
        <v>314</v>
      </c>
      <c r="E40" s="308"/>
      <c r="F40" s="311"/>
      <c r="G40" s="311"/>
      <c r="H40" s="311"/>
      <c r="I40" s="311"/>
      <c r="J40" s="311"/>
      <c r="K40" s="311"/>
      <c r="L40" s="311"/>
      <c r="M40" s="311"/>
      <c r="N40" s="311"/>
      <c r="O40" s="311"/>
      <c r="P40" s="311"/>
      <c r="Q40" s="311"/>
      <c r="R40" s="311"/>
      <c r="S40" s="311"/>
      <c r="T40" s="300"/>
      <c r="U40" s="300"/>
      <c r="V40" s="300"/>
      <c r="W40" s="300"/>
      <c r="X40" s="300"/>
      <c r="Y40" s="300"/>
      <c r="Z40" s="300"/>
      <c r="AA40" s="301"/>
    </row>
    <row r="41" spans="1:27" ht="243.75">
      <c r="A41" s="1008"/>
      <c r="B41" s="1009"/>
      <c r="C41" s="1062"/>
      <c r="D41" s="309" t="s">
        <v>1366</v>
      </c>
      <c r="E41" s="309"/>
      <c r="F41" s="310" t="s">
        <v>1367</v>
      </c>
      <c r="G41" s="310" t="s">
        <v>1368</v>
      </c>
      <c r="H41" s="310" t="s">
        <v>1369</v>
      </c>
      <c r="I41" s="310" t="s">
        <v>1370</v>
      </c>
      <c r="J41" s="310" t="s">
        <v>1371</v>
      </c>
      <c r="K41" s="310" t="s">
        <v>1372</v>
      </c>
      <c r="L41" s="310" t="s">
        <v>1373</v>
      </c>
      <c r="M41" s="320" t="s">
        <v>1374</v>
      </c>
      <c r="N41" s="320" t="s">
        <v>1375</v>
      </c>
      <c r="O41" s="320" t="s">
        <v>1376</v>
      </c>
      <c r="P41" s="320" t="s">
        <v>1377</v>
      </c>
      <c r="Q41" s="320" t="s">
        <v>1378</v>
      </c>
      <c r="R41" s="300"/>
      <c r="S41" s="300"/>
      <c r="U41" s="300"/>
      <c r="V41" s="300"/>
      <c r="W41" s="300"/>
      <c r="X41" s="300"/>
      <c r="Y41" s="300"/>
      <c r="Z41" s="300"/>
      <c r="AA41" s="301"/>
    </row>
    <row r="42" spans="1:27" ht="146.25" customHeight="1">
      <c r="A42" s="1005"/>
      <c r="B42" s="1006"/>
      <c r="C42" s="1061"/>
      <c r="D42" s="309" t="s">
        <v>1379</v>
      </c>
      <c r="E42" s="309"/>
      <c r="F42" s="310" t="s">
        <v>1380</v>
      </c>
      <c r="G42" s="310" t="s">
        <v>1381</v>
      </c>
      <c r="H42" s="310" t="s">
        <v>1382</v>
      </c>
      <c r="I42" s="310" t="s">
        <v>1383</v>
      </c>
      <c r="J42" s="310" t="s">
        <v>1384</v>
      </c>
      <c r="K42" s="310" t="s">
        <v>1385</v>
      </c>
      <c r="L42" s="310" t="s">
        <v>1386</v>
      </c>
      <c r="M42" s="311" t="s">
        <v>1387</v>
      </c>
      <c r="N42" s="311" t="s">
        <v>1387</v>
      </c>
      <c r="O42" s="320" t="s">
        <v>1387</v>
      </c>
      <c r="P42" s="311" t="s">
        <v>1387</v>
      </c>
      <c r="Q42" s="311" t="s">
        <v>1387</v>
      </c>
      <c r="R42" s="300"/>
      <c r="S42" s="300"/>
      <c r="T42" s="300"/>
      <c r="U42" s="300"/>
      <c r="V42" s="300"/>
      <c r="W42" s="300"/>
      <c r="X42" s="300"/>
      <c r="Y42" s="300"/>
      <c r="Z42" s="300"/>
      <c r="AA42" s="301"/>
    </row>
    <row r="43" spans="1:27" ht="213">
      <c r="A43" s="1008"/>
      <c r="B43" s="1009"/>
      <c r="C43" s="1062"/>
      <c r="D43" s="309" t="s">
        <v>1362</v>
      </c>
      <c r="E43" s="309"/>
      <c r="F43" s="310" t="s">
        <v>1388</v>
      </c>
      <c r="G43" s="310" t="s">
        <v>1389</v>
      </c>
      <c r="H43" s="310" t="s">
        <v>1390</v>
      </c>
      <c r="I43" s="310" t="s">
        <v>1391</v>
      </c>
      <c r="J43" s="310" t="s">
        <v>1392</v>
      </c>
      <c r="K43" s="310" t="s">
        <v>1393</v>
      </c>
      <c r="L43" s="310" t="s">
        <v>1394</v>
      </c>
      <c r="M43" s="320" t="s">
        <v>1395</v>
      </c>
      <c r="N43" s="320" t="s">
        <v>1396</v>
      </c>
      <c r="O43" s="320" t="s">
        <v>1397</v>
      </c>
      <c r="P43" s="320" t="s">
        <v>1398</v>
      </c>
      <c r="Q43" s="320" t="s">
        <v>1399</v>
      </c>
      <c r="R43" s="300"/>
      <c r="S43" s="300"/>
      <c r="T43" s="300"/>
      <c r="U43" s="300"/>
      <c r="V43" s="300"/>
      <c r="W43" s="300"/>
      <c r="X43" s="300"/>
      <c r="Y43" s="300"/>
      <c r="Z43" s="300"/>
      <c r="AA43" s="301"/>
    </row>
    <row r="44" spans="1:27" ht="334.5">
      <c r="A44" s="1005"/>
      <c r="B44" s="1006"/>
      <c r="C44" s="1061"/>
      <c r="D44" s="309" t="s">
        <v>1363</v>
      </c>
      <c r="E44" s="309"/>
      <c r="F44" s="310" t="s">
        <v>1400</v>
      </c>
      <c r="G44" s="310" t="s">
        <v>1401</v>
      </c>
      <c r="H44" s="310" t="s">
        <v>1402</v>
      </c>
      <c r="I44" s="310" t="s">
        <v>1403</v>
      </c>
      <c r="J44" s="310" t="s">
        <v>1404</v>
      </c>
      <c r="K44" s="310" t="s">
        <v>1405</v>
      </c>
      <c r="L44" s="310" t="s">
        <v>1406</v>
      </c>
      <c r="M44" s="320" t="s">
        <v>1407</v>
      </c>
      <c r="N44" s="320" t="s">
        <v>1408</v>
      </c>
      <c r="O44" s="320" t="s">
        <v>1409</v>
      </c>
      <c r="P44" s="320" t="s">
        <v>1398</v>
      </c>
      <c r="Q44" s="320" t="s">
        <v>1410</v>
      </c>
      <c r="R44" s="300"/>
      <c r="S44" s="300"/>
      <c r="T44" s="300"/>
      <c r="U44" s="300"/>
      <c r="V44" s="300"/>
      <c r="W44" s="300"/>
      <c r="X44" s="300"/>
      <c r="Y44" s="300"/>
      <c r="Z44" s="300"/>
      <c r="AA44" s="301"/>
    </row>
    <row r="45" spans="1:27">
      <c r="A45" s="1008"/>
      <c r="B45" s="1009"/>
      <c r="C45" s="1062"/>
      <c r="D45" s="300"/>
      <c r="E45" s="300"/>
      <c r="F45" s="300"/>
      <c r="G45" s="300"/>
      <c r="H45" s="300"/>
      <c r="I45" s="300"/>
      <c r="J45" s="300"/>
      <c r="K45" s="300"/>
      <c r="L45" s="300"/>
      <c r="M45" s="300">
        <v>18</v>
      </c>
      <c r="N45" s="300">
        <v>9</v>
      </c>
      <c r="O45" s="300">
        <v>13</v>
      </c>
      <c r="P45" s="300">
        <v>4</v>
      </c>
      <c r="Q45" s="300"/>
      <c r="R45" s="300"/>
      <c r="S45" s="300"/>
      <c r="T45" s="300"/>
      <c r="U45" s="300"/>
      <c r="V45" s="300"/>
      <c r="W45" s="300"/>
      <c r="X45" s="300"/>
      <c r="Y45" s="300"/>
      <c r="Z45" s="300"/>
      <c r="AA45" s="301"/>
    </row>
    <row r="46" spans="1:27">
      <c r="A46" s="319"/>
      <c r="B46" s="351"/>
      <c r="C46" s="300"/>
      <c r="D46" s="300"/>
      <c r="E46" s="300"/>
      <c r="F46" s="300"/>
      <c r="G46" s="300" t="s">
        <v>1411</v>
      </c>
      <c r="H46" s="300"/>
      <c r="I46" s="300"/>
      <c r="J46" s="300"/>
      <c r="K46" s="300"/>
      <c r="L46" s="300"/>
      <c r="M46" s="300"/>
      <c r="N46" s="300"/>
      <c r="O46" s="300"/>
      <c r="P46" s="300"/>
      <c r="Q46" s="300"/>
      <c r="R46" s="300"/>
      <c r="S46" s="300"/>
      <c r="T46" s="300"/>
      <c r="U46" s="300"/>
      <c r="V46" s="300"/>
      <c r="W46" s="300"/>
      <c r="X46" s="300"/>
      <c r="Y46" s="300"/>
      <c r="Z46" s="300"/>
      <c r="AA46" s="301"/>
    </row>
    <row r="47" spans="1:27">
      <c r="A47" s="319"/>
      <c r="B47" s="351"/>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c r="AA47" s="301"/>
    </row>
    <row r="48" spans="1:27">
      <c r="A48" s="319"/>
      <c r="B48" s="624" t="s">
        <v>175</v>
      </c>
      <c r="C48" s="625"/>
      <c r="D48" s="625"/>
      <c r="E48" s="625"/>
      <c r="F48" s="625"/>
      <c r="G48" s="625"/>
      <c r="H48" s="625"/>
      <c r="I48" s="625"/>
      <c r="J48" s="625"/>
      <c r="K48" s="625"/>
      <c r="L48" s="625"/>
      <c r="M48" s="625"/>
      <c r="N48" s="625"/>
      <c r="O48" s="625"/>
      <c r="P48" s="625"/>
      <c r="Q48" s="625"/>
      <c r="R48" s="625"/>
      <c r="S48" s="625"/>
      <c r="T48" s="300"/>
      <c r="U48" s="300"/>
      <c r="V48" s="300"/>
      <c r="W48" s="300"/>
      <c r="X48" s="300"/>
      <c r="Y48" s="300"/>
      <c r="Z48" s="300"/>
      <c r="AA48" s="301"/>
    </row>
    <row r="49" spans="1:27">
      <c r="A49" s="618"/>
      <c r="B49" s="996" t="s">
        <v>1412</v>
      </c>
      <c r="C49" s="997"/>
      <c r="D49" s="997"/>
      <c r="E49" s="997"/>
      <c r="F49" s="997"/>
      <c r="G49" s="997"/>
      <c r="H49" s="997"/>
      <c r="I49" s="997"/>
      <c r="J49" s="997"/>
      <c r="K49" s="997"/>
      <c r="L49" s="997"/>
      <c r="M49" s="997"/>
      <c r="N49" s="997"/>
      <c r="O49" s="997"/>
      <c r="P49" s="997"/>
      <c r="Q49" s="997"/>
      <c r="R49" s="997"/>
      <c r="S49" s="998"/>
      <c r="T49" s="623"/>
      <c r="U49" s="300"/>
      <c r="V49" s="300"/>
      <c r="W49" s="300"/>
      <c r="X49" s="300"/>
      <c r="Y49" s="300"/>
      <c r="Z49" s="300"/>
      <c r="AA49" s="301"/>
    </row>
    <row r="50" spans="1:27">
      <c r="A50" s="618"/>
      <c r="B50" s="999"/>
      <c r="C50" s="1000"/>
      <c r="D50" s="1000"/>
      <c r="E50" s="1000"/>
      <c r="F50" s="1000"/>
      <c r="G50" s="1000"/>
      <c r="H50" s="1000"/>
      <c r="I50" s="1000"/>
      <c r="J50" s="1000"/>
      <c r="K50" s="1000"/>
      <c r="L50" s="1000"/>
      <c r="M50" s="1000"/>
      <c r="N50" s="1000"/>
      <c r="O50" s="1000"/>
      <c r="P50" s="1000"/>
      <c r="Q50" s="1000"/>
      <c r="R50" s="1000"/>
      <c r="S50" s="1001"/>
      <c r="T50" s="623"/>
      <c r="U50" s="300"/>
      <c r="V50" s="300"/>
      <c r="W50" s="300"/>
      <c r="X50" s="300"/>
      <c r="Y50" s="300"/>
      <c r="Z50" s="300"/>
      <c r="AA50" s="301"/>
    </row>
    <row r="51" spans="1:27">
      <c r="A51" s="618"/>
      <c r="B51" s="999"/>
      <c r="C51" s="1000"/>
      <c r="D51" s="1000"/>
      <c r="E51" s="1000"/>
      <c r="F51" s="1000"/>
      <c r="G51" s="1000"/>
      <c r="H51" s="1000"/>
      <c r="I51" s="1000"/>
      <c r="J51" s="1000"/>
      <c r="K51" s="1000"/>
      <c r="L51" s="1000"/>
      <c r="M51" s="1000"/>
      <c r="N51" s="1000"/>
      <c r="O51" s="1000"/>
      <c r="P51" s="1000"/>
      <c r="Q51" s="1000"/>
      <c r="R51" s="1000"/>
      <c r="S51" s="1001"/>
      <c r="T51" s="623"/>
      <c r="U51" s="300"/>
      <c r="V51" s="300"/>
      <c r="W51" s="300"/>
      <c r="X51" s="300"/>
      <c r="Y51" s="300"/>
      <c r="Z51" s="300"/>
      <c r="AA51" s="301"/>
    </row>
    <row r="52" spans="1:27">
      <c r="A52" s="618"/>
      <c r="B52" s="999"/>
      <c r="C52" s="1000"/>
      <c r="D52" s="1000"/>
      <c r="E52" s="1000"/>
      <c r="F52" s="1000"/>
      <c r="G52" s="1000"/>
      <c r="H52" s="1000"/>
      <c r="I52" s="1000"/>
      <c r="J52" s="1000"/>
      <c r="K52" s="1000"/>
      <c r="L52" s="1000"/>
      <c r="M52" s="1000"/>
      <c r="N52" s="1000"/>
      <c r="O52" s="1000"/>
      <c r="P52" s="1000"/>
      <c r="Q52" s="1000"/>
      <c r="R52" s="1000"/>
      <c r="S52" s="1001"/>
      <c r="T52" s="623"/>
      <c r="U52" s="300"/>
      <c r="V52" s="300"/>
      <c r="W52" s="300"/>
      <c r="X52" s="300"/>
      <c r="Y52" s="300"/>
      <c r="Z52" s="300"/>
      <c r="AA52" s="301"/>
    </row>
    <row r="53" spans="1:27">
      <c r="A53" s="618"/>
      <c r="B53" s="999"/>
      <c r="C53" s="1000"/>
      <c r="D53" s="1000"/>
      <c r="E53" s="1000"/>
      <c r="F53" s="1000"/>
      <c r="G53" s="1000"/>
      <c r="H53" s="1000"/>
      <c r="I53" s="1000"/>
      <c r="J53" s="1000"/>
      <c r="K53" s="1000"/>
      <c r="L53" s="1000"/>
      <c r="M53" s="1000"/>
      <c r="N53" s="1000"/>
      <c r="O53" s="1000"/>
      <c r="P53" s="1000"/>
      <c r="Q53" s="1000"/>
      <c r="R53" s="1000"/>
      <c r="S53" s="1001"/>
      <c r="T53" s="623"/>
      <c r="U53" s="300"/>
      <c r="V53" s="300"/>
      <c r="W53" s="300"/>
      <c r="X53" s="300"/>
      <c r="Y53" s="300"/>
      <c r="Z53" s="300"/>
      <c r="AA53" s="301"/>
    </row>
    <row r="54" spans="1:27">
      <c r="A54" s="618"/>
      <c r="B54" s="999"/>
      <c r="C54" s="1000"/>
      <c r="D54" s="1000"/>
      <c r="E54" s="1000"/>
      <c r="F54" s="1000"/>
      <c r="G54" s="1000"/>
      <c r="H54" s="1000"/>
      <c r="I54" s="1000"/>
      <c r="J54" s="1000"/>
      <c r="K54" s="1000"/>
      <c r="L54" s="1000"/>
      <c r="M54" s="1000"/>
      <c r="N54" s="1000"/>
      <c r="O54" s="1000"/>
      <c r="P54" s="1000"/>
      <c r="Q54" s="1000"/>
      <c r="R54" s="1000"/>
      <c r="S54" s="1001"/>
      <c r="T54" s="623"/>
      <c r="U54" s="300"/>
      <c r="V54" s="300"/>
      <c r="W54" s="300"/>
      <c r="X54" s="300"/>
      <c r="Y54" s="300"/>
      <c r="Z54" s="300"/>
      <c r="AA54" s="301"/>
    </row>
    <row r="55" spans="1:27">
      <c r="A55" s="618"/>
      <c r="B55" s="999"/>
      <c r="C55" s="1000"/>
      <c r="D55" s="1000"/>
      <c r="E55" s="1000"/>
      <c r="F55" s="1000"/>
      <c r="G55" s="1000"/>
      <c r="H55" s="1000"/>
      <c r="I55" s="1000"/>
      <c r="J55" s="1000"/>
      <c r="K55" s="1000"/>
      <c r="L55" s="1000"/>
      <c r="M55" s="1000"/>
      <c r="N55" s="1000"/>
      <c r="O55" s="1000"/>
      <c r="P55" s="1000"/>
      <c r="Q55" s="1000"/>
      <c r="R55" s="1000"/>
      <c r="S55" s="1001"/>
      <c r="T55" s="623"/>
      <c r="U55" s="300"/>
      <c r="V55" s="300"/>
      <c r="W55" s="300"/>
      <c r="X55" s="300"/>
      <c r="Y55" s="300"/>
      <c r="Z55" s="300"/>
      <c r="AA55" s="301"/>
    </row>
    <row r="56" spans="1:27">
      <c r="A56" s="618"/>
      <c r="B56" s="999"/>
      <c r="C56" s="1000"/>
      <c r="D56" s="1000"/>
      <c r="E56" s="1000"/>
      <c r="F56" s="1000"/>
      <c r="G56" s="1000"/>
      <c r="H56" s="1000"/>
      <c r="I56" s="1000"/>
      <c r="J56" s="1000"/>
      <c r="K56" s="1000"/>
      <c r="L56" s="1000"/>
      <c r="M56" s="1000"/>
      <c r="N56" s="1000"/>
      <c r="O56" s="1000"/>
      <c r="P56" s="1000"/>
      <c r="Q56" s="1000"/>
      <c r="R56" s="1000"/>
      <c r="S56" s="1001"/>
      <c r="T56" s="623"/>
      <c r="U56" s="300"/>
      <c r="V56" s="300"/>
      <c r="W56" s="300"/>
      <c r="X56" s="300"/>
      <c r="Y56" s="300"/>
      <c r="Z56" s="300"/>
      <c r="AA56" s="301"/>
    </row>
    <row r="57" spans="1:27">
      <c r="A57" s="618"/>
      <c r="B57" s="999"/>
      <c r="C57" s="1000"/>
      <c r="D57" s="1000"/>
      <c r="E57" s="1000"/>
      <c r="F57" s="1000"/>
      <c r="G57" s="1000"/>
      <c r="H57" s="1000"/>
      <c r="I57" s="1000"/>
      <c r="J57" s="1000"/>
      <c r="K57" s="1000"/>
      <c r="L57" s="1000"/>
      <c r="M57" s="1000"/>
      <c r="N57" s="1000"/>
      <c r="O57" s="1000"/>
      <c r="P57" s="1000"/>
      <c r="Q57" s="1000"/>
      <c r="R57" s="1000"/>
      <c r="S57" s="1001"/>
      <c r="T57" s="623"/>
      <c r="U57" s="300"/>
      <c r="V57" s="300"/>
      <c r="W57" s="300"/>
      <c r="X57" s="300"/>
      <c r="Y57" s="300"/>
      <c r="Z57" s="300"/>
      <c r="AA57" s="301"/>
    </row>
    <row r="58" spans="1:27">
      <c r="A58" s="618"/>
      <c r="B58" s="1002"/>
      <c r="C58" s="1003"/>
      <c r="D58" s="1003"/>
      <c r="E58" s="1003"/>
      <c r="F58" s="1003"/>
      <c r="G58" s="1003"/>
      <c r="H58" s="1003"/>
      <c r="I58" s="1003"/>
      <c r="J58" s="1003"/>
      <c r="K58" s="1003"/>
      <c r="L58" s="1003"/>
      <c r="M58" s="1003"/>
      <c r="N58" s="1003"/>
      <c r="O58" s="1003"/>
      <c r="P58" s="1003"/>
      <c r="Q58" s="1003"/>
      <c r="R58" s="1003"/>
      <c r="S58" s="1004"/>
      <c r="T58" s="623"/>
      <c r="U58" s="300"/>
      <c r="V58" s="300"/>
      <c r="W58" s="300"/>
      <c r="X58" s="300"/>
      <c r="Y58" s="300"/>
      <c r="Z58" s="300"/>
      <c r="AA58" s="301"/>
    </row>
    <row r="59" spans="1:27">
      <c r="A59" s="319"/>
      <c r="B59" s="626"/>
      <c r="C59" s="627"/>
      <c r="D59" s="627"/>
      <c r="E59" s="627"/>
      <c r="F59" s="627"/>
      <c r="G59" s="627"/>
      <c r="H59" s="627"/>
      <c r="I59" s="627"/>
      <c r="J59" s="627"/>
      <c r="K59" s="627"/>
      <c r="L59" s="627"/>
      <c r="M59" s="627"/>
      <c r="N59" s="627"/>
      <c r="O59" s="627"/>
      <c r="P59" s="627"/>
      <c r="Q59" s="627"/>
      <c r="R59" s="627"/>
      <c r="S59" s="627"/>
      <c r="T59" s="300"/>
      <c r="U59" s="300"/>
      <c r="V59" s="300"/>
      <c r="W59" s="300"/>
      <c r="X59" s="300"/>
      <c r="Y59" s="300"/>
      <c r="Z59" s="300"/>
      <c r="AA59" s="301"/>
    </row>
    <row r="60" spans="1:27">
      <c r="A60" s="319"/>
      <c r="B60" s="351"/>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1"/>
    </row>
    <row r="61" spans="1:27">
      <c r="A61" s="319"/>
      <c r="B61" s="351"/>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1"/>
    </row>
    <row r="62" spans="1:27">
      <c r="A62" s="319"/>
      <c r="B62" s="970" t="s">
        <v>70</v>
      </c>
      <c r="C62" s="970"/>
      <c r="D62" s="970"/>
      <c r="E62" s="970"/>
      <c r="F62" s="970"/>
      <c r="G62" s="970"/>
      <c r="H62" s="970"/>
      <c r="I62" s="970"/>
      <c r="J62" s="970"/>
      <c r="K62" s="970"/>
      <c r="L62" s="970"/>
      <c r="M62" s="970"/>
      <c r="N62" s="970"/>
      <c r="O62" s="970"/>
      <c r="P62" s="970"/>
      <c r="Q62" s="300"/>
      <c r="R62" s="300"/>
      <c r="S62" s="300"/>
      <c r="T62" s="300"/>
      <c r="U62" s="300"/>
      <c r="V62" s="300"/>
      <c r="W62" s="300"/>
      <c r="X62" s="300"/>
      <c r="Y62" s="300"/>
      <c r="Z62" s="300"/>
      <c r="AA62" s="301"/>
    </row>
    <row r="63" spans="1:27">
      <c r="A63" s="319"/>
      <c r="B63" s="970" t="s">
        <v>107</v>
      </c>
      <c r="C63" s="970"/>
      <c r="D63" s="970"/>
      <c r="E63" s="970"/>
      <c r="F63" s="970"/>
      <c r="G63" s="970"/>
      <c r="H63" s="970"/>
      <c r="I63" s="970"/>
      <c r="J63" s="970"/>
      <c r="K63" s="970"/>
      <c r="L63" s="970"/>
      <c r="M63" s="970"/>
      <c r="N63" s="970"/>
      <c r="O63" s="970"/>
      <c r="P63" s="970"/>
      <c r="Q63" s="300"/>
      <c r="R63" s="300"/>
      <c r="S63" s="300"/>
      <c r="T63" s="300"/>
      <c r="U63" s="300"/>
      <c r="V63" s="300"/>
      <c r="W63" s="300"/>
      <c r="X63" s="300"/>
      <c r="Y63" s="300"/>
      <c r="Z63" s="300"/>
      <c r="AA63" s="301"/>
    </row>
    <row r="64" spans="1:27">
      <c r="A64" s="319"/>
      <c r="B64" s="848"/>
      <c r="C64" s="848"/>
      <c r="D64" s="848"/>
      <c r="E64" s="848"/>
      <c r="F64" s="848"/>
      <c r="G64" s="848" t="s">
        <v>78</v>
      </c>
      <c r="H64" s="1161"/>
      <c r="I64" s="1161"/>
      <c r="J64" s="1161"/>
      <c r="K64" s="1161"/>
      <c r="L64" s="1161"/>
      <c r="M64" s="1161"/>
      <c r="N64" s="1161"/>
      <c r="O64" s="1161"/>
      <c r="P64" s="1161"/>
      <c r="Q64" s="300"/>
      <c r="R64" s="300"/>
      <c r="S64" s="300"/>
      <c r="T64" s="300"/>
      <c r="U64" s="300"/>
      <c r="V64" s="300"/>
      <c r="W64" s="300"/>
      <c r="X64" s="300"/>
      <c r="Y64" s="300"/>
      <c r="Z64" s="300"/>
      <c r="AA64" s="301"/>
    </row>
    <row r="65" spans="1:27">
      <c r="A65" s="319"/>
      <c r="B65" s="14" t="s">
        <v>82</v>
      </c>
      <c r="C65" s="14" t="s">
        <v>83</v>
      </c>
      <c r="D65" s="14" t="s">
        <v>84</v>
      </c>
      <c r="E65" s="14" t="s">
        <v>85</v>
      </c>
      <c r="F65" s="14" t="s">
        <v>86</v>
      </c>
      <c r="G65" s="14" t="s">
        <v>4</v>
      </c>
      <c r="H65" s="14" t="s">
        <v>5</v>
      </c>
      <c r="I65" s="14" t="s">
        <v>6</v>
      </c>
      <c r="J65" s="14" t="s">
        <v>7</v>
      </c>
      <c r="K65" s="14" t="s">
        <v>8</v>
      </c>
      <c r="L65" s="14" t="s">
        <v>9</v>
      </c>
      <c r="M65" s="14" t="s">
        <v>10</v>
      </c>
      <c r="N65" s="14" t="s">
        <v>11</v>
      </c>
      <c r="O65" s="14" t="s">
        <v>12</v>
      </c>
      <c r="P65" s="14" t="s">
        <v>13</v>
      </c>
      <c r="Q65" s="300"/>
      <c r="R65" s="300"/>
      <c r="S65" s="300"/>
      <c r="T65" s="300"/>
      <c r="U65" s="300"/>
      <c r="V65" s="300"/>
      <c r="W65" s="300"/>
      <c r="X65" s="300"/>
      <c r="Y65" s="300"/>
      <c r="Z65" s="300"/>
      <c r="AA65" s="301"/>
    </row>
    <row r="66" spans="1:27" ht="15" customHeight="1">
      <c r="A66" s="319"/>
      <c r="B66" s="847" t="s">
        <v>1413</v>
      </c>
      <c r="C66" s="847" t="s">
        <v>1414</v>
      </c>
      <c r="D66" s="855" t="s">
        <v>29</v>
      </c>
      <c r="E66" s="32">
        <v>1</v>
      </c>
      <c r="F66" s="390" t="s">
        <v>1357</v>
      </c>
      <c r="G66" s="35">
        <f>R7</f>
        <v>5.7033333333333331</v>
      </c>
      <c r="H66" s="14" t="s">
        <v>905</v>
      </c>
      <c r="I66" s="35">
        <f>R11</f>
        <v>33.333333333333336</v>
      </c>
      <c r="J66" s="35">
        <f>R15</f>
        <v>8.1274999999999995</v>
      </c>
      <c r="K66" s="35">
        <f>R19</f>
        <v>29.191666666666666</v>
      </c>
      <c r="L66" s="35">
        <f>R23</f>
        <v>5</v>
      </c>
      <c r="M66" s="35">
        <f>R28</f>
        <v>391.81782284546455</v>
      </c>
      <c r="N66" s="34">
        <f>R32</f>
        <v>0.20683333333333331</v>
      </c>
      <c r="O66" s="34">
        <f>R36</f>
        <v>4.5000000000000005E-2</v>
      </c>
      <c r="P66" s="14" t="s">
        <v>905</v>
      </c>
      <c r="Q66" s="300"/>
      <c r="R66" s="300"/>
      <c r="S66" s="300"/>
      <c r="T66" s="300"/>
      <c r="U66" s="300"/>
      <c r="V66" s="300"/>
      <c r="W66" s="300"/>
      <c r="X66" s="300"/>
      <c r="Y66" s="300"/>
      <c r="Z66" s="300"/>
      <c r="AA66" s="301"/>
    </row>
    <row r="67" spans="1:27" ht="15" customHeight="1">
      <c r="A67" s="319"/>
      <c r="B67" s="1161"/>
      <c r="C67" s="1161"/>
      <c r="D67" s="1161"/>
      <c r="E67" s="32">
        <v>2</v>
      </c>
      <c r="F67" s="390" t="s">
        <v>1359</v>
      </c>
      <c r="G67" s="35">
        <f>R8</f>
        <v>5.0557142857142852</v>
      </c>
      <c r="H67" s="14" t="s">
        <v>905</v>
      </c>
      <c r="I67" s="35">
        <f>R12</f>
        <v>37.571428571428569</v>
      </c>
      <c r="J67" s="35">
        <f>R16</f>
        <v>8.031428571428572</v>
      </c>
      <c r="K67" s="35">
        <f>R20</f>
        <v>28.777142857142856</v>
      </c>
      <c r="L67" s="35">
        <f>R24</f>
        <v>5</v>
      </c>
      <c r="M67" s="35">
        <f>R29</f>
        <v>118.59723868985763</v>
      </c>
      <c r="N67" s="34">
        <f>R33</f>
        <v>0.26742857142857146</v>
      </c>
      <c r="O67" s="34">
        <f>R37</f>
        <v>4.1000000000000002E-2</v>
      </c>
      <c r="P67" s="14" t="s">
        <v>905</v>
      </c>
      <c r="Q67" s="300"/>
      <c r="R67" s="300"/>
      <c r="S67" s="300"/>
      <c r="T67" s="300"/>
      <c r="U67" s="300"/>
      <c r="V67" s="300"/>
      <c r="W67" s="300"/>
      <c r="X67" s="300"/>
      <c r="Y67" s="300"/>
      <c r="Z67" s="300"/>
      <c r="AA67" s="301"/>
    </row>
    <row r="68" spans="1:27" ht="15" customHeight="1">
      <c r="A68" s="319"/>
      <c r="B68" s="1161"/>
      <c r="C68" s="1161"/>
      <c r="D68" s="1161"/>
      <c r="E68" s="32">
        <v>3</v>
      </c>
      <c r="F68" s="403" t="s">
        <v>1362</v>
      </c>
      <c r="G68" s="35">
        <f>R9</f>
        <v>5.642500000000001</v>
      </c>
      <c r="H68" s="14" t="s">
        <v>905</v>
      </c>
      <c r="I68" s="35">
        <f>R13</f>
        <v>34.583333333333336</v>
      </c>
      <c r="J68" s="35">
        <f>R17</f>
        <v>8.1308333333333334</v>
      </c>
      <c r="K68" s="35">
        <f>R21</f>
        <v>29.230833333333333</v>
      </c>
      <c r="L68" s="35">
        <f>R25</f>
        <v>5</v>
      </c>
      <c r="M68" s="35">
        <f>R30</f>
        <v>345.81621409527042</v>
      </c>
      <c r="N68" s="34">
        <f>R34</f>
        <v>0.16625000000000001</v>
      </c>
      <c r="O68" s="34">
        <f>R38</f>
        <v>5.2749999999999998E-2</v>
      </c>
      <c r="P68" s="14" t="s">
        <v>905</v>
      </c>
      <c r="Q68" s="300"/>
      <c r="R68" s="300"/>
      <c r="S68" s="300"/>
      <c r="T68" s="300"/>
      <c r="U68" s="300"/>
      <c r="V68" s="300"/>
      <c r="W68" s="300"/>
      <c r="X68" s="300"/>
      <c r="Y68" s="300"/>
      <c r="Z68" s="300"/>
      <c r="AA68" s="301"/>
    </row>
    <row r="69" spans="1:27" ht="15" customHeight="1">
      <c r="A69" s="319"/>
      <c r="B69" s="758"/>
      <c r="C69" s="468"/>
      <c r="D69" s="468"/>
      <c r="E69" s="32">
        <v>4</v>
      </c>
      <c r="F69" s="403" t="s">
        <v>1363</v>
      </c>
      <c r="G69" s="35">
        <f>R10</f>
        <v>5.9799999999999995</v>
      </c>
      <c r="H69" s="14" t="s">
        <v>905</v>
      </c>
      <c r="I69" s="35">
        <f>R14</f>
        <v>51.583333333333336</v>
      </c>
      <c r="J69" s="35">
        <f>R18</f>
        <v>7.9716666666666667</v>
      </c>
      <c r="K69" s="35">
        <f>R22</f>
        <v>29.181666666666668</v>
      </c>
      <c r="L69" s="35">
        <f>R26</f>
        <v>5</v>
      </c>
      <c r="M69" s="35">
        <f>R31</f>
        <v>394.02655026015924</v>
      </c>
      <c r="N69" s="34">
        <f>R35</f>
        <v>0.19166666666666665</v>
      </c>
      <c r="O69" s="34">
        <f>R39</f>
        <v>4.6499999999999993E-2</v>
      </c>
      <c r="P69" s="14" t="s">
        <v>905</v>
      </c>
      <c r="Q69" s="300"/>
      <c r="R69" s="300"/>
      <c r="S69" s="300"/>
      <c r="T69" s="300"/>
      <c r="U69" s="300"/>
      <c r="V69" s="300"/>
      <c r="W69" s="300"/>
      <c r="X69" s="300"/>
      <c r="Y69" s="300"/>
      <c r="Z69" s="300"/>
      <c r="AA69" s="301"/>
    </row>
    <row r="70" spans="1:27" ht="15" customHeight="1">
      <c r="A70" s="319"/>
      <c r="B70" s="844"/>
      <c r="C70" s="845"/>
      <c r="D70" s="845"/>
      <c r="E70" s="845"/>
      <c r="F70" s="845"/>
      <c r="G70" s="845"/>
      <c r="H70" s="845"/>
      <c r="I70" s="845"/>
      <c r="J70" s="845"/>
      <c r="K70" s="845"/>
      <c r="L70" s="845"/>
      <c r="M70" s="845"/>
      <c r="N70" s="845"/>
      <c r="O70" s="845"/>
      <c r="P70" s="846"/>
      <c r="Q70" s="300"/>
      <c r="R70" s="300"/>
      <c r="S70" s="300"/>
      <c r="T70" s="300"/>
      <c r="U70" s="300"/>
      <c r="V70" s="300"/>
      <c r="W70" s="300"/>
      <c r="X70" s="300"/>
      <c r="Y70" s="300"/>
      <c r="Z70" s="300"/>
      <c r="AA70" s="301"/>
    </row>
    <row r="71" spans="1:27">
      <c r="A71" s="319"/>
      <c r="B71" s="14" t="s">
        <v>93</v>
      </c>
      <c r="C71" s="1162"/>
      <c r="D71" s="1161"/>
      <c r="E71" s="1161"/>
      <c r="F71" s="1161"/>
      <c r="G71" s="35">
        <f>AVERAGEA(G66:G69)</f>
        <v>5.5953869047619049</v>
      </c>
      <c r="H71" s="35" t="s">
        <v>905</v>
      </c>
      <c r="I71" s="35">
        <f>AVERAGEA(I66:I69)</f>
        <v>39.267857142857146</v>
      </c>
      <c r="J71" s="35">
        <f>AVERAGEA(J66:J69)</f>
        <v>8.0653571428571418</v>
      </c>
      <c r="K71" s="35">
        <f>AVERAGEA(K66:K69)</f>
        <v>29.095327380952384</v>
      </c>
      <c r="L71" s="35">
        <f>AVERAGEA(L66:L68)</f>
        <v>5</v>
      </c>
      <c r="M71" s="35">
        <f>AVERAGEA(M66:M69)</f>
        <v>312.56445647268794</v>
      </c>
      <c r="N71" s="35">
        <f>AVERAGEA(N66:N69)</f>
        <v>0.20804464285714286</v>
      </c>
      <c r="O71" s="35">
        <f>AVERAGEA(O66:O69)</f>
        <v>4.63125E-2</v>
      </c>
      <c r="P71" s="35" t="s">
        <v>905</v>
      </c>
      <c r="Q71" s="300"/>
      <c r="R71" s="300"/>
      <c r="S71" s="300"/>
      <c r="T71" s="300"/>
      <c r="U71" s="300"/>
      <c r="V71" s="300"/>
      <c r="W71" s="300"/>
      <c r="X71" s="300"/>
      <c r="Y71" s="300"/>
      <c r="Z71" s="300"/>
      <c r="AA71" s="301"/>
    </row>
    <row r="72" spans="1:27">
      <c r="A72" s="319"/>
      <c r="B72" s="14" t="s">
        <v>94</v>
      </c>
      <c r="C72" s="1161"/>
      <c r="D72" s="1163"/>
      <c r="E72" s="1163"/>
      <c r="F72" s="1161"/>
      <c r="G72" s="35">
        <f>MIN(G66:G69)</f>
        <v>5.0557142857142852</v>
      </c>
      <c r="H72" s="35" t="s">
        <v>905</v>
      </c>
      <c r="I72" s="35">
        <f>MIN(I66:I69)</f>
        <v>33.333333333333336</v>
      </c>
      <c r="J72" s="35">
        <f>MIN(J66:J69)</f>
        <v>7.9716666666666667</v>
      </c>
      <c r="K72" s="35">
        <f>MIN(K66:K69)</f>
        <v>28.777142857142856</v>
      </c>
      <c r="L72" s="35">
        <f>MIN(L66:L68)</f>
        <v>5</v>
      </c>
      <c r="M72" s="35">
        <f>MIN(M66:M69)</f>
        <v>118.59723868985763</v>
      </c>
      <c r="N72" s="35">
        <f>MIN(N66:N69)</f>
        <v>0.16625000000000001</v>
      </c>
      <c r="O72" s="35">
        <f>MIN(O66:O69)</f>
        <v>4.1000000000000002E-2</v>
      </c>
      <c r="P72" s="35" t="s">
        <v>905</v>
      </c>
      <c r="Q72" s="300"/>
      <c r="R72" s="300"/>
      <c r="S72" s="300"/>
      <c r="T72" s="300"/>
      <c r="U72" s="300"/>
      <c r="V72" s="300"/>
      <c r="W72" s="300"/>
      <c r="X72" s="300"/>
      <c r="Y72" s="300"/>
      <c r="Z72" s="300"/>
      <c r="AA72" s="301"/>
    </row>
    <row r="73" spans="1:27">
      <c r="A73" s="319"/>
      <c r="B73" s="14" t="s">
        <v>95</v>
      </c>
      <c r="C73" s="1161"/>
      <c r="D73" s="1163"/>
      <c r="E73" s="1163"/>
      <c r="F73" s="1161"/>
      <c r="G73" s="35">
        <f>MAX(G66:G69)</f>
        <v>5.9799999999999995</v>
      </c>
      <c r="H73" s="35" t="s">
        <v>905</v>
      </c>
      <c r="I73" s="35">
        <f>MAX(I66:I69)</f>
        <v>51.583333333333336</v>
      </c>
      <c r="J73" s="35">
        <f>MAX(J66:J69)</f>
        <v>8.1308333333333334</v>
      </c>
      <c r="K73" s="35">
        <f>MAX(K66:K69)</f>
        <v>29.230833333333333</v>
      </c>
      <c r="L73" s="35">
        <f>MAX(L66:L68)</f>
        <v>5</v>
      </c>
      <c r="M73" s="35">
        <f>MAX(M66:M69)</f>
        <v>394.02655026015924</v>
      </c>
      <c r="N73" s="35">
        <f>MAX(N66:N69)</f>
        <v>0.26742857142857146</v>
      </c>
      <c r="O73" s="35">
        <f>MAX(O66:O69)</f>
        <v>5.2749999999999998E-2</v>
      </c>
      <c r="P73" s="35" t="s">
        <v>905</v>
      </c>
      <c r="Q73" s="300"/>
      <c r="R73" s="300"/>
      <c r="S73" s="300"/>
      <c r="T73" s="300"/>
      <c r="U73" s="300"/>
      <c r="V73" s="300"/>
      <c r="W73" s="300"/>
      <c r="X73" s="300"/>
      <c r="Y73" s="300"/>
      <c r="Z73" s="300"/>
      <c r="AA73" s="301"/>
    </row>
    <row r="74" spans="1:27">
      <c r="A74" s="319"/>
      <c r="B74" s="14" t="s">
        <v>96</v>
      </c>
      <c r="C74" s="1161"/>
      <c r="D74" s="1161"/>
      <c r="E74" s="1161"/>
      <c r="F74" s="1161"/>
      <c r="G74" s="118" t="s">
        <v>906</v>
      </c>
      <c r="H74" s="118" t="s">
        <v>905</v>
      </c>
      <c r="I74" s="118" t="s">
        <v>907</v>
      </c>
      <c r="J74" s="118" t="s">
        <v>908</v>
      </c>
      <c r="K74" s="29" t="s">
        <v>909</v>
      </c>
      <c r="L74" s="118" t="s">
        <v>699</v>
      </c>
      <c r="M74" s="118" t="s">
        <v>700</v>
      </c>
      <c r="N74" s="118" t="s">
        <v>910</v>
      </c>
      <c r="O74" s="118" t="s">
        <v>911</v>
      </c>
      <c r="P74" s="118" t="s">
        <v>905</v>
      </c>
      <c r="Q74" s="300"/>
      <c r="R74" s="300"/>
      <c r="S74" s="300"/>
      <c r="T74" s="300"/>
      <c r="U74" s="300"/>
      <c r="V74" s="300"/>
      <c r="W74" s="300"/>
      <c r="X74" s="300"/>
      <c r="Y74" s="300"/>
      <c r="Z74" s="300"/>
      <c r="AA74" s="301"/>
    </row>
    <row r="75" spans="1:27">
      <c r="A75" s="319"/>
      <c r="B75" s="351"/>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1"/>
    </row>
    <row r="76" spans="1:27">
      <c r="A76" s="319"/>
      <c r="B76" s="351"/>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1"/>
    </row>
    <row r="77" spans="1:27">
      <c r="A77" s="319"/>
      <c r="B77" s="351"/>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1"/>
    </row>
    <row r="78" spans="1:27">
      <c r="A78" s="319"/>
      <c r="B78" s="351"/>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1"/>
    </row>
    <row r="79" spans="1:27">
      <c r="A79" s="319"/>
      <c r="B79" s="351"/>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1"/>
    </row>
    <row r="80" spans="1:27">
      <c r="A80" s="319"/>
      <c r="B80" s="351"/>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1"/>
    </row>
    <row r="81" spans="1:27">
      <c r="A81" s="319"/>
      <c r="B81" s="351"/>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1"/>
    </row>
    <row r="82" spans="1:27">
      <c r="A82" s="319"/>
      <c r="B82" s="351"/>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1"/>
    </row>
    <row r="83" spans="1:27">
      <c r="A83" s="319"/>
      <c r="B83" s="351"/>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1"/>
    </row>
    <row r="84" spans="1:27">
      <c r="A84" s="319"/>
      <c r="B84" s="351"/>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1"/>
    </row>
    <row r="85" spans="1:27">
      <c r="A85" s="319"/>
      <c r="B85" s="351"/>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1"/>
    </row>
    <row r="86" spans="1:27">
      <c r="A86" s="319"/>
      <c r="B86" s="351"/>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1"/>
    </row>
    <row r="87" spans="1:27">
      <c r="A87" s="319"/>
      <c r="B87" s="351"/>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1"/>
    </row>
    <row r="88" spans="1:27">
      <c r="A88" s="319"/>
      <c r="B88" s="351"/>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1"/>
    </row>
    <row r="89" spans="1:27">
      <c r="A89" s="319"/>
      <c r="B89" s="351"/>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1"/>
    </row>
    <row r="90" spans="1:27">
      <c r="A90" s="319"/>
      <c r="B90" s="351"/>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1"/>
    </row>
    <row r="91" spans="1:27">
      <c r="A91" s="319"/>
      <c r="B91" s="351"/>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1"/>
    </row>
    <row r="92" spans="1:27">
      <c r="A92" s="319"/>
      <c r="B92" s="351"/>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1"/>
    </row>
    <row r="93" spans="1:27">
      <c r="A93" s="319"/>
      <c r="B93" s="351"/>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1"/>
    </row>
    <row r="94" spans="1:27">
      <c r="A94" s="319"/>
      <c r="B94" s="351"/>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1"/>
    </row>
    <row r="95" spans="1:27">
      <c r="A95" s="319"/>
      <c r="B95" s="351"/>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1"/>
    </row>
    <row r="96" spans="1:27">
      <c r="A96" s="319"/>
      <c r="B96" s="351"/>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1"/>
    </row>
    <row r="97" spans="1:27">
      <c r="A97" s="319"/>
      <c r="B97" s="351"/>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1"/>
    </row>
    <row r="98" spans="1:27">
      <c r="A98" s="319"/>
      <c r="B98" s="351"/>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1"/>
    </row>
    <row r="99" spans="1:27">
      <c r="A99" s="319"/>
      <c r="B99" s="351"/>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1"/>
    </row>
    <row r="100" spans="1:27">
      <c r="A100" s="319"/>
      <c r="B100" s="351"/>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1"/>
    </row>
    <row r="101" spans="1:27">
      <c r="A101" s="319"/>
      <c r="B101" s="351"/>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1"/>
    </row>
    <row r="102" spans="1:27">
      <c r="A102" s="319"/>
      <c r="B102" s="351"/>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1"/>
    </row>
    <row r="103" spans="1:27">
      <c r="A103" s="319"/>
      <c r="B103" s="351"/>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1"/>
    </row>
    <row r="104" spans="1:27">
      <c r="A104" s="319"/>
      <c r="B104" s="351"/>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1"/>
    </row>
    <row r="105" spans="1:27">
      <c r="A105" s="319"/>
      <c r="B105" s="351"/>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1"/>
    </row>
    <row r="106" spans="1:27">
      <c r="A106" s="319"/>
      <c r="B106" s="351"/>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1"/>
    </row>
    <row r="107" spans="1:27">
      <c r="A107" s="319"/>
      <c r="B107" s="351"/>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1"/>
    </row>
    <row r="108" spans="1:27">
      <c r="A108" s="319"/>
      <c r="B108" s="351"/>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1"/>
    </row>
    <row r="109" spans="1:27">
      <c r="A109" s="319"/>
      <c r="B109" s="351"/>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1"/>
    </row>
    <row r="110" spans="1:27">
      <c r="A110" s="319"/>
      <c r="B110" s="351"/>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1"/>
    </row>
    <row r="111" spans="1:27">
      <c r="A111" s="319"/>
      <c r="B111" s="351"/>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1"/>
    </row>
    <row r="112" spans="1:27">
      <c r="A112" s="319"/>
      <c r="B112" s="351"/>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1"/>
    </row>
    <row r="113" spans="1:27">
      <c r="A113" s="319"/>
      <c r="B113" s="351"/>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1"/>
    </row>
    <row r="114" spans="1:27">
      <c r="A114" s="319"/>
      <c r="B114" s="351"/>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1"/>
    </row>
    <row r="115" spans="1:27">
      <c r="A115" s="319"/>
      <c r="B115" s="351"/>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1"/>
    </row>
    <row r="116" spans="1:27">
      <c r="A116" s="319"/>
      <c r="B116" s="351"/>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1"/>
    </row>
    <row r="117" spans="1:27">
      <c r="A117" s="319"/>
      <c r="B117" s="351"/>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1"/>
    </row>
    <row r="118" spans="1:27">
      <c r="A118" s="319"/>
      <c r="B118" s="351"/>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1"/>
    </row>
    <row r="119" spans="1:27">
      <c r="A119" s="319"/>
      <c r="B119" s="351"/>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1"/>
    </row>
    <row r="120" spans="1:27">
      <c r="A120" s="319"/>
      <c r="B120" s="351"/>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1"/>
    </row>
    <row r="121" spans="1:27">
      <c r="A121" s="319"/>
      <c r="B121" s="351"/>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1"/>
    </row>
    <row r="122" spans="1:27">
      <c r="A122" s="319"/>
      <c r="B122" s="351"/>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1"/>
    </row>
    <row r="123" spans="1:27">
      <c r="A123" s="319"/>
      <c r="B123" s="351"/>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1"/>
    </row>
    <row r="124" spans="1:27">
      <c r="A124" s="319"/>
      <c r="B124" s="351"/>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1"/>
    </row>
    <row r="125" spans="1:27">
      <c r="A125" s="319"/>
      <c r="B125" s="351"/>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1"/>
    </row>
    <row r="126" spans="1:27">
      <c r="A126" s="319"/>
      <c r="B126" s="351"/>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1"/>
    </row>
    <row r="127" spans="1:27">
      <c r="A127" s="319"/>
      <c r="B127" s="351"/>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1"/>
    </row>
    <row r="128" spans="1:27">
      <c r="A128" s="319"/>
      <c r="B128" s="351"/>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1"/>
    </row>
    <row r="129" spans="1:27">
      <c r="A129" s="319"/>
      <c r="B129" s="351"/>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1"/>
    </row>
    <row r="130" spans="1:27">
      <c r="A130" s="319"/>
      <c r="B130" s="351"/>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1"/>
    </row>
    <row r="131" spans="1:27">
      <c r="A131" s="319"/>
      <c r="B131" s="351"/>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1"/>
    </row>
    <row r="132" spans="1:27">
      <c r="A132" s="319"/>
      <c r="B132" s="351"/>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1"/>
    </row>
    <row r="133" spans="1:27">
      <c r="A133" s="319"/>
      <c r="B133" s="351"/>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1"/>
    </row>
    <row r="134" spans="1:27">
      <c r="A134" s="319"/>
      <c r="B134" s="351"/>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1"/>
    </row>
    <row r="135" spans="1:27">
      <c r="A135" s="319"/>
      <c r="B135" s="351"/>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1"/>
    </row>
    <row r="136" spans="1:27">
      <c r="A136" s="319"/>
      <c r="B136" s="351"/>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c r="AA136" s="301"/>
    </row>
    <row r="137" spans="1:27">
      <c r="A137" s="319"/>
      <c r="B137" s="351"/>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c r="AA137" s="301"/>
    </row>
    <row r="138" spans="1:27">
      <c r="A138" s="319"/>
      <c r="B138" s="351"/>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c r="AA138" s="301"/>
    </row>
    <row r="139" spans="1:27">
      <c r="A139" s="319"/>
      <c r="B139" s="351"/>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c r="AA139" s="301"/>
    </row>
    <row r="140" spans="1:27">
      <c r="A140" s="319"/>
      <c r="B140" s="351"/>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c r="AA140" s="301"/>
    </row>
    <row r="141" spans="1:27">
      <c r="A141" s="319"/>
      <c r="B141" s="351"/>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1"/>
    </row>
    <row r="142" spans="1:27">
      <c r="A142" s="319"/>
      <c r="B142" s="351"/>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1"/>
    </row>
    <row r="143" spans="1:27">
      <c r="A143" s="319"/>
      <c r="B143" s="351"/>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c r="AA143" s="301"/>
    </row>
    <row r="144" spans="1:27">
      <c r="A144" s="319"/>
      <c r="B144" s="351"/>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c r="AA144" s="301"/>
    </row>
    <row r="145" spans="1:27">
      <c r="A145" s="319"/>
      <c r="B145" s="351"/>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c r="AA145" s="301"/>
    </row>
    <row r="146" spans="1:27">
      <c r="A146" s="319"/>
      <c r="B146" s="351"/>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c r="AA146" s="301"/>
    </row>
    <row r="147" spans="1:27">
      <c r="A147" s="319"/>
      <c r="B147" s="351"/>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c r="AA147" s="301"/>
    </row>
    <row r="148" spans="1:27">
      <c r="A148" s="319"/>
      <c r="B148" s="351"/>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c r="AA148" s="301"/>
    </row>
    <row r="149" spans="1:27">
      <c r="A149" s="319"/>
      <c r="B149" s="351"/>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c r="AA149" s="301"/>
    </row>
    <row r="150" spans="1:27">
      <c r="A150" s="319"/>
      <c r="B150" s="351"/>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c r="AA150" s="301"/>
    </row>
    <row r="151" spans="1:27">
      <c r="A151" s="319"/>
      <c r="B151" s="351"/>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c r="AA151" s="301"/>
    </row>
    <row r="152" spans="1:27">
      <c r="A152" s="319"/>
      <c r="B152" s="351"/>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c r="AA152" s="301"/>
    </row>
    <row r="153" spans="1:27">
      <c r="A153" s="319"/>
      <c r="B153" s="351"/>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c r="AA153" s="301"/>
    </row>
    <row r="154" spans="1:27">
      <c r="A154" s="319"/>
      <c r="B154" s="351"/>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c r="AA154" s="301"/>
    </row>
    <row r="155" spans="1:27">
      <c r="A155" s="319"/>
      <c r="B155" s="351"/>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c r="AA155" s="301"/>
    </row>
    <row r="156" spans="1:27">
      <c r="A156" s="319"/>
      <c r="B156" s="351"/>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c r="AA156" s="301"/>
    </row>
    <row r="157" spans="1:27">
      <c r="A157" s="319"/>
      <c r="B157" s="351"/>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c r="AA157" s="301"/>
    </row>
    <row r="158" spans="1:27">
      <c r="A158" s="319"/>
      <c r="B158" s="351"/>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c r="AA158" s="301"/>
    </row>
    <row r="159" spans="1:27">
      <c r="A159" s="319"/>
      <c r="B159" s="351"/>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c r="AA159" s="301"/>
    </row>
    <row r="160" spans="1:27">
      <c r="A160" s="319"/>
      <c r="B160" s="351"/>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c r="AA160" s="301"/>
    </row>
    <row r="161" spans="1:27">
      <c r="A161" s="319"/>
      <c r="B161" s="351"/>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c r="AA161" s="301"/>
    </row>
    <row r="162" spans="1:27">
      <c r="A162" s="319"/>
      <c r="B162" s="351"/>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c r="AA162" s="301"/>
    </row>
    <row r="163" spans="1:27">
      <c r="A163" s="319"/>
      <c r="B163" s="351"/>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c r="AA163" s="301"/>
    </row>
    <row r="164" spans="1:27">
      <c r="A164" s="319"/>
      <c r="B164" s="351"/>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c r="AA164" s="301"/>
    </row>
    <row r="165" spans="1:27">
      <c r="A165" s="319"/>
      <c r="B165" s="351"/>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c r="AA165" s="301"/>
    </row>
    <row r="166" spans="1:27">
      <c r="A166" s="319"/>
      <c r="B166" s="351"/>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c r="AA166" s="301"/>
    </row>
    <row r="167" spans="1:27">
      <c r="A167" s="319"/>
      <c r="B167" s="351"/>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c r="AA167" s="301"/>
    </row>
    <row r="168" spans="1:27">
      <c r="A168" s="319"/>
      <c r="B168" s="351"/>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c r="AA168" s="301"/>
    </row>
    <row r="169" spans="1:27">
      <c r="A169" s="319"/>
      <c r="B169" s="351"/>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c r="AA169" s="301"/>
    </row>
    <row r="170" spans="1:27">
      <c r="A170" s="319"/>
      <c r="B170" s="351"/>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c r="AA170" s="301"/>
    </row>
    <row r="171" spans="1:27">
      <c r="A171" s="319"/>
      <c r="B171" s="351"/>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c r="AA171" s="301"/>
    </row>
    <row r="172" spans="1:27">
      <c r="A172" s="319"/>
      <c r="B172" s="351"/>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c r="AA172" s="301"/>
    </row>
    <row r="173" spans="1:27">
      <c r="A173" s="319"/>
      <c r="B173" s="351"/>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c r="AA173" s="301"/>
    </row>
    <row r="174" spans="1:27">
      <c r="A174" s="319"/>
      <c r="B174" s="351"/>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c r="AA174" s="301"/>
    </row>
    <row r="175" spans="1:27">
      <c r="A175" s="319"/>
      <c r="B175" s="351"/>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c r="AA175" s="301"/>
    </row>
    <row r="176" spans="1:27">
      <c r="A176" s="319"/>
      <c r="B176" s="351"/>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c r="AA176" s="301"/>
    </row>
    <row r="177" spans="1:27">
      <c r="A177" s="319"/>
      <c r="B177" s="351"/>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c r="AA177" s="301"/>
    </row>
    <row r="178" spans="1:27">
      <c r="A178" s="319"/>
      <c r="B178" s="351"/>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c r="AA178" s="301"/>
    </row>
    <row r="179" spans="1:27">
      <c r="A179" s="319"/>
      <c r="B179" s="351"/>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c r="AA179" s="301"/>
    </row>
    <row r="180" spans="1:27">
      <c r="A180" s="319"/>
      <c r="B180" s="351"/>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c r="AA180" s="301"/>
    </row>
    <row r="181" spans="1:27">
      <c r="A181" s="319"/>
      <c r="B181" s="351"/>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c r="AA181" s="301"/>
    </row>
    <row r="182" spans="1:27">
      <c r="A182" s="319"/>
      <c r="B182" s="351"/>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c r="AA182" s="301"/>
    </row>
    <row r="183" spans="1:27">
      <c r="A183" s="319"/>
      <c r="B183" s="351"/>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c r="AA183" s="301"/>
    </row>
    <row r="184" spans="1:27">
      <c r="A184" s="319"/>
      <c r="B184" s="351"/>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c r="AA184" s="301"/>
    </row>
    <row r="185" spans="1:27">
      <c r="A185" s="319"/>
      <c r="B185" s="351"/>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c r="AA185" s="301"/>
    </row>
    <row r="186" spans="1:27">
      <c r="A186" s="319"/>
      <c r="B186" s="351"/>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c r="AA186" s="301"/>
    </row>
    <row r="187" spans="1:27">
      <c r="A187" s="319"/>
      <c r="B187" s="351"/>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c r="AA187" s="301"/>
    </row>
    <row r="188" spans="1:27">
      <c r="A188" s="319"/>
      <c r="B188" s="351"/>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c r="AA188" s="301"/>
    </row>
    <row r="189" spans="1:27">
      <c r="A189" s="319"/>
      <c r="B189" s="351"/>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c r="AA189" s="301"/>
    </row>
    <row r="190" spans="1:27">
      <c r="A190" s="319"/>
      <c r="B190" s="351"/>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c r="AA190" s="301"/>
    </row>
    <row r="191" spans="1:27">
      <c r="A191" s="319"/>
      <c r="B191" s="351"/>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c r="AA191" s="301"/>
    </row>
    <row r="192" spans="1:27">
      <c r="A192" s="319"/>
      <c r="B192" s="351"/>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c r="AA192" s="301"/>
    </row>
    <row r="193" spans="1:27">
      <c r="A193" s="319"/>
      <c r="B193" s="351"/>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c r="AA193" s="301"/>
    </row>
    <row r="194" spans="1:27">
      <c r="A194" s="319"/>
      <c r="B194" s="351"/>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c r="AA194" s="301"/>
    </row>
    <row r="195" spans="1:27">
      <c r="A195" s="319"/>
      <c r="B195" s="351"/>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c r="AA195" s="301"/>
    </row>
    <row r="196" spans="1:27">
      <c r="A196" s="319"/>
      <c r="B196" s="351"/>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c r="AA196" s="301"/>
    </row>
    <row r="197" spans="1:27">
      <c r="A197" s="319"/>
      <c r="B197" s="351"/>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c r="AA197" s="301"/>
    </row>
    <row r="198" spans="1:27">
      <c r="A198" s="319"/>
      <c r="B198" s="351"/>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c r="AA198" s="301"/>
    </row>
    <row r="199" spans="1:27">
      <c r="A199" s="319"/>
      <c r="B199" s="351"/>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c r="AA199" s="301"/>
    </row>
    <row r="200" spans="1:27">
      <c r="A200" s="319"/>
      <c r="B200" s="351"/>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c r="AA200" s="301"/>
    </row>
    <row r="201" spans="1:27">
      <c r="A201" s="319"/>
      <c r="B201" s="351"/>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c r="AA201" s="301"/>
    </row>
    <row r="202" spans="1:27">
      <c r="A202" s="319"/>
      <c r="B202" s="351"/>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c r="AA202" s="301"/>
    </row>
    <row r="203" spans="1:27">
      <c r="A203" s="319"/>
      <c r="B203" s="351"/>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c r="AA203" s="301"/>
    </row>
    <row r="204" spans="1:27">
      <c r="A204" s="319"/>
      <c r="B204" s="351"/>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1"/>
    </row>
    <row r="205" spans="1:27">
      <c r="A205" s="319"/>
      <c r="B205" s="351"/>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c r="AA205" s="301"/>
    </row>
    <row r="206" spans="1:27">
      <c r="A206" s="319"/>
      <c r="B206" s="351"/>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c r="AA206" s="301"/>
    </row>
    <row r="207" spans="1:27">
      <c r="A207" s="319"/>
      <c r="B207" s="351"/>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c r="AA207" s="301"/>
    </row>
    <row r="208" spans="1:27">
      <c r="A208" s="319"/>
      <c r="B208" s="351"/>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c r="AA208" s="301"/>
    </row>
    <row r="209" spans="1:27">
      <c r="A209" s="319"/>
      <c r="B209" s="351"/>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c r="AA209" s="301"/>
    </row>
    <row r="210" spans="1:27">
      <c r="A210" s="319"/>
      <c r="B210" s="351"/>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c r="AA210" s="301"/>
    </row>
    <row r="211" spans="1:27">
      <c r="A211" s="319"/>
      <c r="B211" s="351"/>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c r="AA211" s="301"/>
    </row>
    <row r="212" spans="1:27">
      <c r="A212" s="319"/>
      <c r="B212" s="351"/>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c r="AA212" s="301"/>
    </row>
    <row r="213" spans="1:27">
      <c r="A213" s="319"/>
      <c r="B213" s="351"/>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c r="AA213" s="301"/>
    </row>
    <row r="214" spans="1:27">
      <c r="A214" s="319"/>
      <c r="B214" s="351"/>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c r="AA214" s="301"/>
    </row>
    <row r="215" spans="1:27">
      <c r="A215" s="319"/>
      <c r="B215" s="351"/>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c r="AA215" s="301"/>
    </row>
    <row r="216" spans="1:27">
      <c r="A216" s="319"/>
      <c r="B216" s="351"/>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c r="AA216" s="301"/>
    </row>
    <row r="217" spans="1:27">
      <c r="A217" s="319"/>
      <c r="B217" s="351"/>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c r="AA217" s="301"/>
    </row>
    <row r="218" spans="1:27">
      <c r="A218" s="319"/>
      <c r="B218" s="351"/>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c r="AA218" s="301"/>
    </row>
    <row r="219" spans="1:27">
      <c r="A219" s="319"/>
      <c r="B219" s="351"/>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c r="AA219" s="301"/>
    </row>
    <row r="220" spans="1:27">
      <c r="A220" s="319"/>
      <c r="B220" s="351"/>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c r="AA220" s="301"/>
    </row>
    <row r="221" spans="1:27">
      <c r="A221" s="319"/>
      <c r="B221" s="351"/>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c r="AA221" s="301"/>
    </row>
    <row r="222" spans="1:27">
      <c r="A222" s="319"/>
      <c r="B222" s="351"/>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c r="AA222" s="301"/>
    </row>
    <row r="223" spans="1:27">
      <c r="A223" s="319"/>
      <c r="B223" s="351"/>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c r="AA223" s="301"/>
    </row>
    <row r="224" spans="1:27">
      <c r="A224" s="319"/>
      <c r="B224" s="351"/>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c r="AA224" s="301"/>
    </row>
    <row r="225" spans="1:27">
      <c r="A225" s="319"/>
      <c r="B225" s="351"/>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c r="AA225" s="301"/>
    </row>
    <row r="226" spans="1:27">
      <c r="A226" s="319"/>
      <c r="B226" s="351"/>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c r="AA226" s="301"/>
    </row>
    <row r="227" spans="1:27">
      <c r="A227" s="319"/>
      <c r="B227" s="351"/>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c r="AA227" s="301"/>
    </row>
    <row r="228" spans="1:27">
      <c r="A228" s="319"/>
      <c r="B228" s="351"/>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c r="AA228" s="301"/>
    </row>
    <row r="229" spans="1:27">
      <c r="A229" s="319"/>
      <c r="B229" s="351"/>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c r="AA229" s="301"/>
    </row>
    <row r="230" spans="1:27">
      <c r="A230" s="319"/>
      <c r="B230" s="351"/>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c r="AA230" s="301"/>
    </row>
    <row r="231" spans="1:27">
      <c r="A231" s="319"/>
      <c r="B231" s="351"/>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c r="AA231" s="301"/>
    </row>
    <row r="232" spans="1:27">
      <c r="A232" s="319"/>
      <c r="B232" s="351"/>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c r="AA232" s="301"/>
    </row>
    <row r="233" spans="1:27">
      <c r="A233" s="319"/>
      <c r="B233" s="351"/>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c r="AA233" s="301"/>
    </row>
    <row r="234" spans="1:27">
      <c r="A234" s="319"/>
      <c r="B234" s="351"/>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c r="AA234" s="301"/>
    </row>
    <row r="235" spans="1:27">
      <c r="A235" s="319"/>
      <c r="B235" s="351"/>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c r="AA235" s="301"/>
    </row>
    <row r="236" spans="1:27">
      <c r="A236" s="319"/>
      <c r="B236" s="351"/>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c r="AA236" s="301"/>
    </row>
    <row r="237" spans="1:27">
      <c r="A237" s="319"/>
      <c r="B237" s="351"/>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c r="AA237" s="301"/>
    </row>
    <row r="238" spans="1:27">
      <c r="A238" s="319"/>
      <c r="B238" s="351"/>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c r="AA238" s="301"/>
    </row>
    <row r="239" spans="1:27">
      <c r="A239" s="319"/>
      <c r="B239" s="351"/>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c r="AA239" s="301"/>
    </row>
    <row r="240" spans="1:27">
      <c r="A240" s="319"/>
      <c r="B240" s="351"/>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c r="AA240" s="301"/>
    </row>
    <row r="241" spans="1:27">
      <c r="A241" s="319"/>
      <c r="B241" s="351"/>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c r="AA241" s="301"/>
    </row>
    <row r="242" spans="1:27">
      <c r="A242" s="319"/>
      <c r="B242" s="351"/>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c r="AA242" s="301"/>
    </row>
    <row r="243" spans="1:27">
      <c r="A243" s="319"/>
      <c r="B243" s="351"/>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c r="AA243" s="301"/>
    </row>
    <row r="244" spans="1:27">
      <c r="A244" s="319"/>
      <c r="B244" s="351"/>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c r="AA244" s="301"/>
    </row>
    <row r="245" spans="1:27">
      <c r="A245" s="319"/>
      <c r="B245" s="351"/>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c r="AA245" s="301"/>
    </row>
    <row r="246" spans="1:27">
      <c r="A246" s="319"/>
      <c r="B246" s="351"/>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c r="AA246" s="301"/>
    </row>
    <row r="247" spans="1:27">
      <c r="A247" s="319"/>
      <c r="B247" s="351"/>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c r="AA247" s="301"/>
    </row>
    <row r="248" spans="1:27">
      <c r="A248" s="319"/>
      <c r="B248" s="351"/>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c r="AA248" s="301"/>
    </row>
    <row r="249" spans="1:27">
      <c r="A249" s="319"/>
      <c r="B249" s="351"/>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c r="AA249" s="301"/>
    </row>
    <row r="250" spans="1:27">
      <c r="A250" s="319"/>
      <c r="B250" s="351"/>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c r="AA250" s="301"/>
    </row>
    <row r="251" spans="1:27">
      <c r="A251" s="319"/>
      <c r="B251" s="351"/>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c r="AA251" s="301"/>
    </row>
    <row r="252" spans="1:27">
      <c r="A252" s="319"/>
      <c r="B252" s="351"/>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c r="AA252" s="301"/>
    </row>
    <row r="253" spans="1:27">
      <c r="A253" s="319"/>
      <c r="B253" s="351"/>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c r="AA253" s="301"/>
    </row>
    <row r="254" spans="1:27">
      <c r="A254" s="319"/>
      <c r="B254" s="351"/>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c r="AA254" s="301"/>
    </row>
    <row r="255" spans="1:27">
      <c r="A255" s="319"/>
      <c r="B255" s="351"/>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c r="AA255" s="301"/>
    </row>
    <row r="256" spans="1:27">
      <c r="A256" s="319"/>
      <c r="B256" s="351"/>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c r="AA256" s="301"/>
    </row>
    <row r="257" spans="1:27">
      <c r="A257" s="319"/>
      <c r="B257" s="351"/>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c r="AA257" s="301"/>
    </row>
    <row r="258" spans="1:27">
      <c r="A258" s="319"/>
      <c r="B258" s="351"/>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c r="AA258" s="301"/>
    </row>
    <row r="259" spans="1:27">
      <c r="A259" s="319"/>
      <c r="B259" s="351"/>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c r="AA259" s="301"/>
    </row>
    <row r="260" spans="1:27">
      <c r="A260" s="319"/>
      <c r="B260" s="351"/>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c r="AA260" s="301"/>
    </row>
    <row r="261" spans="1:27">
      <c r="A261" s="319"/>
      <c r="B261" s="351"/>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c r="AA261" s="301"/>
    </row>
    <row r="262" spans="1:27">
      <c r="A262" s="319"/>
      <c r="B262" s="351"/>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c r="AA262" s="301"/>
    </row>
    <row r="263" spans="1:27">
      <c r="A263" s="319"/>
      <c r="B263" s="351"/>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c r="AA263" s="301"/>
    </row>
    <row r="264" spans="1:27">
      <c r="A264" s="319"/>
      <c r="B264" s="351"/>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c r="AA264" s="301"/>
    </row>
    <row r="265" spans="1:27">
      <c r="A265" s="319"/>
      <c r="B265" s="351"/>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c r="AA265" s="301"/>
    </row>
    <row r="266" spans="1:27">
      <c r="A266" s="319"/>
      <c r="B266" s="351"/>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c r="AA266" s="301"/>
    </row>
    <row r="267" spans="1:27">
      <c r="A267" s="319"/>
      <c r="B267" s="351"/>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c r="AA267" s="301"/>
    </row>
    <row r="268" spans="1:27">
      <c r="A268" s="319"/>
      <c r="B268" s="351"/>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c r="AA268" s="301"/>
    </row>
    <row r="269" spans="1:27">
      <c r="A269" s="319"/>
      <c r="B269" s="351"/>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c r="AA269" s="301"/>
    </row>
    <row r="270" spans="1:27">
      <c r="A270" s="319"/>
      <c r="B270" s="351"/>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c r="AA270" s="301"/>
    </row>
    <row r="271" spans="1:27">
      <c r="A271" s="319"/>
      <c r="B271" s="351"/>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c r="AA271" s="301"/>
    </row>
    <row r="272" spans="1:27">
      <c r="A272" s="319"/>
      <c r="B272" s="351"/>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c r="AA272" s="301"/>
    </row>
    <row r="273" spans="1:27">
      <c r="A273" s="319"/>
      <c r="B273" s="351"/>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c r="AA273" s="301"/>
    </row>
    <row r="274" spans="1:27">
      <c r="A274" s="319"/>
      <c r="B274" s="351"/>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c r="AA274" s="301"/>
    </row>
    <row r="275" spans="1:27">
      <c r="A275" s="319"/>
      <c r="B275" s="351"/>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c r="AA275" s="301"/>
    </row>
    <row r="276" spans="1:27">
      <c r="A276" s="319"/>
      <c r="B276" s="351"/>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c r="AA276" s="301"/>
    </row>
    <row r="277" spans="1:27">
      <c r="A277" s="319"/>
      <c r="B277" s="351"/>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c r="AA277" s="301"/>
    </row>
    <row r="278" spans="1:27">
      <c r="A278" s="319"/>
      <c r="B278" s="351"/>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c r="AA278" s="301"/>
    </row>
    <row r="279" spans="1:27">
      <c r="A279" s="319"/>
      <c r="B279" s="351"/>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c r="AA279" s="301"/>
    </row>
    <row r="280" spans="1:27">
      <c r="A280" s="319"/>
      <c r="B280" s="351"/>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c r="AA280" s="301"/>
    </row>
    <row r="281" spans="1:27">
      <c r="A281" s="319"/>
      <c r="B281" s="351"/>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c r="AA281" s="301"/>
    </row>
    <row r="282" spans="1:27">
      <c r="A282" s="319"/>
      <c r="B282" s="351"/>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c r="AA282" s="301"/>
    </row>
    <row r="283" spans="1:27">
      <c r="A283" s="319"/>
      <c r="B283" s="351"/>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c r="AA283" s="301"/>
    </row>
    <row r="284" spans="1:27">
      <c r="A284" s="319"/>
      <c r="B284" s="351"/>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c r="AA284" s="301"/>
    </row>
    <row r="285" spans="1:27">
      <c r="A285" s="319"/>
      <c r="B285" s="351"/>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c r="AA285" s="301"/>
    </row>
    <row r="286" spans="1:27">
      <c r="A286" s="319"/>
      <c r="B286" s="351"/>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c r="AA286" s="301"/>
    </row>
    <row r="287" spans="1:27">
      <c r="A287" s="319"/>
      <c r="B287" s="351"/>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c r="AA287" s="301"/>
    </row>
    <row r="288" spans="1:27">
      <c r="A288" s="319"/>
      <c r="B288" s="351"/>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c r="AA288" s="301"/>
    </row>
    <row r="289" spans="1:27">
      <c r="A289" s="319"/>
      <c r="B289" s="351"/>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c r="AA289" s="301"/>
    </row>
    <row r="290" spans="1:27">
      <c r="A290" s="319"/>
      <c r="B290" s="351"/>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c r="AA290" s="301"/>
    </row>
    <row r="291" spans="1:27">
      <c r="A291" s="319"/>
      <c r="B291" s="351"/>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c r="AA291" s="301"/>
    </row>
    <row r="292" spans="1:27">
      <c r="A292" s="319"/>
      <c r="B292" s="351"/>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c r="AA292" s="301"/>
    </row>
    <row r="293" spans="1:27">
      <c r="A293" s="319"/>
      <c r="B293" s="351"/>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c r="AA293" s="301"/>
    </row>
    <row r="294" spans="1:27">
      <c r="A294" s="319"/>
      <c r="B294" s="351"/>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c r="AA294" s="301"/>
    </row>
    <row r="295" spans="1:27">
      <c r="A295" s="319"/>
      <c r="B295" s="351"/>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c r="AA295" s="301"/>
    </row>
    <row r="296" spans="1:27">
      <c r="A296" s="319"/>
      <c r="B296" s="351"/>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c r="AA296" s="301"/>
    </row>
    <row r="297" spans="1:27">
      <c r="A297" s="319"/>
      <c r="B297" s="351"/>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c r="AA297" s="301"/>
    </row>
    <row r="298" spans="1:27">
      <c r="A298" s="319"/>
      <c r="B298" s="351"/>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c r="AA298" s="301"/>
    </row>
    <row r="299" spans="1:27">
      <c r="A299" s="319"/>
      <c r="B299" s="351"/>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c r="AA299" s="301"/>
    </row>
    <row r="300" spans="1:27">
      <c r="A300" s="319"/>
      <c r="B300" s="351"/>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c r="AA300" s="301"/>
    </row>
    <row r="301" spans="1:27">
      <c r="A301" s="319"/>
      <c r="B301" s="351"/>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c r="AA301" s="301"/>
    </row>
    <row r="302" spans="1:27">
      <c r="A302" s="319"/>
      <c r="B302" s="351"/>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c r="AA302" s="301"/>
    </row>
    <row r="303" spans="1:27">
      <c r="A303" s="319"/>
      <c r="B303" s="351"/>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c r="AA303" s="301"/>
    </row>
    <row r="304" spans="1:27">
      <c r="A304" s="319"/>
      <c r="B304" s="351"/>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c r="AA304" s="301"/>
    </row>
    <row r="305" spans="1:27">
      <c r="A305" s="319"/>
      <c r="B305" s="351"/>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c r="AA305" s="301"/>
    </row>
    <row r="306" spans="1:27">
      <c r="A306" s="319"/>
      <c r="B306" s="351"/>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c r="AA306" s="301"/>
    </row>
    <row r="307" spans="1:27">
      <c r="A307" s="319"/>
      <c r="B307" s="351"/>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c r="AA307" s="301"/>
    </row>
    <row r="308" spans="1:27">
      <c r="A308" s="319"/>
      <c r="B308" s="351"/>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c r="AA308" s="301"/>
    </row>
    <row r="309" spans="1:27">
      <c r="A309" s="319"/>
      <c r="B309" s="351"/>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c r="AA309" s="301"/>
    </row>
    <row r="310" spans="1:27">
      <c r="A310" s="319"/>
      <c r="B310" s="351"/>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c r="AA310" s="301"/>
    </row>
    <row r="311" spans="1:27">
      <c r="A311" s="319"/>
      <c r="B311" s="351"/>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c r="AA311" s="301"/>
    </row>
    <row r="312" spans="1:27">
      <c r="A312" s="319"/>
      <c r="B312" s="351"/>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c r="AA312" s="301"/>
    </row>
    <row r="313" spans="1:27">
      <c r="A313" s="319"/>
      <c r="B313" s="351"/>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c r="AA313" s="301"/>
    </row>
    <row r="314" spans="1:27">
      <c r="A314" s="319"/>
      <c r="B314" s="351"/>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c r="AA314" s="301"/>
    </row>
    <row r="315" spans="1:27">
      <c r="A315" s="319"/>
      <c r="B315" s="351"/>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c r="AA315" s="301"/>
    </row>
    <row r="316" spans="1:27">
      <c r="A316" s="319"/>
      <c r="B316" s="351"/>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c r="AA316" s="301"/>
    </row>
    <row r="317" spans="1:27">
      <c r="A317" s="319"/>
      <c r="B317" s="351"/>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c r="AA317" s="301"/>
    </row>
    <row r="318" spans="1:27">
      <c r="A318" s="319"/>
      <c r="B318" s="351"/>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c r="AA318" s="301"/>
    </row>
    <row r="319" spans="1:27">
      <c r="A319" s="319"/>
      <c r="B319" s="351"/>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c r="AA319" s="301"/>
    </row>
    <row r="320" spans="1:27">
      <c r="A320" s="319"/>
      <c r="B320" s="351"/>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c r="AA320" s="301"/>
    </row>
    <row r="321" spans="1:27">
      <c r="A321" s="319"/>
      <c r="B321" s="351"/>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c r="AA321" s="301"/>
    </row>
    <row r="322" spans="1:27">
      <c r="A322" s="319"/>
      <c r="B322" s="351"/>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c r="AA322" s="301"/>
    </row>
    <row r="323" spans="1:27">
      <c r="A323" s="319"/>
      <c r="B323" s="351"/>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c r="AA323" s="301"/>
    </row>
    <row r="324" spans="1:27">
      <c r="A324" s="319"/>
      <c r="B324" s="351"/>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c r="AA324" s="301"/>
    </row>
    <row r="325" spans="1:27">
      <c r="A325" s="319"/>
      <c r="B325" s="351"/>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c r="AA325" s="301"/>
    </row>
    <row r="326" spans="1:27">
      <c r="A326" s="319"/>
      <c r="B326" s="351"/>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c r="AA326" s="301"/>
    </row>
    <row r="327" spans="1:27">
      <c r="A327" s="319"/>
      <c r="B327" s="351"/>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c r="AA327" s="301"/>
    </row>
    <row r="328" spans="1:27">
      <c r="A328" s="319"/>
      <c r="B328" s="351"/>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c r="AA328" s="301"/>
    </row>
    <row r="329" spans="1:27">
      <c r="A329" s="319"/>
      <c r="B329" s="351"/>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c r="AA329" s="301"/>
    </row>
    <row r="330" spans="1:27">
      <c r="A330" s="319"/>
      <c r="B330" s="351"/>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c r="AA330" s="301"/>
    </row>
    <row r="331" spans="1:27">
      <c r="A331" s="319"/>
      <c r="B331" s="351"/>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c r="AA331" s="301"/>
    </row>
    <row r="332" spans="1:27">
      <c r="A332" s="319"/>
      <c r="B332" s="351"/>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c r="AA332" s="301"/>
    </row>
    <row r="333" spans="1:27">
      <c r="A333" s="319"/>
      <c r="B333" s="351"/>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c r="AA333" s="301"/>
    </row>
    <row r="334" spans="1:27">
      <c r="A334" s="319"/>
      <c r="B334" s="351"/>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c r="AA334" s="301"/>
    </row>
    <row r="335" spans="1:27">
      <c r="A335" s="319"/>
      <c r="B335" s="351"/>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c r="AA335" s="301"/>
    </row>
    <row r="336" spans="1:27">
      <c r="A336" s="319"/>
      <c r="B336" s="351"/>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c r="AA336" s="301"/>
    </row>
    <row r="337" spans="1:27">
      <c r="A337" s="319"/>
      <c r="B337" s="351"/>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c r="AA337" s="301"/>
    </row>
    <row r="338" spans="1:27">
      <c r="A338" s="319"/>
      <c r="B338" s="351"/>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c r="AA338" s="301"/>
    </row>
    <row r="339" spans="1:27">
      <c r="A339" s="319"/>
      <c r="B339" s="351"/>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c r="AA339" s="301"/>
    </row>
    <row r="340" spans="1:27">
      <c r="A340" s="319"/>
      <c r="B340" s="351"/>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c r="AA340" s="301"/>
    </row>
    <row r="341" spans="1:27">
      <c r="A341" s="319"/>
      <c r="B341" s="351"/>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c r="AA341" s="301"/>
    </row>
    <row r="342" spans="1:27">
      <c r="A342" s="319"/>
      <c r="B342" s="351"/>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c r="AA342" s="301"/>
    </row>
    <row r="343" spans="1:27">
      <c r="A343" s="319"/>
      <c r="B343" s="351"/>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c r="AA343" s="301"/>
    </row>
    <row r="344" spans="1:27">
      <c r="A344" s="319"/>
      <c r="B344" s="351"/>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c r="AA344" s="301"/>
    </row>
    <row r="345" spans="1:27">
      <c r="A345" s="319"/>
      <c r="B345" s="351"/>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c r="AA345" s="301"/>
    </row>
    <row r="346" spans="1:27">
      <c r="A346" s="319"/>
      <c r="B346" s="351"/>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c r="AA346" s="301"/>
    </row>
    <row r="347" spans="1:27">
      <c r="A347" s="319"/>
      <c r="B347" s="351"/>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c r="AA347" s="301"/>
    </row>
    <row r="348" spans="1:27">
      <c r="A348" s="319"/>
      <c r="B348" s="351"/>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c r="AA348" s="301"/>
    </row>
    <row r="349" spans="1:27">
      <c r="A349" s="319"/>
      <c r="B349" s="351"/>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c r="AA349" s="301"/>
    </row>
    <row r="350" spans="1:27">
      <c r="A350" s="319"/>
      <c r="B350" s="351"/>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c r="AA350" s="301"/>
    </row>
    <row r="351" spans="1:27">
      <c r="A351" s="319"/>
      <c r="B351" s="351"/>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c r="AA351" s="301"/>
    </row>
    <row r="352" spans="1:27">
      <c r="A352" s="319"/>
      <c r="B352" s="351"/>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c r="AA352" s="301"/>
    </row>
    <row r="353" spans="1:27">
      <c r="A353" s="319"/>
      <c r="B353" s="351"/>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c r="AA353" s="301"/>
    </row>
    <row r="354" spans="1:27">
      <c r="A354" s="319"/>
      <c r="B354" s="351"/>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c r="AA354" s="301"/>
    </row>
    <row r="355" spans="1:27">
      <c r="A355" s="319"/>
      <c r="B355" s="351"/>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c r="AA355" s="301"/>
    </row>
    <row r="356" spans="1:27">
      <c r="A356" s="319"/>
      <c r="B356" s="351"/>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c r="AA356" s="301"/>
    </row>
    <row r="357" spans="1:27">
      <c r="A357" s="319"/>
      <c r="B357" s="351"/>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c r="AA357" s="301"/>
    </row>
    <row r="358" spans="1:27">
      <c r="A358" s="319"/>
      <c r="B358" s="351"/>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c r="AA358" s="301"/>
    </row>
    <row r="359" spans="1:27">
      <c r="A359" s="319"/>
      <c r="B359" s="351"/>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c r="AA359" s="301"/>
    </row>
    <row r="360" spans="1:27">
      <c r="A360" s="319"/>
      <c r="B360" s="351"/>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c r="AA360" s="301"/>
    </row>
    <row r="361" spans="1:27">
      <c r="A361" s="319"/>
      <c r="B361" s="351"/>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c r="AA361" s="301"/>
    </row>
    <row r="362" spans="1:27">
      <c r="A362" s="319"/>
      <c r="B362" s="351"/>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c r="AA362" s="301"/>
    </row>
    <row r="363" spans="1:27">
      <c r="A363" s="319"/>
      <c r="B363" s="351"/>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c r="AA363" s="301"/>
    </row>
    <row r="364" spans="1:27">
      <c r="A364" s="319"/>
      <c r="B364" s="351"/>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c r="AA364" s="301"/>
    </row>
    <row r="365" spans="1:27">
      <c r="A365" s="319"/>
      <c r="B365" s="351"/>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c r="AA365" s="301"/>
    </row>
    <row r="366" spans="1:27">
      <c r="A366" s="319"/>
      <c r="B366" s="351"/>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c r="AA366" s="301"/>
    </row>
    <row r="367" spans="1:27">
      <c r="A367" s="319"/>
      <c r="B367" s="351"/>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c r="AA367" s="301"/>
    </row>
    <row r="368" spans="1:27">
      <c r="A368" s="319"/>
      <c r="B368" s="351"/>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c r="AA368" s="301"/>
    </row>
    <row r="369" spans="1:27">
      <c r="A369" s="319"/>
      <c r="B369" s="351"/>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c r="AA369" s="301"/>
    </row>
    <row r="370" spans="1:27">
      <c r="A370" s="319"/>
      <c r="B370" s="351"/>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c r="AA370" s="301"/>
    </row>
    <row r="371" spans="1:27">
      <c r="A371" s="319"/>
      <c r="B371" s="351"/>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c r="AA371" s="301"/>
    </row>
    <row r="372" spans="1:27">
      <c r="A372" s="319"/>
      <c r="B372" s="351"/>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c r="AA372" s="301"/>
    </row>
    <row r="373" spans="1:27">
      <c r="A373" s="319"/>
      <c r="B373" s="351"/>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c r="AA373" s="301"/>
    </row>
    <row r="374" spans="1:27">
      <c r="A374" s="319"/>
      <c r="B374" s="351"/>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c r="AA374" s="301"/>
    </row>
    <row r="375" spans="1:27">
      <c r="A375" s="319"/>
      <c r="B375" s="351"/>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c r="AA375" s="301"/>
    </row>
    <row r="376" spans="1:27">
      <c r="A376" s="319"/>
      <c r="B376" s="351"/>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c r="AA376" s="301"/>
    </row>
    <row r="377" spans="1:27">
      <c r="A377" s="319"/>
      <c r="B377" s="351"/>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c r="AA377" s="301"/>
    </row>
    <row r="378" spans="1:27">
      <c r="A378" s="319"/>
      <c r="B378" s="351"/>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c r="AA378" s="301"/>
    </row>
    <row r="379" spans="1:27">
      <c r="A379" s="319"/>
      <c r="B379" s="351"/>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c r="AA379" s="301"/>
    </row>
    <row r="380" spans="1:27">
      <c r="A380" s="319"/>
      <c r="B380" s="351"/>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c r="AA380" s="301"/>
    </row>
    <row r="381" spans="1:27">
      <c r="A381" s="319"/>
      <c r="B381" s="351"/>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c r="AA381" s="301"/>
    </row>
    <row r="382" spans="1:27">
      <c r="A382" s="319"/>
      <c r="B382" s="351"/>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c r="AA382" s="301"/>
    </row>
    <row r="383" spans="1:27">
      <c r="A383" s="319"/>
      <c r="B383" s="351"/>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c r="AA383" s="301"/>
    </row>
    <row r="384" spans="1:27">
      <c r="A384" s="319"/>
      <c r="B384" s="351"/>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c r="AA384" s="301"/>
    </row>
    <row r="385" spans="1:27">
      <c r="A385" s="319"/>
      <c r="B385" s="351"/>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c r="AA385" s="301"/>
    </row>
    <row r="386" spans="1:27">
      <c r="A386" s="319"/>
      <c r="B386" s="351"/>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c r="AA386" s="301"/>
    </row>
    <row r="387" spans="1:27">
      <c r="A387" s="319"/>
      <c r="B387" s="351"/>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c r="AA387" s="301"/>
    </row>
    <row r="388" spans="1:27">
      <c r="A388" s="319"/>
      <c r="B388" s="351"/>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c r="AA388" s="301"/>
    </row>
    <row r="389" spans="1:27">
      <c r="A389" s="319"/>
      <c r="B389" s="351"/>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c r="AA389" s="301"/>
    </row>
    <row r="390" spans="1:27">
      <c r="A390" s="319"/>
      <c r="B390" s="351"/>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c r="AA390" s="301"/>
    </row>
    <row r="391" spans="1:27">
      <c r="A391" s="319"/>
      <c r="B391" s="351"/>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c r="AA391" s="301"/>
    </row>
    <row r="392" spans="1:27">
      <c r="A392" s="319"/>
      <c r="B392" s="351"/>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c r="AA392" s="301"/>
    </row>
    <row r="393" spans="1:27">
      <c r="A393" s="319"/>
      <c r="B393" s="351"/>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c r="AA393" s="301"/>
    </row>
    <row r="394" spans="1:27">
      <c r="A394" s="319"/>
      <c r="B394" s="351"/>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c r="AA394" s="301"/>
    </row>
    <row r="395" spans="1:27">
      <c r="A395" s="319"/>
      <c r="B395" s="351"/>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c r="AA395" s="301"/>
    </row>
    <row r="396" spans="1:27">
      <c r="A396" s="319"/>
      <c r="B396" s="351"/>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c r="AA396" s="301"/>
    </row>
    <row r="397" spans="1:27">
      <c r="A397" s="319"/>
      <c r="B397" s="351"/>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c r="AA397" s="301"/>
    </row>
    <row r="398" spans="1:27">
      <c r="A398" s="319"/>
      <c r="B398" s="351"/>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c r="AA398" s="301"/>
    </row>
    <row r="399" spans="1:27">
      <c r="A399" s="319"/>
      <c r="B399" s="351"/>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c r="AA399" s="301"/>
    </row>
    <row r="400" spans="1:27">
      <c r="A400" s="319"/>
      <c r="B400" s="351"/>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c r="AA400" s="301"/>
    </row>
    <row r="401" spans="1:27">
      <c r="A401" s="319"/>
      <c r="B401" s="351"/>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c r="AA401" s="301"/>
    </row>
    <row r="402" spans="1:27">
      <c r="A402" s="319"/>
      <c r="B402" s="351"/>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c r="AA402" s="301"/>
    </row>
    <row r="403" spans="1:27">
      <c r="A403" s="319"/>
      <c r="B403" s="351"/>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c r="AA403" s="301"/>
    </row>
    <row r="404" spans="1:27">
      <c r="A404" s="319"/>
      <c r="B404" s="351"/>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c r="AA404" s="301"/>
    </row>
    <row r="405" spans="1:27">
      <c r="A405" s="319"/>
      <c r="B405" s="351"/>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c r="AA405" s="301"/>
    </row>
    <row r="406" spans="1:27">
      <c r="A406" s="319"/>
      <c r="B406" s="351"/>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c r="AA406" s="301"/>
    </row>
    <row r="407" spans="1:27">
      <c r="A407" s="319"/>
      <c r="B407" s="351"/>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c r="AA407" s="301"/>
    </row>
    <row r="408" spans="1:27">
      <c r="A408" s="319"/>
      <c r="B408" s="351"/>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c r="AA408" s="301"/>
    </row>
    <row r="409" spans="1:27">
      <c r="A409" s="319"/>
      <c r="B409" s="351"/>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c r="AA409" s="301"/>
    </row>
    <row r="410" spans="1:27">
      <c r="A410" s="319"/>
      <c r="B410" s="351"/>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c r="AA410" s="301"/>
    </row>
    <row r="411" spans="1:27">
      <c r="A411" s="319"/>
      <c r="B411" s="351"/>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c r="AA411" s="301"/>
    </row>
    <row r="412" spans="1:27">
      <c r="A412" s="319"/>
      <c r="B412" s="351"/>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c r="AA412" s="301"/>
    </row>
    <row r="413" spans="1:27">
      <c r="A413" s="319"/>
      <c r="B413" s="351"/>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c r="AA413" s="301"/>
    </row>
    <row r="414" spans="1:27">
      <c r="A414" s="319"/>
      <c r="B414" s="351"/>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c r="AA414" s="301"/>
    </row>
    <row r="415" spans="1:27">
      <c r="A415" s="319"/>
      <c r="B415" s="351"/>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c r="AA415" s="301"/>
    </row>
    <row r="416" spans="1:27">
      <c r="A416" s="319"/>
      <c r="B416" s="351"/>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c r="AA416" s="301"/>
    </row>
    <row r="417" spans="1:27">
      <c r="A417" s="319"/>
      <c r="B417" s="351"/>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c r="AA417" s="301"/>
    </row>
    <row r="418" spans="1:27">
      <c r="A418" s="319"/>
      <c r="B418" s="351"/>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c r="AA418" s="301"/>
    </row>
    <row r="419" spans="1:27">
      <c r="A419" s="319"/>
      <c r="B419" s="351"/>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c r="AA419" s="301"/>
    </row>
    <row r="420" spans="1:27">
      <c r="A420" s="319"/>
      <c r="B420" s="351"/>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c r="AA420" s="301"/>
    </row>
    <row r="421" spans="1:27">
      <c r="A421" s="319"/>
      <c r="B421" s="351"/>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c r="AA421" s="301"/>
    </row>
    <row r="422" spans="1:27">
      <c r="A422" s="319"/>
      <c r="B422" s="351"/>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c r="AA422" s="301"/>
    </row>
    <row r="423" spans="1:27">
      <c r="A423" s="319"/>
      <c r="B423" s="351"/>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c r="AA423" s="301"/>
    </row>
    <row r="424" spans="1:27">
      <c r="A424" s="319"/>
      <c r="B424" s="351"/>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c r="AA424" s="301"/>
    </row>
    <row r="425" spans="1:27">
      <c r="A425" s="319"/>
      <c r="B425" s="351"/>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c r="AA425" s="301"/>
    </row>
    <row r="426" spans="1:27">
      <c r="A426" s="319"/>
      <c r="B426" s="351"/>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c r="AA426" s="301"/>
    </row>
    <row r="427" spans="1:27">
      <c r="A427" s="319"/>
      <c r="B427" s="351"/>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c r="AA427" s="301"/>
    </row>
    <row r="428" spans="1:27">
      <c r="A428" s="319"/>
      <c r="B428" s="351"/>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c r="AA428" s="301"/>
    </row>
    <row r="429" spans="1:27">
      <c r="A429" s="319"/>
      <c r="B429" s="351"/>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c r="AA429" s="301"/>
    </row>
    <row r="430" spans="1:27">
      <c r="A430" s="319"/>
      <c r="B430" s="351"/>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c r="AA430" s="301"/>
    </row>
    <row r="431" spans="1:27">
      <c r="A431" s="319"/>
      <c r="B431" s="351"/>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c r="AA431" s="301"/>
    </row>
    <row r="432" spans="1:27">
      <c r="A432" s="319"/>
      <c r="B432" s="351"/>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c r="AA432" s="301"/>
    </row>
    <row r="433" spans="1:27">
      <c r="A433" s="319"/>
      <c r="B433" s="351"/>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c r="AA433" s="301"/>
    </row>
    <row r="434" spans="1:27">
      <c r="A434" s="319"/>
      <c r="B434" s="351"/>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c r="AA434" s="301"/>
    </row>
    <row r="435" spans="1:27">
      <c r="A435" s="319"/>
      <c r="B435" s="351"/>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c r="AA435" s="301"/>
    </row>
    <row r="436" spans="1:27">
      <c r="A436" s="319"/>
      <c r="B436" s="351"/>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c r="AA436" s="301"/>
    </row>
    <row r="437" spans="1:27">
      <c r="A437" s="319"/>
      <c r="B437" s="351"/>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c r="AA437" s="301"/>
    </row>
    <row r="438" spans="1:27">
      <c r="A438" s="319"/>
      <c r="B438" s="351"/>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c r="AA438" s="301"/>
    </row>
    <row r="439" spans="1:27">
      <c r="A439" s="319"/>
      <c r="B439" s="351"/>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c r="AA439" s="301"/>
    </row>
    <row r="440" spans="1:27">
      <c r="A440" s="319"/>
      <c r="B440" s="351"/>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c r="AA440" s="301"/>
    </row>
    <row r="441" spans="1:27">
      <c r="A441" s="319"/>
      <c r="B441" s="351"/>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c r="AA441" s="301"/>
    </row>
    <row r="442" spans="1:27">
      <c r="A442" s="319"/>
      <c r="B442" s="351"/>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c r="AA442" s="301"/>
    </row>
    <row r="443" spans="1:27">
      <c r="A443" s="319"/>
      <c r="B443" s="351"/>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c r="AA443" s="301"/>
    </row>
    <row r="444" spans="1:27">
      <c r="A444" s="319"/>
      <c r="B444" s="351"/>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c r="AA444" s="301"/>
    </row>
    <row r="445" spans="1:27">
      <c r="A445" s="319"/>
      <c r="B445" s="351"/>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c r="AA445" s="301"/>
    </row>
    <row r="446" spans="1:27">
      <c r="A446" s="319"/>
      <c r="B446" s="351"/>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c r="AA446" s="301"/>
    </row>
    <row r="447" spans="1:27">
      <c r="A447" s="319"/>
      <c r="B447" s="351"/>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c r="AA447" s="301"/>
    </row>
    <row r="448" spans="1:27">
      <c r="A448" s="319"/>
      <c r="B448" s="351"/>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c r="AA448" s="301"/>
    </row>
    <row r="449" spans="1:27">
      <c r="A449" s="319"/>
      <c r="B449" s="351"/>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c r="AA449" s="301"/>
    </row>
    <row r="450" spans="1:27">
      <c r="A450" s="319"/>
      <c r="B450" s="351"/>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c r="AA450" s="301"/>
    </row>
    <row r="451" spans="1:27">
      <c r="A451" s="319"/>
      <c r="B451" s="351"/>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c r="AA451" s="301"/>
    </row>
    <row r="452" spans="1:27">
      <c r="A452" s="319"/>
      <c r="B452" s="351"/>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c r="AA452" s="301"/>
    </row>
    <row r="453" spans="1:27">
      <c r="A453" s="319"/>
      <c r="B453" s="351"/>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c r="AA453" s="301"/>
    </row>
    <row r="454" spans="1:27">
      <c r="A454" s="319"/>
      <c r="B454" s="351"/>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c r="AA454" s="301"/>
    </row>
    <row r="455" spans="1:27">
      <c r="A455" s="319"/>
      <c r="B455" s="351"/>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c r="AA455" s="301"/>
    </row>
    <row r="456" spans="1:27">
      <c r="A456" s="319"/>
      <c r="B456" s="351"/>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c r="AA456" s="301"/>
    </row>
    <row r="457" spans="1:27">
      <c r="A457" s="319"/>
      <c r="B457" s="351"/>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c r="AA457" s="301"/>
    </row>
    <row r="458" spans="1:27">
      <c r="A458" s="319"/>
      <c r="B458" s="351"/>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c r="AA458" s="301"/>
    </row>
    <row r="459" spans="1:27">
      <c r="A459" s="319"/>
      <c r="B459" s="351"/>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c r="AA459" s="301"/>
    </row>
    <row r="460" spans="1:27">
      <c r="A460" s="319"/>
      <c r="B460" s="351"/>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c r="AA460" s="301"/>
    </row>
    <row r="461" spans="1:27">
      <c r="A461" s="319"/>
      <c r="B461" s="351"/>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c r="AA461" s="301"/>
    </row>
    <row r="462" spans="1:27">
      <c r="A462" s="319"/>
      <c r="B462" s="351"/>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c r="AA462" s="301"/>
    </row>
    <row r="463" spans="1:27">
      <c r="A463" s="319"/>
      <c r="B463" s="351"/>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c r="AA463" s="301"/>
    </row>
    <row r="464" spans="1:27">
      <c r="A464" s="319"/>
      <c r="B464" s="351"/>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c r="AA464" s="301"/>
    </row>
    <row r="465" spans="1:27">
      <c r="A465" s="319"/>
      <c r="B465" s="351"/>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c r="AA465" s="301"/>
    </row>
    <row r="466" spans="1:27">
      <c r="A466" s="319"/>
      <c r="B466" s="351"/>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c r="AA466" s="301"/>
    </row>
    <row r="467" spans="1:27">
      <c r="A467" s="319"/>
      <c r="B467" s="351"/>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c r="AA467" s="301"/>
    </row>
    <row r="468" spans="1:27">
      <c r="A468" s="319"/>
      <c r="B468" s="351"/>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c r="AA468" s="301"/>
    </row>
    <row r="469" spans="1:27">
      <c r="A469" s="319"/>
      <c r="B469" s="351"/>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c r="AA469" s="301"/>
    </row>
    <row r="470" spans="1:27">
      <c r="A470" s="319"/>
      <c r="B470" s="351"/>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c r="AA470" s="301"/>
    </row>
    <row r="471" spans="1:27">
      <c r="A471" s="319"/>
      <c r="B471" s="351"/>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c r="AA471" s="301"/>
    </row>
    <row r="472" spans="1:27">
      <c r="A472" s="319"/>
      <c r="B472" s="351"/>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c r="AA472" s="301"/>
    </row>
    <row r="473" spans="1:27">
      <c r="A473" s="319"/>
      <c r="B473" s="351"/>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c r="AA473" s="301"/>
    </row>
    <row r="474" spans="1:27">
      <c r="A474" s="319"/>
      <c r="B474" s="351"/>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c r="AA474" s="301"/>
    </row>
    <row r="475" spans="1:27">
      <c r="A475" s="319"/>
      <c r="B475" s="351"/>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c r="AA475" s="301"/>
    </row>
    <row r="476" spans="1:27">
      <c r="A476" s="319"/>
      <c r="B476" s="351"/>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c r="AA476" s="301"/>
    </row>
    <row r="477" spans="1:27">
      <c r="A477" s="319"/>
      <c r="B477" s="351"/>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c r="AA477" s="301"/>
    </row>
    <row r="478" spans="1:27">
      <c r="A478" s="319"/>
      <c r="B478" s="351"/>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c r="AA478" s="301"/>
    </row>
    <row r="479" spans="1:27">
      <c r="A479" s="319"/>
      <c r="B479" s="351"/>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c r="AA479" s="301"/>
    </row>
    <row r="480" spans="1:27">
      <c r="A480" s="319"/>
      <c r="B480" s="351"/>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c r="AA480" s="301"/>
    </row>
    <row r="481" spans="1:27">
      <c r="A481" s="319"/>
      <c r="B481" s="351"/>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c r="AA481" s="301"/>
    </row>
    <row r="482" spans="1:27">
      <c r="A482" s="319"/>
      <c r="B482" s="351"/>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c r="AA482" s="301"/>
    </row>
    <row r="483" spans="1:27">
      <c r="A483" s="319"/>
      <c r="B483" s="351"/>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c r="AA483" s="301"/>
    </row>
    <row r="484" spans="1:27">
      <c r="A484" s="319"/>
      <c r="B484" s="351"/>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c r="AA484" s="301"/>
    </row>
    <row r="485" spans="1:27">
      <c r="A485" s="319"/>
      <c r="B485" s="351"/>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c r="AA485" s="301"/>
    </row>
    <row r="486" spans="1:27">
      <c r="A486" s="319"/>
      <c r="B486" s="351"/>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c r="AA486" s="301"/>
    </row>
    <row r="487" spans="1:27">
      <c r="A487" s="319"/>
      <c r="B487" s="351"/>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c r="AA487" s="301"/>
    </row>
    <row r="488" spans="1:27">
      <c r="A488" s="319"/>
      <c r="B488" s="351"/>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c r="AA488" s="301"/>
    </row>
    <row r="489" spans="1:27">
      <c r="A489" s="319"/>
      <c r="B489" s="351"/>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c r="AA489" s="301"/>
    </row>
    <row r="490" spans="1:27">
      <c r="A490" s="319"/>
      <c r="B490" s="351"/>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c r="AA490" s="301"/>
    </row>
    <row r="491" spans="1:27">
      <c r="A491" s="319"/>
      <c r="B491" s="351"/>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c r="AA491" s="301"/>
    </row>
    <row r="492" spans="1:27">
      <c r="A492" s="319"/>
      <c r="B492" s="351"/>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c r="AA492" s="301"/>
    </row>
    <row r="493" spans="1:27">
      <c r="A493" s="319"/>
      <c r="B493" s="351"/>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c r="AA493" s="301"/>
    </row>
    <row r="494" spans="1:27">
      <c r="A494" s="319"/>
      <c r="B494" s="351"/>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c r="AA494" s="301"/>
    </row>
    <row r="495" spans="1:27">
      <c r="A495" s="319"/>
      <c r="B495" s="351"/>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c r="AA495" s="301"/>
    </row>
    <row r="496" spans="1:27">
      <c r="A496" s="319"/>
      <c r="B496" s="351"/>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c r="AA496" s="301"/>
    </row>
    <row r="497" spans="1:27">
      <c r="A497" s="319"/>
      <c r="B497" s="351"/>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c r="AA497" s="301"/>
    </row>
    <row r="498" spans="1:27">
      <c r="A498" s="319"/>
      <c r="B498" s="351"/>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c r="AA498" s="301"/>
    </row>
    <row r="499" spans="1:27">
      <c r="A499" s="319"/>
      <c r="B499" s="351"/>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c r="AA499" s="301"/>
    </row>
    <row r="500" spans="1:27">
      <c r="A500" s="319"/>
      <c r="B500" s="351"/>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c r="AA500" s="301"/>
    </row>
    <row r="501" spans="1:27">
      <c r="A501" s="319"/>
      <c r="B501" s="351"/>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c r="AA501" s="301"/>
    </row>
    <row r="502" spans="1:27">
      <c r="A502" s="319"/>
      <c r="B502" s="351"/>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c r="AA502" s="301"/>
    </row>
    <row r="503" spans="1:27">
      <c r="A503" s="319"/>
      <c r="B503" s="351"/>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c r="AA503" s="301"/>
    </row>
    <row r="504" spans="1:27">
      <c r="A504" s="319"/>
      <c r="B504" s="351"/>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c r="AA504" s="301"/>
    </row>
    <row r="505" spans="1:27">
      <c r="A505" s="319"/>
      <c r="B505" s="351"/>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c r="AA505" s="301"/>
    </row>
    <row r="506" spans="1:27">
      <c r="A506" s="319"/>
      <c r="B506" s="351"/>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c r="AA506" s="301"/>
    </row>
    <row r="507" spans="1:27">
      <c r="A507" s="319"/>
      <c r="B507" s="351"/>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c r="AA507" s="301"/>
    </row>
    <row r="508" spans="1:27">
      <c r="A508" s="319"/>
      <c r="B508" s="351"/>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c r="AA508" s="301"/>
    </row>
    <row r="509" spans="1:27">
      <c r="A509" s="319"/>
      <c r="B509" s="351"/>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c r="AA509" s="301"/>
    </row>
    <row r="510" spans="1:27">
      <c r="A510" s="319"/>
      <c r="B510" s="351"/>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c r="AA510" s="301"/>
    </row>
    <row r="511" spans="1:27">
      <c r="A511" s="319"/>
      <c r="B511" s="351"/>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c r="AA511" s="301"/>
    </row>
    <row r="512" spans="1:27">
      <c r="A512" s="319"/>
      <c r="B512" s="351"/>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c r="AA512" s="301"/>
    </row>
    <row r="513" spans="1:27">
      <c r="A513" s="319"/>
      <c r="B513" s="351"/>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c r="AA513" s="301"/>
    </row>
    <row r="514" spans="1:27">
      <c r="A514" s="319"/>
      <c r="B514" s="351"/>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c r="AA514" s="301"/>
    </row>
    <row r="515" spans="1:27">
      <c r="A515" s="319"/>
      <c r="B515" s="351"/>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c r="AA515" s="301"/>
    </row>
    <row r="516" spans="1:27">
      <c r="A516" s="319"/>
      <c r="B516" s="351"/>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c r="AA516" s="301"/>
    </row>
    <row r="517" spans="1:27">
      <c r="A517" s="319"/>
      <c r="B517" s="351"/>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c r="AA517" s="301"/>
    </row>
    <row r="518" spans="1:27">
      <c r="A518" s="319"/>
      <c r="B518" s="351"/>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c r="AA518" s="301"/>
    </row>
    <row r="519" spans="1:27">
      <c r="A519" s="319"/>
      <c r="B519" s="351"/>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c r="AA519" s="301"/>
    </row>
    <row r="520" spans="1:27">
      <c r="A520" s="319"/>
      <c r="B520" s="351"/>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c r="AA520" s="301"/>
    </row>
    <row r="521" spans="1:27">
      <c r="A521" s="319"/>
      <c r="B521" s="351"/>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c r="AA521" s="301"/>
    </row>
    <row r="522" spans="1:27">
      <c r="A522" s="319"/>
      <c r="B522" s="351"/>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c r="AA522" s="301"/>
    </row>
    <row r="523" spans="1:27">
      <c r="A523" s="319"/>
      <c r="B523" s="351"/>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c r="AA523" s="301"/>
    </row>
    <row r="524" spans="1:27">
      <c r="A524" s="319"/>
      <c r="B524" s="351"/>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c r="AA524" s="301"/>
    </row>
    <row r="525" spans="1:27">
      <c r="A525" s="319"/>
      <c r="B525" s="351"/>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c r="AA525" s="301"/>
    </row>
    <row r="526" spans="1:27">
      <c r="A526" s="319"/>
      <c r="B526" s="351"/>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c r="AA526" s="301"/>
    </row>
    <row r="527" spans="1:27">
      <c r="A527" s="319"/>
      <c r="B527" s="351"/>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c r="AA527" s="301"/>
    </row>
    <row r="528" spans="1:27">
      <c r="A528" s="319"/>
      <c r="B528" s="351"/>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c r="AA528" s="301"/>
    </row>
    <row r="529" spans="1:27">
      <c r="A529" s="319"/>
      <c r="B529" s="351"/>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c r="AA529" s="301"/>
    </row>
    <row r="530" spans="1:27">
      <c r="A530" s="319"/>
      <c r="B530" s="351"/>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c r="AA530" s="301"/>
    </row>
    <row r="531" spans="1:27">
      <c r="A531" s="319"/>
      <c r="B531" s="351"/>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c r="AA531" s="301"/>
    </row>
    <row r="532" spans="1:27">
      <c r="A532" s="319"/>
      <c r="B532" s="351"/>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c r="AA532" s="301"/>
    </row>
    <row r="533" spans="1:27">
      <c r="A533" s="319"/>
      <c r="B533" s="351"/>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c r="AA533" s="301"/>
    </row>
    <row r="534" spans="1:27">
      <c r="A534" s="319"/>
      <c r="B534" s="351"/>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c r="AA534" s="301"/>
    </row>
    <row r="535" spans="1:27">
      <c r="A535" s="319"/>
      <c r="B535" s="351"/>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c r="AA535" s="301"/>
    </row>
    <row r="536" spans="1:27">
      <c r="A536" s="319"/>
      <c r="B536" s="351"/>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c r="AA536" s="301"/>
    </row>
    <row r="537" spans="1:27">
      <c r="A537" s="319"/>
      <c r="B537" s="351"/>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c r="AA537" s="301"/>
    </row>
    <row r="538" spans="1:27">
      <c r="A538" s="319"/>
      <c r="B538" s="351"/>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c r="AA538" s="301"/>
    </row>
    <row r="539" spans="1:27">
      <c r="A539" s="319"/>
      <c r="B539" s="351"/>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c r="AA539" s="301"/>
    </row>
    <row r="540" spans="1:27">
      <c r="A540" s="319"/>
      <c r="B540" s="351"/>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c r="AA540" s="301"/>
    </row>
    <row r="541" spans="1:27">
      <c r="A541" s="319"/>
      <c r="B541" s="351"/>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c r="AA541" s="301"/>
    </row>
    <row r="542" spans="1:27">
      <c r="A542" s="319"/>
      <c r="B542" s="351"/>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c r="AA542" s="301"/>
    </row>
    <row r="543" spans="1:27">
      <c r="A543" s="319"/>
      <c r="B543" s="351"/>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c r="AA543" s="301"/>
    </row>
    <row r="544" spans="1:27">
      <c r="A544" s="319"/>
      <c r="B544" s="351"/>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c r="AA544" s="301"/>
    </row>
    <row r="545" spans="1:27">
      <c r="A545" s="319"/>
      <c r="B545" s="351"/>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c r="AA545" s="301"/>
    </row>
    <row r="546" spans="1:27">
      <c r="A546" s="319"/>
      <c r="B546" s="351"/>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c r="AA546" s="301"/>
    </row>
    <row r="547" spans="1:27">
      <c r="A547" s="319"/>
      <c r="B547" s="351"/>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c r="AA547" s="301"/>
    </row>
    <row r="548" spans="1:27">
      <c r="A548" s="319"/>
      <c r="B548" s="351"/>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c r="AA548" s="301"/>
    </row>
    <row r="549" spans="1:27">
      <c r="A549" s="319"/>
      <c r="B549" s="351"/>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c r="AA549" s="301"/>
    </row>
    <row r="550" spans="1:27">
      <c r="A550" s="319"/>
      <c r="B550" s="351"/>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c r="AA550" s="301"/>
    </row>
    <row r="551" spans="1:27">
      <c r="A551" s="319"/>
      <c r="B551" s="351"/>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c r="AA551" s="301"/>
    </row>
    <row r="552" spans="1:27">
      <c r="A552" s="319"/>
      <c r="B552" s="351"/>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c r="AA552" s="301"/>
    </row>
    <row r="553" spans="1:27">
      <c r="A553" s="319"/>
      <c r="B553" s="351"/>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c r="AA553" s="301"/>
    </row>
    <row r="554" spans="1:27">
      <c r="A554" s="319"/>
      <c r="B554" s="351"/>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c r="AA554" s="301"/>
    </row>
    <row r="555" spans="1:27">
      <c r="A555" s="319"/>
      <c r="B555" s="351"/>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c r="AA555" s="301"/>
    </row>
    <row r="556" spans="1:27">
      <c r="A556" s="319"/>
      <c r="B556" s="351"/>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c r="AA556" s="301"/>
    </row>
    <row r="557" spans="1:27">
      <c r="A557" s="319"/>
      <c r="B557" s="351"/>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c r="AA557" s="301"/>
    </row>
    <row r="558" spans="1:27">
      <c r="A558" s="319"/>
      <c r="B558" s="351"/>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c r="AA558" s="301"/>
    </row>
    <row r="559" spans="1:27">
      <c r="A559" s="319"/>
      <c r="B559" s="351"/>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c r="AA559" s="301"/>
    </row>
    <row r="560" spans="1:27">
      <c r="A560" s="319"/>
      <c r="B560" s="351"/>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c r="AA560" s="301"/>
    </row>
    <row r="561" spans="1:27">
      <c r="A561" s="319"/>
      <c r="B561" s="351"/>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c r="AA561" s="301"/>
    </row>
    <row r="562" spans="1:27">
      <c r="A562" s="319"/>
      <c r="B562" s="351"/>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c r="AA562" s="301"/>
    </row>
    <row r="563" spans="1:27">
      <c r="A563" s="319"/>
      <c r="B563" s="351"/>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c r="AA563" s="301"/>
    </row>
    <row r="564" spans="1:27">
      <c r="A564" s="319"/>
      <c r="B564" s="351"/>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c r="AA564" s="301"/>
    </row>
    <row r="565" spans="1:27">
      <c r="A565" s="319"/>
      <c r="B565" s="351"/>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c r="AA565" s="301"/>
    </row>
    <row r="566" spans="1:27">
      <c r="A566" s="319"/>
      <c r="B566" s="351"/>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c r="AA566" s="301"/>
    </row>
    <row r="567" spans="1:27">
      <c r="A567" s="319"/>
      <c r="B567" s="351"/>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c r="AA567" s="301"/>
    </row>
    <row r="568" spans="1:27">
      <c r="A568" s="319"/>
      <c r="B568" s="351"/>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c r="AA568" s="301"/>
    </row>
    <row r="569" spans="1:27">
      <c r="A569" s="319"/>
      <c r="B569" s="351"/>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c r="AA569" s="301"/>
    </row>
    <row r="570" spans="1:27">
      <c r="A570" s="319"/>
      <c r="B570" s="351"/>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c r="AA570" s="301"/>
    </row>
    <row r="571" spans="1:27">
      <c r="A571" s="319"/>
      <c r="B571" s="351"/>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c r="AA571" s="301"/>
    </row>
    <row r="572" spans="1:27">
      <c r="A572" s="319"/>
      <c r="B572" s="351"/>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c r="AA572" s="301"/>
    </row>
    <row r="573" spans="1:27">
      <c r="A573" s="319"/>
      <c r="B573" s="351"/>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c r="AA573" s="301"/>
    </row>
    <row r="574" spans="1:27">
      <c r="A574" s="319"/>
      <c r="B574" s="351"/>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c r="AA574" s="301"/>
    </row>
    <row r="575" spans="1:27">
      <c r="A575" s="319"/>
      <c r="B575" s="351"/>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c r="AA575" s="301"/>
    </row>
    <row r="576" spans="1:27">
      <c r="A576" s="319"/>
      <c r="B576" s="351"/>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c r="AA576" s="301"/>
    </row>
    <row r="577" spans="1:27">
      <c r="A577" s="319"/>
      <c r="B577" s="351"/>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c r="AA577" s="301"/>
    </row>
    <row r="578" spans="1:27">
      <c r="A578" s="319"/>
      <c r="B578" s="351"/>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c r="AA578" s="301"/>
    </row>
    <row r="579" spans="1:27">
      <c r="A579" s="319"/>
      <c r="B579" s="351"/>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c r="AA579" s="301"/>
    </row>
    <row r="580" spans="1:27">
      <c r="A580" s="319"/>
      <c r="B580" s="351"/>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c r="AA580" s="301"/>
    </row>
    <row r="581" spans="1:27">
      <c r="A581" s="319"/>
      <c r="B581" s="351"/>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c r="AA581" s="301"/>
    </row>
    <row r="582" spans="1:27">
      <c r="A582" s="319"/>
      <c r="B582" s="351"/>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c r="AA582" s="301"/>
    </row>
    <row r="583" spans="1:27">
      <c r="A583" s="319"/>
      <c r="B583" s="351"/>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c r="AA583" s="301"/>
    </row>
    <row r="584" spans="1:27">
      <c r="A584" s="319"/>
      <c r="B584" s="351"/>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c r="AA584" s="301"/>
    </row>
    <row r="585" spans="1:27">
      <c r="A585" s="319"/>
      <c r="B585" s="351"/>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c r="AA585" s="301"/>
    </row>
    <row r="586" spans="1:27">
      <c r="A586" s="319"/>
      <c r="B586" s="351"/>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c r="AA586" s="301"/>
    </row>
    <row r="587" spans="1:27">
      <c r="A587" s="319"/>
      <c r="B587" s="351"/>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c r="AA587" s="301"/>
    </row>
    <row r="588" spans="1:27">
      <c r="A588" s="319"/>
      <c r="B588" s="351"/>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c r="AA588" s="301"/>
    </row>
    <row r="589" spans="1:27">
      <c r="A589" s="319"/>
      <c r="B589" s="351"/>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c r="AA589" s="301"/>
    </row>
    <row r="590" spans="1:27">
      <c r="A590" s="319"/>
      <c r="B590" s="351"/>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c r="AA590" s="301"/>
    </row>
    <row r="591" spans="1:27">
      <c r="A591" s="319"/>
      <c r="B591" s="351"/>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c r="AA591" s="301"/>
    </row>
    <row r="592" spans="1:27">
      <c r="A592" s="319"/>
      <c r="B592" s="351"/>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c r="AA592" s="301"/>
    </row>
    <row r="593" spans="1:27">
      <c r="A593" s="319"/>
      <c r="B593" s="351"/>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c r="AA593" s="301"/>
    </row>
    <row r="594" spans="1:27">
      <c r="A594" s="319"/>
      <c r="B594" s="351"/>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c r="AA594" s="301"/>
    </row>
    <row r="595" spans="1:27">
      <c r="A595" s="319"/>
      <c r="B595" s="351"/>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c r="AA595" s="301"/>
    </row>
    <row r="596" spans="1:27">
      <c r="A596" s="319"/>
      <c r="B596" s="351"/>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c r="AA596" s="301"/>
    </row>
    <row r="597" spans="1:27">
      <c r="A597" s="319"/>
      <c r="B597" s="351"/>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c r="AA597" s="301"/>
    </row>
    <row r="598" spans="1:27">
      <c r="A598" s="319"/>
      <c r="B598" s="351"/>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c r="AA598" s="301"/>
    </row>
    <row r="599" spans="1:27">
      <c r="A599" s="319"/>
      <c r="B599" s="351"/>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c r="AA599" s="301"/>
    </row>
    <row r="600" spans="1:27">
      <c r="A600" s="319"/>
      <c r="B600" s="351"/>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c r="AA600" s="301"/>
    </row>
    <row r="601" spans="1:27">
      <c r="A601" s="319"/>
      <c r="B601" s="351"/>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c r="AA601" s="301"/>
    </row>
    <row r="602" spans="1:27">
      <c r="A602" s="319"/>
      <c r="B602" s="351"/>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c r="AA602" s="301"/>
    </row>
    <row r="603" spans="1:27">
      <c r="A603" s="319"/>
      <c r="B603" s="351"/>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c r="AA603" s="301"/>
    </row>
    <row r="604" spans="1:27">
      <c r="A604" s="319"/>
      <c r="B604" s="351"/>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c r="AA604" s="301"/>
    </row>
    <row r="605" spans="1:27">
      <c r="A605" s="319"/>
      <c r="B605" s="351"/>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c r="AA605" s="301"/>
    </row>
    <row r="606" spans="1:27">
      <c r="A606" s="319"/>
      <c r="B606" s="351"/>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c r="AA606" s="301"/>
    </row>
    <row r="607" spans="1:27">
      <c r="A607" s="319"/>
      <c r="B607" s="351"/>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c r="AA607" s="301"/>
    </row>
    <row r="608" spans="1:27">
      <c r="A608" s="319"/>
      <c r="B608" s="351"/>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c r="AA608" s="301"/>
    </row>
    <row r="609" spans="1:27">
      <c r="A609" s="319"/>
      <c r="B609" s="351"/>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c r="AA609" s="301"/>
    </row>
    <row r="610" spans="1:27">
      <c r="A610" s="319"/>
      <c r="B610" s="351"/>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c r="AA610" s="301"/>
    </row>
    <row r="611" spans="1:27">
      <c r="A611" s="319"/>
      <c r="B611" s="351"/>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c r="AA611" s="301"/>
    </row>
    <row r="612" spans="1:27">
      <c r="A612" s="319"/>
      <c r="B612" s="351"/>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c r="AA612" s="301"/>
    </row>
    <row r="613" spans="1:27">
      <c r="A613" s="319"/>
      <c r="B613" s="351"/>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c r="AA613" s="301"/>
    </row>
    <row r="614" spans="1:27">
      <c r="A614" s="319"/>
      <c r="B614" s="351"/>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c r="AA614" s="301"/>
    </row>
    <row r="615" spans="1:27">
      <c r="A615" s="319"/>
      <c r="B615" s="351"/>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c r="AA615" s="301"/>
    </row>
    <row r="616" spans="1:27">
      <c r="A616" s="319"/>
      <c r="B616" s="351"/>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c r="AA616" s="301"/>
    </row>
    <row r="617" spans="1:27">
      <c r="A617" s="319"/>
      <c r="B617" s="351"/>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c r="AA617" s="301"/>
    </row>
    <row r="618" spans="1:27">
      <c r="A618" s="319"/>
      <c r="B618" s="351"/>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c r="AA618" s="301"/>
    </row>
    <row r="619" spans="1:27">
      <c r="A619" s="319"/>
      <c r="B619" s="351"/>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c r="AA619" s="301"/>
    </row>
    <row r="620" spans="1:27">
      <c r="A620" s="319"/>
      <c r="B620" s="351"/>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c r="AA620" s="301"/>
    </row>
    <row r="621" spans="1:27">
      <c r="A621" s="319"/>
      <c r="B621" s="351"/>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c r="AA621" s="301"/>
    </row>
    <row r="622" spans="1:27">
      <c r="A622" s="319"/>
      <c r="B622" s="351"/>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c r="AA622" s="301"/>
    </row>
    <row r="623" spans="1:27">
      <c r="A623" s="319"/>
      <c r="B623" s="351"/>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c r="AA623" s="301"/>
    </row>
    <row r="624" spans="1:27">
      <c r="A624" s="319"/>
      <c r="B624" s="351"/>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c r="AA624" s="301"/>
    </row>
    <row r="625" spans="1:27">
      <c r="A625" s="319"/>
      <c r="B625" s="351"/>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c r="AA625" s="301"/>
    </row>
    <row r="626" spans="1:27">
      <c r="A626" s="319"/>
      <c r="B626" s="351"/>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c r="AA626" s="301"/>
    </row>
    <row r="627" spans="1:27">
      <c r="A627" s="319"/>
      <c r="B627" s="351"/>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c r="AA627" s="301"/>
    </row>
    <row r="628" spans="1:27">
      <c r="A628" s="319"/>
      <c r="B628" s="351"/>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c r="AA628" s="301"/>
    </row>
    <row r="629" spans="1:27">
      <c r="A629" s="319"/>
      <c r="B629" s="351"/>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c r="AA629" s="301"/>
    </row>
    <row r="630" spans="1:27">
      <c r="A630" s="319"/>
      <c r="B630" s="351"/>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c r="AA630" s="301"/>
    </row>
    <row r="631" spans="1:27">
      <c r="A631" s="319"/>
      <c r="B631" s="351"/>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c r="AA631" s="301"/>
    </row>
    <row r="632" spans="1:27">
      <c r="A632" s="319"/>
      <c r="B632" s="351"/>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c r="AA632" s="301"/>
    </row>
    <row r="633" spans="1:27">
      <c r="A633" s="319"/>
      <c r="B633" s="351"/>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c r="AA633" s="301"/>
    </row>
    <row r="634" spans="1:27">
      <c r="A634" s="319"/>
      <c r="B634" s="351"/>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c r="AA634" s="301"/>
    </row>
    <row r="635" spans="1:27">
      <c r="A635" s="319"/>
      <c r="B635" s="351"/>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c r="AA635" s="301"/>
    </row>
    <row r="636" spans="1:27">
      <c r="A636" s="319"/>
      <c r="B636" s="351"/>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c r="AA636" s="301"/>
    </row>
    <row r="637" spans="1:27">
      <c r="A637" s="319"/>
      <c r="B637" s="351"/>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c r="AA637" s="301"/>
    </row>
    <row r="638" spans="1:27">
      <c r="A638" s="319"/>
      <c r="B638" s="351"/>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c r="AA638" s="301"/>
    </row>
    <row r="639" spans="1:27">
      <c r="A639" s="319"/>
      <c r="B639" s="351"/>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c r="AA639" s="301"/>
    </row>
    <row r="640" spans="1:27">
      <c r="A640" s="319"/>
      <c r="B640" s="351"/>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c r="AA640" s="301"/>
    </row>
    <row r="641" spans="1:27">
      <c r="A641" s="319"/>
      <c r="B641" s="351"/>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c r="AA641" s="301"/>
    </row>
    <row r="642" spans="1:27">
      <c r="A642" s="319"/>
      <c r="B642" s="351"/>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c r="AA642" s="301"/>
    </row>
    <row r="643" spans="1:27">
      <c r="A643" s="319"/>
      <c r="B643" s="351"/>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c r="AA643" s="301"/>
    </row>
    <row r="644" spans="1:27">
      <c r="A644" s="319"/>
      <c r="B644" s="351"/>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c r="AA644" s="301"/>
    </row>
    <row r="645" spans="1:27">
      <c r="A645" s="319"/>
      <c r="B645" s="351"/>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c r="AA645" s="301"/>
    </row>
    <row r="646" spans="1:27">
      <c r="A646" s="319"/>
      <c r="B646" s="351"/>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c r="AA646" s="301"/>
    </row>
    <row r="647" spans="1:27">
      <c r="A647" s="319"/>
      <c r="B647" s="351"/>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c r="AA647" s="301"/>
    </row>
    <row r="648" spans="1:27">
      <c r="A648" s="319"/>
      <c r="B648" s="351"/>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c r="AA648" s="301"/>
    </row>
    <row r="649" spans="1:27">
      <c r="A649" s="319"/>
      <c r="B649" s="351"/>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c r="AA649" s="301"/>
    </row>
    <row r="650" spans="1:27">
      <c r="A650" s="319"/>
      <c r="B650" s="351"/>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c r="AA650" s="301"/>
    </row>
    <row r="651" spans="1:27">
      <c r="A651" s="319"/>
      <c r="B651" s="351"/>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c r="AA651" s="301"/>
    </row>
    <row r="652" spans="1:27">
      <c r="A652" s="319"/>
      <c r="B652" s="351"/>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c r="AA652" s="301"/>
    </row>
    <row r="653" spans="1:27">
      <c r="A653" s="319"/>
      <c r="B653" s="351"/>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c r="AA653" s="301"/>
    </row>
    <row r="654" spans="1:27">
      <c r="A654" s="319"/>
      <c r="B654" s="351"/>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c r="AA654" s="301"/>
    </row>
    <row r="655" spans="1:27">
      <c r="A655" s="319"/>
      <c r="B655" s="351"/>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c r="AA655" s="301"/>
    </row>
    <row r="656" spans="1:27">
      <c r="A656" s="319"/>
      <c r="B656" s="351"/>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c r="AA656" s="301"/>
    </row>
    <row r="657" spans="1:27">
      <c r="A657" s="319"/>
      <c r="B657" s="351"/>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c r="AA657" s="301"/>
    </row>
    <row r="658" spans="1:27">
      <c r="A658" s="319"/>
      <c r="B658" s="351"/>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c r="AA658" s="301"/>
    </row>
    <row r="659" spans="1:27">
      <c r="A659" s="319"/>
      <c r="B659" s="351"/>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c r="AA659" s="301"/>
    </row>
    <row r="660" spans="1:27">
      <c r="A660" s="319"/>
      <c r="B660" s="351"/>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c r="AA660" s="301"/>
    </row>
    <row r="661" spans="1:27">
      <c r="A661" s="319"/>
      <c r="B661" s="351"/>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c r="AA661" s="301"/>
    </row>
    <row r="662" spans="1:27">
      <c r="A662" s="319"/>
      <c r="B662" s="351"/>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c r="AA662" s="301"/>
    </row>
    <row r="663" spans="1:27">
      <c r="A663" s="319"/>
      <c r="B663" s="351"/>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c r="AA663" s="301"/>
    </row>
    <row r="664" spans="1:27">
      <c r="A664" s="319"/>
      <c r="B664" s="351"/>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c r="AA664" s="301"/>
    </row>
    <row r="665" spans="1:27">
      <c r="A665" s="319"/>
      <c r="B665" s="351"/>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c r="AA665" s="301"/>
    </row>
    <row r="666" spans="1:27">
      <c r="A666" s="319"/>
      <c r="B666" s="351"/>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c r="AA666" s="301"/>
    </row>
    <row r="667" spans="1:27">
      <c r="A667" s="319"/>
      <c r="B667" s="351"/>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c r="AA667" s="301"/>
    </row>
    <row r="668" spans="1:27">
      <c r="A668" s="319"/>
      <c r="B668" s="351"/>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c r="AA668" s="301"/>
    </row>
    <row r="669" spans="1:27">
      <c r="A669" s="319"/>
      <c r="B669" s="351"/>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c r="AA669" s="301"/>
    </row>
    <row r="670" spans="1:27">
      <c r="A670" s="319"/>
      <c r="B670" s="351"/>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c r="AA670" s="301"/>
    </row>
    <row r="671" spans="1:27">
      <c r="A671" s="319"/>
      <c r="B671" s="351"/>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c r="AA671" s="301"/>
    </row>
    <row r="672" spans="1:27">
      <c r="A672" s="319"/>
      <c r="B672" s="351"/>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c r="AA672" s="301"/>
    </row>
    <row r="673" spans="1:27">
      <c r="A673" s="319"/>
      <c r="B673" s="351"/>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c r="AA673" s="301"/>
    </row>
    <row r="674" spans="1:27">
      <c r="A674" s="319"/>
      <c r="B674" s="351"/>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c r="AA674" s="301"/>
    </row>
    <row r="675" spans="1:27">
      <c r="A675" s="319"/>
      <c r="B675" s="351"/>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c r="AA675" s="301"/>
    </row>
    <row r="676" spans="1:27">
      <c r="A676" s="319"/>
      <c r="B676" s="351"/>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c r="AA676" s="301"/>
    </row>
    <row r="677" spans="1:27">
      <c r="A677" s="319"/>
      <c r="B677" s="351"/>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c r="AA677" s="301"/>
    </row>
    <row r="678" spans="1:27">
      <c r="A678" s="319"/>
      <c r="B678" s="351"/>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c r="AA678" s="301"/>
    </row>
    <row r="679" spans="1:27">
      <c r="A679" s="319"/>
      <c r="B679" s="351"/>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c r="AA679" s="301"/>
    </row>
    <row r="680" spans="1:27">
      <c r="A680" s="319"/>
      <c r="B680" s="351"/>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c r="AA680" s="301"/>
    </row>
    <row r="681" spans="1:27">
      <c r="A681" s="319"/>
      <c r="B681" s="351"/>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c r="AA681" s="301"/>
    </row>
    <row r="682" spans="1:27">
      <c r="A682" s="319"/>
      <c r="B682" s="351"/>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c r="AA682" s="301"/>
    </row>
    <row r="683" spans="1:27">
      <c r="A683" s="319"/>
      <c r="B683" s="351"/>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c r="AA683" s="301"/>
    </row>
    <row r="684" spans="1:27">
      <c r="A684" s="319"/>
      <c r="B684" s="351"/>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c r="AA684" s="301"/>
    </row>
    <row r="685" spans="1:27">
      <c r="A685" s="319"/>
      <c r="B685" s="351"/>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c r="AA685" s="301"/>
    </row>
    <row r="686" spans="1:27">
      <c r="A686" s="319"/>
      <c r="B686" s="351"/>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c r="AA686" s="301"/>
    </row>
    <row r="687" spans="1:27">
      <c r="A687" s="319"/>
      <c r="B687" s="351"/>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c r="AA687" s="301"/>
    </row>
    <row r="688" spans="1:27">
      <c r="A688" s="319"/>
      <c r="B688" s="351"/>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c r="AA688" s="301"/>
    </row>
    <row r="689" spans="1:27">
      <c r="A689" s="319"/>
      <c r="B689" s="351"/>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c r="AA689" s="301"/>
    </row>
    <row r="690" spans="1:27">
      <c r="A690" s="319"/>
      <c r="B690" s="351"/>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c r="AA690" s="301"/>
    </row>
    <row r="691" spans="1:27">
      <c r="A691" s="319"/>
      <c r="B691" s="351"/>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c r="AA691" s="301"/>
    </row>
    <row r="692" spans="1:27">
      <c r="A692" s="319"/>
      <c r="B692" s="351"/>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c r="AA692" s="301"/>
    </row>
    <row r="693" spans="1:27">
      <c r="A693" s="319"/>
      <c r="B693" s="351"/>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c r="AA693" s="301"/>
    </row>
    <row r="694" spans="1:27">
      <c r="A694" s="319"/>
      <c r="B694" s="351"/>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c r="AA694" s="301"/>
    </row>
    <row r="695" spans="1:27">
      <c r="A695" s="319"/>
      <c r="B695" s="351"/>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c r="AA695" s="301"/>
    </row>
    <row r="696" spans="1:27">
      <c r="A696" s="319"/>
      <c r="B696" s="351"/>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c r="AA696" s="301"/>
    </row>
    <row r="697" spans="1:27">
      <c r="A697" s="319"/>
      <c r="B697" s="351"/>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c r="AA697" s="301"/>
    </row>
    <row r="698" spans="1:27">
      <c r="A698" s="319"/>
      <c r="B698" s="351"/>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c r="AA698" s="301"/>
    </row>
    <row r="699" spans="1:27">
      <c r="A699" s="319"/>
      <c r="B699" s="351"/>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c r="AA699" s="301"/>
    </row>
    <row r="700" spans="1:27">
      <c r="A700" s="319"/>
      <c r="B700" s="351"/>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c r="AA700" s="301"/>
    </row>
    <row r="701" spans="1:27">
      <c r="A701" s="319"/>
      <c r="B701" s="351"/>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c r="AA701" s="301"/>
    </row>
    <row r="702" spans="1:27">
      <c r="A702" s="319"/>
      <c r="B702" s="351"/>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c r="AA702" s="301"/>
    </row>
    <row r="703" spans="1:27">
      <c r="A703" s="319"/>
      <c r="B703" s="351"/>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c r="AA703" s="301"/>
    </row>
    <row r="704" spans="1:27">
      <c r="A704" s="319"/>
      <c r="B704" s="351"/>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c r="AA704" s="301"/>
    </row>
    <row r="705" spans="1:27">
      <c r="A705" s="319"/>
      <c r="B705" s="351"/>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c r="AA705" s="301"/>
    </row>
    <row r="706" spans="1:27">
      <c r="A706" s="319"/>
      <c r="B706" s="351"/>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c r="AA706" s="301"/>
    </row>
    <row r="707" spans="1:27">
      <c r="A707" s="319"/>
      <c r="B707" s="351"/>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c r="AA707" s="301"/>
    </row>
    <row r="708" spans="1:27">
      <c r="A708" s="319"/>
      <c r="B708" s="351"/>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c r="AA708" s="301"/>
    </row>
    <row r="709" spans="1:27">
      <c r="A709" s="319"/>
      <c r="B709" s="351"/>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c r="AA709" s="301"/>
    </row>
    <row r="710" spans="1:27">
      <c r="A710" s="319"/>
      <c r="B710" s="351"/>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c r="AA710" s="301"/>
    </row>
    <row r="711" spans="1:27">
      <c r="A711" s="319"/>
      <c r="B711" s="351"/>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c r="AA711" s="301"/>
    </row>
    <row r="712" spans="1:27">
      <c r="A712" s="319"/>
      <c r="B712" s="351"/>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c r="AA712" s="301"/>
    </row>
    <row r="713" spans="1:27">
      <c r="A713" s="319"/>
      <c r="B713" s="351"/>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c r="AA713" s="301"/>
    </row>
    <row r="714" spans="1:27">
      <c r="A714" s="319"/>
      <c r="B714" s="351"/>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c r="AA714" s="301"/>
    </row>
    <row r="715" spans="1:27">
      <c r="A715" s="319"/>
      <c r="B715" s="351"/>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c r="AA715" s="301"/>
    </row>
    <row r="716" spans="1:27">
      <c r="A716" s="319"/>
      <c r="B716" s="351"/>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c r="AA716" s="301"/>
    </row>
    <row r="717" spans="1:27">
      <c r="A717" s="319"/>
      <c r="B717" s="351"/>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c r="AA717" s="301"/>
    </row>
    <row r="718" spans="1:27">
      <c r="A718" s="319"/>
      <c r="B718" s="351"/>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c r="AA718" s="301"/>
    </row>
    <row r="719" spans="1:27">
      <c r="A719" s="319"/>
      <c r="B719" s="351"/>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c r="AA719" s="301"/>
    </row>
    <row r="720" spans="1:27">
      <c r="A720" s="319"/>
      <c r="B720" s="351"/>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c r="AA720" s="301"/>
    </row>
    <row r="721" spans="1:27">
      <c r="A721" s="319"/>
      <c r="B721" s="351"/>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c r="AA721" s="301"/>
    </row>
    <row r="722" spans="1:27">
      <c r="A722" s="319"/>
      <c r="B722" s="351"/>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c r="AA722" s="301"/>
    </row>
    <row r="723" spans="1:27">
      <c r="A723" s="319"/>
      <c r="B723" s="351"/>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c r="AA723" s="301"/>
    </row>
    <row r="724" spans="1:27">
      <c r="A724" s="319"/>
      <c r="B724" s="351"/>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c r="AA724" s="301"/>
    </row>
    <row r="725" spans="1:27">
      <c r="A725" s="319"/>
      <c r="B725" s="351"/>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c r="AA725" s="301"/>
    </row>
    <row r="726" spans="1:27">
      <c r="A726" s="319"/>
      <c r="B726" s="351"/>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c r="AA726" s="301"/>
    </row>
    <row r="727" spans="1:27">
      <c r="A727" s="319"/>
      <c r="B727" s="351"/>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c r="AA727" s="301"/>
    </row>
    <row r="728" spans="1:27">
      <c r="A728" s="319"/>
      <c r="B728" s="351"/>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c r="AA728" s="301"/>
    </row>
    <row r="729" spans="1:27">
      <c r="A729" s="319"/>
      <c r="B729" s="351"/>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c r="AA729" s="301"/>
    </row>
    <row r="730" spans="1:27">
      <c r="A730" s="319"/>
      <c r="B730" s="351"/>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c r="AA730" s="301"/>
    </row>
    <row r="731" spans="1:27">
      <c r="A731" s="319"/>
      <c r="B731" s="351"/>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c r="AA731" s="301"/>
    </row>
    <row r="732" spans="1:27">
      <c r="A732" s="319"/>
      <c r="B732" s="351"/>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c r="AA732" s="301"/>
    </row>
    <row r="733" spans="1:27">
      <c r="A733" s="319"/>
      <c r="B733" s="351"/>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c r="AA733" s="301"/>
    </row>
    <row r="734" spans="1:27">
      <c r="A734" s="319"/>
      <c r="B734" s="351"/>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c r="AA734" s="301"/>
    </row>
    <row r="735" spans="1:27">
      <c r="A735" s="319"/>
      <c r="B735" s="351"/>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c r="AA735" s="301"/>
    </row>
    <row r="736" spans="1:27">
      <c r="A736" s="319"/>
      <c r="B736" s="351"/>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c r="AA736" s="301"/>
    </row>
    <row r="737" spans="1:27">
      <c r="A737" s="319"/>
      <c r="B737" s="351"/>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c r="AA737" s="301"/>
    </row>
    <row r="738" spans="1:27">
      <c r="A738" s="319"/>
      <c r="B738" s="351"/>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c r="AA738" s="301"/>
    </row>
    <row r="739" spans="1:27">
      <c r="A739" s="319"/>
      <c r="B739" s="351"/>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c r="AA739" s="301"/>
    </row>
    <row r="740" spans="1:27">
      <c r="A740" s="319"/>
      <c r="B740" s="351"/>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c r="AA740" s="301"/>
    </row>
    <row r="741" spans="1:27">
      <c r="A741" s="319"/>
      <c r="B741" s="351"/>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c r="AA741" s="301"/>
    </row>
    <row r="742" spans="1:27">
      <c r="A742" s="319"/>
      <c r="B742" s="351"/>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c r="AA742" s="301"/>
    </row>
    <row r="743" spans="1:27">
      <c r="A743" s="319"/>
      <c r="B743" s="351"/>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c r="AA743" s="301"/>
    </row>
    <row r="744" spans="1:27">
      <c r="A744" s="319"/>
      <c r="B744" s="351"/>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c r="AA744" s="301"/>
    </row>
    <row r="745" spans="1:27">
      <c r="A745" s="319"/>
      <c r="B745" s="351"/>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c r="AA745" s="301"/>
    </row>
    <row r="746" spans="1:27">
      <c r="A746" s="319"/>
      <c r="B746" s="351"/>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c r="AA746" s="301"/>
    </row>
    <row r="747" spans="1:27">
      <c r="A747" s="319"/>
      <c r="B747" s="351"/>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c r="AA747" s="301"/>
    </row>
    <row r="748" spans="1:27">
      <c r="A748" s="319"/>
      <c r="B748" s="351"/>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c r="AA748" s="301"/>
    </row>
    <row r="749" spans="1:27">
      <c r="A749" s="319"/>
      <c r="B749" s="351"/>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c r="AA749" s="301"/>
    </row>
    <row r="750" spans="1:27">
      <c r="A750" s="319"/>
      <c r="B750" s="351"/>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c r="AA750" s="301"/>
    </row>
    <row r="751" spans="1:27">
      <c r="A751" s="319"/>
      <c r="B751" s="351"/>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c r="AA751" s="301"/>
    </row>
    <row r="752" spans="1:27">
      <c r="A752" s="319"/>
      <c r="B752" s="351"/>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c r="AA752" s="301"/>
    </row>
    <row r="753" spans="1:27">
      <c r="A753" s="319"/>
      <c r="B753" s="351"/>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c r="AA753" s="301"/>
    </row>
    <row r="754" spans="1:27">
      <c r="A754" s="319"/>
      <c r="B754" s="351"/>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c r="AA754" s="301"/>
    </row>
    <row r="755" spans="1:27">
      <c r="A755" s="319"/>
      <c r="B755" s="351"/>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c r="AA755" s="301"/>
    </row>
    <row r="756" spans="1:27">
      <c r="A756" s="319"/>
      <c r="B756" s="351"/>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c r="AA756" s="301"/>
    </row>
    <row r="757" spans="1:27">
      <c r="A757" s="319"/>
      <c r="B757" s="351"/>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c r="AA757" s="301"/>
    </row>
    <row r="758" spans="1:27">
      <c r="A758" s="319"/>
      <c r="B758" s="351"/>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c r="AA758" s="301"/>
    </row>
    <row r="759" spans="1:27">
      <c r="A759" s="319"/>
      <c r="B759" s="351"/>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c r="AA759" s="301"/>
    </row>
    <row r="760" spans="1:27">
      <c r="A760" s="319"/>
      <c r="B760" s="351"/>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c r="AA760" s="301"/>
    </row>
    <row r="761" spans="1:27">
      <c r="A761" s="319"/>
      <c r="B761" s="351"/>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c r="AA761" s="301"/>
    </row>
    <row r="762" spans="1:27">
      <c r="A762" s="319"/>
      <c r="B762" s="351"/>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c r="AA762" s="301"/>
    </row>
    <row r="763" spans="1:27">
      <c r="A763" s="319"/>
      <c r="B763" s="351"/>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c r="AA763" s="301"/>
    </row>
    <row r="764" spans="1:27">
      <c r="A764" s="319"/>
      <c r="B764" s="351"/>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c r="AA764" s="301"/>
    </row>
    <row r="765" spans="1:27">
      <c r="A765" s="319"/>
      <c r="B765" s="351"/>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c r="AA765" s="301"/>
    </row>
    <row r="766" spans="1:27">
      <c r="A766" s="319"/>
      <c r="B766" s="351"/>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c r="AA766" s="301"/>
    </row>
    <row r="767" spans="1:27">
      <c r="A767" s="319"/>
      <c r="B767" s="351"/>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c r="AA767" s="301"/>
    </row>
    <row r="768" spans="1:27">
      <c r="A768" s="319"/>
      <c r="B768" s="351"/>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c r="AA768" s="301"/>
    </row>
    <row r="769" spans="1:27">
      <c r="A769" s="319"/>
      <c r="B769" s="351"/>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c r="AA769" s="301"/>
    </row>
    <row r="770" spans="1:27">
      <c r="A770" s="319"/>
      <c r="B770" s="351"/>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c r="AA770" s="301"/>
    </row>
    <row r="771" spans="1:27">
      <c r="A771" s="319"/>
      <c r="B771" s="351"/>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c r="AA771" s="301"/>
    </row>
    <row r="772" spans="1:27">
      <c r="A772" s="319"/>
      <c r="B772" s="351"/>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c r="AA772" s="301"/>
    </row>
    <row r="773" spans="1:27">
      <c r="A773" s="319"/>
      <c r="B773" s="351"/>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c r="AA773" s="301"/>
    </row>
    <row r="774" spans="1:27">
      <c r="A774" s="319"/>
      <c r="B774" s="351"/>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c r="AA774" s="301"/>
    </row>
    <row r="775" spans="1:27">
      <c r="A775" s="319"/>
      <c r="B775" s="351"/>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c r="AA775" s="301"/>
    </row>
    <row r="776" spans="1:27">
      <c r="A776" s="319"/>
      <c r="B776" s="351"/>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c r="AA776" s="301"/>
    </row>
    <row r="777" spans="1:27">
      <c r="A777" s="319"/>
      <c r="B777" s="351"/>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c r="AA777" s="301"/>
    </row>
    <row r="778" spans="1:27">
      <c r="A778" s="319"/>
      <c r="B778" s="351"/>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c r="AA778" s="301"/>
    </row>
    <row r="779" spans="1:27">
      <c r="A779" s="319"/>
      <c r="B779" s="351"/>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c r="AA779" s="301"/>
    </row>
    <row r="780" spans="1:27">
      <c r="A780" s="319"/>
      <c r="B780" s="351"/>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c r="AA780" s="301"/>
    </row>
    <row r="781" spans="1:27">
      <c r="A781" s="319"/>
      <c r="B781" s="351"/>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c r="AA781" s="301"/>
    </row>
    <row r="782" spans="1:27">
      <c r="A782" s="319"/>
      <c r="B782" s="351"/>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c r="AA782" s="301"/>
    </row>
    <row r="783" spans="1:27">
      <c r="A783" s="319"/>
      <c r="B783" s="351"/>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c r="AA783" s="301"/>
    </row>
    <row r="784" spans="1:27">
      <c r="A784" s="319"/>
      <c r="B784" s="351"/>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c r="AA784" s="301"/>
    </row>
    <row r="785" spans="1:27">
      <c r="A785" s="319"/>
      <c r="B785" s="351"/>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c r="AA785" s="301"/>
    </row>
    <row r="786" spans="1:27">
      <c r="A786" s="319"/>
      <c r="B786" s="351"/>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c r="AA786" s="301"/>
    </row>
    <row r="787" spans="1:27">
      <c r="A787" s="319"/>
      <c r="B787" s="351"/>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c r="AA787" s="301"/>
    </row>
    <row r="788" spans="1:27">
      <c r="A788" s="319"/>
      <c r="B788" s="351"/>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c r="AA788" s="301"/>
    </row>
    <row r="789" spans="1:27">
      <c r="A789" s="319"/>
      <c r="B789" s="351"/>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c r="AA789" s="301"/>
    </row>
    <row r="790" spans="1:27">
      <c r="A790" s="319"/>
      <c r="B790" s="351"/>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c r="AA790" s="301"/>
    </row>
    <row r="791" spans="1:27">
      <c r="A791" s="319"/>
      <c r="B791" s="351"/>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c r="AA791" s="301"/>
    </row>
    <row r="792" spans="1:27">
      <c r="A792" s="319"/>
      <c r="B792" s="351"/>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c r="AA792" s="301"/>
    </row>
    <row r="793" spans="1:27">
      <c r="A793" s="319"/>
      <c r="B793" s="351"/>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c r="AA793" s="301"/>
    </row>
    <row r="794" spans="1:27">
      <c r="A794" s="319"/>
      <c r="B794" s="351"/>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c r="AA794" s="301"/>
    </row>
    <row r="795" spans="1:27">
      <c r="A795" s="319"/>
      <c r="B795" s="351"/>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c r="AA795" s="301"/>
    </row>
    <row r="796" spans="1:27">
      <c r="A796" s="319"/>
      <c r="B796" s="351"/>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c r="AA796" s="301"/>
    </row>
    <row r="797" spans="1:27">
      <c r="A797" s="319"/>
      <c r="B797" s="351"/>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c r="AA797" s="301"/>
    </row>
    <row r="798" spans="1:27">
      <c r="A798" s="319"/>
      <c r="B798" s="351"/>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c r="AA798" s="301"/>
    </row>
    <row r="799" spans="1:27">
      <c r="A799" s="319"/>
      <c r="B799" s="351"/>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c r="AA799" s="301"/>
    </row>
    <row r="800" spans="1:27">
      <c r="A800" s="319"/>
      <c r="B800" s="351"/>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c r="AA800" s="301"/>
    </row>
    <row r="801" spans="1:27">
      <c r="A801" s="319"/>
      <c r="B801" s="351"/>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c r="AA801" s="301"/>
    </row>
    <row r="802" spans="1:27">
      <c r="A802" s="319"/>
      <c r="B802" s="351"/>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c r="AA802" s="301"/>
    </row>
    <row r="803" spans="1:27">
      <c r="A803" s="319"/>
      <c r="B803" s="351"/>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c r="AA803" s="301"/>
    </row>
    <row r="804" spans="1:27">
      <c r="A804" s="319"/>
      <c r="B804" s="351"/>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c r="AA804" s="301"/>
    </row>
    <row r="805" spans="1:27">
      <c r="A805" s="319"/>
      <c r="B805" s="351"/>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c r="AA805" s="301"/>
    </row>
    <row r="806" spans="1:27">
      <c r="A806" s="319"/>
      <c r="B806" s="351"/>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c r="AA806" s="301"/>
    </row>
    <row r="807" spans="1:27">
      <c r="A807" s="319"/>
      <c r="B807" s="351"/>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c r="AA807" s="301"/>
    </row>
    <row r="808" spans="1:27">
      <c r="A808" s="319"/>
      <c r="B808" s="351"/>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c r="AA808" s="301"/>
    </row>
    <row r="809" spans="1:27">
      <c r="A809" s="319"/>
      <c r="B809" s="351"/>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c r="AA809" s="301"/>
    </row>
    <row r="810" spans="1:27">
      <c r="A810" s="319"/>
      <c r="B810" s="351"/>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c r="AA810" s="301"/>
    </row>
    <row r="811" spans="1:27">
      <c r="A811" s="319"/>
      <c r="B811" s="351"/>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c r="AA811" s="301"/>
    </row>
    <row r="812" spans="1:27">
      <c r="A812" s="319"/>
      <c r="B812" s="351"/>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c r="AA812" s="301"/>
    </row>
    <row r="813" spans="1:27">
      <c r="A813" s="319"/>
      <c r="B813" s="351"/>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c r="AA813" s="301"/>
    </row>
    <row r="814" spans="1:27">
      <c r="A814" s="319"/>
      <c r="B814" s="351"/>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c r="AA814" s="301"/>
    </row>
    <row r="815" spans="1:27">
      <c r="A815" s="319"/>
      <c r="B815" s="351"/>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c r="AA815" s="301"/>
    </row>
    <row r="816" spans="1:27">
      <c r="A816" s="319"/>
      <c r="B816" s="351"/>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c r="AA816" s="301"/>
    </row>
    <row r="817" spans="1:27">
      <c r="A817" s="319"/>
      <c r="B817" s="351"/>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c r="AA817" s="301"/>
    </row>
    <row r="818" spans="1:27">
      <c r="A818" s="319"/>
      <c r="B818" s="351"/>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c r="AA818" s="301"/>
    </row>
    <row r="819" spans="1:27">
      <c r="A819" s="319"/>
      <c r="B819" s="351"/>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c r="AA819" s="301"/>
    </row>
    <row r="820" spans="1:27">
      <c r="A820" s="319"/>
      <c r="B820" s="351"/>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c r="AA820" s="301"/>
    </row>
    <row r="821" spans="1:27">
      <c r="A821" s="319"/>
      <c r="B821" s="351"/>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c r="AA821" s="301"/>
    </row>
    <row r="822" spans="1:27">
      <c r="A822" s="319"/>
      <c r="B822" s="351"/>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c r="AA822" s="301"/>
    </row>
    <row r="823" spans="1:27">
      <c r="A823" s="319"/>
      <c r="B823" s="351"/>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c r="AA823" s="301"/>
    </row>
    <row r="824" spans="1:27">
      <c r="A824" s="319"/>
      <c r="B824" s="351"/>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c r="AA824" s="301"/>
    </row>
    <row r="825" spans="1:27">
      <c r="A825" s="319"/>
      <c r="B825" s="351"/>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c r="AA825" s="301"/>
    </row>
    <row r="826" spans="1:27">
      <c r="A826" s="319"/>
      <c r="B826" s="351"/>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c r="AA826" s="301"/>
    </row>
    <row r="827" spans="1:27">
      <c r="A827" s="319"/>
      <c r="B827" s="351"/>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c r="AA827" s="301"/>
    </row>
    <row r="828" spans="1:27">
      <c r="A828" s="319"/>
      <c r="B828" s="351"/>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c r="AA828" s="301"/>
    </row>
    <row r="829" spans="1:27">
      <c r="A829" s="319"/>
      <c r="B829" s="351"/>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c r="AA829" s="301"/>
    </row>
    <row r="830" spans="1:27">
      <c r="A830" s="319"/>
      <c r="B830" s="351"/>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c r="AA830" s="301"/>
    </row>
    <row r="831" spans="1:27">
      <c r="A831" s="319"/>
      <c r="B831" s="351"/>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c r="AA831" s="301"/>
    </row>
    <row r="832" spans="1:27">
      <c r="A832" s="319"/>
      <c r="B832" s="351"/>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c r="AA832" s="301"/>
    </row>
    <row r="833" spans="1:27">
      <c r="A833" s="319"/>
      <c r="B833" s="351"/>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c r="AA833" s="301"/>
    </row>
    <row r="834" spans="1:27">
      <c r="A834" s="319"/>
      <c r="B834" s="351"/>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c r="AA834" s="301"/>
    </row>
    <row r="835" spans="1:27">
      <c r="A835" s="319"/>
      <c r="B835" s="351"/>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c r="AA835" s="301"/>
    </row>
    <row r="836" spans="1:27">
      <c r="A836" s="319"/>
      <c r="B836" s="351"/>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c r="AA836" s="301"/>
    </row>
    <row r="837" spans="1:27">
      <c r="A837" s="319"/>
      <c r="B837" s="351"/>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c r="AA837" s="301"/>
    </row>
    <row r="838" spans="1:27">
      <c r="A838" s="319"/>
      <c r="B838" s="351"/>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c r="AA838" s="301"/>
    </row>
    <row r="839" spans="1:27">
      <c r="A839" s="319"/>
      <c r="B839" s="351"/>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c r="AA839" s="301"/>
    </row>
    <row r="840" spans="1:27">
      <c r="A840" s="319"/>
      <c r="B840" s="351"/>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c r="AA840" s="301"/>
    </row>
    <row r="841" spans="1:27">
      <c r="A841" s="319"/>
      <c r="B841" s="351"/>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c r="AA841" s="301"/>
    </row>
    <row r="842" spans="1:27">
      <c r="A842" s="319"/>
      <c r="B842" s="351"/>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c r="AA842" s="301"/>
    </row>
    <row r="843" spans="1:27">
      <c r="A843" s="319"/>
      <c r="B843" s="351"/>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c r="AA843" s="301"/>
    </row>
    <row r="844" spans="1:27">
      <c r="A844" s="319"/>
      <c r="B844" s="351"/>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c r="AA844" s="301"/>
    </row>
    <row r="845" spans="1:27">
      <c r="A845" s="319"/>
      <c r="B845" s="351"/>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c r="AA845" s="301"/>
    </row>
    <row r="846" spans="1:27">
      <c r="A846" s="319"/>
      <c r="B846" s="351"/>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c r="AA846" s="301"/>
    </row>
    <row r="847" spans="1:27">
      <c r="A847" s="319"/>
      <c r="B847" s="351"/>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c r="AA847" s="301"/>
    </row>
    <row r="848" spans="1:27">
      <c r="A848" s="319"/>
      <c r="B848" s="351"/>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c r="AA848" s="301"/>
    </row>
    <row r="849" spans="1:27">
      <c r="A849" s="319"/>
      <c r="B849" s="351"/>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c r="AA849" s="301"/>
    </row>
    <row r="850" spans="1:27">
      <c r="A850" s="319"/>
      <c r="B850" s="351"/>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c r="AA850" s="301"/>
    </row>
    <row r="851" spans="1:27">
      <c r="A851" s="319"/>
      <c r="B851" s="351"/>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c r="AA851" s="301"/>
    </row>
    <row r="852" spans="1:27">
      <c r="A852" s="319"/>
      <c r="B852" s="351"/>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c r="AA852" s="301"/>
    </row>
    <row r="853" spans="1:27">
      <c r="A853" s="319"/>
      <c r="B853" s="351"/>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c r="AA853" s="301"/>
    </row>
    <row r="854" spans="1:27">
      <c r="A854" s="319"/>
      <c r="B854" s="351"/>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c r="AA854" s="301"/>
    </row>
    <row r="855" spans="1:27">
      <c r="A855" s="319"/>
      <c r="B855" s="351"/>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c r="AA855" s="301"/>
    </row>
    <row r="856" spans="1:27">
      <c r="A856" s="319"/>
      <c r="B856" s="351"/>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c r="AA856" s="301"/>
    </row>
    <row r="857" spans="1:27">
      <c r="A857" s="319"/>
      <c r="B857" s="351"/>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c r="AA857" s="301"/>
    </row>
    <row r="858" spans="1:27">
      <c r="A858" s="319"/>
      <c r="B858" s="351"/>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c r="AA858" s="301"/>
    </row>
    <row r="859" spans="1:27">
      <c r="A859" s="319"/>
      <c r="B859" s="351"/>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c r="AA859" s="301"/>
    </row>
    <row r="860" spans="1:27">
      <c r="A860" s="319"/>
      <c r="B860" s="351"/>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c r="AA860" s="301"/>
    </row>
    <row r="861" spans="1:27">
      <c r="A861" s="319"/>
      <c r="B861" s="351"/>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c r="AA861" s="301"/>
    </row>
    <row r="862" spans="1:27">
      <c r="A862" s="319"/>
      <c r="B862" s="351"/>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c r="AA862" s="301"/>
    </row>
    <row r="863" spans="1:27">
      <c r="A863" s="319"/>
      <c r="B863" s="351"/>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c r="AA863" s="301"/>
    </row>
    <row r="864" spans="1:27">
      <c r="A864" s="319"/>
      <c r="B864" s="351"/>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c r="AA864" s="301"/>
    </row>
    <row r="865" spans="1:27">
      <c r="A865" s="319"/>
      <c r="B865" s="351"/>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c r="AA865" s="301"/>
    </row>
    <row r="866" spans="1:27">
      <c r="A866" s="319"/>
      <c r="B866" s="351"/>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c r="AA866" s="301"/>
    </row>
    <row r="867" spans="1:27">
      <c r="A867" s="319"/>
      <c r="B867" s="351"/>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c r="AA867" s="301"/>
    </row>
    <row r="868" spans="1:27">
      <c r="A868" s="319"/>
      <c r="B868" s="351"/>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c r="AA868" s="301"/>
    </row>
    <row r="869" spans="1:27">
      <c r="A869" s="319"/>
      <c r="B869" s="351"/>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c r="AA869" s="301"/>
    </row>
    <row r="870" spans="1:27">
      <c r="A870" s="319"/>
      <c r="B870" s="351"/>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c r="AA870" s="301"/>
    </row>
    <row r="871" spans="1:27">
      <c r="A871" s="319"/>
      <c r="B871" s="351"/>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c r="AA871" s="301"/>
    </row>
    <row r="872" spans="1:27">
      <c r="A872" s="319"/>
      <c r="B872" s="351"/>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c r="AA872" s="301"/>
    </row>
    <row r="873" spans="1:27">
      <c r="A873" s="319"/>
      <c r="B873" s="351"/>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c r="AA873" s="301"/>
    </row>
    <row r="874" spans="1:27">
      <c r="A874" s="319"/>
      <c r="B874" s="351"/>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c r="AA874" s="301"/>
    </row>
    <row r="875" spans="1:27">
      <c r="A875" s="319"/>
      <c r="B875" s="351"/>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c r="AA875" s="301"/>
    </row>
    <row r="876" spans="1:27">
      <c r="A876" s="319"/>
      <c r="B876" s="351"/>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c r="AA876" s="301"/>
    </row>
    <row r="877" spans="1:27">
      <c r="A877" s="319"/>
      <c r="B877" s="351"/>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c r="AA877" s="301"/>
    </row>
    <row r="878" spans="1:27">
      <c r="A878" s="319"/>
      <c r="B878" s="351"/>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c r="AA878" s="301"/>
    </row>
    <row r="879" spans="1:27">
      <c r="A879" s="319"/>
      <c r="B879" s="351"/>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c r="AA879" s="301"/>
    </row>
    <row r="880" spans="1:27">
      <c r="A880" s="319"/>
      <c r="B880" s="351"/>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c r="AA880" s="301"/>
    </row>
    <row r="881" spans="1:27">
      <c r="A881" s="319"/>
      <c r="B881" s="351"/>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c r="AA881" s="301"/>
    </row>
    <row r="882" spans="1:27">
      <c r="A882" s="319"/>
      <c r="B882" s="351"/>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c r="AA882" s="301"/>
    </row>
    <row r="883" spans="1:27">
      <c r="A883" s="319"/>
      <c r="B883" s="351"/>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c r="AA883" s="301"/>
    </row>
    <row r="884" spans="1:27">
      <c r="A884" s="319"/>
      <c r="B884" s="351"/>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c r="AA884" s="301"/>
    </row>
    <row r="885" spans="1:27">
      <c r="A885" s="319"/>
      <c r="B885" s="351"/>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c r="AA885" s="301"/>
    </row>
    <row r="886" spans="1:27">
      <c r="A886" s="319"/>
      <c r="B886" s="351"/>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c r="AA886" s="301"/>
    </row>
    <row r="887" spans="1:27">
      <c r="A887" s="319"/>
      <c r="B887" s="351"/>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c r="AA887" s="301"/>
    </row>
    <row r="888" spans="1:27">
      <c r="A888" s="319"/>
      <c r="B888" s="351"/>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c r="AA888" s="301"/>
    </row>
    <row r="889" spans="1:27">
      <c r="A889" s="319"/>
      <c r="B889" s="351"/>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c r="AA889" s="301"/>
    </row>
    <row r="890" spans="1:27">
      <c r="A890" s="319"/>
      <c r="B890" s="351"/>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c r="AA890" s="301"/>
    </row>
    <row r="891" spans="1:27">
      <c r="A891" s="319"/>
      <c r="B891" s="351"/>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c r="AA891" s="301"/>
    </row>
    <row r="892" spans="1:27">
      <c r="A892" s="319"/>
      <c r="B892" s="351"/>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c r="AA892" s="301"/>
    </row>
    <row r="893" spans="1:27">
      <c r="A893" s="319"/>
      <c r="B893" s="351"/>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c r="AA893" s="301"/>
    </row>
    <row r="894" spans="1:27">
      <c r="A894" s="319"/>
      <c r="B894" s="351"/>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c r="AA894" s="301"/>
    </row>
    <row r="895" spans="1:27">
      <c r="A895" s="319"/>
      <c r="B895" s="351"/>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c r="AA895" s="301"/>
    </row>
    <row r="896" spans="1:27">
      <c r="A896" s="319"/>
      <c r="B896" s="351"/>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c r="AA896" s="301"/>
    </row>
    <row r="897" spans="1:27">
      <c r="A897" s="319"/>
      <c r="B897" s="351"/>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c r="AA897" s="301"/>
    </row>
    <row r="898" spans="1:27">
      <c r="A898" s="319"/>
      <c r="B898" s="351"/>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c r="AA898" s="301"/>
    </row>
    <row r="899" spans="1:27">
      <c r="A899" s="319"/>
      <c r="B899" s="351"/>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c r="AA899" s="301"/>
    </row>
    <row r="900" spans="1:27">
      <c r="A900" s="319"/>
      <c r="B900" s="351"/>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c r="AA900" s="301"/>
    </row>
    <row r="901" spans="1:27">
      <c r="A901" s="319"/>
      <c r="B901" s="351"/>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c r="AA901" s="301"/>
    </row>
    <row r="902" spans="1:27">
      <c r="A902" s="319"/>
      <c r="B902" s="351"/>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c r="AA902" s="301"/>
    </row>
    <row r="903" spans="1:27">
      <c r="A903" s="319"/>
      <c r="B903" s="351"/>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c r="AA903" s="301"/>
    </row>
    <row r="904" spans="1:27">
      <c r="A904" s="319"/>
      <c r="B904" s="351"/>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c r="AA904" s="301"/>
    </row>
    <row r="905" spans="1:27">
      <c r="A905" s="319"/>
      <c r="B905" s="351"/>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c r="AA905" s="301"/>
    </row>
    <row r="906" spans="1:27">
      <c r="A906" s="319"/>
      <c r="B906" s="351"/>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c r="AA906" s="301"/>
    </row>
    <row r="907" spans="1:27">
      <c r="A907" s="319"/>
      <c r="B907" s="351"/>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c r="AA907" s="301"/>
    </row>
    <row r="908" spans="1:27">
      <c r="A908" s="319"/>
      <c r="B908" s="351"/>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c r="AA908" s="301"/>
    </row>
    <row r="909" spans="1:27">
      <c r="A909" s="319"/>
      <c r="B909" s="351"/>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c r="AA909" s="301"/>
    </row>
    <row r="910" spans="1:27">
      <c r="A910" s="319"/>
      <c r="B910" s="351"/>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c r="AA910" s="301"/>
    </row>
    <row r="911" spans="1:27">
      <c r="A911" s="319"/>
      <c r="B911" s="351"/>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c r="AA911" s="301"/>
    </row>
    <row r="912" spans="1:27">
      <c r="A912" s="319"/>
      <c r="B912" s="351"/>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c r="AA912" s="301"/>
    </row>
    <row r="913" spans="1:27">
      <c r="A913" s="319"/>
      <c r="B913" s="351"/>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c r="AA913" s="301"/>
    </row>
    <row r="914" spans="1:27">
      <c r="A914" s="319"/>
      <c r="B914" s="351"/>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c r="AA914" s="301"/>
    </row>
    <row r="915" spans="1:27">
      <c r="A915" s="319"/>
      <c r="B915" s="351"/>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c r="AA915" s="301"/>
    </row>
    <row r="916" spans="1:27">
      <c r="A916" s="319"/>
      <c r="B916" s="351"/>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c r="AA916" s="301"/>
    </row>
    <row r="917" spans="1:27">
      <c r="A917" s="319"/>
      <c r="B917" s="351"/>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c r="AA917" s="301"/>
    </row>
    <row r="918" spans="1:27">
      <c r="A918" s="319"/>
      <c r="B918" s="351"/>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c r="AA918" s="301"/>
    </row>
    <row r="919" spans="1:27">
      <c r="A919" s="319"/>
      <c r="B919" s="351"/>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c r="AA919" s="301"/>
    </row>
    <row r="920" spans="1:27">
      <c r="A920" s="319"/>
      <c r="B920" s="351"/>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c r="AA920" s="301"/>
    </row>
    <row r="921" spans="1:27">
      <c r="A921" s="319"/>
      <c r="B921" s="351"/>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c r="AA921" s="301"/>
    </row>
    <row r="922" spans="1:27">
      <c r="A922" s="319"/>
      <c r="B922" s="351"/>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c r="AA922" s="301"/>
    </row>
    <row r="923" spans="1:27">
      <c r="A923" s="319"/>
      <c r="B923" s="351"/>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c r="AA923" s="301"/>
    </row>
    <row r="924" spans="1:27">
      <c r="A924" s="319"/>
      <c r="B924" s="351"/>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c r="AA924" s="301"/>
    </row>
    <row r="925" spans="1:27">
      <c r="A925" s="319"/>
      <c r="B925" s="351"/>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c r="AA925" s="301"/>
    </row>
    <row r="926" spans="1:27">
      <c r="A926" s="319"/>
      <c r="B926" s="351"/>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c r="AA926" s="301"/>
    </row>
    <row r="927" spans="1:27">
      <c r="A927" s="319"/>
      <c r="B927" s="351"/>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c r="AA927" s="301"/>
    </row>
    <row r="928" spans="1:27">
      <c r="A928" s="319"/>
      <c r="B928" s="351"/>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c r="AA928" s="301"/>
    </row>
    <row r="929" spans="1:27">
      <c r="A929" s="319"/>
      <c r="B929" s="351"/>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c r="AA929" s="301"/>
    </row>
    <row r="930" spans="1:27">
      <c r="A930" s="319"/>
      <c r="B930" s="351"/>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c r="AA930" s="301"/>
    </row>
    <row r="931" spans="1:27">
      <c r="A931" s="319"/>
      <c r="B931" s="351"/>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c r="AA931" s="301"/>
    </row>
    <row r="932" spans="1:27">
      <c r="A932" s="319"/>
      <c r="B932" s="351"/>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c r="AA932" s="301"/>
    </row>
    <row r="933" spans="1:27">
      <c r="A933" s="319"/>
      <c r="B933" s="351"/>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c r="AA933" s="301"/>
    </row>
    <row r="934" spans="1:27">
      <c r="A934" s="319"/>
      <c r="B934" s="351"/>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c r="AA934" s="301"/>
    </row>
    <row r="935" spans="1:27">
      <c r="A935" s="319"/>
      <c r="B935" s="351"/>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c r="AA935" s="301"/>
    </row>
    <row r="936" spans="1:27">
      <c r="A936" s="319"/>
      <c r="B936" s="351"/>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c r="AA936" s="301"/>
    </row>
    <row r="937" spans="1:27">
      <c r="A937" s="319"/>
      <c r="B937" s="351"/>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c r="AA937" s="301"/>
    </row>
    <row r="938" spans="1:27">
      <c r="A938" s="319"/>
      <c r="B938" s="351"/>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c r="AA938" s="301"/>
    </row>
    <row r="939" spans="1:27">
      <c r="A939" s="319"/>
      <c r="B939" s="351"/>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c r="AA939" s="301"/>
    </row>
    <row r="940" spans="1:27">
      <c r="A940" s="319"/>
      <c r="B940" s="351"/>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c r="AA940" s="301"/>
    </row>
    <row r="941" spans="1:27">
      <c r="A941" s="319"/>
      <c r="B941" s="351"/>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c r="AA941" s="301"/>
    </row>
    <row r="942" spans="1:27">
      <c r="A942" s="319"/>
      <c r="B942" s="351"/>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c r="AA942" s="301"/>
    </row>
    <row r="943" spans="1:27">
      <c r="A943" s="319"/>
      <c r="B943" s="351"/>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c r="AA943" s="301"/>
    </row>
    <row r="944" spans="1:27">
      <c r="A944" s="319"/>
      <c r="B944" s="351"/>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c r="AA944" s="301"/>
    </row>
    <row r="945" spans="1:27">
      <c r="A945" s="319"/>
      <c r="B945" s="351"/>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c r="AA945" s="301"/>
    </row>
    <row r="946" spans="1:27">
      <c r="A946" s="319"/>
      <c r="B946" s="351"/>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c r="AA946" s="301"/>
    </row>
    <row r="947" spans="1:27">
      <c r="A947" s="319"/>
      <c r="B947" s="351"/>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c r="AA947" s="301"/>
    </row>
    <row r="948" spans="1:27">
      <c r="A948" s="319"/>
      <c r="B948" s="351"/>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c r="AA948" s="301"/>
    </row>
    <row r="949" spans="1:27">
      <c r="A949" s="319"/>
      <c r="B949" s="351"/>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c r="AA949" s="301"/>
    </row>
    <row r="950" spans="1:27">
      <c r="A950" s="319"/>
      <c r="B950" s="351"/>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c r="AA950" s="301"/>
    </row>
    <row r="951" spans="1:27">
      <c r="A951" s="319"/>
      <c r="B951" s="351"/>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c r="AA951" s="301"/>
    </row>
    <row r="952" spans="1:27">
      <c r="A952" s="319"/>
      <c r="B952" s="351"/>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c r="AA952" s="301"/>
    </row>
    <row r="953" spans="1:27">
      <c r="A953" s="319"/>
      <c r="B953" s="351"/>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c r="AA953" s="301"/>
    </row>
    <row r="954" spans="1:27">
      <c r="A954" s="319"/>
      <c r="B954" s="351"/>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c r="AA954" s="301"/>
    </row>
    <row r="955" spans="1:27">
      <c r="A955" s="319"/>
      <c r="B955" s="351"/>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c r="AA955" s="301"/>
    </row>
    <row r="956" spans="1:27">
      <c r="A956" s="319"/>
      <c r="B956" s="351"/>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c r="AA956" s="301"/>
    </row>
    <row r="957" spans="1:27">
      <c r="A957" s="319"/>
      <c r="B957" s="351"/>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c r="AA957" s="301"/>
    </row>
    <row r="958" spans="1:27">
      <c r="A958" s="319"/>
      <c r="B958" s="351"/>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c r="AA958" s="301"/>
    </row>
    <row r="959" spans="1:27">
      <c r="A959" s="319"/>
      <c r="B959" s="351"/>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c r="AA959" s="301"/>
    </row>
    <row r="960" spans="1:27">
      <c r="A960" s="319"/>
      <c r="B960" s="351"/>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c r="AA960" s="301"/>
    </row>
    <row r="961" spans="1:27">
      <c r="A961" s="319"/>
      <c r="B961" s="351"/>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c r="AA961" s="301"/>
    </row>
    <row r="962" spans="1:27">
      <c r="A962" s="319"/>
      <c r="B962" s="351"/>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c r="AA962" s="301"/>
    </row>
    <row r="963" spans="1:27">
      <c r="A963" s="319"/>
      <c r="B963" s="351"/>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c r="AA963" s="301"/>
    </row>
    <row r="964" spans="1:27">
      <c r="A964" s="319"/>
      <c r="B964" s="351"/>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c r="AA964" s="301"/>
    </row>
    <row r="965" spans="1:27">
      <c r="A965" s="319"/>
      <c r="B965" s="351"/>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c r="AA965" s="301"/>
    </row>
    <row r="966" spans="1:27">
      <c r="A966" s="319"/>
      <c r="B966" s="351"/>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c r="AA966" s="301"/>
    </row>
    <row r="967" spans="1:27">
      <c r="A967" s="319"/>
      <c r="B967" s="351"/>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c r="AA967" s="301"/>
    </row>
    <row r="968" spans="1:27">
      <c r="A968" s="319"/>
      <c r="B968" s="351"/>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c r="AA968" s="301"/>
    </row>
    <row r="969" spans="1:27">
      <c r="A969" s="319"/>
      <c r="B969" s="351"/>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c r="AA969" s="301"/>
    </row>
    <row r="970" spans="1:27">
      <c r="A970" s="319"/>
      <c r="B970" s="351"/>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c r="AA970" s="301"/>
    </row>
    <row r="971" spans="1:27">
      <c r="A971" s="319"/>
      <c r="B971" s="351"/>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c r="AA971" s="301"/>
    </row>
    <row r="972" spans="1:27">
      <c r="A972" s="319"/>
      <c r="B972" s="351"/>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c r="AA972" s="301"/>
    </row>
    <row r="973" spans="1:27">
      <c r="A973" s="319"/>
      <c r="B973" s="351"/>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c r="AA973" s="301"/>
    </row>
    <row r="974" spans="1:27">
      <c r="A974" s="319"/>
      <c r="B974" s="351"/>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c r="AA974" s="301"/>
    </row>
    <row r="975" spans="1:27">
      <c r="A975" s="319"/>
      <c r="B975" s="351"/>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c r="AA975" s="301"/>
    </row>
    <row r="976" spans="1:27">
      <c r="A976" s="319"/>
      <c r="B976" s="351"/>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c r="AA976" s="301"/>
    </row>
    <row r="977" spans="1:27">
      <c r="A977" s="319"/>
      <c r="B977" s="351"/>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c r="AA977" s="301"/>
    </row>
    <row r="978" spans="1:27">
      <c r="A978" s="319"/>
      <c r="B978" s="351"/>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c r="AA978" s="301"/>
    </row>
    <row r="979" spans="1:27">
      <c r="A979" s="319"/>
      <c r="B979" s="351"/>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c r="AA979" s="301"/>
    </row>
    <row r="980" spans="1:27">
      <c r="A980" s="319"/>
      <c r="B980" s="351"/>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c r="AA980" s="301"/>
    </row>
    <row r="981" spans="1:27">
      <c r="A981" s="319"/>
      <c r="B981" s="351"/>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c r="AA981" s="301"/>
    </row>
    <row r="982" spans="1:27">
      <c r="A982" s="319"/>
      <c r="B982" s="351"/>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c r="AA982" s="301"/>
    </row>
    <row r="983" spans="1:27">
      <c r="A983" s="319"/>
      <c r="B983" s="351"/>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c r="AA983" s="301"/>
    </row>
    <row r="984" spans="1:27">
      <c r="A984" s="319"/>
      <c r="B984" s="351"/>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c r="AA984" s="301"/>
    </row>
    <row r="985" spans="1:27">
      <c r="A985" s="319"/>
      <c r="B985" s="351"/>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c r="AA985" s="301"/>
    </row>
    <row r="986" spans="1:27">
      <c r="A986" s="319"/>
      <c r="B986" s="351"/>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c r="AA986" s="301"/>
    </row>
    <row r="987" spans="1:27">
      <c r="A987" s="319"/>
      <c r="B987" s="351"/>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c r="AA987" s="301"/>
    </row>
    <row r="988" spans="1:27">
      <c r="A988" s="319"/>
      <c r="B988" s="351"/>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c r="AA988" s="301"/>
    </row>
    <row r="989" spans="1:27">
      <c r="A989" s="319"/>
      <c r="B989" s="351"/>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c r="AA989" s="301"/>
    </row>
    <row r="990" spans="1:27">
      <c r="A990" s="319"/>
      <c r="B990" s="351"/>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c r="AA990" s="301"/>
    </row>
    <row r="991" spans="1:27">
      <c r="A991" s="319"/>
      <c r="B991" s="351"/>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c r="AA991" s="301"/>
    </row>
    <row r="992" spans="1:27">
      <c r="A992" s="319"/>
      <c r="B992" s="351"/>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c r="AA992" s="301"/>
    </row>
    <row r="993" spans="1:27">
      <c r="A993" s="319"/>
      <c r="B993" s="351"/>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c r="AA993" s="301"/>
    </row>
    <row r="994" spans="1:27">
      <c r="A994" s="319"/>
      <c r="B994" s="351"/>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c r="AA994" s="301"/>
    </row>
    <row r="995" spans="1:27">
      <c r="A995" s="319"/>
      <c r="B995" s="351"/>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c r="AA995" s="301"/>
    </row>
    <row r="996" spans="1:27">
      <c r="A996" s="319"/>
      <c r="B996" s="351"/>
      <c r="C996" s="300"/>
      <c r="D996" s="300"/>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c r="AA996" s="301"/>
    </row>
    <row r="997" spans="1:27">
      <c r="A997" s="319"/>
      <c r="B997" s="351"/>
      <c r="C997" s="300"/>
      <c r="D997" s="300"/>
      <c r="E997" s="300"/>
      <c r="F997" s="300"/>
      <c r="G997" s="300"/>
      <c r="H997" s="300"/>
      <c r="I997" s="300"/>
      <c r="J997" s="300"/>
      <c r="K997" s="300"/>
      <c r="L997" s="300"/>
      <c r="M997" s="300"/>
      <c r="N997" s="300"/>
      <c r="O997" s="300"/>
      <c r="P997" s="300"/>
      <c r="Q997" s="300"/>
      <c r="R997" s="300"/>
      <c r="S997" s="300"/>
      <c r="T997" s="300"/>
      <c r="U997" s="300"/>
      <c r="V997" s="300"/>
      <c r="W997" s="300"/>
      <c r="X997" s="300"/>
      <c r="Y997" s="300"/>
      <c r="Z997" s="300"/>
      <c r="AA997" s="301"/>
    </row>
    <row r="998" spans="1:27">
      <c r="A998" s="319"/>
      <c r="B998" s="351"/>
      <c r="C998" s="300"/>
      <c r="D998" s="300"/>
      <c r="E998" s="300"/>
      <c r="F998" s="300"/>
      <c r="G998" s="300"/>
      <c r="H998" s="300"/>
      <c r="I998" s="300"/>
      <c r="J998" s="300"/>
      <c r="K998" s="300"/>
      <c r="L998" s="300"/>
      <c r="M998" s="300"/>
      <c r="N998" s="300"/>
      <c r="O998" s="300"/>
      <c r="P998" s="300"/>
      <c r="Q998" s="300"/>
      <c r="R998" s="300"/>
      <c r="S998" s="300"/>
      <c r="T998" s="300"/>
      <c r="U998" s="300"/>
      <c r="V998" s="300"/>
      <c r="W998" s="300"/>
      <c r="X998" s="300"/>
      <c r="Y998" s="300"/>
      <c r="Z998" s="300"/>
      <c r="AA998" s="301"/>
    </row>
    <row r="999" spans="1:27">
      <c r="A999" s="319"/>
      <c r="B999" s="351"/>
      <c r="C999" s="300"/>
      <c r="D999" s="300"/>
      <c r="E999" s="300"/>
      <c r="F999" s="300"/>
      <c r="G999" s="300"/>
      <c r="H999" s="300"/>
      <c r="I999" s="300"/>
      <c r="J999" s="300"/>
      <c r="K999" s="300"/>
      <c r="L999" s="300"/>
      <c r="M999" s="300"/>
      <c r="N999" s="300"/>
      <c r="O999" s="300"/>
      <c r="P999" s="300"/>
      <c r="Q999" s="300"/>
      <c r="R999" s="300"/>
      <c r="S999" s="300"/>
      <c r="T999" s="300"/>
      <c r="U999" s="300"/>
      <c r="V999" s="300"/>
      <c r="W999" s="300"/>
      <c r="X999" s="300"/>
      <c r="Y999" s="300"/>
      <c r="Z999" s="300"/>
      <c r="AA999" s="301"/>
    </row>
    <row r="1000" spans="1:27">
      <c r="A1000" s="319"/>
      <c r="B1000" s="351"/>
      <c r="C1000" s="300"/>
      <c r="D1000" s="300"/>
      <c r="E1000" s="300"/>
      <c r="F1000" s="300"/>
      <c r="G1000" s="300"/>
      <c r="H1000" s="300"/>
      <c r="I1000" s="300"/>
      <c r="J1000" s="300"/>
      <c r="K1000" s="300"/>
      <c r="L1000" s="300"/>
      <c r="M1000" s="300"/>
      <c r="N1000" s="300"/>
      <c r="O1000" s="300"/>
      <c r="P1000" s="300"/>
      <c r="Q1000" s="300"/>
      <c r="R1000" s="300"/>
      <c r="S1000" s="300"/>
      <c r="T1000" s="300"/>
      <c r="U1000" s="300"/>
      <c r="V1000" s="300"/>
      <c r="W1000" s="300"/>
      <c r="X1000" s="300"/>
      <c r="Y1000" s="300"/>
      <c r="Z1000" s="300"/>
      <c r="AA1000" s="301"/>
    </row>
    <row r="1001" spans="1:27">
      <c r="A1001" s="319"/>
      <c r="B1001" s="351"/>
      <c r="C1001" s="300"/>
      <c r="D1001" s="300"/>
      <c r="E1001" s="300"/>
      <c r="F1001" s="300"/>
      <c r="G1001" s="300"/>
      <c r="H1001" s="300"/>
      <c r="I1001" s="300"/>
      <c r="J1001" s="300"/>
      <c r="K1001" s="300"/>
      <c r="L1001" s="300"/>
      <c r="M1001" s="300"/>
      <c r="N1001" s="300"/>
      <c r="O1001" s="300"/>
      <c r="P1001" s="300"/>
      <c r="Q1001" s="300"/>
      <c r="R1001" s="300"/>
      <c r="S1001" s="300"/>
      <c r="T1001" s="300"/>
      <c r="U1001" s="300"/>
      <c r="V1001" s="300"/>
      <c r="W1001" s="300"/>
      <c r="X1001" s="300"/>
      <c r="Y1001" s="300"/>
      <c r="Z1001" s="300"/>
      <c r="AA1001" s="301"/>
    </row>
    <row r="1002" spans="1:27">
      <c r="A1002" s="319"/>
      <c r="B1002" s="351"/>
      <c r="C1002" s="300"/>
      <c r="D1002" s="300"/>
      <c r="E1002" s="300"/>
      <c r="F1002" s="300"/>
      <c r="G1002" s="300"/>
      <c r="H1002" s="300"/>
      <c r="I1002" s="300"/>
      <c r="J1002" s="300"/>
      <c r="K1002" s="300"/>
      <c r="L1002" s="300"/>
      <c r="M1002" s="300"/>
      <c r="N1002" s="300"/>
      <c r="O1002" s="300"/>
      <c r="P1002" s="300"/>
      <c r="Q1002" s="300"/>
      <c r="R1002" s="300"/>
      <c r="S1002" s="300"/>
      <c r="T1002" s="300"/>
      <c r="U1002" s="300"/>
      <c r="V1002" s="300"/>
      <c r="W1002" s="300"/>
      <c r="X1002" s="300"/>
      <c r="Y1002" s="300"/>
      <c r="Z1002" s="300"/>
      <c r="AA1002" s="301"/>
    </row>
    <row r="1003" spans="1:27">
      <c r="A1003" s="319"/>
      <c r="B1003" s="351"/>
      <c r="C1003" s="300"/>
      <c r="D1003" s="300"/>
      <c r="E1003" s="300"/>
      <c r="F1003" s="300"/>
      <c r="G1003" s="300"/>
      <c r="H1003" s="300"/>
      <c r="I1003" s="300"/>
      <c r="J1003" s="300"/>
      <c r="K1003" s="300"/>
      <c r="L1003" s="300"/>
      <c r="M1003" s="300"/>
      <c r="N1003" s="300"/>
      <c r="O1003" s="300"/>
      <c r="P1003" s="300"/>
      <c r="Q1003" s="300"/>
      <c r="R1003" s="300"/>
      <c r="S1003" s="300"/>
      <c r="T1003" s="300"/>
      <c r="U1003" s="300"/>
      <c r="V1003" s="300"/>
      <c r="W1003" s="300"/>
      <c r="X1003" s="300"/>
      <c r="Y1003" s="300"/>
      <c r="Z1003" s="300"/>
      <c r="AA1003" s="301"/>
    </row>
    <row r="1004" spans="1:27">
      <c r="A1004" s="319"/>
      <c r="B1004" s="351"/>
      <c r="C1004" s="300"/>
      <c r="D1004" s="300"/>
      <c r="E1004" s="300"/>
      <c r="F1004" s="300"/>
      <c r="G1004" s="300"/>
      <c r="H1004" s="300"/>
      <c r="I1004" s="300"/>
      <c r="J1004" s="300"/>
      <c r="K1004" s="300"/>
      <c r="L1004" s="300"/>
      <c r="M1004" s="300"/>
      <c r="N1004" s="300"/>
      <c r="O1004" s="300"/>
      <c r="P1004" s="300"/>
      <c r="Q1004" s="300"/>
      <c r="R1004" s="300"/>
      <c r="S1004" s="300"/>
      <c r="T1004" s="300"/>
      <c r="U1004" s="300"/>
      <c r="V1004" s="300"/>
      <c r="W1004" s="300"/>
      <c r="X1004" s="300"/>
      <c r="Y1004" s="300"/>
      <c r="Z1004" s="300"/>
      <c r="AA1004" s="301"/>
    </row>
    <row r="1005" spans="1:27">
      <c r="A1005" s="319"/>
      <c r="B1005" s="351"/>
      <c r="C1005" s="300"/>
      <c r="D1005" s="300"/>
      <c r="E1005" s="300"/>
      <c r="F1005" s="300"/>
      <c r="G1005" s="300"/>
      <c r="H1005" s="300"/>
      <c r="I1005" s="300"/>
      <c r="J1005" s="300"/>
      <c r="K1005" s="300"/>
      <c r="L1005" s="300"/>
      <c r="M1005" s="300"/>
      <c r="N1005" s="300"/>
      <c r="O1005" s="300"/>
      <c r="P1005" s="300"/>
      <c r="Q1005" s="300"/>
      <c r="R1005" s="300"/>
      <c r="S1005" s="300"/>
      <c r="T1005" s="300"/>
      <c r="U1005" s="300"/>
      <c r="V1005" s="300"/>
      <c r="W1005" s="300"/>
      <c r="X1005" s="300"/>
      <c r="Y1005" s="300"/>
      <c r="Z1005" s="300"/>
      <c r="AA1005" s="301"/>
    </row>
    <row r="1006" spans="1:27">
      <c r="A1006" s="319"/>
      <c r="B1006" s="351"/>
      <c r="C1006" s="300"/>
      <c r="D1006" s="300"/>
      <c r="E1006" s="300"/>
      <c r="F1006" s="300"/>
      <c r="G1006" s="300"/>
      <c r="H1006" s="300"/>
      <c r="I1006" s="300"/>
      <c r="J1006" s="300"/>
      <c r="K1006" s="300"/>
      <c r="L1006" s="300"/>
      <c r="M1006" s="300"/>
      <c r="N1006" s="300"/>
      <c r="O1006" s="300"/>
      <c r="P1006" s="300"/>
      <c r="Q1006" s="300"/>
      <c r="R1006" s="300"/>
      <c r="S1006" s="300"/>
      <c r="T1006" s="300"/>
      <c r="U1006" s="300"/>
      <c r="V1006" s="300"/>
      <c r="W1006" s="300"/>
      <c r="X1006" s="300"/>
      <c r="Y1006" s="300"/>
      <c r="Z1006" s="300"/>
      <c r="AA1006" s="301"/>
    </row>
    <row r="1007" spans="1:27">
      <c r="A1007" s="319"/>
      <c r="B1007" s="351"/>
      <c r="C1007" s="300"/>
      <c r="D1007" s="300"/>
      <c r="E1007" s="300"/>
      <c r="F1007" s="300"/>
      <c r="G1007" s="300"/>
      <c r="H1007" s="300"/>
      <c r="I1007" s="300"/>
      <c r="J1007" s="300"/>
      <c r="K1007" s="300"/>
      <c r="L1007" s="300"/>
      <c r="M1007" s="300"/>
      <c r="N1007" s="300"/>
      <c r="O1007" s="300"/>
      <c r="P1007" s="300"/>
      <c r="Q1007" s="300"/>
      <c r="R1007" s="300"/>
      <c r="S1007" s="300"/>
      <c r="T1007" s="300"/>
      <c r="U1007" s="300"/>
      <c r="V1007" s="300"/>
      <c r="W1007" s="300"/>
      <c r="X1007" s="300"/>
      <c r="Y1007" s="300"/>
      <c r="Z1007" s="300"/>
      <c r="AA1007" s="301"/>
    </row>
    <row r="1008" spans="1:27">
      <c r="A1008" s="319"/>
      <c r="B1008" s="351"/>
      <c r="C1008" s="300"/>
      <c r="D1008" s="300"/>
      <c r="E1008" s="300"/>
      <c r="F1008" s="300"/>
      <c r="G1008" s="300"/>
      <c r="H1008" s="300"/>
      <c r="I1008" s="300"/>
      <c r="J1008" s="300"/>
      <c r="K1008" s="300"/>
      <c r="L1008" s="300"/>
      <c r="M1008" s="300"/>
      <c r="N1008" s="300"/>
      <c r="O1008" s="300"/>
      <c r="P1008" s="300"/>
      <c r="Q1008" s="300"/>
      <c r="R1008" s="300"/>
      <c r="S1008" s="300"/>
      <c r="T1008" s="300"/>
      <c r="U1008" s="300"/>
      <c r="V1008" s="300"/>
      <c r="W1008" s="300"/>
      <c r="X1008" s="300"/>
      <c r="Y1008" s="300"/>
      <c r="Z1008" s="300"/>
      <c r="AA1008" s="301"/>
    </row>
    <row r="1009" spans="1:27">
      <c r="A1009" s="312"/>
      <c r="B1009" s="347"/>
      <c r="C1009" s="313"/>
      <c r="D1009" s="313"/>
      <c r="E1009" s="313"/>
      <c r="F1009" s="313"/>
      <c r="G1009" s="313"/>
      <c r="H1009" s="313"/>
      <c r="I1009" s="313"/>
      <c r="J1009" s="313"/>
      <c r="K1009" s="313"/>
      <c r="L1009" s="313"/>
      <c r="M1009" s="313"/>
      <c r="N1009" s="313"/>
      <c r="O1009" s="313"/>
      <c r="P1009" s="313"/>
      <c r="Q1009" s="313"/>
      <c r="R1009" s="313"/>
      <c r="S1009" s="313"/>
      <c r="T1009" s="313"/>
      <c r="U1009" s="313"/>
      <c r="V1009" s="313"/>
      <c r="W1009" s="313"/>
      <c r="X1009" s="313"/>
      <c r="Y1009" s="313"/>
      <c r="Z1009" s="313"/>
      <c r="AA1009" s="311"/>
    </row>
  </sheetData>
  <mergeCells count="18">
    <mergeCell ref="A44:C45"/>
    <mergeCell ref="A40:C41"/>
    <mergeCell ref="A42:C43"/>
    <mergeCell ref="E1:S1"/>
    <mergeCell ref="E2:S2"/>
    <mergeCell ref="E3:S3"/>
    <mergeCell ref="E4:S4"/>
    <mergeCell ref="E5:S5"/>
    <mergeCell ref="B62:P62"/>
    <mergeCell ref="B63:P63"/>
    <mergeCell ref="B64:F64"/>
    <mergeCell ref="G64:P64"/>
    <mergeCell ref="B49:S58"/>
    <mergeCell ref="B66:B68"/>
    <mergeCell ref="C66:C68"/>
    <mergeCell ref="D66:D68"/>
    <mergeCell ref="B70:P70"/>
    <mergeCell ref="C71:F7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59999389629810485"/>
  </sheetPr>
  <dimension ref="A1:T88"/>
  <sheetViews>
    <sheetView workbookViewId="0">
      <pane xSplit="2" ySplit="6" topLeftCell="C10" activePane="bottomRight" state="frozen"/>
      <selection pane="bottomRight" activeCell="D13" sqref="D13"/>
      <selection pane="bottomLeft" activeCell="A7" sqref="A7"/>
      <selection pane="topRight" activeCell="C1" sqref="C1"/>
    </sheetView>
  </sheetViews>
  <sheetFormatPr defaultColWidth="14.42578125" defaultRowHeight="15" customHeight="1"/>
  <cols>
    <col min="1" max="1" width="9.140625" customWidth="1"/>
    <col min="2" max="2" width="20.42578125" customWidth="1"/>
    <col min="3" max="3" width="9.140625" customWidth="1"/>
    <col min="4" max="5" width="24.28515625" customWidth="1"/>
    <col min="6" max="6" width="10.140625" customWidth="1"/>
    <col min="7" max="8" width="9.140625" customWidth="1"/>
    <col min="9" max="9" width="10.140625" customWidth="1"/>
    <col min="10" max="10" width="12" customWidth="1"/>
    <col min="11" max="11" width="11.140625" customWidth="1"/>
    <col min="12" max="12" width="9.140625" customWidth="1"/>
    <col min="13" max="13" width="10.140625" customWidth="1"/>
    <col min="14" max="14" width="11.140625" customWidth="1"/>
    <col min="15" max="15" width="9.140625" customWidth="1"/>
    <col min="16" max="16" width="10.85546875" customWidth="1"/>
    <col min="17" max="17" width="10.7109375" customWidth="1"/>
    <col min="18" max="18" width="18.7109375" customWidth="1"/>
    <col min="19" max="19" width="9.140625" customWidth="1"/>
    <col min="20" max="20" width="7.28515625" hidden="1" customWidth="1"/>
    <col min="21" max="27" width="8.7109375" customWidth="1"/>
  </cols>
  <sheetData>
    <row r="1" spans="1:20">
      <c r="A1" s="60"/>
      <c r="B1" s="168"/>
      <c r="C1" s="892" t="s">
        <v>40</v>
      </c>
      <c r="D1" s="1160"/>
      <c r="E1" s="1160"/>
      <c r="F1" s="1160"/>
      <c r="G1" s="1160"/>
      <c r="H1" s="1160"/>
      <c r="I1" s="1160"/>
      <c r="J1" s="1160"/>
      <c r="K1" s="1160"/>
      <c r="L1" s="1160"/>
      <c r="M1" s="1160"/>
      <c r="N1" s="1160"/>
      <c r="O1" s="1160"/>
      <c r="P1" s="1160"/>
      <c r="Q1" s="1160"/>
      <c r="R1" s="1160"/>
      <c r="S1" s="1160"/>
    </row>
    <row r="2" spans="1:20">
      <c r="A2" s="138"/>
      <c r="B2" s="93"/>
      <c r="C2" s="907" t="s">
        <v>41</v>
      </c>
      <c r="D2" s="1158"/>
      <c r="E2" s="1158"/>
      <c r="F2" s="1158"/>
      <c r="G2" s="1158"/>
      <c r="H2" s="1158"/>
      <c r="I2" s="1158"/>
      <c r="J2" s="1158"/>
      <c r="K2" s="1158"/>
      <c r="L2" s="1158"/>
      <c r="M2" s="1158"/>
      <c r="N2" s="1158"/>
      <c r="O2" s="1158"/>
      <c r="P2" s="1158"/>
      <c r="Q2" s="1158"/>
      <c r="R2" s="1158"/>
      <c r="S2" s="1183"/>
    </row>
    <row r="3" spans="1:20">
      <c r="A3" s="139"/>
      <c r="B3" s="86"/>
      <c r="C3" s="869" t="s">
        <v>42</v>
      </c>
      <c r="D3" s="1159"/>
      <c r="E3" s="1159"/>
      <c r="F3" s="1159"/>
      <c r="G3" s="1159"/>
      <c r="H3" s="1159"/>
      <c r="I3" s="1159"/>
      <c r="J3" s="1159"/>
      <c r="K3" s="1159"/>
      <c r="L3" s="1159"/>
      <c r="M3" s="1159"/>
      <c r="N3" s="1159"/>
      <c r="O3" s="1159"/>
      <c r="P3" s="1159"/>
      <c r="Q3" s="1159"/>
      <c r="R3" s="1159"/>
      <c r="S3" s="1159"/>
    </row>
    <row r="4" spans="1:20">
      <c r="A4" s="140"/>
      <c r="B4" s="141"/>
      <c r="C4" s="870" t="s">
        <v>1415</v>
      </c>
      <c r="D4" s="1160"/>
      <c r="E4" s="1160"/>
      <c r="F4" s="1160"/>
      <c r="G4" s="1160"/>
      <c r="H4" s="1160"/>
      <c r="I4" s="1160"/>
      <c r="J4" s="1160"/>
      <c r="K4" s="1160"/>
      <c r="L4" s="1160"/>
      <c r="M4" s="1160"/>
      <c r="N4" s="1160"/>
      <c r="O4" s="1160"/>
      <c r="P4" s="1160"/>
      <c r="Q4" s="1160"/>
      <c r="R4" s="1160"/>
      <c r="S4" s="1160"/>
    </row>
    <row r="5" spans="1:20">
      <c r="A5" s="2"/>
      <c r="B5" s="142"/>
      <c r="C5" s="871" t="s">
        <v>1356</v>
      </c>
      <c r="D5" s="1159"/>
      <c r="E5" s="1159"/>
      <c r="F5" s="1159"/>
      <c r="G5" s="1159"/>
      <c r="H5" s="1159"/>
      <c r="I5" s="1159"/>
      <c r="J5" s="1159"/>
      <c r="K5" s="1159"/>
      <c r="L5" s="1159"/>
      <c r="M5" s="1159"/>
      <c r="N5" s="1159"/>
      <c r="O5" s="1159"/>
      <c r="P5" s="1159"/>
      <c r="Q5" s="1159"/>
      <c r="R5" s="1159"/>
      <c r="S5" s="1159"/>
    </row>
    <row r="6" spans="1:20">
      <c r="A6" s="113" t="s">
        <v>45</v>
      </c>
      <c r="B6" s="4" t="s">
        <v>46</v>
      </c>
      <c r="C6" s="4" t="s">
        <v>47</v>
      </c>
      <c r="D6" s="4" t="s">
        <v>48</v>
      </c>
      <c r="E6" s="4" t="s">
        <v>49</v>
      </c>
      <c r="F6" s="4" t="s">
        <v>352</v>
      </c>
      <c r="G6" s="4" t="s">
        <v>51</v>
      </c>
      <c r="H6" s="4" t="s">
        <v>52</v>
      </c>
      <c r="I6" s="4" t="s">
        <v>53</v>
      </c>
      <c r="J6" s="4" t="s">
        <v>54</v>
      </c>
      <c r="K6" s="4" t="s">
        <v>55</v>
      </c>
      <c r="L6" s="4" t="s">
        <v>56</v>
      </c>
      <c r="M6" s="4" t="s">
        <v>1006</v>
      </c>
      <c r="N6" s="4" t="s">
        <v>58</v>
      </c>
      <c r="O6" s="4" t="s">
        <v>59</v>
      </c>
      <c r="P6" s="4" t="s">
        <v>60</v>
      </c>
      <c r="Q6" s="4" t="s">
        <v>61</v>
      </c>
      <c r="R6" s="170" t="s">
        <v>62</v>
      </c>
      <c r="S6" s="179" t="s">
        <v>63</v>
      </c>
      <c r="T6" s="253" t="s">
        <v>64</v>
      </c>
    </row>
    <row r="7" spans="1:20">
      <c r="A7" s="39" t="s">
        <v>65</v>
      </c>
      <c r="B7" s="149" t="s">
        <v>66</v>
      </c>
      <c r="C7" s="15">
        <v>1</v>
      </c>
      <c r="D7" s="95" t="s">
        <v>1416</v>
      </c>
      <c r="E7" s="183" t="s">
        <v>1417</v>
      </c>
      <c r="F7" s="162">
        <v>6.8</v>
      </c>
      <c r="G7" s="162">
        <v>4.07</v>
      </c>
      <c r="H7" s="162">
        <v>4.71</v>
      </c>
      <c r="I7" s="162">
        <v>4.8099999999999996</v>
      </c>
      <c r="J7" s="162">
        <v>5.29</v>
      </c>
      <c r="K7" s="162">
        <v>6.53</v>
      </c>
      <c r="L7" s="162">
        <v>6.27</v>
      </c>
      <c r="M7" s="162">
        <v>6.05</v>
      </c>
      <c r="N7" s="162">
        <v>6.85</v>
      </c>
      <c r="O7" s="162">
        <v>6.35</v>
      </c>
      <c r="P7" s="162">
        <v>6.38</v>
      </c>
      <c r="Q7" s="162">
        <v>6.23</v>
      </c>
      <c r="R7" s="48">
        <f t="shared" ref="R7:R26" si="0">IFERROR(AVERAGE(F7:Q7), 0)</f>
        <v>5.8616666666666672</v>
      </c>
      <c r="S7" s="8">
        <v>6</v>
      </c>
      <c r="T7" s="242" t="s">
        <v>1418</v>
      </c>
    </row>
    <row r="8" spans="1:20">
      <c r="A8" s="9"/>
      <c r="B8" s="10" t="s">
        <v>66</v>
      </c>
      <c r="C8" s="11">
        <v>2</v>
      </c>
      <c r="D8" s="185" t="s">
        <v>1419</v>
      </c>
      <c r="E8" s="185" t="s">
        <v>1417</v>
      </c>
      <c r="F8" s="205">
        <v>6.9</v>
      </c>
      <c r="G8" s="205">
        <v>5.03</v>
      </c>
      <c r="H8" s="205">
        <v>5.07</v>
      </c>
      <c r="I8" s="205">
        <v>4.62</v>
      </c>
      <c r="J8" s="205">
        <v>5.18</v>
      </c>
      <c r="K8" s="205">
        <v>6.75</v>
      </c>
      <c r="L8" s="205">
        <v>6.3</v>
      </c>
      <c r="M8" s="205">
        <v>5.66</v>
      </c>
      <c r="N8" s="205">
        <v>7.01</v>
      </c>
      <c r="O8" s="205">
        <v>6.29</v>
      </c>
      <c r="P8" s="205">
        <v>6.15</v>
      </c>
      <c r="Q8" s="205">
        <v>6.2</v>
      </c>
      <c r="R8" s="35">
        <f t="shared" si="0"/>
        <v>5.93</v>
      </c>
      <c r="S8" s="14">
        <v>6</v>
      </c>
      <c r="T8" s="242" t="s">
        <v>1420</v>
      </c>
    </row>
    <row r="9" spans="1:20">
      <c r="A9" s="9"/>
      <c r="B9" s="10" t="s">
        <v>66</v>
      </c>
      <c r="C9" s="11">
        <v>3</v>
      </c>
      <c r="D9" s="185" t="s">
        <v>1421</v>
      </c>
      <c r="E9" s="185" t="s">
        <v>1422</v>
      </c>
      <c r="F9" s="12">
        <v>7.2</v>
      </c>
      <c r="G9" s="12">
        <v>5.01</v>
      </c>
      <c r="H9" s="12">
        <v>5.01</v>
      </c>
      <c r="I9" s="12">
        <v>4.6100000000000003</v>
      </c>
      <c r="J9" s="12">
        <v>4.9800000000000004</v>
      </c>
      <c r="K9" s="12">
        <v>6.65</v>
      </c>
      <c r="L9" s="12">
        <v>6.24</v>
      </c>
      <c r="M9" s="12">
        <v>5.56</v>
      </c>
      <c r="N9" s="12">
        <v>7.25</v>
      </c>
      <c r="O9" s="12">
        <v>6.18</v>
      </c>
      <c r="P9" s="12">
        <v>5.93</v>
      </c>
      <c r="Q9" s="12">
        <v>6.28</v>
      </c>
      <c r="R9" s="35">
        <f t="shared" si="0"/>
        <v>5.9083333333333341</v>
      </c>
      <c r="S9" s="14">
        <v>6</v>
      </c>
      <c r="T9" s="242" t="s">
        <v>1423</v>
      </c>
    </row>
    <row r="10" spans="1:20" ht="27" customHeight="1">
      <c r="A10" s="9"/>
      <c r="B10" s="149"/>
      <c r="C10" s="11">
        <v>4</v>
      </c>
      <c r="D10" s="208" t="s">
        <v>1424</v>
      </c>
      <c r="E10" s="297" t="s">
        <v>1422</v>
      </c>
      <c r="F10" s="119">
        <v>8</v>
      </c>
      <c r="G10" s="119">
        <v>5.03</v>
      </c>
      <c r="H10" s="119">
        <v>4.59</v>
      </c>
      <c r="I10" s="119">
        <v>4.7300000000000004</v>
      </c>
      <c r="J10" s="119">
        <v>5.03</v>
      </c>
      <c r="K10" s="119">
        <v>6.71</v>
      </c>
      <c r="L10" s="119">
        <v>6.21</v>
      </c>
      <c r="M10" s="119">
        <v>5.73</v>
      </c>
      <c r="N10" s="119">
        <v>7.53</v>
      </c>
      <c r="O10" s="119">
        <v>6.23</v>
      </c>
      <c r="P10" s="119">
        <v>6.02</v>
      </c>
      <c r="Q10" s="119">
        <v>6.25</v>
      </c>
      <c r="R10" s="35">
        <f t="shared" si="0"/>
        <v>6.0049999999999999</v>
      </c>
      <c r="S10" s="14">
        <v>6</v>
      </c>
      <c r="T10" s="242" t="s">
        <v>1425</v>
      </c>
    </row>
    <row r="11" spans="1:20">
      <c r="A11" s="9"/>
      <c r="B11" s="149" t="s">
        <v>92</v>
      </c>
      <c r="C11" s="15">
        <v>1</v>
      </c>
      <c r="D11" s="95" t="s">
        <v>1416</v>
      </c>
      <c r="E11" s="183" t="s">
        <v>1417</v>
      </c>
      <c r="F11" s="162">
        <v>13</v>
      </c>
      <c r="G11" s="162">
        <v>8</v>
      </c>
      <c r="H11" s="162">
        <v>8</v>
      </c>
      <c r="I11" s="162">
        <v>32</v>
      </c>
      <c r="J11" s="162">
        <v>49</v>
      </c>
      <c r="K11" s="162">
        <v>42</v>
      </c>
      <c r="L11" s="162">
        <v>45</v>
      </c>
      <c r="M11" s="162">
        <v>32</v>
      </c>
      <c r="N11" s="162">
        <v>25</v>
      </c>
      <c r="O11" s="162">
        <v>18</v>
      </c>
      <c r="P11" s="162">
        <v>26</v>
      </c>
      <c r="Q11" s="162">
        <v>63</v>
      </c>
      <c r="R11" s="48">
        <f t="shared" si="0"/>
        <v>30.083333333333332</v>
      </c>
      <c r="S11" s="8">
        <v>50</v>
      </c>
      <c r="T11" s="242" t="s">
        <v>1418</v>
      </c>
    </row>
    <row r="12" spans="1:20">
      <c r="A12" s="9"/>
      <c r="B12" s="10" t="s">
        <v>92</v>
      </c>
      <c r="C12" s="11">
        <v>2</v>
      </c>
      <c r="D12" s="185" t="s">
        <v>1419</v>
      </c>
      <c r="E12" s="185" t="s">
        <v>1417</v>
      </c>
      <c r="F12" s="205">
        <v>16</v>
      </c>
      <c r="G12" s="205">
        <v>11</v>
      </c>
      <c r="H12" s="205">
        <v>18</v>
      </c>
      <c r="I12" s="205">
        <v>44</v>
      </c>
      <c r="J12" s="205">
        <v>60</v>
      </c>
      <c r="K12" s="205">
        <v>72</v>
      </c>
      <c r="L12" s="205">
        <v>17</v>
      </c>
      <c r="M12" s="205">
        <v>30</v>
      </c>
      <c r="N12" s="205">
        <v>34</v>
      </c>
      <c r="O12" s="205">
        <v>22</v>
      </c>
      <c r="P12" s="205">
        <v>19</v>
      </c>
      <c r="Q12" s="205">
        <v>79</v>
      </c>
      <c r="R12" s="35">
        <f t="shared" si="0"/>
        <v>35.166666666666664</v>
      </c>
      <c r="S12" s="14">
        <v>50</v>
      </c>
      <c r="T12" s="242" t="s">
        <v>1420</v>
      </c>
    </row>
    <row r="13" spans="1:20">
      <c r="A13" s="9"/>
      <c r="B13" s="10"/>
      <c r="C13" s="11">
        <v>3</v>
      </c>
      <c r="D13" s="185" t="s">
        <v>1421</v>
      </c>
      <c r="E13" s="185" t="s">
        <v>1422</v>
      </c>
      <c r="F13" s="12">
        <v>21</v>
      </c>
      <c r="G13" s="12">
        <v>7</v>
      </c>
      <c r="H13" s="12">
        <v>10</v>
      </c>
      <c r="I13" s="12">
        <v>23</v>
      </c>
      <c r="J13" s="12">
        <v>60</v>
      </c>
      <c r="K13" s="12">
        <v>58</v>
      </c>
      <c r="L13" s="12">
        <v>15</v>
      </c>
      <c r="M13" s="12">
        <v>50</v>
      </c>
      <c r="N13" s="12">
        <v>13</v>
      </c>
      <c r="O13" s="12">
        <v>23</v>
      </c>
      <c r="P13" s="12">
        <v>22</v>
      </c>
      <c r="Q13" s="12">
        <v>51</v>
      </c>
      <c r="R13" s="35">
        <f t="shared" si="0"/>
        <v>29.416666666666668</v>
      </c>
      <c r="S13" s="14">
        <v>50</v>
      </c>
      <c r="T13" s="242" t="s">
        <v>1423</v>
      </c>
    </row>
    <row r="14" spans="1:20" ht="30">
      <c r="A14" s="9"/>
      <c r="B14" s="10" t="s">
        <v>92</v>
      </c>
      <c r="C14" s="11">
        <v>4</v>
      </c>
      <c r="D14" s="208" t="s">
        <v>1424</v>
      </c>
      <c r="E14" s="297" t="s">
        <v>1422</v>
      </c>
      <c r="F14" s="119">
        <v>14</v>
      </c>
      <c r="G14" s="12">
        <v>11</v>
      </c>
      <c r="H14" s="12">
        <v>16</v>
      </c>
      <c r="I14" s="12">
        <v>31</v>
      </c>
      <c r="J14" s="12">
        <v>50</v>
      </c>
      <c r="K14" s="12">
        <v>61</v>
      </c>
      <c r="L14" s="12">
        <v>15</v>
      </c>
      <c r="M14" s="12">
        <v>50</v>
      </c>
      <c r="N14" s="12">
        <v>21</v>
      </c>
      <c r="O14" s="12">
        <v>19</v>
      </c>
      <c r="P14" s="12">
        <v>37</v>
      </c>
      <c r="Q14" s="12">
        <v>60</v>
      </c>
      <c r="R14" s="35">
        <f t="shared" si="0"/>
        <v>32.083333333333336</v>
      </c>
      <c r="S14" s="14">
        <v>50</v>
      </c>
      <c r="T14" s="242" t="s">
        <v>1425</v>
      </c>
    </row>
    <row r="15" spans="1:20">
      <c r="A15" s="9"/>
      <c r="B15" s="149" t="s">
        <v>7</v>
      </c>
      <c r="C15" s="15">
        <v>1</v>
      </c>
      <c r="D15" s="95" t="s">
        <v>1416</v>
      </c>
      <c r="E15" s="183" t="s">
        <v>1417</v>
      </c>
      <c r="F15" s="162">
        <v>7.1</v>
      </c>
      <c r="G15" s="162">
        <v>7.36</v>
      </c>
      <c r="H15" s="162">
        <v>7.18</v>
      </c>
      <c r="I15" s="162">
        <v>7.15</v>
      </c>
      <c r="J15" s="162">
        <v>7.25</v>
      </c>
      <c r="K15" s="162">
        <v>7.19</v>
      </c>
      <c r="L15" s="162">
        <v>7.15</v>
      </c>
      <c r="M15" s="162">
        <v>8.16</v>
      </c>
      <c r="N15" s="162">
        <v>7.56</v>
      </c>
      <c r="O15" s="162">
        <v>7.53</v>
      </c>
      <c r="P15" s="162">
        <v>7.83</v>
      </c>
      <c r="Q15" s="162">
        <v>7.81</v>
      </c>
      <c r="R15" s="48">
        <f t="shared" si="0"/>
        <v>7.439166666666666</v>
      </c>
      <c r="S15" s="114" t="s">
        <v>908</v>
      </c>
      <c r="T15" s="242" t="s">
        <v>1418</v>
      </c>
    </row>
    <row r="16" spans="1:20">
      <c r="A16" s="9"/>
      <c r="B16" s="10" t="s">
        <v>7</v>
      </c>
      <c r="C16" s="11">
        <v>2</v>
      </c>
      <c r="D16" s="185" t="s">
        <v>1419</v>
      </c>
      <c r="E16" s="185" t="s">
        <v>1417</v>
      </c>
      <c r="F16" s="205">
        <v>7</v>
      </c>
      <c r="G16" s="205">
        <v>7.34</v>
      </c>
      <c r="H16" s="205">
        <v>7.21</v>
      </c>
      <c r="I16" s="205">
        <v>7.18</v>
      </c>
      <c r="J16" s="205">
        <v>7.18</v>
      </c>
      <c r="K16" s="205">
        <v>7.16</v>
      </c>
      <c r="L16" s="205">
        <v>7.13</v>
      </c>
      <c r="M16" s="205">
        <v>8.99</v>
      </c>
      <c r="N16" s="205">
        <v>7.89</v>
      </c>
      <c r="O16" s="205">
        <v>7.6</v>
      </c>
      <c r="P16" s="205">
        <v>7.79</v>
      </c>
      <c r="Q16" s="205">
        <v>7.8</v>
      </c>
      <c r="R16" s="35">
        <f t="shared" si="0"/>
        <v>7.5225</v>
      </c>
      <c r="S16" s="115" t="s">
        <v>908</v>
      </c>
      <c r="T16" s="242" t="s">
        <v>1420</v>
      </c>
    </row>
    <row r="17" spans="1:20">
      <c r="A17" s="9"/>
      <c r="B17" s="10"/>
      <c r="C17" s="11">
        <v>3</v>
      </c>
      <c r="D17" s="185" t="s">
        <v>1421</v>
      </c>
      <c r="E17" s="185" t="s">
        <v>1422</v>
      </c>
      <c r="F17" s="12">
        <v>7</v>
      </c>
      <c r="G17" s="12">
        <v>7.28</v>
      </c>
      <c r="H17" s="12">
        <v>7.19</v>
      </c>
      <c r="I17" s="12">
        <v>7.16</v>
      </c>
      <c r="J17" s="12">
        <v>7.2</v>
      </c>
      <c r="K17" s="12">
        <v>7.2</v>
      </c>
      <c r="L17" s="12">
        <v>7.1</v>
      </c>
      <c r="M17" s="12">
        <v>9.0399999999999991</v>
      </c>
      <c r="N17" s="12">
        <v>7.93</v>
      </c>
      <c r="O17" s="12">
        <v>7.58</v>
      </c>
      <c r="P17" s="12">
        <v>7.39</v>
      </c>
      <c r="Q17" s="12">
        <v>7.79</v>
      </c>
      <c r="R17" s="35">
        <f t="shared" si="0"/>
        <v>7.4883333333333342</v>
      </c>
      <c r="S17" s="115" t="s">
        <v>908</v>
      </c>
      <c r="T17" s="242" t="s">
        <v>1423</v>
      </c>
    </row>
    <row r="18" spans="1:20" ht="30">
      <c r="A18" s="9"/>
      <c r="B18" s="10" t="s">
        <v>7</v>
      </c>
      <c r="C18" s="11">
        <v>4</v>
      </c>
      <c r="D18" s="208" t="s">
        <v>1424</v>
      </c>
      <c r="E18" s="297" t="s">
        <v>1422</v>
      </c>
      <c r="F18" s="119">
        <v>7.2</v>
      </c>
      <c r="G18" s="12">
        <v>7.37</v>
      </c>
      <c r="H18" s="12">
        <v>7.18</v>
      </c>
      <c r="I18" s="12">
        <v>7.18</v>
      </c>
      <c r="J18" s="12">
        <v>7.22</v>
      </c>
      <c r="K18" s="12">
        <v>7.16</v>
      </c>
      <c r="L18" s="12">
        <v>7.13</v>
      </c>
      <c r="M18" s="12">
        <v>9.14</v>
      </c>
      <c r="N18" s="12">
        <v>7.93</v>
      </c>
      <c r="O18" s="12">
        <v>7.59</v>
      </c>
      <c r="P18" s="12">
        <v>7.41</v>
      </c>
      <c r="Q18" s="12">
        <v>7.83</v>
      </c>
      <c r="R18" s="35">
        <f t="shared" si="0"/>
        <v>7.5283333333333333</v>
      </c>
      <c r="S18" s="115" t="s">
        <v>908</v>
      </c>
      <c r="T18" s="242" t="s">
        <v>1425</v>
      </c>
    </row>
    <row r="19" spans="1:20">
      <c r="A19" s="9"/>
      <c r="B19" s="149" t="s">
        <v>108</v>
      </c>
      <c r="C19" s="15">
        <v>1</v>
      </c>
      <c r="D19" s="95" t="s">
        <v>1416</v>
      </c>
      <c r="E19" s="183" t="s">
        <v>1417</v>
      </c>
      <c r="F19" s="162">
        <v>26.5</v>
      </c>
      <c r="G19" s="162">
        <v>29.1</v>
      </c>
      <c r="H19" s="162">
        <v>31</v>
      </c>
      <c r="I19" s="162">
        <v>31.3</v>
      </c>
      <c r="J19" s="162">
        <v>30.2</v>
      </c>
      <c r="K19" s="162">
        <v>29.4</v>
      </c>
      <c r="L19" s="162">
        <v>36.700000000000003</v>
      </c>
      <c r="M19" s="162">
        <v>31.2</v>
      </c>
      <c r="N19" s="162">
        <v>27</v>
      </c>
      <c r="O19" s="162">
        <v>26.5</v>
      </c>
      <c r="P19" s="162">
        <v>27.3</v>
      </c>
      <c r="Q19" s="162">
        <v>29</v>
      </c>
      <c r="R19" s="48">
        <f t="shared" si="0"/>
        <v>29.599999999999998</v>
      </c>
      <c r="S19" s="17" t="s">
        <v>777</v>
      </c>
      <c r="T19" s="242" t="s">
        <v>1418</v>
      </c>
    </row>
    <row r="20" spans="1:20">
      <c r="A20" s="9"/>
      <c r="B20" s="10" t="s">
        <v>108</v>
      </c>
      <c r="C20" s="11">
        <v>2</v>
      </c>
      <c r="D20" s="185" t="s">
        <v>1419</v>
      </c>
      <c r="E20" s="185" t="s">
        <v>1417</v>
      </c>
      <c r="F20" s="205">
        <v>26.6</v>
      </c>
      <c r="G20" s="205">
        <v>29.3</v>
      </c>
      <c r="H20" s="205">
        <v>31.2</v>
      </c>
      <c r="I20" s="205">
        <v>31.3</v>
      </c>
      <c r="J20" s="205">
        <v>30.5</v>
      </c>
      <c r="K20" s="205">
        <v>29.6</v>
      </c>
      <c r="L20" s="205">
        <v>36.4</v>
      </c>
      <c r="M20" s="205">
        <v>30.8</v>
      </c>
      <c r="N20" s="205">
        <v>27.8</v>
      </c>
      <c r="O20" s="205">
        <v>26.4</v>
      </c>
      <c r="P20" s="205">
        <v>27.3</v>
      </c>
      <c r="Q20" s="205">
        <v>28.6</v>
      </c>
      <c r="R20" s="35">
        <f t="shared" si="0"/>
        <v>29.650000000000002</v>
      </c>
      <c r="S20" s="18" t="s">
        <v>777</v>
      </c>
      <c r="T20" s="242" t="s">
        <v>1420</v>
      </c>
    </row>
    <row r="21" spans="1:20">
      <c r="A21" s="9"/>
      <c r="B21" s="10" t="s">
        <v>108</v>
      </c>
      <c r="C21" s="11">
        <v>3</v>
      </c>
      <c r="D21" s="185" t="s">
        <v>1421</v>
      </c>
      <c r="E21" s="185" t="s">
        <v>1422</v>
      </c>
      <c r="F21" s="12">
        <v>27</v>
      </c>
      <c r="G21" s="12">
        <v>28.9</v>
      </c>
      <c r="H21" s="12">
        <v>31.2</v>
      </c>
      <c r="I21" s="12">
        <v>31.4</v>
      </c>
      <c r="J21" s="12">
        <v>30.1</v>
      </c>
      <c r="K21" s="12">
        <v>29.9</v>
      </c>
      <c r="L21" s="12">
        <v>36.6</v>
      </c>
      <c r="M21" s="12">
        <v>30.8</v>
      </c>
      <c r="N21" s="12">
        <v>28.1</v>
      </c>
      <c r="O21" s="12">
        <v>26.5</v>
      </c>
      <c r="P21" s="12">
        <v>27.8</v>
      </c>
      <c r="Q21" s="12">
        <v>28.1</v>
      </c>
      <c r="R21" s="35">
        <f t="shared" si="0"/>
        <v>29.700000000000003</v>
      </c>
      <c r="S21" s="18" t="s">
        <v>777</v>
      </c>
      <c r="T21" s="242" t="s">
        <v>1423</v>
      </c>
    </row>
    <row r="22" spans="1:20" ht="30">
      <c r="A22" s="9"/>
      <c r="B22" s="10" t="s">
        <v>108</v>
      </c>
      <c r="C22" s="11">
        <v>4</v>
      </c>
      <c r="D22" s="208" t="s">
        <v>1424</v>
      </c>
      <c r="E22" s="297" t="s">
        <v>1422</v>
      </c>
      <c r="F22" s="119">
        <v>27</v>
      </c>
      <c r="G22" s="12">
        <v>29.1</v>
      </c>
      <c r="H22" s="12">
        <v>31</v>
      </c>
      <c r="I22" s="12">
        <v>31.4</v>
      </c>
      <c r="J22" s="12">
        <v>30.3</v>
      </c>
      <c r="K22" s="12">
        <v>29.9</v>
      </c>
      <c r="L22" s="12">
        <v>36.5</v>
      </c>
      <c r="M22" s="12">
        <v>29.8</v>
      </c>
      <c r="N22" s="12">
        <v>28.1</v>
      </c>
      <c r="O22" s="12">
        <v>26.5</v>
      </c>
      <c r="P22" s="12">
        <v>26.6</v>
      </c>
      <c r="Q22" s="12">
        <v>28.3</v>
      </c>
      <c r="R22" s="35">
        <f t="shared" si="0"/>
        <v>29.541666666666671</v>
      </c>
      <c r="S22" s="18" t="s">
        <v>777</v>
      </c>
      <c r="T22" s="242" t="s">
        <v>1425</v>
      </c>
    </row>
    <row r="23" spans="1:20">
      <c r="A23" s="9"/>
      <c r="B23" s="149" t="s">
        <v>110</v>
      </c>
      <c r="C23" s="15">
        <v>1</v>
      </c>
      <c r="D23" s="95" t="s">
        <v>1416</v>
      </c>
      <c r="E23" s="183" t="s">
        <v>1417</v>
      </c>
      <c r="F23" s="162">
        <v>5</v>
      </c>
      <c r="G23" s="162">
        <v>5</v>
      </c>
      <c r="H23" s="162">
        <v>5</v>
      </c>
      <c r="I23" s="162">
        <v>5</v>
      </c>
      <c r="J23" s="162">
        <v>5</v>
      </c>
      <c r="K23" s="162">
        <v>5</v>
      </c>
      <c r="L23" s="162">
        <v>5</v>
      </c>
      <c r="M23" s="162">
        <v>5</v>
      </c>
      <c r="N23" s="162">
        <v>5</v>
      </c>
      <c r="O23" s="162">
        <v>5</v>
      </c>
      <c r="P23" s="162">
        <v>5</v>
      </c>
      <c r="Q23" s="162">
        <v>5</v>
      </c>
      <c r="R23" s="48">
        <f t="shared" si="0"/>
        <v>5</v>
      </c>
      <c r="S23" s="116">
        <v>50</v>
      </c>
      <c r="T23" s="242" t="s">
        <v>1418</v>
      </c>
    </row>
    <row r="24" spans="1:20">
      <c r="A24" s="9"/>
      <c r="B24" s="10" t="s">
        <v>110</v>
      </c>
      <c r="C24" s="11">
        <v>2</v>
      </c>
      <c r="D24" s="185" t="s">
        <v>1419</v>
      </c>
      <c r="E24" s="185" t="s">
        <v>1417</v>
      </c>
      <c r="F24" s="205">
        <v>5</v>
      </c>
      <c r="G24" s="205">
        <v>5</v>
      </c>
      <c r="H24" s="205">
        <v>5</v>
      </c>
      <c r="I24" s="205">
        <v>5</v>
      </c>
      <c r="J24" s="205">
        <v>5</v>
      </c>
      <c r="K24" s="205">
        <v>5</v>
      </c>
      <c r="L24" s="205">
        <v>5</v>
      </c>
      <c r="M24" s="205">
        <v>5</v>
      </c>
      <c r="N24" s="205">
        <v>5</v>
      </c>
      <c r="O24" s="205">
        <v>5</v>
      </c>
      <c r="P24" s="205">
        <v>5</v>
      </c>
      <c r="Q24" s="205">
        <v>5</v>
      </c>
      <c r="R24" s="35">
        <f t="shared" si="0"/>
        <v>5</v>
      </c>
      <c r="S24" s="117">
        <v>50</v>
      </c>
      <c r="T24" s="242" t="s">
        <v>1420</v>
      </c>
    </row>
    <row r="25" spans="1:20" ht="15.75" customHeight="1">
      <c r="A25" s="9"/>
      <c r="B25" s="10"/>
      <c r="C25" s="11">
        <v>3</v>
      </c>
      <c r="D25" s="185" t="s">
        <v>1421</v>
      </c>
      <c r="E25" s="185" t="s">
        <v>1422</v>
      </c>
      <c r="F25" s="12">
        <v>5</v>
      </c>
      <c r="G25" s="12">
        <v>5</v>
      </c>
      <c r="H25" s="12">
        <v>5</v>
      </c>
      <c r="I25" s="12">
        <v>5</v>
      </c>
      <c r="J25" s="12">
        <v>5</v>
      </c>
      <c r="K25" s="12">
        <v>5</v>
      </c>
      <c r="L25" s="12">
        <v>5</v>
      </c>
      <c r="M25" s="12">
        <v>5</v>
      </c>
      <c r="N25" s="12">
        <v>5</v>
      </c>
      <c r="O25" s="12">
        <v>5</v>
      </c>
      <c r="P25" s="12">
        <v>5</v>
      </c>
      <c r="Q25" s="12">
        <v>5</v>
      </c>
      <c r="R25" s="35">
        <f t="shared" si="0"/>
        <v>5</v>
      </c>
      <c r="S25" s="117">
        <v>50</v>
      </c>
      <c r="T25" s="242" t="s">
        <v>1423</v>
      </c>
    </row>
    <row r="26" spans="1:20" ht="15.75" customHeight="1">
      <c r="A26" s="9"/>
      <c r="B26" s="10" t="s">
        <v>110</v>
      </c>
      <c r="C26" s="11">
        <v>4</v>
      </c>
      <c r="D26" s="208" t="s">
        <v>1424</v>
      </c>
      <c r="E26" s="297" t="s">
        <v>1422</v>
      </c>
      <c r="F26" s="119">
        <v>5</v>
      </c>
      <c r="G26" s="12">
        <v>5</v>
      </c>
      <c r="H26" s="12">
        <v>5</v>
      </c>
      <c r="I26" s="12">
        <v>5</v>
      </c>
      <c r="J26" s="12">
        <v>5</v>
      </c>
      <c r="K26" s="12">
        <v>5</v>
      </c>
      <c r="L26" s="12">
        <v>5</v>
      </c>
      <c r="M26" s="12">
        <v>5</v>
      </c>
      <c r="N26" s="12">
        <v>5</v>
      </c>
      <c r="O26" s="12">
        <v>5</v>
      </c>
      <c r="P26" s="12">
        <v>5</v>
      </c>
      <c r="Q26" s="12">
        <v>5</v>
      </c>
      <c r="R26" s="35">
        <f t="shared" si="0"/>
        <v>5</v>
      </c>
      <c r="S26" s="117">
        <v>50</v>
      </c>
      <c r="T26" s="242" t="s">
        <v>1425</v>
      </c>
    </row>
    <row r="27" spans="1:20" ht="30.75" customHeight="1">
      <c r="A27" s="9"/>
      <c r="B27" s="149" t="s">
        <v>111</v>
      </c>
      <c r="C27" s="15">
        <v>1</v>
      </c>
      <c r="D27" s="95" t="s">
        <v>1416</v>
      </c>
      <c r="E27" s="183" t="s">
        <v>1417</v>
      </c>
      <c r="F27" s="274">
        <v>240</v>
      </c>
      <c r="G27" s="274">
        <v>350</v>
      </c>
      <c r="H27" s="274">
        <v>130</v>
      </c>
      <c r="I27" s="274">
        <v>9200</v>
      </c>
      <c r="J27" s="274">
        <v>17</v>
      </c>
      <c r="K27" s="274">
        <v>230</v>
      </c>
      <c r="L27" s="274">
        <v>1600</v>
      </c>
      <c r="M27" s="274">
        <v>350</v>
      </c>
      <c r="N27" s="274">
        <v>24000</v>
      </c>
      <c r="O27" s="274">
        <v>1600</v>
      </c>
      <c r="P27" s="274">
        <v>5400</v>
      </c>
      <c r="Q27" s="274">
        <v>33</v>
      </c>
      <c r="R27" s="46">
        <f>IFERROR(GEOMEAN(F27:Q27), "")</f>
        <v>581.83679350945863</v>
      </c>
      <c r="S27" s="8">
        <v>100</v>
      </c>
      <c r="T27" s="242" t="s">
        <v>1418</v>
      </c>
    </row>
    <row r="28" spans="1:20" ht="15.75" customHeight="1">
      <c r="A28" s="9"/>
      <c r="B28" s="10" t="s">
        <v>111</v>
      </c>
      <c r="C28" s="11">
        <v>2</v>
      </c>
      <c r="D28" s="185" t="s">
        <v>1419</v>
      </c>
      <c r="E28" s="185" t="s">
        <v>1417</v>
      </c>
      <c r="F28" s="595">
        <v>1600</v>
      </c>
      <c r="G28" s="595">
        <v>4500</v>
      </c>
      <c r="H28" s="595">
        <v>350</v>
      </c>
      <c r="I28" s="595">
        <v>350</v>
      </c>
      <c r="J28" s="595">
        <v>33</v>
      </c>
      <c r="K28" s="595">
        <v>24000</v>
      </c>
      <c r="L28" s="595">
        <v>1600</v>
      </c>
      <c r="M28" s="595">
        <v>540</v>
      </c>
      <c r="N28" s="595">
        <v>9200</v>
      </c>
      <c r="O28" s="595">
        <v>3500</v>
      </c>
      <c r="P28" s="595">
        <v>9200</v>
      </c>
      <c r="Q28" s="595">
        <v>70</v>
      </c>
      <c r="R28" s="47">
        <f>IFERROR(GEOMEAN(F28:Q28), "")</f>
        <v>1234.3948581740519</v>
      </c>
      <c r="S28" s="14">
        <v>100</v>
      </c>
      <c r="T28" s="242" t="s">
        <v>1420</v>
      </c>
    </row>
    <row r="29" spans="1:20" ht="15.75" customHeight="1">
      <c r="A29" s="9"/>
      <c r="B29" s="10"/>
      <c r="C29" s="11">
        <v>3</v>
      </c>
      <c r="D29" s="185" t="s">
        <v>1421</v>
      </c>
      <c r="E29" s="185" t="s">
        <v>1422</v>
      </c>
      <c r="F29" s="129">
        <v>240</v>
      </c>
      <c r="G29" s="129">
        <v>22</v>
      </c>
      <c r="H29" s="129">
        <v>33</v>
      </c>
      <c r="I29" s="129">
        <v>540</v>
      </c>
      <c r="J29" s="129">
        <v>17</v>
      </c>
      <c r="K29" s="129">
        <v>1700</v>
      </c>
      <c r="L29" s="129">
        <v>5400</v>
      </c>
      <c r="M29" s="129">
        <v>1600</v>
      </c>
      <c r="N29" s="129">
        <v>160000</v>
      </c>
      <c r="O29" s="129">
        <v>170</v>
      </c>
      <c r="P29" s="129">
        <v>2200</v>
      </c>
      <c r="Q29" s="129">
        <v>130</v>
      </c>
      <c r="R29" s="47">
        <f>IFERROR(GEOMEAN(F29:Q29), "")</f>
        <v>488.07962546182483</v>
      </c>
      <c r="S29" s="14">
        <v>100</v>
      </c>
      <c r="T29" s="242" t="s">
        <v>1423</v>
      </c>
    </row>
    <row r="30" spans="1:20" ht="15.75" customHeight="1">
      <c r="A30" s="9"/>
      <c r="B30" s="10" t="s">
        <v>111</v>
      </c>
      <c r="C30" s="11">
        <v>4</v>
      </c>
      <c r="D30" s="208" t="s">
        <v>1424</v>
      </c>
      <c r="E30" s="297" t="s">
        <v>1422</v>
      </c>
      <c r="F30" s="596">
        <v>33</v>
      </c>
      <c r="G30" s="129">
        <v>11</v>
      </c>
      <c r="H30" s="129">
        <v>17</v>
      </c>
      <c r="I30" s="129">
        <v>79</v>
      </c>
      <c r="J30" s="129">
        <v>23</v>
      </c>
      <c r="K30" s="129">
        <v>350</v>
      </c>
      <c r="L30" s="129">
        <v>1700</v>
      </c>
      <c r="M30" s="129">
        <v>540</v>
      </c>
      <c r="N30" s="129">
        <v>24000</v>
      </c>
      <c r="O30" s="129">
        <v>350</v>
      </c>
      <c r="P30" s="129">
        <v>3500</v>
      </c>
      <c r="Q30" s="129">
        <v>49</v>
      </c>
      <c r="R30" s="47">
        <f>IFERROR(GEOMEAN(F30:Q30), "")</f>
        <v>203.98444481234367</v>
      </c>
      <c r="S30" s="14">
        <v>100</v>
      </c>
      <c r="T30" s="242" t="s">
        <v>1425</v>
      </c>
    </row>
    <row r="31" spans="1:20" ht="15.75" customHeight="1">
      <c r="A31" s="20"/>
      <c r="B31" s="151" t="s">
        <v>113</v>
      </c>
      <c r="C31" s="15">
        <v>1</v>
      </c>
      <c r="D31" s="95" t="s">
        <v>1416</v>
      </c>
      <c r="E31" s="183" t="s">
        <v>1417</v>
      </c>
      <c r="F31" s="165">
        <v>0.21</v>
      </c>
      <c r="G31" s="165">
        <v>0.32200000000000001</v>
      </c>
      <c r="H31" s="165">
        <v>0.13500000000000001</v>
      </c>
      <c r="I31" s="165">
        <v>4.2999999999999997E-2</v>
      </c>
      <c r="J31" s="165">
        <v>4.2999999999999997E-2</v>
      </c>
      <c r="K31" s="165">
        <v>4.2999999999999997E-2</v>
      </c>
      <c r="L31" s="165">
        <v>4.2999999999999997E-2</v>
      </c>
      <c r="M31" s="165">
        <v>4.2999999999999997E-2</v>
      </c>
      <c r="N31" s="165">
        <v>0.19109999999999999</v>
      </c>
      <c r="O31" s="165">
        <v>0.17499999999999999</v>
      </c>
      <c r="P31" s="645">
        <v>0.214</v>
      </c>
      <c r="Q31" s="165">
        <v>0.17599999999999999</v>
      </c>
      <c r="R31" s="23">
        <f t="shared" ref="R31:R38" si="1">IFERROR(AVERAGE(F31:Q31), 0)</f>
        <v>0.13650833333333334</v>
      </c>
      <c r="S31" s="23">
        <v>10</v>
      </c>
      <c r="T31" s="242" t="s">
        <v>1418</v>
      </c>
    </row>
    <row r="32" spans="1:20" ht="15.75" customHeight="1">
      <c r="A32" s="20"/>
      <c r="B32" s="84" t="s">
        <v>114</v>
      </c>
      <c r="C32" s="11">
        <v>2</v>
      </c>
      <c r="D32" s="185" t="s">
        <v>1419</v>
      </c>
      <c r="E32" s="185" t="s">
        <v>1417</v>
      </c>
      <c r="F32" s="206">
        <v>8.4000000000000005E-2</v>
      </c>
      <c r="G32" s="206">
        <v>0.35499999999999998</v>
      </c>
      <c r="H32" s="206">
        <v>0.13500000000000001</v>
      </c>
      <c r="I32" s="206">
        <v>4.2999999999999997E-2</v>
      </c>
      <c r="J32" s="206">
        <v>4.2999999999999997E-2</v>
      </c>
      <c r="K32" s="206">
        <v>4.2999999999999997E-2</v>
      </c>
      <c r="L32" s="206">
        <v>4.2999999999999997E-2</v>
      </c>
      <c r="M32" s="120">
        <v>4.2999999999999997E-2</v>
      </c>
      <c r="N32" s="206">
        <v>0.191</v>
      </c>
      <c r="O32" s="206">
        <v>0.185</v>
      </c>
      <c r="P32" s="231">
        <v>165</v>
      </c>
      <c r="Q32" s="643">
        <v>0.16900000000000001</v>
      </c>
      <c r="R32" s="28">
        <f t="shared" si="1"/>
        <v>13.861166666666668</v>
      </c>
      <c r="S32" s="28">
        <v>10</v>
      </c>
      <c r="T32" s="242" t="s">
        <v>1420</v>
      </c>
    </row>
    <row r="33" spans="1:20" ht="15.75" customHeight="1">
      <c r="A33" s="20"/>
      <c r="B33" s="84"/>
      <c r="C33" s="11">
        <v>3</v>
      </c>
      <c r="D33" s="185" t="s">
        <v>1421</v>
      </c>
      <c r="E33" s="185" t="s">
        <v>1422</v>
      </c>
      <c r="F33" s="26">
        <v>4.8000000000000001E-2</v>
      </c>
      <c r="G33" s="26">
        <v>0.33600000000000002</v>
      </c>
      <c r="H33" s="26">
        <v>0.27200000000000002</v>
      </c>
      <c r="I33" s="26">
        <v>0.33500000000000002</v>
      </c>
      <c r="J33" s="26">
        <v>4.2999999999999997E-2</v>
      </c>
      <c r="K33" s="26">
        <v>0.128</v>
      </c>
      <c r="L33" s="26">
        <v>0.13</v>
      </c>
      <c r="M33" s="120">
        <v>4.2999999999999997E-2</v>
      </c>
      <c r="N33" s="26">
        <v>0.34699999999999998</v>
      </c>
      <c r="O33" s="642">
        <v>9.0999999999999998E-2</v>
      </c>
      <c r="P33" s="45">
        <v>0.65200000000000002</v>
      </c>
      <c r="Q33" s="644">
        <v>4.2999999999999997E-2</v>
      </c>
      <c r="R33" s="28">
        <f t="shared" si="1"/>
        <v>0.20566666666666666</v>
      </c>
      <c r="S33" s="28">
        <v>10</v>
      </c>
      <c r="T33" s="242" t="s">
        <v>1423</v>
      </c>
    </row>
    <row r="34" spans="1:20" ht="15.75" customHeight="1">
      <c r="A34" s="20"/>
      <c r="B34" s="84" t="s">
        <v>114</v>
      </c>
      <c r="C34" s="11">
        <v>4</v>
      </c>
      <c r="D34" s="208" t="s">
        <v>1424</v>
      </c>
      <c r="E34" s="297" t="s">
        <v>1422</v>
      </c>
      <c r="F34" s="120">
        <v>4.8000000000000001E-2</v>
      </c>
      <c r="G34" s="26">
        <v>0.378</v>
      </c>
      <c r="H34" s="26">
        <v>0.27200000000000002</v>
      </c>
      <c r="I34" s="26">
        <v>4.2999999999999997E-2</v>
      </c>
      <c r="J34" s="26">
        <v>4.2999999999999997E-2</v>
      </c>
      <c r="K34" s="26">
        <v>5.2999999999999999E-2</v>
      </c>
      <c r="L34" s="26">
        <v>5.1999999999999998E-2</v>
      </c>
      <c r="M34" s="26">
        <v>5.6000000000000001E-2</v>
      </c>
      <c r="N34" s="26">
        <v>0.308</v>
      </c>
      <c r="O34" s="26">
        <v>4.1000000000000002E-2</v>
      </c>
      <c r="P34" s="120">
        <v>0.221</v>
      </c>
      <c r="Q34" s="26">
        <v>6.5000000000000002E-2</v>
      </c>
      <c r="R34" s="28">
        <f t="shared" si="1"/>
        <v>0.13166666666666668</v>
      </c>
      <c r="S34" s="28">
        <v>10</v>
      </c>
      <c r="T34" s="242" t="s">
        <v>1425</v>
      </c>
    </row>
    <row r="35" spans="1:20" ht="15.75" customHeight="1">
      <c r="A35" s="20"/>
      <c r="B35" s="151" t="s">
        <v>115</v>
      </c>
      <c r="C35" s="15">
        <v>1</v>
      </c>
      <c r="D35" s="95" t="s">
        <v>1416</v>
      </c>
      <c r="E35" s="183" t="s">
        <v>1417</v>
      </c>
      <c r="F35" s="165">
        <v>3.7999999999999999E-2</v>
      </c>
      <c r="G35" s="165">
        <v>1.0999999999999999E-2</v>
      </c>
      <c r="H35" s="165">
        <v>0.497</v>
      </c>
      <c r="I35" s="165">
        <v>1.0999999999999999E-2</v>
      </c>
      <c r="J35" s="165">
        <v>3.1E-2</v>
      </c>
      <c r="K35" s="165">
        <v>3.1E-2</v>
      </c>
      <c r="L35" s="165">
        <v>1.2999999999999999E-2</v>
      </c>
      <c r="M35" s="165">
        <v>3.5000000000000003E-2</v>
      </c>
      <c r="N35" s="165">
        <v>8.6999999999999994E-2</v>
      </c>
      <c r="O35" s="165">
        <v>6.5000000000000002E-2</v>
      </c>
      <c r="P35" s="165">
        <v>4.2000000000000003E-2</v>
      </c>
      <c r="Q35" s="165">
        <v>2.5000000000000001E-2</v>
      </c>
      <c r="R35" s="23">
        <f t="shared" si="1"/>
        <v>7.3833333333333348E-2</v>
      </c>
      <c r="S35" s="23">
        <v>0.2</v>
      </c>
      <c r="T35" s="242" t="s">
        <v>1418</v>
      </c>
    </row>
    <row r="36" spans="1:20" ht="15.75" customHeight="1">
      <c r="A36" s="20"/>
      <c r="B36" s="84" t="s">
        <v>116</v>
      </c>
      <c r="C36" s="11">
        <v>2</v>
      </c>
      <c r="D36" s="185" t="s">
        <v>1419</v>
      </c>
      <c r="E36" s="185" t="s">
        <v>1417</v>
      </c>
      <c r="F36" s="206">
        <v>0.02</v>
      </c>
      <c r="G36" s="206">
        <v>1.0999999999999999E-2</v>
      </c>
      <c r="H36" s="206">
        <v>5.5E-2</v>
      </c>
      <c r="I36" s="206">
        <v>1.0999999999999999E-2</v>
      </c>
      <c r="J36" s="206">
        <v>3.1E-2</v>
      </c>
      <c r="K36" s="206">
        <v>9.2999999999999999E-2</v>
      </c>
      <c r="L36" s="206">
        <v>1.0999999999999999E-2</v>
      </c>
      <c r="M36" s="206">
        <v>0.02</v>
      </c>
      <c r="N36" s="206">
        <v>6.0999999999999999E-2</v>
      </c>
      <c r="O36" s="206">
        <v>0.12</v>
      </c>
      <c r="P36" s="206">
        <v>2.4E-2</v>
      </c>
      <c r="Q36" s="206">
        <v>3.6999999999999998E-2</v>
      </c>
      <c r="R36" s="28">
        <f t="shared" si="1"/>
        <v>4.1166666666666664E-2</v>
      </c>
      <c r="S36" s="28">
        <v>0.2</v>
      </c>
      <c r="T36" s="242" t="s">
        <v>1420</v>
      </c>
    </row>
    <row r="37" spans="1:20" ht="15.75" customHeight="1">
      <c r="A37" s="20"/>
      <c r="B37" s="84"/>
      <c r="C37" s="11">
        <v>3</v>
      </c>
      <c r="D37" s="185" t="s">
        <v>1421</v>
      </c>
      <c r="E37" s="185" t="s">
        <v>1422</v>
      </c>
      <c r="F37" s="26">
        <v>1.7000000000000001E-2</v>
      </c>
      <c r="G37" s="26">
        <v>1.0999999999999999E-2</v>
      </c>
      <c r="H37" s="26">
        <v>4.1000000000000002E-2</v>
      </c>
      <c r="I37" s="26">
        <v>1.0999999999999999E-2</v>
      </c>
      <c r="J37" s="272">
        <v>7.0000000000000007E-2</v>
      </c>
      <c r="K37" s="26">
        <v>2.9000000000000001E-2</v>
      </c>
      <c r="L37" s="26">
        <v>1.9E-2</v>
      </c>
      <c r="M37" s="26">
        <v>0.04</v>
      </c>
      <c r="N37" s="26">
        <v>6.6000000000000003E-2</v>
      </c>
      <c r="O37" s="26">
        <v>3.2000000000000001E-2</v>
      </c>
      <c r="P37" s="26">
        <v>9.9000000000000005E-2</v>
      </c>
      <c r="Q37" s="26">
        <v>1.0999999999999999E-2</v>
      </c>
      <c r="R37" s="28">
        <f t="shared" si="1"/>
        <v>3.7166666666666674E-2</v>
      </c>
      <c r="S37" s="28">
        <v>0.2</v>
      </c>
      <c r="T37" s="242" t="s">
        <v>1423</v>
      </c>
    </row>
    <row r="38" spans="1:20" ht="15.75" customHeight="1">
      <c r="A38" s="20"/>
      <c r="B38" s="84" t="s">
        <v>116</v>
      </c>
      <c r="C38" s="11">
        <v>4</v>
      </c>
      <c r="D38" s="208" t="s">
        <v>1424</v>
      </c>
      <c r="E38" s="297" t="s">
        <v>1422</v>
      </c>
      <c r="F38" s="120">
        <v>2.5000000000000001E-2</v>
      </c>
      <c r="G38" s="26">
        <v>1.2E-2</v>
      </c>
      <c r="H38" s="26">
        <v>3.9E-2</v>
      </c>
      <c r="I38" s="26">
        <v>1.0999999999999999E-2</v>
      </c>
      <c r="J38" s="26">
        <v>1.7999999999999999E-2</v>
      </c>
      <c r="K38" s="26">
        <v>3.5000000000000003E-2</v>
      </c>
      <c r="L38" s="26">
        <v>2.1000000000000001E-2</v>
      </c>
      <c r="M38" s="26">
        <v>0.02</v>
      </c>
      <c r="N38" s="26">
        <v>6.6000000000000003E-2</v>
      </c>
      <c r="O38" s="26">
        <v>3.2000000000000001E-2</v>
      </c>
      <c r="P38" s="26">
        <v>8.3000000000000004E-2</v>
      </c>
      <c r="Q38" s="26">
        <v>2.5999999999999999E-2</v>
      </c>
      <c r="R38" s="28">
        <f t="shared" si="1"/>
        <v>3.2333333333333339E-2</v>
      </c>
      <c r="S38" s="28">
        <v>0.2</v>
      </c>
      <c r="T38" s="242" t="s">
        <v>1425</v>
      </c>
    </row>
    <row r="39" spans="1:20" ht="198">
      <c r="A39" s="20"/>
      <c r="B39" s="151" t="s">
        <v>314</v>
      </c>
      <c r="C39" s="15">
        <v>1</v>
      </c>
      <c r="D39" s="95" t="s">
        <v>1416</v>
      </c>
      <c r="E39" s="183" t="s">
        <v>1417</v>
      </c>
      <c r="F39" s="167" t="s">
        <v>1426</v>
      </c>
      <c r="G39" s="167" t="s">
        <v>1427</v>
      </c>
      <c r="H39" s="162" t="s">
        <v>1428</v>
      </c>
      <c r="I39" s="162" t="s">
        <v>1429</v>
      </c>
      <c r="J39" s="162" t="s">
        <v>1430</v>
      </c>
      <c r="K39" s="162" t="s">
        <v>1431</v>
      </c>
      <c r="L39" s="162" t="s">
        <v>1432</v>
      </c>
      <c r="M39" s="162" t="s">
        <v>1433</v>
      </c>
      <c r="N39" s="162" t="s">
        <v>1434</v>
      </c>
      <c r="O39" s="162" t="s">
        <v>1435</v>
      </c>
      <c r="P39" s="162" t="s">
        <v>1436</v>
      </c>
      <c r="Q39" s="162" t="s">
        <v>1437</v>
      </c>
      <c r="R39" s="1"/>
      <c r="S39" s="1"/>
      <c r="T39" s="242" t="s">
        <v>1418</v>
      </c>
    </row>
    <row r="40" spans="1:20" ht="168">
      <c r="A40" s="20"/>
      <c r="B40" s="84" t="s">
        <v>116</v>
      </c>
      <c r="C40" s="11">
        <v>2</v>
      </c>
      <c r="D40" s="185" t="s">
        <v>1419</v>
      </c>
      <c r="E40" s="185" t="s">
        <v>1417</v>
      </c>
      <c r="F40" s="207" t="s">
        <v>1438</v>
      </c>
      <c r="G40" s="207" t="s">
        <v>1439</v>
      </c>
      <c r="H40" s="119" t="s">
        <v>1440</v>
      </c>
      <c r="I40" s="615" t="s">
        <v>1441</v>
      </c>
      <c r="J40" s="615" t="s">
        <v>1442</v>
      </c>
      <c r="K40" s="615" t="s">
        <v>1443</v>
      </c>
      <c r="L40" s="615" t="s">
        <v>1442</v>
      </c>
      <c r="M40" s="615" t="s">
        <v>1442</v>
      </c>
      <c r="N40" s="615" t="s">
        <v>1444</v>
      </c>
      <c r="O40" s="615" t="s">
        <v>1445</v>
      </c>
      <c r="P40" s="615" t="s">
        <v>1436</v>
      </c>
      <c r="Q40" s="715" t="s">
        <v>1437</v>
      </c>
      <c r="R40" s="1"/>
      <c r="S40" s="1"/>
      <c r="T40" s="242" t="s">
        <v>1420</v>
      </c>
    </row>
    <row r="41" spans="1:20" ht="151.5">
      <c r="A41" s="20"/>
      <c r="B41" s="84"/>
      <c r="C41" s="11">
        <v>3</v>
      </c>
      <c r="D41" s="185" t="s">
        <v>1421</v>
      </c>
      <c r="E41" s="185" t="s">
        <v>1422</v>
      </c>
      <c r="F41" s="31" t="s">
        <v>1446</v>
      </c>
      <c r="G41" s="31" t="s">
        <v>1447</v>
      </c>
      <c r="H41" s="12" t="s">
        <v>1448</v>
      </c>
      <c r="I41" s="12" t="s">
        <v>1449</v>
      </c>
      <c r="J41" s="12" t="s">
        <v>1450</v>
      </c>
      <c r="K41" s="12" t="s">
        <v>1451</v>
      </c>
      <c r="L41" s="12" t="s">
        <v>1452</v>
      </c>
      <c r="M41" s="12" t="s">
        <v>1453</v>
      </c>
      <c r="N41" s="12" t="s">
        <v>1454</v>
      </c>
      <c r="O41" s="12" t="s">
        <v>1455</v>
      </c>
      <c r="P41" s="12" t="s">
        <v>1456</v>
      </c>
      <c r="Q41" s="715" t="s">
        <v>1437</v>
      </c>
      <c r="R41" s="1"/>
      <c r="S41" s="1"/>
      <c r="T41" s="242" t="s">
        <v>1423</v>
      </c>
    </row>
    <row r="42" spans="1:20" ht="55.5" customHeight="1">
      <c r="A42" s="651"/>
      <c r="B42" s="153" t="s">
        <v>116</v>
      </c>
      <c r="C42" s="233">
        <v>4</v>
      </c>
      <c r="D42" s="652" t="s">
        <v>1424</v>
      </c>
      <c r="E42" s="653" t="s">
        <v>1422</v>
      </c>
      <c r="F42" s="654" t="s">
        <v>1457</v>
      </c>
      <c r="G42" s="655" t="s">
        <v>1427</v>
      </c>
      <c r="H42" s="656" t="s">
        <v>1458</v>
      </c>
      <c r="I42" s="656" t="s">
        <v>1459</v>
      </c>
      <c r="J42" s="656" t="s">
        <v>1460</v>
      </c>
      <c r="K42" s="656" t="s">
        <v>1461</v>
      </c>
      <c r="L42" s="656" t="s">
        <v>1462</v>
      </c>
      <c r="M42" s="656" t="s">
        <v>1463</v>
      </c>
      <c r="N42" s="656" t="s">
        <v>1464</v>
      </c>
      <c r="O42" s="656" t="s">
        <v>1465</v>
      </c>
      <c r="P42" s="656" t="s">
        <v>1466</v>
      </c>
      <c r="Q42" s="715" t="s">
        <v>1437</v>
      </c>
      <c r="R42" s="1"/>
      <c r="S42" s="1"/>
      <c r="T42" s="242" t="s">
        <v>1425</v>
      </c>
    </row>
    <row r="43" spans="1:20" ht="15.75" customHeight="1">
      <c r="A43" s="14"/>
      <c r="B43" s="14"/>
      <c r="C43" s="14" t="s">
        <v>173</v>
      </c>
      <c r="D43" s="14"/>
      <c r="E43" s="14"/>
      <c r="F43" s="14">
        <v>14</v>
      </c>
      <c r="G43" s="14">
        <v>4</v>
      </c>
      <c r="H43" s="14">
        <v>18</v>
      </c>
      <c r="I43" s="14">
        <v>22</v>
      </c>
      <c r="J43" s="14">
        <v>20</v>
      </c>
      <c r="K43" s="14">
        <v>17</v>
      </c>
      <c r="L43" s="14">
        <v>15</v>
      </c>
      <c r="M43" s="14">
        <v>18</v>
      </c>
      <c r="N43" s="14">
        <v>8</v>
      </c>
      <c r="O43" s="14">
        <v>14</v>
      </c>
      <c r="P43" s="14">
        <v>11</v>
      </c>
      <c r="Q43" s="14"/>
      <c r="R43" s="243"/>
      <c r="S43" s="1"/>
    </row>
    <row r="44" spans="1:20" ht="15.75" customHeight="1">
      <c r="A44" s="243"/>
      <c r="B44" s="243"/>
      <c r="C44" s="243"/>
      <c r="D44" s="243"/>
      <c r="E44" s="243"/>
      <c r="F44" s="243"/>
      <c r="G44" s="243"/>
      <c r="H44" s="243"/>
      <c r="I44" s="243"/>
      <c r="J44" s="243"/>
      <c r="K44" s="243"/>
      <c r="L44" s="243"/>
      <c r="M44" s="243"/>
      <c r="N44" s="243"/>
      <c r="O44" s="243"/>
      <c r="P44" s="243"/>
      <c r="Q44" s="243"/>
      <c r="R44" s="1"/>
      <c r="S44" s="1"/>
    </row>
    <row r="45" spans="1:20" ht="15.75" customHeight="1">
      <c r="A45" s="1"/>
      <c r="B45" s="1"/>
      <c r="C45" s="1"/>
      <c r="D45" s="889" t="s">
        <v>70</v>
      </c>
      <c r="E45" s="890"/>
      <c r="F45" s="1177"/>
      <c r="G45" s="1177"/>
      <c r="H45" s="1177"/>
      <c r="I45" s="1177"/>
      <c r="J45" s="1177"/>
      <c r="K45" s="1177"/>
      <c r="L45" s="1177"/>
      <c r="M45" s="1177"/>
      <c r="N45" s="1177"/>
      <c r="O45" s="1177"/>
      <c r="P45" s="1177"/>
      <c r="Q45" s="1177"/>
      <c r="R45" s="1177"/>
      <c r="S45" s="1178"/>
    </row>
    <row r="46" spans="1:20" ht="15.75" customHeight="1">
      <c r="A46" s="1"/>
      <c r="B46" s="1"/>
      <c r="C46" s="1"/>
      <c r="D46" s="889" t="s">
        <v>74</v>
      </c>
      <c r="E46" s="890"/>
      <c r="F46" s="1177"/>
      <c r="G46" s="1177"/>
      <c r="H46" s="1177"/>
      <c r="I46" s="1177"/>
      <c r="J46" s="1177"/>
      <c r="K46" s="1177"/>
      <c r="L46" s="1177"/>
      <c r="M46" s="1177"/>
      <c r="N46" s="1177"/>
      <c r="O46" s="1177"/>
      <c r="P46" s="1177"/>
      <c r="Q46" s="1177"/>
      <c r="R46" s="1177"/>
      <c r="S46" s="1178"/>
    </row>
    <row r="47" spans="1:20" ht="15.75" customHeight="1">
      <c r="A47" s="1"/>
      <c r="B47" s="1"/>
      <c r="C47" s="1"/>
      <c r="D47" s="1179"/>
      <c r="E47" s="1180"/>
      <c r="F47" s="1177"/>
      <c r="G47" s="1177"/>
      <c r="H47" s="1177"/>
      <c r="I47" s="1178"/>
      <c r="J47" s="844" t="s">
        <v>78</v>
      </c>
      <c r="K47" s="1177"/>
      <c r="L47" s="1177"/>
      <c r="M47" s="1177"/>
      <c r="N47" s="1177"/>
      <c r="O47" s="1177"/>
      <c r="P47" s="1177"/>
      <c r="Q47" s="1177"/>
      <c r="R47" s="1177"/>
      <c r="S47" s="1178"/>
    </row>
    <row r="48" spans="1:20" ht="15.75" customHeight="1">
      <c r="A48" s="1"/>
      <c r="B48" s="1"/>
      <c r="C48" s="1"/>
      <c r="D48" s="14" t="s">
        <v>82</v>
      </c>
      <c r="E48" s="14"/>
      <c r="F48" s="14" t="s">
        <v>83</v>
      </c>
      <c r="G48" s="14" t="s">
        <v>84</v>
      </c>
      <c r="H48" s="14" t="s">
        <v>85</v>
      </c>
      <c r="I48" s="14" t="s">
        <v>86</v>
      </c>
      <c r="J48" s="14" t="s">
        <v>4</v>
      </c>
      <c r="K48" s="14" t="s">
        <v>5</v>
      </c>
      <c r="L48" s="14" t="s">
        <v>6</v>
      </c>
      <c r="M48" s="14" t="s">
        <v>7</v>
      </c>
      <c r="N48" s="14" t="s">
        <v>8</v>
      </c>
      <c r="O48" s="14" t="s">
        <v>9</v>
      </c>
      <c r="P48" s="14" t="s">
        <v>10</v>
      </c>
      <c r="Q48" s="14" t="s">
        <v>11</v>
      </c>
      <c r="R48" s="14" t="s">
        <v>12</v>
      </c>
      <c r="S48" s="14" t="s">
        <v>13</v>
      </c>
    </row>
    <row r="49" spans="4:19" ht="15.75" customHeight="1">
      <c r="D49" s="886" t="s">
        <v>1030</v>
      </c>
      <c r="E49" s="281"/>
      <c r="F49" s="886" t="s">
        <v>1415</v>
      </c>
      <c r="G49" s="883" t="s">
        <v>29</v>
      </c>
      <c r="H49" s="32">
        <v>1</v>
      </c>
      <c r="I49" s="65" t="s">
        <v>1416</v>
      </c>
      <c r="J49" s="33">
        <f t="shared" ref="J49:J52" si="2">AVERAGE(F7:K7)</f>
        <v>5.3683333333333332</v>
      </c>
      <c r="K49" s="14" t="s">
        <v>905</v>
      </c>
      <c r="L49" s="33">
        <f t="shared" ref="L49:L52" si="3">AVERAGE(F11:K11)</f>
        <v>25.333333333333332</v>
      </c>
      <c r="M49" s="33">
        <f t="shared" ref="M49:M52" si="4">AVERAGE(F15:K15)</f>
        <v>7.2049999999999992</v>
      </c>
      <c r="N49" s="33">
        <f t="shared" ref="N49:N52" si="5">AVERAGE(F19:K19)</f>
        <v>29.583333333333332</v>
      </c>
      <c r="O49" s="33">
        <f t="shared" ref="O49:O52" si="6">AVERAGE(F23:K23)</f>
        <v>5</v>
      </c>
      <c r="P49" s="33">
        <f t="shared" ref="P49:P52" si="7">GEOMEAN(F27:K27)</f>
        <v>270.62289597805437</v>
      </c>
      <c r="Q49" s="34">
        <f t="shared" ref="Q49:Q52" si="8">AVERAGE(F31:K31)</f>
        <v>0.13266666666666668</v>
      </c>
      <c r="R49" s="34">
        <f t="shared" ref="R49:R52" si="9">AVERAGE(F35:K35)</f>
        <v>0.10316666666666668</v>
      </c>
      <c r="S49" s="14" t="s">
        <v>905</v>
      </c>
    </row>
    <row r="50" spans="4:19" ht="15.75" customHeight="1">
      <c r="D50" s="1196"/>
      <c r="E50" s="289"/>
      <c r="F50" s="1196"/>
      <c r="G50" s="1196"/>
      <c r="H50" s="32">
        <v>2</v>
      </c>
      <c r="I50" s="65" t="s">
        <v>1419</v>
      </c>
      <c r="J50" s="33">
        <f t="shared" si="2"/>
        <v>5.5916666666666659</v>
      </c>
      <c r="K50" s="14" t="s">
        <v>905</v>
      </c>
      <c r="L50" s="33">
        <f t="shared" si="3"/>
        <v>36.833333333333336</v>
      </c>
      <c r="M50" s="33">
        <f t="shared" si="4"/>
        <v>7.1783333333333319</v>
      </c>
      <c r="N50" s="33">
        <f t="shared" si="5"/>
        <v>29.75</v>
      </c>
      <c r="O50" s="33">
        <f t="shared" si="6"/>
        <v>5</v>
      </c>
      <c r="P50" s="33">
        <f t="shared" si="7"/>
        <v>941.95963872247091</v>
      </c>
      <c r="Q50" s="34">
        <f t="shared" si="8"/>
        <v>0.1171666666666667</v>
      </c>
      <c r="R50" s="34">
        <f t="shared" si="9"/>
        <v>3.6833333333333336E-2</v>
      </c>
      <c r="S50" s="14" t="s">
        <v>905</v>
      </c>
    </row>
    <row r="51" spans="4:19" ht="22.5" customHeight="1">
      <c r="D51" s="1196"/>
      <c r="E51" s="289"/>
      <c r="F51" s="1196"/>
      <c r="G51" s="1196"/>
      <c r="H51" s="32">
        <v>3</v>
      </c>
      <c r="I51" s="65" t="s">
        <v>1421</v>
      </c>
      <c r="J51" s="33">
        <f t="shared" si="2"/>
        <v>5.5766666666666671</v>
      </c>
      <c r="K51" s="14" t="s">
        <v>905</v>
      </c>
      <c r="L51" s="33">
        <f t="shared" si="3"/>
        <v>29.833333333333332</v>
      </c>
      <c r="M51" s="33">
        <f t="shared" si="4"/>
        <v>7.1716666666666677</v>
      </c>
      <c r="N51" s="33">
        <f t="shared" si="5"/>
        <v>29.75</v>
      </c>
      <c r="O51" s="33">
        <f t="shared" si="6"/>
        <v>5</v>
      </c>
      <c r="P51" s="33">
        <f t="shared" si="7"/>
        <v>118.14261447798029</v>
      </c>
      <c r="Q51" s="34">
        <f t="shared" si="8"/>
        <v>0.19366666666666665</v>
      </c>
      <c r="R51" s="34">
        <f t="shared" si="9"/>
        <v>2.9833333333333337E-2</v>
      </c>
      <c r="S51" s="14" t="s">
        <v>905</v>
      </c>
    </row>
    <row r="52" spans="4:19" ht="22.5" customHeight="1">
      <c r="D52" s="1197"/>
      <c r="E52" s="290"/>
      <c r="F52" s="1197"/>
      <c r="G52" s="1197"/>
      <c r="H52" s="32">
        <v>4</v>
      </c>
      <c r="I52" s="65" t="s">
        <v>1424</v>
      </c>
      <c r="J52" s="33">
        <f t="shared" si="2"/>
        <v>5.6816666666666675</v>
      </c>
      <c r="K52" s="14" t="s">
        <v>905</v>
      </c>
      <c r="L52" s="33">
        <f t="shared" si="3"/>
        <v>30.5</v>
      </c>
      <c r="M52" s="33">
        <f t="shared" si="4"/>
        <v>7.2183333333333337</v>
      </c>
      <c r="N52" s="33">
        <f t="shared" si="5"/>
        <v>29.783333333333335</v>
      </c>
      <c r="O52" s="33">
        <f t="shared" si="6"/>
        <v>5</v>
      </c>
      <c r="P52" s="33">
        <f t="shared" si="7"/>
        <v>39.715779088126297</v>
      </c>
      <c r="Q52" s="34">
        <f t="shared" si="8"/>
        <v>0.13950000000000001</v>
      </c>
      <c r="R52" s="34">
        <f t="shared" si="9"/>
        <v>2.3333333333333334E-2</v>
      </c>
      <c r="S52" s="14" t="s">
        <v>905</v>
      </c>
    </row>
    <row r="53" spans="4:19" ht="15.75" customHeight="1">
      <c r="D53" s="1179"/>
      <c r="E53" s="1180"/>
      <c r="F53" s="1177"/>
      <c r="G53" s="1177"/>
      <c r="H53" s="1177"/>
      <c r="I53" s="1177"/>
      <c r="J53" s="1177"/>
      <c r="K53" s="1177"/>
      <c r="L53" s="1177"/>
      <c r="M53" s="1177"/>
      <c r="N53" s="1177"/>
      <c r="O53" s="1177"/>
      <c r="P53" s="1177"/>
      <c r="Q53" s="1177"/>
      <c r="R53" s="1177"/>
      <c r="S53" s="1178"/>
    </row>
    <row r="54" spans="4:19" ht="15.75" customHeight="1">
      <c r="D54" s="14" t="s">
        <v>93</v>
      </c>
      <c r="E54" s="291"/>
      <c r="F54" s="1167"/>
      <c r="G54" s="1160"/>
      <c r="H54" s="1160"/>
      <c r="I54" s="1181"/>
      <c r="J54" s="33">
        <f>AVERAGE(J49:J52)</f>
        <v>5.5545833333333334</v>
      </c>
      <c r="K54" s="14" t="s">
        <v>905</v>
      </c>
      <c r="L54" s="33">
        <f t="shared" ref="L54:R54" si="10">AVERAGE(L49:L52)</f>
        <v>30.625</v>
      </c>
      <c r="M54" s="33">
        <f t="shared" si="10"/>
        <v>7.1933333333333334</v>
      </c>
      <c r="N54" s="33">
        <f t="shared" si="10"/>
        <v>29.716666666666665</v>
      </c>
      <c r="O54" s="33">
        <f t="shared" si="10"/>
        <v>5</v>
      </c>
      <c r="P54" s="33">
        <f t="shared" si="10"/>
        <v>342.61023206665794</v>
      </c>
      <c r="Q54" s="34">
        <f t="shared" si="10"/>
        <v>0.14574999999999999</v>
      </c>
      <c r="R54" s="34">
        <f t="shared" si="10"/>
        <v>4.829166666666667E-2</v>
      </c>
      <c r="S54" s="14" t="s">
        <v>905</v>
      </c>
    </row>
    <row r="55" spans="4:19" ht="15.75" customHeight="1">
      <c r="D55" s="14" t="s">
        <v>94</v>
      </c>
      <c r="E55" s="293"/>
      <c r="F55" s="1182"/>
      <c r="G55" s="1176"/>
      <c r="H55" s="1176"/>
      <c r="I55" s="1183"/>
      <c r="J55" s="33">
        <f>MIN(J49:J52)</f>
        <v>5.3683333333333332</v>
      </c>
      <c r="K55" s="14" t="s">
        <v>905</v>
      </c>
      <c r="L55" s="33">
        <f t="shared" ref="L55:R55" si="11">MIN(L49:L52)</f>
        <v>25.333333333333332</v>
      </c>
      <c r="M55" s="33">
        <f t="shared" si="11"/>
        <v>7.1716666666666677</v>
      </c>
      <c r="N55" s="33">
        <f t="shared" si="11"/>
        <v>29.583333333333332</v>
      </c>
      <c r="O55" s="33">
        <f t="shared" si="11"/>
        <v>5</v>
      </c>
      <c r="P55" s="33">
        <f t="shared" si="11"/>
        <v>39.715779088126297</v>
      </c>
      <c r="Q55" s="34">
        <f t="shared" si="11"/>
        <v>0.1171666666666667</v>
      </c>
      <c r="R55" s="34">
        <f t="shared" si="11"/>
        <v>2.3333333333333334E-2</v>
      </c>
      <c r="S55" s="14" t="s">
        <v>905</v>
      </c>
    </row>
    <row r="56" spans="4:19" ht="15.75" customHeight="1">
      <c r="D56" s="14" t="s">
        <v>95</v>
      </c>
      <c r="E56" s="293"/>
      <c r="F56" s="1182"/>
      <c r="G56" s="1176"/>
      <c r="H56" s="1176"/>
      <c r="I56" s="1183"/>
      <c r="J56" s="33">
        <f>MAX(J49:J52)</f>
        <v>5.6816666666666675</v>
      </c>
      <c r="K56" s="14" t="s">
        <v>905</v>
      </c>
      <c r="L56" s="33">
        <f t="shared" ref="L56:R56" si="12">MAX(L49:L52)</f>
        <v>36.833333333333336</v>
      </c>
      <c r="M56" s="33">
        <f t="shared" si="12"/>
        <v>7.2183333333333337</v>
      </c>
      <c r="N56" s="33">
        <f t="shared" si="12"/>
        <v>29.783333333333335</v>
      </c>
      <c r="O56" s="33">
        <f t="shared" si="12"/>
        <v>5</v>
      </c>
      <c r="P56" s="33">
        <f t="shared" si="12"/>
        <v>941.95963872247091</v>
      </c>
      <c r="Q56" s="34">
        <f t="shared" si="12"/>
        <v>0.19366666666666665</v>
      </c>
      <c r="R56" s="34">
        <f t="shared" si="12"/>
        <v>0.10316666666666668</v>
      </c>
      <c r="S56" s="14" t="s">
        <v>905</v>
      </c>
    </row>
    <row r="57" spans="4:19" ht="15.75" customHeight="1">
      <c r="D57" s="14" t="s">
        <v>96</v>
      </c>
      <c r="E57" s="292"/>
      <c r="F57" s="1184"/>
      <c r="G57" s="1159"/>
      <c r="H57" s="1159"/>
      <c r="I57" s="1185"/>
      <c r="J57" s="118" t="s">
        <v>906</v>
      </c>
      <c r="K57" s="118" t="s">
        <v>905</v>
      </c>
      <c r="L57" s="118" t="s">
        <v>907</v>
      </c>
      <c r="M57" s="118" t="s">
        <v>908</v>
      </c>
      <c r="N57" s="29" t="s">
        <v>909</v>
      </c>
      <c r="O57" s="118" t="s">
        <v>699</v>
      </c>
      <c r="P57" s="118" t="s">
        <v>700</v>
      </c>
      <c r="Q57" s="118" t="s">
        <v>910</v>
      </c>
      <c r="R57" s="118" t="s">
        <v>911</v>
      </c>
      <c r="S57" s="118" t="s">
        <v>905</v>
      </c>
    </row>
    <row r="58" spans="4:19" ht="15.75" customHeight="1">
      <c r="D58" s="1"/>
      <c r="E58" s="1"/>
      <c r="F58" s="1"/>
      <c r="G58" s="1"/>
      <c r="H58" s="1"/>
      <c r="I58" s="1"/>
      <c r="J58" s="1"/>
      <c r="K58" s="1"/>
      <c r="L58" s="1"/>
      <c r="M58" s="1"/>
      <c r="N58" s="1"/>
      <c r="O58" s="1"/>
      <c r="P58" s="1"/>
      <c r="Q58" s="1"/>
      <c r="R58" s="1"/>
      <c r="S58" s="1"/>
    </row>
    <row r="59" spans="4:19" ht="15.75" customHeight="1">
      <c r="D59" s="1"/>
      <c r="E59" s="1"/>
      <c r="F59" s="1"/>
      <c r="G59" s="1"/>
      <c r="H59" s="1"/>
      <c r="I59" s="1"/>
      <c r="J59" s="1"/>
      <c r="K59" s="1"/>
      <c r="L59" s="1"/>
      <c r="M59" s="1"/>
      <c r="N59" s="1"/>
      <c r="O59" s="1"/>
      <c r="P59" s="1"/>
      <c r="Q59" s="1"/>
      <c r="R59" s="1"/>
      <c r="S59" s="1"/>
    </row>
    <row r="60" spans="4:19" ht="15.75" customHeight="1">
      <c r="D60" s="971" t="s">
        <v>70</v>
      </c>
      <c r="E60" s="972"/>
      <c r="F60" s="1198"/>
      <c r="G60" s="1198"/>
      <c r="H60" s="1198"/>
      <c r="I60" s="1198"/>
      <c r="J60" s="1198"/>
      <c r="K60" s="1198"/>
      <c r="L60" s="1198"/>
      <c r="M60" s="1198"/>
      <c r="N60" s="1198"/>
      <c r="O60" s="1198"/>
      <c r="P60" s="1198"/>
      <c r="Q60" s="1198"/>
      <c r="R60" s="1198"/>
      <c r="S60" s="1199"/>
    </row>
    <row r="61" spans="4:19" ht="15.75" customHeight="1">
      <c r="D61" s="971" t="s">
        <v>107</v>
      </c>
      <c r="E61" s="972"/>
      <c r="F61" s="1198"/>
      <c r="G61" s="1198"/>
      <c r="H61" s="1198"/>
      <c r="I61" s="1198"/>
      <c r="J61" s="1198"/>
      <c r="K61" s="1198"/>
      <c r="L61" s="1198"/>
      <c r="M61" s="1198"/>
      <c r="N61" s="1198"/>
      <c r="O61" s="1198"/>
      <c r="P61" s="1198"/>
      <c r="Q61" s="1198"/>
      <c r="R61" s="1198"/>
      <c r="S61" s="1199"/>
    </row>
    <row r="62" spans="4:19" ht="15.75" customHeight="1">
      <c r="D62" s="1179"/>
      <c r="E62" s="1180"/>
      <c r="F62" s="1177"/>
      <c r="G62" s="1177"/>
      <c r="H62" s="1177"/>
      <c r="I62" s="1178"/>
      <c r="J62" s="844" t="s">
        <v>78</v>
      </c>
      <c r="K62" s="1177"/>
      <c r="L62" s="1177"/>
      <c r="M62" s="1177"/>
      <c r="N62" s="1177"/>
      <c r="O62" s="1177"/>
      <c r="P62" s="1177"/>
      <c r="Q62" s="1177"/>
      <c r="R62" s="1177"/>
      <c r="S62" s="1178"/>
    </row>
    <row r="63" spans="4:19" ht="15.75" customHeight="1">
      <c r="D63" s="14" t="s">
        <v>82</v>
      </c>
      <c r="E63" s="14"/>
      <c r="F63" s="14" t="s">
        <v>83</v>
      </c>
      <c r="G63" s="14" t="s">
        <v>84</v>
      </c>
      <c r="H63" s="14" t="s">
        <v>85</v>
      </c>
      <c r="I63" s="14" t="s">
        <v>86</v>
      </c>
      <c r="J63" s="14" t="s">
        <v>4</v>
      </c>
      <c r="K63" s="14" t="s">
        <v>5</v>
      </c>
      <c r="L63" s="14" t="s">
        <v>6</v>
      </c>
      <c r="M63" s="14" t="s">
        <v>7</v>
      </c>
      <c r="N63" s="14" t="s">
        <v>8</v>
      </c>
      <c r="O63" s="14" t="s">
        <v>9</v>
      </c>
      <c r="P63" s="14" t="s">
        <v>10</v>
      </c>
      <c r="Q63" s="14" t="s">
        <v>11</v>
      </c>
      <c r="R63" s="14" t="s">
        <v>12</v>
      </c>
      <c r="S63" s="14" t="s">
        <v>13</v>
      </c>
    </row>
    <row r="64" spans="4:19" ht="15.75" customHeight="1">
      <c r="D64" s="886" t="s">
        <v>1030</v>
      </c>
      <c r="E64" s="281"/>
      <c r="F64" s="886" t="s">
        <v>1415</v>
      </c>
      <c r="G64" s="883" t="s">
        <v>29</v>
      </c>
      <c r="H64" s="32">
        <v>1</v>
      </c>
      <c r="I64" s="65" t="s">
        <v>1416</v>
      </c>
      <c r="J64" s="35">
        <f t="shared" ref="J64:J67" si="13">R7</f>
        <v>5.8616666666666672</v>
      </c>
      <c r="K64" s="14" t="s">
        <v>905</v>
      </c>
      <c r="L64" s="35">
        <f t="shared" ref="L64:L67" si="14">R11</f>
        <v>30.083333333333332</v>
      </c>
      <c r="M64" s="35">
        <f t="shared" ref="M64:M67" si="15">R15</f>
        <v>7.439166666666666</v>
      </c>
      <c r="N64" s="35">
        <f t="shared" ref="N64:N67" si="16">R19</f>
        <v>29.599999999999998</v>
      </c>
      <c r="O64" s="35">
        <f t="shared" ref="O64:O67" si="17">R23</f>
        <v>5</v>
      </c>
      <c r="P64" s="35">
        <f t="shared" ref="P64:P67" si="18">R27</f>
        <v>581.83679350945863</v>
      </c>
      <c r="Q64" s="28">
        <f t="shared" ref="Q64:Q67" si="19">R31</f>
        <v>0.13650833333333334</v>
      </c>
      <c r="R64" s="28">
        <f t="shared" ref="R64:R67" si="20">R35</f>
        <v>7.3833333333333348E-2</v>
      </c>
      <c r="S64" s="14" t="s">
        <v>905</v>
      </c>
    </row>
    <row r="65" spans="3:20" ht="15.75" customHeight="1">
      <c r="D65" s="1196"/>
      <c r="E65" s="289"/>
      <c r="F65" s="1196"/>
      <c r="G65" s="1196"/>
      <c r="H65" s="32">
        <v>2</v>
      </c>
      <c r="I65" s="65" t="s">
        <v>1419</v>
      </c>
      <c r="J65" s="35">
        <f t="shared" si="13"/>
        <v>5.93</v>
      </c>
      <c r="K65" s="14" t="s">
        <v>905</v>
      </c>
      <c r="L65" s="35">
        <f t="shared" si="14"/>
        <v>35.166666666666664</v>
      </c>
      <c r="M65" s="35">
        <f t="shared" si="15"/>
        <v>7.5225</v>
      </c>
      <c r="N65" s="35">
        <f t="shared" si="16"/>
        <v>29.650000000000002</v>
      </c>
      <c r="O65" s="35">
        <f t="shared" si="17"/>
        <v>5</v>
      </c>
      <c r="P65" s="35">
        <f t="shared" si="18"/>
        <v>1234.3948581740519</v>
      </c>
      <c r="Q65" s="28">
        <f t="shared" si="19"/>
        <v>13.861166666666668</v>
      </c>
      <c r="R65" s="28">
        <f t="shared" si="20"/>
        <v>4.1166666666666664E-2</v>
      </c>
      <c r="S65" s="14"/>
    </row>
    <row r="66" spans="3:20" ht="15.75" customHeight="1">
      <c r="D66" s="1196"/>
      <c r="E66" s="289"/>
      <c r="F66" s="1196"/>
      <c r="G66" s="1196"/>
      <c r="H66" s="32">
        <v>3</v>
      </c>
      <c r="I66" s="65" t="s">
        <v>1421</v>
      </c>
      <c r="J66" s="35">
        <f t="shared" si="13"/>
        <v>5.9083333333333341</v>
      </c>
      <c r="K66" s="14" t="s">
        <v>905</v>
      </c>
      <c r="L66" s="35">
        <f t="shared" si="14"/>
        <v>29.416666666666668</v>
      </c>
      <c r="M66" s="35">
        <f t="shared" si="15"/>
        <v>7.4883333333333342</v>
      </c>
      <c r="N66" s="35">
        <f t="shared" si="16"/>
        <v>29.700000000000003</v>
      </c>
      <c r="O66" s="35">
        <f t="shared" si="17"/>
        <v>5</v>
      </c>
      <c r="P66" s="35">
        <f t="shared" si="18"/>
        <v>488.07962546182483</v>
      </c>
      <c r="Q66" s="28">
        <f t="shared" si="19"/>
        <v>0.20566666666666666</v>
      </c>
      <c r="R66" s="28">
        <f t="shared" si="20"/>
        <v>3.7166666666666674E-2</v>
      </c>
      <c r="S66" s="14" t="s">
        <v>905</v>
      </c>
    </row>
    <row r="67" spans="3:20" ht="23.25" customHeight="1">
      <c r="D67" s="1197"/>
      <c r="E67" s="290"/>
      <c r="F67" s="1197"/>
      <c r="G67" s="1197"/>
      <c r="H67" s="32">
        <v>4</v>
      </c>
      <c r="I67" s="65" t="s">
        <v>1424</v>
      </c>
      <c r="J67" s="35">
        <f t="shared" si="13"/>
        <v>6.0049999999999999</v>
      </c>
      <c r="K67" s="14" t="s">
        <v>905</v>
      </c>
      <c r="L67" s="35">
        <f t="shared" si="14"/>
        <v>32.083333333333336</v>
      </c>
      <c r="M67" s="35">
        <f t="shared" si="15"/>
        <v>7.5283333333333333</v>
      </c>
      <c r="N67" s="35">
        <f t="shared" si="16"/>
        <v>29.541666666666671</v>
      </c>
      <c r="O67" s="35">
        <f t="shared" si="17"/>
        <v>5</v>
      </c>
      <c r="P67" s="35">
        <f t="shared" si="18"/>
        <v>203.98444481234367</v>
      </c>
      <c r="Q67" s="28">
        <f t="shared" si="19"/>
        <v>0.13166666666666668</v>
      </c>
      <c r="R67" s="28">
        <f t="shared" si="20"/>
        <v>3.2333333333333339E-2</v>
      </c>
      <c r="S67" s="14" t="s">
        <v>905</v>
      </c>
    </row>
    <row r="68" spans="3:20" ht="15.75" customHeight="1">
      <c r="D68" s="1179"/>
      <c r="E68" s="1180"/>
      <c r="F68" s="1177"/>
      <c r="G68" s="1177"/>
      <c r="H68" s="1177"/>
      <c r="I68" s="1177"/>
      <c r="J68" s="1177"/>
      <c r="K68" s="1177"/>
      <c r="L68" s="1177"/>
      <c r="M68" s="1177"/>
      <c r="N68" s="1177"/>
      <c r="O68" s="1177"/>
      <c r="P68" s="1177"/>
      <c r="Q68" s="1177"/>
      <c r="R68" s="1177"/>
      <c r="S68" s="1178"/>
    </row>
    <row r="69" spans="3:20" ht="15.75" customHeight="1">
      <c r="D69" s="14" t="s">
        <v>93</v>
      </c>
      <c r="E69" s="291"/>
      <c r="F69" s="1167"/>
      <c r="G69" s="1160"/>
      <c r="H69" s="1160"/>
      <c r="I69" s="1181"/>
      <c r="J69" s="35">
        <f>AVERAGE(J64:J67)</f>
        <v>5.9262500000000005</v>
      </c>
      <c r="K69" s="14" t="s">
        <v>905</v>
      </c>
      <c r="L69" s="35">
        <f t="shared" ref="L69:R69" si="21">AVERAGE(L64:L67)</f>
        <v>31.6875</v>
      </c>
      <c r="M69" s="35">
        <f t="shared" si="21"/>
        <v>7.4945833333333329</v>
      </c>
      <c r="N69" s="35">
        <f t="shared" si="21"/>
        <v>29.622916666666669</v>
      </c>
      <c r="O69" s="35">
        <f t="shared" si="21"/>
        <v>5</v>
      </c>
      <c r="P69" s="35">
        <f t="shared" si="21"/>
        <v>627.07393048941969</v>
      </c>
      <c r="Q69" s="28">
        <f t="shared" si="21"/>
        <v>3.5837520833333332</v>
      </c>
      <c r="R69" s="28">
        <f t="shared" si="21"/>
        <v>4.6125000000000013E-2</v>
      </c>
      <c r="S69" s="14" t="s">
        <v>905</v>
      </c>
    </row>
    <row r="70" spans="3:20" ht="15.75" customHeight="1">
      <c r="D70" s="14" t="s">
        <v>94</v>
      </c>
      <c r="E70" s="293"/>
      <c r="F70" s="1182"/>
      <c r="G70" s="1176"/>
      <c r="H70" s="1176"/>
      <c r="I70" s="1183"/>
      <c r="J70" s="35">
        <f>MIN(J64:J67)</f>
        <v>5.8616666666666672</v>
      </c>
      <c r="K70" s="14" t="s">
        <v>905</v>
      </c>
      <c r="L70" s="35">
        <f t="shared" ref="L70:R70" si="22">MIN(L64:L67)</f>
        <v>29.416666666666668</v>
      </c>
      <c r="M70" s="35">
        <f t="shared" si="22"/>
        <v>7.439166666666666</v>
      </c>
      <c r="N70" s="35">
        <f t="shared" si="22"/>
        <v>29.541666666666671</v>
      </c>
      <c r="O70" s="35">
        <f t="shared" si="22"/>
        <v>5</v>
      </c>
      <c r="P70" s="35">
        <f t="shared" si="22"/>
        <v>203.98444481234367</v>
      </c>
      <c r="Q70" s="28">
        <f t="shared" si="22"/>
        <v>0.13166666666666668</v>
      </c>
      <c r="R70" s="28">
        <f t="shared" si="22"/>
        <v>3.2333333333333339E-2</v>
      </c>
      <c r="S70" s="14" t="s">
        <v>905</v>
      </c>
    </row>
    <row r="71" spans="3:20" ht="15.75" customHeight="1">
      <c r="D71" s="14" t="s">
        <v>95</v>
      </c>
      <c r="E71" s="293"/>
      <c r="F71" s="1182"/>
      <c r="G71" s="1176"/>
      <c r="H71" s="1176"/>
      <c r="I71" s="1183"/>
      <c r="J71" s="35">
        <f>MAX(J64:J67)</f>
        <v>6.0049999999999999</v>
      </c>
      <c r="K71" s="14" t="s">
        <v>905</v>
      </c>
      <c r="L71" s="35">
        <f t="shared" ref="L71:R71" si="23">MAX(L64:L67)</f>
        <v>35.166666666666664</v>
      </c>
      <c r="M71" s="35">
        <f t="shared" si="23"/>
        <v>7.5283333333333333</v>
      </c>
      <c r="N71" s="35">
        <f t="shared" si="23"/>
        <v>29.700000000000003</v>
      </c>
      <c r="O71" s="35">
        <f t="shared" si="23"/>
        <v>5</v>
      </c>
      <c r="P71" s="35">
        <f t="shared" si="23"/>
        <v>1234.3948581740519</v>
      </c>
      <c r="Q71" s="28">
        <f t="shared" si="23"/>
        <v>13.861166666666668</v>
      </c>
      <c r="R71" s="28">
        <f t="shared" si="23"/>
        <v>7.3833333333333348E-2</v>
      </c>
      <c r="S71" s="14" t="s">
        <v>905</v>
      </c>
    </row>
    <row r="72" spans="3:20" ht="15.75" customHeight="1">
      <c r="D72" s="14" t="s">
        <v>96</v>
      </c>
      <c r="E72" s="292"/>
      <c r="F72" s="1184"/>
      <c r="G72" s="1159"/>
      <c r="H72" s="1159"/>
      <c r="I72" s="1185"/>
      <c r="J72" s="118" t="s">
        <v>906</v>
      </c>
      <c r="K72" s="118" t="s">
        <v>905</v>
      </c>
      <c r="L72" s="118" t="s">
        <v>907</v>
      </c>
      <c r="M72" s="118" t="s">
        <v>908</v>
      </c>
      <c r="N72" s="29" t="s">
        <v>909</v>
      </c>
      <c r="O72" s="118" t="s">
        <v>699</v>
      </c>
      <c r="P72" s="118" t="s">
        <v>700</v>
      </c>
      <c r="Q72" s="118" t="s">
        <v>910</v>
      </c>
      <c r="R72" s="118" t="s">
        <v>911</v>
      </c>
      <c r="S72" s="118" t="s">
        <v>905</v>
      </c>
    </row>
    <row r="75" spans="3:20" ht="15" customHeight="1">
      <c r="D75" s="232" t="s">
        <v>175</v>
      </c>
      <c r="E75" s="232"/>
      <c r="F75" s="232"/>
      <c r="G75" s="232"/>
      <c r="H75" s="232"/>
      <c r="I75" s="232"/>
      <c r="J75" s="232"/>
      <c r="K75" s="232"/>
      <c r="L75" s="232"/>
      <c r="M75" s="232"/>
      <c r="N75" s="232"/>
      <c r="O75" s="232"/>
      <c r="P75" s="232"/>
      <c r="Q75" s="232"/>
      <c r="R75" s="232"/>
      <c r="S75" s="232"/>
    </row>
    <row r="76" spans="3:20" ht="15" customHeight="1">
      <c r="C76" s="232"/>
      <c r="D76" s="873" t="s">
        <v>1467</v>
      </c>
      <c r="E76" s="874"/>
      <c r="F76" s="874"/>
      <c r="G76" s="874"/>
      <c r="H76" s="874"/>
      <c r="I76" s="874"/>
      <c r="J76" s="874"/>
      <c r="K76" s="874"/>
      <c r="L76" s="874"/>
      <c r="M76" s="874"/>
      <c r="N76" s="874"/>
      <c r="O76" s="874"/>
      <c r="P76" s="874"/>
      <c r="Q76" s="874"/>
      <c r="R76" s="874"/>
      <c r="S76" s="875"/>
      <c r="T76" s="232"/>
    </row>
    <row r="77" spans="3:20" ht="15" customHeight="1">
      <c r="C77" s="232"/>
      <c r="D77" s="876"/>
      <c r="E77" s="877"/>
      <c r="F77" s="877"/>
      <c r="G77" s="877"/>
      <c r="H77" s="877"/>
      <c r="I77" s="877"/>
      <c r="J77" s="877"/>
      <c r="K77" s="877"/>
      <c r="L77" s="877"/>
      <c r="M77" s="877"/>
      <c r="N77" s="877"/>
      <c r="O77" s="877"/>
      <c r="P77" s="877"/>
      <c r="Q77" s="877"/>
      <c r="R77" s="877"/>
      <c r="S77" s="878"/>
      <c r="T77" s="232"/>
    </row>
    <row r="78" spans="3:20" ht="15" customHeight="1">
      <c r="C78" s="232"/>
      <c r="D78" s="876"/>
      <c r="E78" s="877"/>
      <c r="F78" s="877"/>
      <c r="G78" s="877"/>
      <c r="H78" s="877"/>
      <c r="I78" s="877"/>
      <c r="J78" s="877"/>
      <c r="K78" s="877"/>
      <c r="L78" s="877"/>
      <c r="M78" s="877"/>
      <c r="N78" s="877"/>
      <c r="O78" s="877"/>
      <c r="P78" s="877"/>
      <c r="Q78" s="877"/>
      <c r="R78" s="877"/>
      <c r="S78" s="878"/>
      <c r="T78" s="232"/>
    </row>
    <row r="79" spans="3:20" ht="15" customHeight="1">
      <c r="C79" s="232"/>
      <c r="D79" s="876"/>
      <c r="E79" s="877"/>
      <c r="F79" s="877"/>
      <c r="G79" s="877"/>
      <c r="H79" s="877"/>
      <c r="I79" s="877"/>
      <c r="J79" s="877"/>
      <c r="K79" s="877"/>
      <c r="L79" s="877"/>
      <c r="M79" s="877"/>
      <c r="N79" s="877"/>
      <c r="O79" s="877"/>
      <c r="P79" s="877"/>
      <c r="Q79" s="877"/>
      <c r="R79" s="877"/>
      <c r="S79" s="878"/>
      <c r="T79" s="232"/>
    </row>
    <row r="80" spans="3:20" ht="15" customHeight="1">
      <c r="C80" s="232"/>
      <c r="D80" s="876"/>
      <c r="E80" s="877"/>
      <c r="F80" s="877"/>
      <c r="G80" s="877"/>
      <c r="H80" s="877"/>
      <c r="I80" s="877"/>
      <c r="J80" s="877"/>
      <c r="K80" s="877"/>
      <c r="L80" s="877"/>
      <c r="M80" s="877"/>
      <c r="N80" s="877"/>
      <c r="O80" s="877"/>
      <c r="P80" s="877"/>
      <c r="Q80" s="877"/>
      <c r="R80" s="877"/>
      <c r="S80" s="878"/>
      <c r="T80" s="232"/>
    </row>
    <row r="81" spans="3:20" ht="15" customHeight="1">
      <c r="C81" s="232"/>
      <c r="D81" s="876"/>
      <c r="E81" s="877"/>
      <c r="F81" s="877"/>
      <c r="G81" s="877"/>
      <c r="H81" s="877"/>
      <c r="I81" s="877"/>
      <c r="J81" s="877"/>
      <c r="K81" s="877"/>
      <c r="L81" s="877"/>
      <c r="M81" s="877"/>
      <c r="N81" s="877"/>
      <c r="O81" s="877"/>
      <c r="P81" s="877"/>
      <c r="Q81" s="877"/>
      <c r="R81" s="877"/>
      <c r="S81" s="878"/>
      <c r="T81" s="232"/>
    </row>
    <row r="82" spans="3:20" ht="15" customHeight="1">
      <c r="C82" s="232"/>
      <c r="D82" s="876"/>
      <c r="E82" s="877"/>
      <c r="F82" s="877"/>
      <c r="G82" s="877"/>
      <c r="H82" s="877"/>
      <c r="I82" s="877"/>
      <c r="J82" s="877"/>
      <c r="K82" s="877"/>
      <c r="L82" s="877"/>
      <c r="M82" s="877"/>
      <c r="N82" s="877"/>
      <c r="O82" s="877"/>
      <c r="P82" s="877"/>
      <c r="Q82" s="877"/>
      <c r="R82" s="877"/>
      <c r="S82" s="878"/>
      <c r="T82" s="232"/>
    </row>
    <row r="83" spans="3:20" ht="15" customHeight="1">
      <c r="C83" s="232"/>
      <c r="D83" s="876"/>
      <c r="E83" s="877"/>
      <c r="F83" s="877"/>
      <c r="G83" s="877"/>
      <c r="H83" s="877"/>
      <c r="I83" s="877"/>
      <c r="J83" s="877"/>
      <c r="K83" s="877"/>
      <c r="L83" s="877"/>
      <c r="M83" s="877"/>
      <c r="N83" s="877"/>
      <c r="O83" s="877"/>
      <c r="P83" s="877"/>
      <c r="Q83" s="877"/>
      <c r="R83" s="877"/>
      <c r="S83" s="878"/>
      <c r="T83" s="232"/>
    </row>
    <row r="84" spans="3:20" ht="15" customHeight="1">
      <c r="C84" s="232"/>
      <c r="D84" s="876"/>
      <c r="E84" s="877"/>
      <c r="F84" s="877"/>
      <c r="G84" s="877"/>
      <c r="H84" s="877"/>
      <c r="I84" s="877"/>
      <c r="J84" s="877"/>
      <c r="K84" s="877"/>
      <c r="L84" s="877"/>
      <c r="M84" s="877"/>
      <c r="N84" s="877"/>
      <c r="O84" s="877"/>
      <c r="P84" s="877"/>
      <c r="Q84" s="877"/>
      <c r="R84" s="877"/>
      <c r="S84" s="878"/>
      <c r="T84" s="232"/>
    </row>
    <row r="85" spans="3:20" ht="15" customHeight="1">
      <c r="C85" s="232"/>
      <c r="D85" s="876"/>
      <c r="E85" s="877"/>
      <c r="F85" s="877"/>
      <c r="G85" s="877"/>
      <c r="H85" s="877"/>
      <c r="I85" s="877"/>
      <c r="J85" s="877"/>
      <c r="K85" s="877"/>
      <c r="L85" s="877"/>
      <c r="M85" s="877"/>
      <c r="N85" s="877"/>
      <c r="O85" s="877"/>
      <c r="P85" s="877"/>
      <c r="Q85" s="877"/>
      <c r="R85" s="877"/>
      <c r="S85" s="878"/>
      <c r="T85" s="232"/>
    </row>
    <row r="86" spans="3:20" ht="15" customHeight="1">
      <c r="C86" s="232"/>
      <c r="D86" s="876"/>
      <c r="E86" s="877"/>
      <c r="F86" s="877"/>
      <c r="G86" s="877"/>
      <c r="H86" s="877"/>
      <c r="I86" s="877"/>
      <c r="J86" s="877"/>
      <c r="K86" s="877"/>
      <c r="L86" s="877"/>
      <c r="M86" s="877"/>
      <c r="N86" s="877"/>
      <c r="O86" s="877"/>
      <c r="P86" s="877"/>
      <c r="Q86" s="877"/>
      <c r="R86" s="877"/>
      <c r="S86" s="878"/>
      <c r="T86" s="232"/>
    </row>
    <row r="87" spans="3:20" ht="15" customHeight="1">
      <c r="C87" s="232"/>
      <c r="D87" s="879"/>
      <c r="E87" s="880"/>
      <c r="F87" s="880"/>
      <c r="G87" s="880"/>
      <c r="H87" s="880"/>
      <c r="I87" s="880"/>
      <c r="J87" s="880"/>
      <c r="K87" s="880"/>
      <c r="L87" s="880"/>
      <c r="M87" s="880"/>
      <c r="N87" s="880"/>
      <c r="O87" s="880"/>
      <c r="P87" s="880"/>
      <c r="Q87" s="880"/>
      <c r="R87" s="880"/>
      <c r="S87" s="881"/>
      <c r="T87" s="232"/>
    </row>
    <row r="88" spans="3:20" ht="15" customHeight="1">
      <c r="D88" s="232"/>
      <c r="E88" s="232"/>
      <c r="F88" s="232"/>
      <c r="G88" s="232"/>
      <c r="H88" s="232"/>
      <c r="I88" s="232"/>
      <c r="J88" s="232"/>
      <c r="K88" s="232"/>
      <c r="L88" s="232"/>
      <c r="M88" s="232"/>
      <c r="N88" s="232"/>
      <c r="O88" s="232"/>
      <c r="P88" s="232"/>
      <c r="Q88" s="232"/>
      <c r="R88" s="232"/>
      <c r="S88" s="232"/>
    </row>
  </sheetData>
  <mergeCells count="24">
    <mergeCell ref="D76:S87"/>
    <mergeCell ref="C1:S1"/>
    <mergeCell ref="C2:S2"/>
    <mergeCell ref="C3:S3"/>
    <mergeCell ref="C4:S4"/>
    <mergeCell ref="C5:S5"/>
    <mergeCell ref="D45:S45"/>
    <mergeCell ref="D46:S46"/>
    <mergeCell ref="D47:I47"/>
    <mergeCell ref="J47:S47"/>
    <mergeCell ref="D49:D52"/>
    <mergeCell ref="F49:F52"/>
    <mergeCell ref="G49:G52"/>
    <mergeCell ref="D53:S53"/>
    <mergeCell ref="F54:I57"/>
    <mergeCell ref="G64:G67"/>
    <mergeCell ref="F69:I72"/>
    <mergeCell ref="D60:S60"/>
    <mergeCell ref="D61:S61"/>
    <mergeCell ref="D62:I62"/>
    <mergeCell ref="J62:S62"/>
    <mergeCell ref="D64:D67"/>
    <mergeCell ref="F64:F67"/>
    <mergeCell ref="D68:S68"/>
  </mergeCells>
  <phoneticPr fontId="18" type="noConversion"/>
  <pageMargins left="0.7" right="0.7" top="0.75" bottom="0.75" header="0" footer="0"/>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39997558519241921"/>
  </sheetPr>
  <dimension ref="A1:T93"/>
  <sheetViews>
    <sheetView workbookViewId="0">
      <pane xSplit="4" topLeftCell="E7" activePane="topRight" state="frozen"/>
      <selection pane="topRight" activeCell="R27" sqref="R27:R30"/>
      <selection activeCell="A7" sqref="A7"/>
    </sheetView>
  </sheetViews>
  <sheetFormatPr defaultColWidth="14.42578125" defaultRowHeight="15" customHeight="1"/>
  <cols>
    <col min="1" max="1" width="9.140625" customWidth="1"/>
    <col min="2" max="2" width="29.42578125" customWidth="1"/>
    <col min="3" max="3" width="9.140625" customWidth="1"/>
    <col min="4" max="5" width="32.5703125" customWidth="1"/>
    <col min="6" max="6" width="12.140625" customWidth="1"/>
    <col min="7" max="7" width="13.28515625" customWidth="1"/>
    <col min="8" max="8" width="10.42578125" customWidth="1"/>
    <col min="9" max="9" width="11.85546875" customWidth="1"/>
    <col min="10" max="10" width="12.140625" customWidth="1"/>
    <col min="11" max="11" width="11.140625" customWidth="1"/>
    <col min="12" max="12" width="13.140625" customWidth="1"/>
    <col min="13" max="13" width="9.7109375" customWidth="1"/>
    <col min="14" max="14" width="14" customWidth="1"/>
    <col min="15" max="15" width="12" customWidth="1"/>
    <col min="16" max="16" width="13" customWidth="1"/>
    <col min="17" max="17" width="13.140625" customWidth="1"/>
    <col min="18" max="18" width="17.42578125" customWidth="1"/>
    <col min="19" max="19" width="9.140625" customWidth="1"/>
    <col min="20" max="20" width="7.85546875" hidden="1" customWidth="1"/>
    <col min="21" max="22" width="9.140625" customWidth="1"/>
    <col min="23" max="27" width="8.7109375" customWidth="1"/>
  </cols>
  <sheetData>
    <row r="1" spans="1:20">
      <c r="A1" s="60"/>
      <c r="B1" s="168"/>
      <c r="C1" s="892" t="s">
        <v>40</v>
      </c>
      <c r="D1" s="1160"/>
      <c r="E1" s="1160"/>
      <c r="F1" s="1160"/>
      <c r="G1" s="1160"/>
      <c r="H1" s="1160"/>
      <c r="I1" s="1160"/>
      <c r="J1" s="1160"/>
      <c r="K1" s="1160"/>
      <c r="L1" s="1160"/>
      <c r="M1" s="1160"/>
      <c r="N1" s="1160"/>
      <c r="O1" s="1160"/>
      <c r="P1" s="1160"/>
      <c r="Q1" s="1160"/>
      <c r="R1" s="1160"/>
      <c r="S1" s="1160"/>
    </row>
    <row r="2" spans="1:20">
      <c r="A2" s="138"/>
      <c r="B2" s="93"/>
      <c r="C2" s="868" t="s">
        <v>41</v>
      </c>
      <c r="D2" s="1158"/>
      <c r="E2" s="1158"/>
      <c r="F2" s="1158"/>
      <c r="G2" s="1158"/>
      <c r="H2" s="1158"/>
      <c r="I2" s="1158"/>
      <c r="J2" s="1158"/>
      <c r="K2" s="1158"/>
      <c r="L2" s="1158"/>
      <c r="M2" s="1158"/>
      <c r="N2" s="1158"/>
      <c r="O2" s="1158"/>
      <c r="P2" s="1158"/>
      <c r="Q2" s="1158"/>
      <c r="R2" s="1158"/>
      <c r="S2" s="1158"/>
    </row>
    <row r="3" spans="1:20">
      <c r="A3" s="139"/>
      <c r="B3" s="86"/>
      <c r="C3" s="869" t="s">
        <v>42</v>
      </c>
      <c r="D3" s="1159"/>
      <c r="E3" s="1159"/>
      <c r="F3" s="1159"/>
      <c r="G3" s="1159"/>
      <c r="H3" s="1159"/>
      <c r="I3" s="1159"/>
      <c r="J3" s="1159"/>
      <c r="K3" s="1159"/>
      <c r="L3" s="1159"/>
      <c r="M3" s="1159"/>
      <c r="N3" s="1159"/>
      <c r="O3" s="1159"/>
      <c r="P3" s="1159"/>
      <c r="Q3" s="1159"/>
      <c r="R3" s="1159"/>
      <c r="S3" s="1159"/>
    </row>
    <row r="4" spans="1:20">
      <c r="A4" s="140"/>
      <c r="B4" s="141"/>
      <c r="C4" s="870" t="s">
        <v>1468</v>
      </c>
      <c r="D4" s="1160"/>
      <c r="E4" s="1160"/>
      <c r="F4" s="1160"/>
      <c r="G4" s="1160"/>
      <c r="H4" s="1160"/>
      <c r="I4" s="1160"/>
      <c r="J4" s="1160"/>
      <c r="K4" s="1160"/>
      <c r="L4" s="1160"/>
      <c r="M4" s="1160"/>
      <c r="N4" s="1160"/>
      <c r="O4" s="1160"/>
      <c r="P4" s="1160"/>
      <c r="Q4" s="1160"/>
      <c r="R4" s="1160"/>
      <c r="S4" s="1160"/>
    </row>
    <row r="5" spans="1:20">
      <c r="A5" s="2"/>
      <c r="B5" s="142"/>
      <c r="C5" s="871" t="s">
        <v>1356</v>
      </c>
      <c r="D5" s="1159"/>
      <c r="E5" s="1159"/>
      <c r="F5" s="1159"/>
      <c r="G5" s="1159"/>
      <c r="H5" s="1159"/>
      <c r="I5" s="1159"/>
      <c r="J5" s="1159"/>
      <c r="K5" s="1159"/>
      <c r="L5" s="1159"/>
      <c r="M5" s="1159"/>
      <c r="N5" s="1159"/>
      <c r="O5" s="1159"/>
      <c r="P5" s="1159"/>
      <c r="Q5" s="1159"/>
      <c r="R5" s="1159"/>
      <c r="S5" s="1159"/>
    </row>
    <row r="6" spans="1:20">
      <c r="A6" s="3" t="s">
        <v>45</v>
      </c>
      <c r="B6" s="4" t="s">
        <v>46</v>
      </c>
      <c r="C6" s="4" t="s">
        <v>47</v>
      </c>
      <c r="D6" s="4" t="s">
        <v>48</v>
      </c>
      <c r="E6" s="4" t="s">
        <v>49</v>
      </c>
      <c r="F6" s="5" t="s">
        <v>50</v>
      </c>
      <c r="G6" s="5" t="s">
        <v>51</v>
      </c>
      <c r="H6" s="4" t="s">
        <v>52</v>
      </c>
      <c r="I6" s="5" t="s">
        <v>53</v>
      </c>
      <c r="J6" s="5" t="s">
        <v>54</v>
      </c>
      <c r="K6" s="4" t="s">
        <v>55</v>
      </c>
      <c r="L6" s="4" t="s">
        <v>56</v>
      </c>
      <c r="M6" s="4" t="s">
        <v>57</v>
      </c>
      <c r="N6" s="4" t="s">
        <v>58</v>
      </c>
      <c r="O6" s="4" t="s">
        <v>59</v>
      </c>
      <c r="P6" s="4" t="s">
        <v>60</v>
      </c>
      <c r="Q6" s="4" t="s">
        <v>61</v>
      </c>
      <c r="R6" s="170" t="s">
        <v>62</v>
      </c>
      <c r="S6" s="179" t="s">
        <v>63</v>
      </c>
      <c r="T6" s="253" t="s">
        <v>64</v>
      </c>
    </row>
    <row r="7" spans="1:20">
      <c r="A7" s="144" t="s">
        <v>65</v>
      </c>
      <c r="B7" s="6" t="s">
        <v>66</v>
      </c>
      <c r="C7" s="145">
        <v>1</v>
      </c>
      <c r="D7" s="209" t="s">
        <v>1469</v>
      </c>
      <c r="E7" s="209" t="s">
        <v>1470</v>
      </c>
      <c r="F7" s="212">
        <v>7.8</v>
      </c>
      <c r="G7" s="212">
        <v>5.07</v>
      </c>
      <c r="H7" s="212">
        <v>4.9000000000000004</v>
      </c>
      <c r="I7" s="212">
        <v>4.5999999999999996</v>
      </c>
      <c r="J7" s="212">
        <v>4.17</v>
      </c>
      <c r="K7" s="212">
        <v>6.71</v>
      </c>
      <c r="L7" s="212">
        <v>6.51</v>
      </c>
      <c r="M7" s="212">
        <v>5.65</v>
      </c>
      <c r="N7" s="212">
        <v>6.72</v>
      </c>
      <c r="O7" s="212">
        <v>5.7</v>
      </c>
      <c r="P7" s="212">
        <v>5.83</v>
      </c>
      <c r="Q7" s="212">
        <v>6.61</v>
      </c>
      <c r="R7" s="154">
        <f t="shared" ref="R7:R26" si="0">IFERROR(AVERAGE(F7:Q7), 0)</f>
        <v>5.8558333333333339</v>
      </c>
      <c r="S7" s="182">
        <v>6</v>
      </c>
      <c r="T7" s="251" t="s">
        <v>1471</v>
      </c>
    </row>
    <row r="8" spans="1:20">
      <c r="A8" s="9"/>
      <c r="B8" s="10" t="s">
        <v>66</v>
      </c>
      <c r="C8" s="11">
        <v>2</v>
      </c>
      <c r="D8" s="121" t="s">
        <v>1472</v>
      </c>
      <c r="E8" s="121" t="s">
        <v>1473</v>
      </c>
      <c r="F8" s="18">
        <v>7.9</v>
      </c>
      <c r="G8" s="18">
        <v>5.18</v>
      </c>
      <c r="H8" s="18">
        <v>4.72</v>
      </c>
      <c r="I8" s="18">
        <v>4.78</v>
      </c>
      <c r="J8" s="18">
        <v>5.18</v>
      </c>
      <c r="K8" s="18">
        <v>6.83</v>
      </c>
      <c r="L8" s="18">
        <v>5.9996</v>
      </c>
      <c r="M8" s="18">
        <v>5.0999999999999996</v>
      </c>
      <c r="N8" s="18">
        <v>6.53</v>
      </c>
      <c r="O8" s="18">
        <v>6.01</v>
      </c>
      <c r="P8" s="18">
        <v>5.73</v>
      </c>
      <c r="Q8" s="18">
        <v>6.68</v>
      </c>
      <c r="R8" s="35">
        <f t="shared" si="0"/>
        <v>5.8866333333333332</v>
      </c>
      <c r="S8" s="122">
        <v>6</v>
      </c>
      <c r="T8" s="251" t="s">
        <v>1474</v>
      </c>
    </row>
    <row r="9" spans="1:20">
      <c r="A9" s="9"/>
      <c r="B9" s="10" t="s">
        <v>66</v>
      </c>
      <c r="C9" s="11">
        <v>3</v>
      </c>
      <c r="D9" s="121" t="s">
        <v>1475</v>
      </c>
      <c r="E9" s="121" t="s">
        <v>1473</v>
      </c>
      <c r="F9" s="18">
        <v>7.8</v>
      </c>
      <c r="G9" s="18">
        <v>5.03</v>
      </c>
      <c r="H9" s="18">
        <v>4.58</v>
      </c>
      <c r="I9" s="18">
        <v>4.87</v>
      </c>
      <c r="J9" s="18">
        <v>4.8899999999999997</v>
      </c>
      <c r="K9" s="18">
        <v>6.63</v>
      </c>
      <c r="L9" s="18">
        <v>6.3</v>
      </c>
      <c r="M9" s="18">
        <v>5.56</v>
      </c>
      <c r="N9" s="18">
        <v>6.59</v>
      </c>
      <c r="O9" s="18">
        <v>6.13</v>
      </c>
      <c r="P9" s="18">
        <v>5.97</v>
      </c>
      <c r="Q9" s="18">
        <v>5.93</v>
      </c>
      <c r="R9" s="35">
        <f t="shared" si="0"/>
        <v>5.8566666666666665</v>
      </c>
      <c r="S9" s="14">
        <v>6</v>
      </c>
      <c r="T9" s="251" t="s">
        <v>1476</v>
      </c>
    </row>
    <row r="10" spans="1:20">
      <c r="A10" s="9"/>
      <c r="B10" s="10" t="s">
        <v>66</v>
      </c>
      <c r="C10" s="11">
        <v>4</v>
      </c>
      <c r="D10" s="121" t="s">
        <v>1477</v>
      </c>
      <c r="E10" s="121" t="s">
        <v>1478</v>
      </c>
      <c r="F10" s="18">
        <v>8.6</v>
      </c>
      <c r="G10" s="18">
        <v>5.1100000000000003</v>
      </c>
      <c r="H10" s="18">
        <v>5.01</v>
      </c>
      <c r="I10" s="18">
        <v>5.01</v>
      </c>
      <c r="J10" s="18">
        <v>5.09</v>
      </c>
      <c r="K10" s="18">
        <v>6.58</v>
      </c>
      <c r="L10" s="18">
        <v>6.59</v>
      </c>
      <c r="M10" s="18">
        <v>5.56</v>
      </c>
      <c r="N10" s="18">
        <v>5.7</v>
      </c>
      <c r="O10" s="18">
        <v>6.1</v>
      </c>
      <c r="P10" s="18">
        <v>5.79</v>
      </c>
      <c r="Q10" s="18">
        <v>5.9</v>
      </c>
      <c r="R10" s="35">
        <f t="shared" si="0"/>
        <v>5.9200000000000008</v>
      </c>
      <c r="S10" s="14">
        <v>6</v>
      </c>
      <c r="T10" s="251" t="s">
        <v>1479</v>
      </c>
    </row>
    <row r="11" spans="1:20">
      <c r="A11" s="9"/>
      <c r="B11" s="149" t="s">
        <v>92</v>
      </c>
      <c r="C11" s="145">
        <v>1</v>
      </c>
      <c r="D11" s="209" t="s">
        <v>1469</v>
      </c>
      <c r="E11" s="209" t="s">
        <v>1470</v>
      </c>
      <c r="F11" s="213">
        <v>12</v>
      </c>
      <c r="G11" s="212">
        <v>17</v>
      </c>
      <c r="H11" s="212">
        <v>22</v>
      </c>
      <c r="I11" s="212">
        <v>8</v>
      </c>
      <c r="J11" s="212">
        <v>12</v>
      </c>
      <c r="K11" s="212">
        <v>35</v>
      </c>
      <c r="L11" s="212">
        <v>27</v>
      </c>
      <c r="M11" s="212">
        <v>47</v>
      </c>
      <c r="N11" s="212">
        <v>84</v>
      </c>
      <c r="O11" s="212">
        <v>24</v>
      </c>
      <c r="P11" s="212">
        <v>30</v>
      </c>
      <c r="Q11" s="212">
        <v>53</v>
      </c>
      <c r="R11" s="48">
        <f t="shared" si="0"/>
        <v>30.916666666666668</v>
      </c>
      <c r="S11" s="8">
        <v>50</v>
      </c>
      <c r="T11" s="251" t="s">
        <v>1471</v>
      </c>
    </row>
    <row r="12" spans="1:20">
      <c r="A12" s="9"/>
      <c r="B12" s="10" t="s">
        <v>92</v>
      </c>
      <c r="C12" s="11">
        <v>2</v>
      </c>
      <c r="D12" s="121" t="s">
        <v>1472</v>
      </c>
      <c r="E12" s="121" t="s">
        <v>1473</v>
      </c>
      <c r="F12" s="117">
        <v>11</v>
      </c>
      <c r="G12" s="18">
        <v>13</v>
      </c>
      <c r="H12" s="18">
        <v>15</v>
      </c>
      <c r="I12" s="18">
        <v>12</v>
      </c>
      <c r="J12" s="18">
        <v>6</v>
      </c>
      <c r="K12" s="18">
        <v>32</v>
      </c>
      <c r="L12" s="18">
        <v>54</v>
      </c>
      <c r="M12" s="18">
        <v>50</v>
      </c>
      <c r="N12" s="18">
        <v>81</v>
      </c>
      <c r="O12" s="18">
        <v>35</v>
      </c>
      <c r="P12" s="18">
        <v>36</v>
      </c>
      <c r="Q12" s="18">
        <v>59</v>
      </c>
      <c r="R12" s="35">
        <f t="shared" si="0"/>
        <v>33.666666666666664</v>
      </c>
      <c r="S12" s="14">
        <v>50</v>
      </c>
      <c r="T12" s="251" t="s">
        <v>1474</v>
      </c>
    </row>
    <row r="13" spans="1:20">
      <c r="A13" s="9"/>
      <c r="B13" s="10" t="s">
        <v>92</v>
      </c>
      <c r="C13" s="11">
        <v>3</v>
      </c>
      <c r="D13" s="121" t="s">
        <v>1475</v>
      </c>
      <c r="E13" s="121" t="s">
        <v>1473</v>
      </c>
      <c r="F13" s="117">
        <v>8</v>
      </c>
      <c r="G13" s="18">
        <v>13</v>
      </c>
      <c r="H13" s="18">
        <v>15</v>
      </c>
      <c r="I13" s="18">
        <v>11</v>
      </c>
      <c r="J13" s="18">
        <v>10</v>
      </c>
      <c r="K13" s="18">
        <v>32</v>
      </c>
      <c r="L13" s="18">
        <v>39</v>
      </c>
      <c r="M13" s="18">
        <v>62</v>
      </c>
      <c r="N13" s="18">
        <v>99</v>
      </c>
      <c r="O13" s="18">
        <v>38</v>
      </c>
      <c r="P13" s="18">
        <v>33</v>
      </c>
      <c r="Q13" s="18">
        <v>81</v>
      </c>
      <c r="R13" s="35">
        <f t="shared" si="0"/>
        <v>36.75</v>
      </c>
      <c r="S13" s="14">
        <v>50</v>
      </c>
      <c r="T13" s="251" t="s">
        <v>1476</v>
      </c>
    </row>
    <row r="14" spans="1:20" ht="15.75" customHeight="1">
      <c r="A14" s="9"/>
      <c r="B14" s="10" t="s">
        <v>92</v>
      </c>
      <c r="C14" s="11">
        <v>4</v>
      </c>
      <c r="D14" s="121" t="s">
        <v>1477</v>
      </c>
      <c r="E14" s="121" t="s">
        <v>1478</v>
      </c>
      <c r="F14" s="117">
        <v>8</v>
      </c>
      <c r="G14" s="18">
        <v>9</v>
      </c>
      <c r="H14" s="18">
        <v>18</v>
      </c>
      <c r="I14" s="18">
        <v>9</v>
      </c>
      <c r="J14" s="18">
        <v>9</v>
      </c>
      <c r="K14" s="18">
        <v>27</v>
      </c>
      <c r="L14" s="18">
        <v>21</v>
      </c>
      <c r="M14" s="18">
        <v>56</v>
      </c>
      <c r="N14" s="18">
        <v>85</v>
      </c>
      <c r="O14" s="18">
        <v>41</v>
      </c>
      <c r="P14" s="18">
        <v>38</v>
      </c>
      <c r="Q14" s="18">
        <v>52</v>
      </c>
      <c r="R14" s="35">
        <f t="shared" si="0"/>
        <v>31.083333333333332</v>
      </c>
      <c r="S14" s="14">
        <v>50</v>
      </c>
      <c r="T14" s="251" t="s">
        <v>1479</v>
      </c>
    </row>
    <row r="15" spans="1:20" ht="15.75" customHeight="1">
      <c r="A15" s="9"/>
      <c r="B15" s="149" t="s">
        <v>7</v>
      </c>
      <c r="C15" s="145">
        <v>1</v>
      </c>
      <c r="D15" s="209" t="s">
        <v>1469</v>
      </c>
      <c r="E15" s="209" t="s">
        <v>1470</v>
      </c>
      <c r="F15" s="212">
        <v>7.13</v>
      </c>
      <c r="G15" s="212">
        <v>7.1</v>
      </c>
      <c r="H15" s="212">
        <v>7.23</v>
      </c>
      <c r="I15" s="212">
        <v>7.08</v>
      </c>
      <c r="J15" s="212">
        <v>7.26</v>
      </c>
      <c r="K15" s="212">
        <v>7.22</v>
      </c>
      <c r="L15" s="212">
        <v>7.25</v>
      </c>
      <c r="M15" s="212">
        <v>7.11</v>
      </c>
      <c r="N15" s="212">
        <v>7.93</v>
      </c>
      <c r="O15" s="212">
        <v>7.81</v>
      </c>
      <c r="P15" s="212">
        <v>7.67</v>
      </c>
      <c r="Q15" s="212">
        <v>7.67</v>
      </c>
      <c r="R15" s="48">
        <f t="shared" si="0"/>
        <v>7.371666666666667</v>
      </c>
      <c r="S15" s="114" t="s">
        <v>908</v>
      </c>
      <c r="T15" s="251" t="s">
        <v>1471</v>
      </c>
    </row>
    <row r="16" spans="1:20" ht="15.75" customHeight="1">
      <c r="A16" s="9"/>
      <c r="B16" s="10" t="s">
        <v>7</v>
      </c>
      <c r="C16" s="11">
        <v>2</v>
      </c>
      <c r="D16" s="121" t="s">
        <v>1472</v>
      </c>
      <c r="E16" s="121" t="s">
        <v>1473</v>
      </c>
      <c r="F16" s="18">
        <v>7.2</v>
      </c>
      <c r="G16" s="18">
        <v>7.15</v>
      </c>
      <c r="H16" s="18">
        <v>7.18</v>
      </c>
      <c r="I16" s="18">
        <v>7.1</v>
      </c>
      <c r="J16" s="18">
        <v>7.19</v>
      </c>
      <c r="K16" s="18">
        <v>7.25</v>
      </c>
      <c r="L16" s="18">
        <v>7.21</v>
      </c>
      <c r="M16" s="18">
        <v>7.1</v>
      </c>
      <c r="N16" s="18" t="s">
        <v>1480</v>
      </c>
      <c r="O16" s="18">
        <v>7.83</v>
      </c>
      <c r="P16" s="18">
        <v>7.7</v>
      </c>
      <c r="Q16" s="18">
        <v>7.73</v>
      </c>
      <c r="R16" s="35">
        <f t="shared" si="0"/>
        <v>7.3309090909090919</v>
      </c>
      <c r="S16" s="115" t="s">
        <v>908</v>
      </c>
      <c r="T16" s="251" t="s">
        <v>1474</v>
      </c>
    </row>
    <row r="17" spans="1:20" ht="15.75" customHeight="1">
      <c r="A17" s="9"/>
      <c r="B17" s="10" t="s">
        <v>7</v>
      </c>
      <c r="C17" s="11">
        <v>3</v>
      </c>
      <c r="D17" s="121" t="s">
        <v>1475</v>
      </c>
      <c r="E17" s="121" t="s">
        <v>1473</v>
      </c>
      <c r="F17" s="18">
        <v>7.18</v>
      </c>
      <c r="G17" s="18">
        <v>7.13</v>
      </c>
      <c r="H17" s="18">
        <v>7.21</v>
      </c>
      <c r="I17" s="18">
        <v>7.15</v>
      </c>
      <c r="J17" s="18">
        <v>7.2</v>
      </c>
      <c r="K17" s="18">
        <v>7.18</v>
      </c>
      <c r="L17" s="18">
        <v>7.25</v>
      </c>
      <c r="M17" s="18">
        <v>7.11</v>
      </c>
      <c r="N17" s="18">
        <v>7.92</v>
      </c>
      <c r="O17" s="18">
        <v>7.78</v>
      </c>
      <c r="P17" s="18">
        <v>7.77</v>
      </c>
      <c r="Q17" s="18">
        <v>7.69</v>
      </c>
      <c r="R17" s="35">
        <f t="shared" si="0"/>
        <v>7.3808333333333325</v>
      </c>
      <c r="S17" s="115" t="s">
        <v>908</v>
      </c>
      <c r="T17" s="251" t="s">
        <v>1476</v>
      </c>
    </row>
    <row r="18" spans="1:20" ht="15.75" customHeight="1">
      <c r="A18" s="9"/>
      <c r="B18" s="10" t="s">
        <v>7</v>
      </c>
      <c r="C18" s="11">
        <v>4</v>
      </c>
      <c r="D18" s="121" t="s">
        <v>1477</v>
      </c>
      <c r="E18" s="121" t="s">
        <v>1478</v>
      </c>
      <c r="F18" s="18">
        <v>7.2</v>
      </c>
      <c r="G18" s="18">
        <v>7.2</v>
      </c>
      <c r="H18" s="18">
        <v>7.25</v>
      </c>
      <c r="I18" s="18">
        <v>7.16</v>
      </c>
      <c r="J18" s="18">
        <v>7.18</v>
      </c>
      <c r="K18" s="18">
        <v>7.2</v>
      </c>
      <c r="L18" s="18">
        <v>7.28</v>
      </c>
      <c r="M18" s="18">
        <v>7.11</v>
      </c>
      <c r="N18" s="18">
        <v>7.8</v>
      </c>
      <c r="O18" s="18">
        <v>7.85</v>
      </c>
      <c r="P18" s="18">
        <v>7.78</v>
      </c>
      <c r="Q18" s="18">
        <v>7.69</v>
      </c>
      <c r="R18" s="35">
        <f t="shared" si="0"/>
        <v>7.3916666666666657</v>
      </c>
      <c r="S18" s="115" t="s">
        <v>908</v>
      </c>
      <c r="T18" s="251" t="s">
        <v>1479</v>
      </c>
    </row>
    <row r="19" spans="1:20" ht="15.75" customHeight="1">
      <c r="A19" s="9"/>
      <c r="B19" s="149" t="s">
        <v>108</v>
      </c>
      <c r="C19" s="145">
        <v>1</v>
      </c>
      <c r="D19" s="209" t="s">
        <v>1469</v>
      </c>
      <c r="E19" s="209" t="s">
        <v>1470</v>
      </c>
      <c r="F19" s="212">
        <v>27.8</v>
      </c>
      <c r="G19" s="212">
        <v>28.6</v>
      </c>
      <c r="H19" s="212">
        <v>29.3</v>
      </c>
      <c r="I19" s="212">
        <v>32.1</v>
      </c>
      <c r="J19" s="212">
        <v>29.9</v>
      </c>
      <c r="K19" s="212">
        <v>27.2</v>
      </c>
      <c r="L19" s="212">
        <v>28.8</v>
      </c>
      <c r="M19" s="212">
        <v>29.1</v>
      </c>
      <c r="N19" s="212">
        <v>28.2</v>
      </c>
      <c r="O19" s="212">
        <v>30.1</v>
      </c>
      <c r="P19" s="212">
        <v>29.1</v>
      </c>
      <c r="Q19" s="212">
        <v>29.2</v>
      </c>
      <c r="R19" s="48">
        <f t="shared" si="0"/>
        <v>29.116666666666671</v>
      </c>
      <c r="S19" s="17" t="s">
        <v>777</v>
      </c>
      <c r="T19" s="251" t="s">
        <v>1471</v>
      </c>
    </row>
    <row r="20" spans="1:20" ht="15.75" customHeight="1">
      <c r="A20" s="9"/>
      <c r="B20" s="10" t="s">
        <v>108</v>
      </c>
      <c r="C20" s="11">
        <v>2</v>
      </c>
      <c r="D20" s="121" t="s">
        <v>1472</v>
      </c>
      <c r="E20" s="121" t="s">
        <v>1473</v>
      </c>
      <c r="F20" s="18">
        <v>28</v>
      </c>
      <c r="G20" s="18">
        <v>28.7</v>
      </c>
      <c r="H20" s="18">
        <v>30.1</v>
      </c>
      <c r="I20" s="18">
        <v>31.9</v>
      </c>
      <c r="J20" s="18">
        <v>30</v>
      </c>
      <c r="K20" s="18">
        <v>27.4</v>
      </c>
      <c r="L20" s="18">
        <v>28.8</v>
      </c>
      <c r="M20" s="18">
        <v>29.1</v>
      </c>
      <c r="N20" s="18">
        <v>28.1</v>
      </c>
      <c r="O20" s="18">
        <v>30.1</v>
      </c>
      <c r="P20" s="18">
        <v>29.1</v>
      </c>
      <c r="Q20" s="18">
        <v>29.7</v>
      </c>
      <c r="R20" s="35">
        <f t="shared" si="0"/>
        <v>29.250000000000004</v>
      </c>
      <c r="S20" s="18" t="s">
        <v>777</v>
      </c>
      <c r="T20" s="251" t="s">
        <v>1474</v>
      </c>
    </row>
    <row r="21" spans="1:20" ht="15.75" customHeight="1">
      <c r="A21" s="9"/>
      <c r="B21" s="10" t="s">
        <v>108</v>
      </c>
      <c r="C21" s="11">
        <v>3</v>
      </c>
      <c r="D21" s="121" t="s">
        <v>1475</v>
      </c>
      <c r="E21" s="121" t="s">
        <v>1473</v>
      </c>
      <c r="F21" s="18">
        <v>28</v>
      </c>
      <c r="G21" s="18">
        <v>28.7</v>
      </c>
      <c r="H21" s="18">
        <v>30.5</v>
      </c>
      <c r="I21" s="18">
        <v>32</v>
      </c>
      <c r="J21" s="18">
        <v>30</v>
      </c>
      <c r="K21" s="18">
        <v>27.4</v>
      </c>
      <c r="L21" s="18">
        <v>28.1</v>
      </c>
      <c r="M21" s="18">
        <v>29.2</v>
      </c>
      <c r="N21" s="18">
        <v>28.1</v>
      </c>
      <c r="O21" s="18">
        <v>30.1</v>
      </c>
      <c r="P21" s="18">
        <v>29.3</v>
      </c>
      <c r="Q21" s="18">
        <v>29.8</v>
      </c>
      <c r="R21" s="35">
        <f t="shared" si="0"/>
        <v>29.266666666666669</v>
      </c>
      <c r="S21" s="18" t="s">
        <v>777</v>
      </c>
      <c r="T21" s="251" t="s">
        <v>1476</v>
      </c>
    </row>
    <row r="22" spans="1:20" ht="15.75" customHeight="1">
      <c r="A22" s="9"/>
      <c r="B22" s="10" t="s">
        <v>108</v>
      </c>
      <c r="C22" s="11">
        <v>4</v>
      </c>
      <c r="D22" s="121" t="s">
        <v>1477</v>
      </c>
      <c r="E22" s="121" t="s">
        <v>1478</v>
      </c>
      <c r="F22" s="18">
        <v>28.1</v>
      </c>
      <c r="G22" s="18">
        <v>28.6</v>
      </c>
      <c r="H22" s="18">
        <v>30.5</v>
      </c>
      <c r="I22" s="18">
        <v>32</v>
      </c>
      <c r="J22" s="18">
        <v>30.1</v>
      </c>
      <c r="K22" s="18">
        <v>27.8</v>
      </c>
      <c r="L22" s="18">
        <v>27.5</v>
      </c>
      <c r="M22" s="18">
        <v>28.8</v>
      </c>
      <c r="N22" s="18">
        <v>28</v>
      </c>
      <c r="O22" s="18">
        <v>30.1</v>
      </c>
      <c r="P22" s="18">
        <v>29.3</v>
      </c>
      <c r="Q22" s="18">
        <v>30</v>
      </c>
      <c r="R22" s="35">
        <f t="shared" si="0"/>
        <v>29.233333333333338</v>
      </c>
      <c r="S22" s="18" t="s">
        <v>777</v>
      </c>
      <c r="T22" s="251" t="s">
        <v>1479</v>
      </c>
    </row>
    <row r="23" spans="1:20" ht="15.75" customHeight="1">
      <c r="A23" s="9"/>
      <c r="B23" s="149" t="s">
        <v>110</v>
      </c>
      <c r="C23" s="145">
        <v>1</v>
      </c>
      <c r="D23" s="209" t="s">
        <v>1469</v>
      </c>
      <c r="E23" s="209" t="s">
        <v>1470</v>
      </c>
      <c r="F23" s="212">
        <v>5</v>
      </c>
      <c r="G23" s="212">
        <v>5</v>
      </c>
      <c r="H23" s="212">
        <v>5</v>
      </c>
      <c r="I23" s="212">
        <v>5</v>
      </c>
      <c r="J23" s="212">
        <v>5</v>
      </c>
      <c r="K23" s="212">
        <v>5</v>
      </c>
      <c r="L23" s="212">
        <v>5</v>
      </c>
      <c r="M23" s="212">
        <v>5</v>
      </c>
      <c r="N23" s="212">
        <v>5</v>
      </c>
      <c r="O23" s="212">
        <v>5</v>
      </c>
      <c r="P23" s="212">
        <v>5</v>
      </c>
      <c r="Q23" s="212">
        <v>5</v>
      </c>
      <c r="R23" s="48">
        <f t="shared" si="0"/>
        <v>5</v>
      </c>
      <c r="S23" s="116">
        <v>50</v>
      </c>
      <c r="T23" s="251" t="s">
        <v>1471</v>
      </c>
    </row>
    <row r="24" spans="1:20" ht="15.75" customHeight="1">
      <c r="A24" s="9"/>
      <c r="B24" s="10" t="s">
        <v>110</v>
      </c>
      <c r="C24" s="11">
        <v>2</v>
      </c>
      <c r="D24" s="121" t="s">
        <v>1472</v>
      </c>
      <c r="E24" s="121" t="s">
        <v>1473</v>
      </c>
      <c r="F24" s="18">
        <v>5</v>
      </c>
      <c r="G24" s="18">
        <v>5</v>
      </c>
      <c r="H24" s="18">
        <v>5</v>
      </c>
      <c r="I24" s="18">
        <v>5</v>
      </c>
      <c r="J24" s="18">
        <v>5</v>
      </c>
      <c r="K24" s="18">
        <v>5</v>
      </c>
      <c r="L24" s="18">
        <v>5</v>
      </c>
      <c r="M24" s="18">
        <v>5</v>
      </c>
      <c r="N24" s="18">
        <v>5</v>
      </c>
      <c r="O24" s="18">
        <v>5</v>
      </c>
      <c r="P24" s="18">
        <v>5</v>
      </c>
      <c r="Q24" s="18">
        <v>5</v>
      </c>
      <c r="R24" s="35">
        <f t="shared" si="0"/>
        <v>5</v>
      </c>
      <c r="S24" s="117">
        <v>50</v>
      </c>
      <c r="T24" s="251" t="s">
        <v>1474</v>
      </c>
    </row>
    <row r="25" spans="1:20" ht="15.75" customHeight="1">
      <c r="A25" s="9"/>
      <c r="B25" s="10" t="s">
        <v>110</v>
      </c>
      <c r="C25" s="11">
        <v>3</v>
      </c>
      <c r="D25" s="121" t="s">
        <v>1475</v>
      </c>
      <c r="E25" s="121" t="s">
        <v>1473</v>
      </c>
      <c r="F25" s="18">
        <v>5</v>
      </c>
      <c r="G25" s="18">
        <v>5</v>
      </c>
      <c r="H25" s="18">
        <v>5</v>
      </c>
      <c r="I25" s="18">
        <v>5</v>
      </c>
      <c r="J25" s="18">
        <v>5</v>
      </c>
      <c r="K25" s="18">
        <v>5</v>
      </c>
      <c r="L25" s="18">
        <v>5</v>
      </c>
      <c r="M25" s="18">
        <v>5</v>
      </c>
      <c r="N25" s="18">
        <v>5</v>
      </c>
      <c r="O25" s="18">
        <v>5</v>
      </c>
      <c r="P25" s="18">
        <v>5</v>
      </c>
      <c r="Q25" s="18">
        <v>5</v>
      </c>
      <c r="R25" s="35">
        <f t="shared" si="0"/>
        <v>5</v>
      </c>
      <c r="S25" s="117">
        <v>50</v>
      </c>
      <c r="T25" s="251" t="s">
        <v>1476</v>
      </c>
    </row>
    <row r="26" spans="1:20" ht="15.75" customHeight="1">
      <c r="A26" s="9"/>
      <c r="B26" s="10" t="s">
        <v>110</v>
      </c>
      <c r="C26" s="11">
        <v>4</v>
      </c>
      <c r="D26" s="121" t="s">
        <v>1477</v>
      </c>
      <c r="E26" s="121" t="s">
        <v>1478</v>
      </c>
      <c r="F26" s="18">
        <v>5</v>
      </c>
      <c r="G26" s="18">
        <v>5</v>
      </c>
      <c r="H26" s="18">
        <v>5</v>
      </c>
      <c r="I26" s="18">
        <v>5</v>
      </c>
      <c r="J26" s="18">
        <v>5</v>
      </c>
      <c r="K26" s="18">
        <v>5</v>
      </c>
      <c r="L26" s="18">
        <v>5</v>
      </c>
      <c r="M26" s="18">
        <v>5</v>
      </c>
      <c r="N26" s="18">
        <v>5</v>
      </c>
      <c r="O26" s="18">
        <v>5</v>
      </c>
      <c r="P26" s="18">
        <v>5</v>
      </c>
      <c r="Q26" s="18">
        <v>5</v>
      </c>
      <c r="R26" s="35">
        <f t="shared" si="0"/>
        <v>5</v>
      </c>
      <c r="S26" s="117">
        <v>50</v>
      </c>
      <c r="T26" s="251" t="s">
        <v>1479</v>
      </c>
    </row>
    <row r="27" spans="1:20" ht="15.75" customHeight="1">
      <c r="A27" s="9"/>
      <c r="B27" s="149" t="s">
        <v>111</v>
      </c>
      <c r="C27" s="145">
        <v>1</v>
      </c>
      <c r="D27" s="209" t="s">
        <v>1469</v>
      </c>
      <c r="E27" s="209" t="s">
        <v>1470</v>
      </c>
      <c r="F27" s="213">
        <v>49</v>
      </c>
      <c r="G27" s="212">
        <v>940</v>
      </c>
      <c r="H27" s="212">
        <v>130</v>
      </c>
      <c r="I27" s="212">
        <v>240</v>
      </c>
      <c r="J27" s="212">
        <v>46</v>
      </c>
      <c r="K27" s="212">
        <v>3500</v>
      </c>
      <c r="L27" s="212">
        <v>240</v>
      </c>
      <c r="M27" s="212">
        <v>49</v>
      </c>
      <c r="N27" s="212">
        <v>7900</v>
      </c>
      <c r="O27" s="212">
        <v>9.3000000000000007</v>
      </c>
      <c r="P27" s="212">
        <v>240</v>
      </c>
      <c r="Q27" s="212">
        <v>49</v>
      </c>
      <c r="R27" s="49">
        <f>IFERROR(GEOMEAN(F27:Q27), "")</f>
        <v>190.95707655672359</v>
      </c>
      <c r="S27" s="8">
        <v>100</v>
      </c>
      <c r="T27" s="251" t="s">
        <v>1471</v>
      </c>
    </row>
    <row r="28" spans="1:20" ht="15.75" customHeight="1">
      <c r="A28" s="9"/>
      <c r="B28" s="10" t="s">
        <v>111</v>
      </c>
      <c r="C28" s="11">
        <v>2</v>
      </c>
      <c r="D28" s="121" t="s">
        <v>1472</v>
      </c>
      <c r="E28" s="121" t="s">
        <v>1473</v>
      </c>
      <c r="F28" s="117">
        <v>33</v>
      </c>
      <c r="G28" s="18">
        <v>240</v>
      </c>
      <c r="H28" s="18">
        <v>79</v>
      </c>
      <c r="I28" s="18">
        <v>49</v>
      </c>
      <c r="J28" s="18">
        <v>240</v>
      </c>
      <c r="K28" s="18">
        <v>9200</v>
      </c>
      <c r="L28" s="275">
        <v>2400</v>
      </c>
      <c r="M28" s="18">
        <v>79</v>
      </c>
      <c r="N28" s="18">
        <v>3300</v>
      </c>
      <c r="O28" s="18">
        <v>22</v>
      </c>
      <c r="P28" s="18">
        <v>130</v>
      </c>
      <c r="Q28" s="18">
        <v>33</v>
      </c>
      <c r="R28" s="36">
        <f>IFERROR(GEOMEAN(F28:Q28), "")</f>
        <v>199.59437862418176</v>
      </c>
      <c r="S28" s="14">
        <v>100</v>
      </c>
      <c r="T28" s="251" t="s">
        <v>1474</v>
      </c>
    </row>
    <row r="29" spans="1:20" ht="15.75" customHeight="1">
      <c r="A29" s="9"/>
      <c r="B29" s="10" t="s">
        <v>111</v>
      </c>
      <c r="C29" s="11">
        <v>3</v>
      </c>
      <c r="D29" s="121" t="s">
        <v>1475</v>
      </c>
      <c r="E29" s="121" t="s">
        <v>1473</v>
      </c>
      <c r="F29" s="117">
        <v>280</v>
      </c>
      <c r="G29" s="18">
        <v>240</v>
      </c>
      <c r="H29" s="18">
        <v>46</v>
      </c>
      <c r="I29" s="18">
        <v>170</v>
      </c>
      <c r="J29" s="18">
        <v>350</v>
      </c>
      <c r="K29" s="18">
        <v>1700</v>
      </c>
      <c r="L29" s="18">
        <v>170</v>
      </c>
      <c r="M29" s="18">
        <v>130</v>
      </c>
      <c r="N29" s="18">
        <v>2300</v>
      </c>
      <c r="O29" s="18">
        <v>97</v>
      </c>
      <c r="P29" s="18">
        <v>540</v>
      </c>
      <c r="Q29" s="18">
        <v>350</v>
      </c>
      <c r="R29" s="36">
        <f>IFERROR(GEOMEAN(F29:Q29), "")</f>
        <v>285.34518815389276</v>
      </c>
      <c r="S29" s="14">
        <v>100</v>
      </c>
      <c r="T29" s="251" t="s">
        <v>1476</v>
      </c>
    </row>
    <row r="30" spans="1:20" ht="15.75" customHeight="1">
      <c r="A30" s="9"/>
      <c r="B30" s="10" t="s">
        <v>111</v>
      </c>
      <c r="C30" s="11">
        <v>4</v>
      </c>
      <c r="D30" s="121" t="s">
        <v>1477</v>
      </c>
      <c r="E30" s="121" t="s">
        <v>1478</v>
      </c>
      <c r="F30" s="117">
        <v>170</v>
      </c>
      <c r="G30" s="18">
        <v>13</v>
      </c>
      <c r="H30" s="18">
        <v>240</v>
      </c>
      <c r="I30" s="18">
        <v>12</v>
      </c>
      <c r="J30" s="18">
        <v>240</v>
      </c>
      <c r="K30" s="18">
        <v>1400</v>
      </c>
      <c r="L30" s="18">
        <v>540</v>
      </c>
      <c r="M30" s="18">
        <v>130</v>
      </c>
      <c r="N30" s="18">
        <v>3300</v>
      </c>
      <c r="O30" s="18">
        <v>7.8</v>
      </c>
      <c r="P30" s="18">
        <v>240</v>
      </c>
      <c r="Q30" s="18">
        <v>220</v>
      </c>
      <c r="R30" s="36">
        <f>IFERROR(GEOMEAN(F30:Q30), "")</f>
        <v>155.7669446453335</v>
      </c>
      <c r="S30" s="14">
        <v>100</v>
      </c>
      <c r="T30" s="251" t="s">
        <v>1479</v>
      </c>
    </row>
    <row r="31" spans="1:20" ht="15.75" customHeight="1">
      <c r="A31" s="9"/>
      <c r="B31" s="149" t="s">
        <v>113</v>
      </c>
      <c r="C31" s="145">
        <v>1</v>
      </c>
      <c r="D31" s="209" t="s">
        <v>1469</v>
      </c>
      <c r="E31" s="209" t="s">
        <v>1470</v>
      </c>
      <c r="F31" s="214">
        <v>0.10199999999999999</v>
      </c>
      <c r="G31" s="214">
        <v>0.23100000000000001</v>
      </c>
      <c r="H31" s="214">
        <v>0.26300000000000001</v>
      </c>
      <c r="I31" s="214">
        <v>3.4000000000000002E-2</v>
      </c>
      <c r="J31" s="214">
        <v>4.2999999999999997E-2</v>
      </c>
      <c r="K31" s="214">
        <v>0.14000000000000001</v>
      </c>
      <c r="L31" s="214">
        <v>0.14299999999999999</v>
      </c>
      <c r="M31" s="214">
        <v>0.113</v>
      </c>
      <c r="N31" s="214">
        <v>0.13200000000000001</v>
      </c>
      <c r="O31" s="214">
        <v>0.115</v>
      </c>
      <c r="P31" s="214">
        <v>8.1000000000000003E-2</v>
      </c>
      <c r="Q31" s="212">
        <v>0.16</v>
      </c>
      <c r="R31" s="23">
        <f t="shared" ref="R31:R38" si="1">IFERROR(AVERAGE(F31:Q31), 0)</f>
        <v>0.12975</v>
      </c>
      <c r="S31" s="8">
        <v>10</v>
      </c>
      <c r="T31" s="251" t="s">
        <v>1471</v>
      </c>
    </row>
    <row r="32" spans="1:20" ht="15.75" customHeight="1">
      <c r="A32" s="9"/>
      <c r="B32" s="10" t="s">
        <v>114</v>
      </c>
      <c r="C32" s="11">
        <v>2</v>
      </c>
      <c r="D32" s="121" t="s">
        <v>1472</v>
      </c>
      <c r="E32" s="121" t="s">
        <v>1473</v>
      </c>
      <c r="F32" s="127">
        <v>5.1999999999999998E-2</v>
      </c>
      <c r="G32" s="127">
        <v>0.14599999999999999</v>
      </c>
      <c r="H32" s="127">
        <v>0.27600000000000002</v>
      </c>
      <c r="I32" s="127">
        <v>3.4000000000000002E-2</v>
      </c>
      <c r="J32" s="127">
        <v>4.2999999999999997E-2</v>
      </c>
      <c r="K32" s="127">
        <v>7.5999999999999998E-2</v>
      </c>
      <c r="L32" s="127">
        <v>0.19700000000000001</v>
      </c>
      <c r="M32" s="127">
        <v>0.05</v>
      </c>
      <c r="N32" s="127">
        <v>0.18</v>
      </c>
      <c r="O32" s="127">
        <v>0.13100000000000001</v>
      </c>
      <c r="P32" s="127">
        <v>4.7E-2</v>
      </c>
      <c r="Q32" s="18">
        <v>0.124</v>
      </c>
      <c r="R32" s="28">
        <f t="shared" si="1"/>
        <v>0.11299999999999999</v>
      </c>
      <c r="S32" s="14">
        <v>10</v>
      </c>
      <c r="T32" s="251" t="s">
        <v>1474</v>
      </c>
    </row>
    <row r="33" spans="1:20" ht="15.75" customHeight="1">
      <c r="A33" s="9"/>
      <c r="B33" s="10" t="s">
        <v>114</v>
      </c>
      <c r="C33" s="11">
        <v>3</v>
      </c>
      <c r="D33" s="121" t="s">
        <v>1475</v>
      </c>
      <c r="E33" s="121" t="s">
        <v>1473</v>
      </c>
      <c r="F33" s="127">
        <v>9.2999999999999999E-2</v>
      </c>
      <c r="G33" s="127">
        <v>0.16500000000000001</v>
      </c>
      <c r="H33" s="127">
        <v>0.126</v>
      </c>
      <c r="I33" s="127">
        <v>3.4000000000000002E-2</v>
      </c>
      <c r="J33" s="127">
        <v>4.2999999999999997E-2</v>
      </c>
      <c r="K33" s="127">
        <v>0.128</v>
      </c>
      <c r="L33" s="127">
        <v>4.2999999999999997E-2</v>
      </c>
      <c r="M33" s="127">
        <v>4.2999999999999997E-2</v>
      </c>
      <c r="N33" s="127">
        <v>0.17299999999999999</v>
      </c>
      <c r="O33" s="127">
        <v>0.17499999999999999</v>
      </c>
      <c r="P33" s="127">
        <v>7.9000000000000001E-2</v>
      </c>
      <c r="Q33" s="18">
        <v>0.126</v>
      </c>
      <c r="R33" s="28">
        <f t="shared" si="1"/>
        <v>0.10233333333333335</v>
      </c>
      <c r="S33" s="14">
        <v>10</v>
      </c>
      <c r="T33" s="251" t="s">
        <v>1476</v>
      </c>
    </row>
    <row r="34" spans="1:20" ht="15.75" customHeight="1">
      <c r="A34" s="9"/>
      <c r="B34" s="10" t="s">
        <v>114</v>
      </c>
      <c r="C34" s="11">
        <v>4</v>
      </c>
      <c r="D34" s="121" t="s">
        <v>1477</v>
      </c>
      <c r="E34" s="121" t="s">
        <v>1478</v>
      </c>
      <c r="F34" s="127">
        <v>3.4000000000000002E-2</v>
      </c>
      <c r="G34" s="127">
        <v>0.40600000000000003</v>
      </c>
      <c r="H34" s="127">
        <v>8.4000000000000005E-2</v>
      </c>
      <c r="I34" s="127">
        <v>3.4000000000000002E-2</v>
      </c>
      <c r="J34" s="127">
        <v>4.2999999999999997E-2</v>
      </c>
      <c r="K34" s="127">
        <v>0.245</v>
      </c>
      <c r="L34" s="127">
        <v>8.8999999999999996E-2</v>
      </c>
      <c r="M34" s="127">
        <v>5.8000000000000003E-2</v>
      </c>
      <c r="N34" s="127">
        <v>0.157</v>
      </c>
      <c r="O34" s="127">
        <v>0.16700000000000001</v>
      </c>
      <c r="P34" s="127">
        <v>0.158</v>
      </c>
      <c r="Q34" s="18">
        <v>0.25700000000000001</v>
      </c>
      <c r="R34" s="28">
        <f t="shared" si="1"/>
        <v>0.14433333333333334</v>
      </c>
      <c r="S34" s="14">
        <v>10</v>
      </c>
      <c r="T34" s="251" t="s">
        <v>1479</v>
      </c>
    </row>
    <row r="35" spans="1:20" ht="15.75" customHeight="1">
      <c r="A35" s="9"/>
      <c r="B35" s="149" t="s">
        <v>115</v>
      </c>
      <c r="C35" s="145">
        <v>1</v>
      </c>
      <c r="D35" s="209" t="s">
        <v>1469</v>
      </c>
      <c r="E35" s="209" t="s">
        <v>1470</v>
      </c>
      <c r="F35" s="214">
        <v>2.3E-2</v>
      </c>
      <c r="G35" s="214">
        <v>3.5999999999999997E-2</v>
      </c>
      <c r="H35" s="214">
        <v>4.8000000000000001E-2</v>
      </c>
      <c r="I35" s="214">
        <v>1.0999999999999999E-2</v>
      </c>
      <c r="J35" s="214">
        <v>1.4E-2</v>
      </c>
      <c r="K35" s="214">
        <v>2.1999999999999999E-2</v>
      </c>
      <c r="L35" s="214">
        <v>4.1000000000000002E-2</v>
      </c>
      <c r="M35" s="214">
        <v>3.6999999999999998E-2</v>
      </c>
      <c r="N35" s="214">
        <v>3.1E-2</v>
      </c>
      <c r="O35" s="214">
        <v>2.3E-2</v>
      </c>
      <c r="P35" s="214">
        <v>4.2000000000000003E-2</v>
      </c>
      <c r="Q35" s="214">
        <v>1.0999999999999999E-2</v>
      </c>
      <c r="R35" s="23">
        <f t="shared" si="1"/>
        <v>2.8250000000000001E-2</v>
      </c>
      <c r="S35" s="8">
        <v>0.2</v>
      </c>
      <c r="T35" s="251" t="s">
        <v>1471</v>
      </c>
    </row>
    <row r="36" spans="1:20" ht="15.75" customHeight="1">
      <c r="A36" s="9"/>
      <c r="B36" s="10" t="s">
        <v>116</v>
      </c>
      <c r="C36" s="11">
        <v>2</v>
      </c>
      <c r="D36" s="121" t="s">
        <v>1472</v>
      </c>
      <c r="E36" s="121" t="s">
        <v>1473</v>
      </c>
      <c r="F36" s="127">
        <v>0.02</v>
      </c>
      <c r="G36" s="127">
        <v>1.0999999999999999E-2</v>
      </c>
      <c r="H36" s="127">
        <v>1.9E-2</v>
      </c>
      <c r="I36" s="127">
        <v>1.0999999999999999E-2</v>
      </c>
      <c r="J36" s="127">
        <v>0.249</v>
      </c>
      <c r="K36" s="127">
        <v>1.7000000000000001E-2</v>
      </c>
      <c r="L36" s="127">
        <v>0.08</v>
      </c>
      <c r="M36" s="127">
        <v>4.3999999999999997E-2</v>
      </c>
      <c r="N36" s="127">
        <v>0.05</v>
      </c>
      <c r="O36" s="127">
        <v>2.5000000000000001E-2</v>
      </c>
      <c r="P36" s="127">
        <v>1.0999999999999999E-2</v>
      </c>
      <c r="Q36" s="127">
        <v>2.3E-2</v>
      </c>
      <c r="R36" s="28">
        <f t="shared" si="1"/>
        <v>4.6666666666666669E-2</v>
      </c>
      <c r="S36" s="14">
        <v>0.2</v>
      </c>
      <c r="T36" s="251" t="s">
        <v>1474</v>
      </c>
    </row>
    <row r="37" spans="1:20" ht="15.75" customHeight="1">
      <c r="A37" s="9"/>
      <c r="B37" s="10" t="s">
        <v>116</v>
      </c>
      <c r="C37" s="11">
        <v>3</v>
      </c>
      <c r="D37" s="121" t="s">
        <v>1475</v>
      </c>
      <c r="E37" s="121" t="s">
        <v>1473</v>
      </c>
      <c r="F37" s="127">
        <v>1.6E-2</v>
      </c>
      <c r="G37" s="127">
        <v>0.04</v>
      </c>
      <c r="H37" s="127">
        <v>2.8000000000000001E-2</v>
      </c>
      <c r="I37" s="127">
        <v>1.0999999999999999E-2</v>
      </c>
      <c r="J37" s="127">
        <v>6.3E-2</v>
      </c>
      <c r="K37" s="127">
        <v>2.9000000000000001E-2</v>
      </c>
      <c r="L37" s="127">
        <v>0.04</v>
      </c>
      <c r="M37" s="127">
        <v>7.4999999999999997E-2</v>
      </c>
      <c r="N37" s="127">
        <v>6.0999999999999999E-2</v>
      </c>
      <c r="O37" s="127">
        <v>1.0999999999999999E-2</v>
      </c>
      <c r="P37" s="127">
        <v>3.6999999999999998E-2</v>
      </c>
      <c r="Q37" s="127">
        <v>1.0999999999999999E-2</v>
      </c>
      <c r="R37" s="28">
        <f t="shared" si="1"/>
        <v>3.5166666666666666E-2</v>
      </c>
      <c r="S37" s="14">
        <v>0.2</v>
      </c>
      <c r="T37" s="251" t="s">
        <v>1476</v>
      </c>
    </row>
    <row r="38" spans="1:20" ht="15.75" customHeight="1">
      <c r="A38" s="9"/>
      <c r="B38" s="10" t="s">
        <v>116</v>
      </c>
      <c r="C38" s="11">
        <v>4</v>
      </c>
      <c r="D38" s="121" t="s">
        <v>1477</v>
      </c>
      <c r="E38" s="121" t="s">
        <v>1478</v>
      </c>
      <c r="F38" s="127">
        <v>1.7999999999999999E-2</v>
      </c>
      <c r="G38" s="127">
        <v>1.0999999999999999E-2</v>
      </c>
      <c r="H38" s="127">
        <v>2.4E-2</v>
      </c>
      <c r="I38" s="127">
        <v>1.0999999999999999E-2</v>
      </c>
      <c r="J38" s="127">
        <v>3.2000000000000001E-2</v>
      </c>
      <c r="K38" s="127">
        <v>6.0999999999999999E-2</v>
      </c>
      <c r="L38" s="127">
        <v>2.3E-2</v>
      </c>
      <c r="M38" s="127">
        <v>0.03</v>
      </c>
      <c r="N38" s="127">
        <v>6.5000000000000002E-2</v>
      </c>
      <c r="O38" s="127">
        <v>2.5000000000000001E-2</v>
      </c>
      <c r="P38" s="127">
        <v>1.0999999999999999E-2</v>
      </c>
      <c r="Q38" s="127">
        <v>1.0999999999999999E-2</v>
      </c>
      <c r="R38" s="28">
        <f t="shared" si="1"/>
        <v>2.6833333333333338E-2</v>
      </c>
      <c r="S38" s="14">
        <v>0.2</v>
      </c>
      <c r="T38" s="251" t="s">
        <v>1479</v>
      </c>
    </row>
    <row r="39" spans="1:20" ht="69.75" customHeight="1">
      <c r="A39" s="9"/>
      <c r="B39" s="149" t="s">
        <v>314</v>
      </c>
      <c r="C39" s="145">
        <v>1</v>
      </c>
      <c r="D39" s="209" t="s">
        <v>1469</v>
      </c>
      <c r="E39" s="209" t="s">
        <v>1470</v>
      </c>
      <c r="F39" s="235" t="s">
        <v>1481</v>
      </c>
      <c r="G39" s="235" t="s">
        <v>962</v>
      </c>
      <c r="H39" s="235" t="s">
        <v>962</v>
      </c>
      <c r="I39" s="235" t="s">
        <v>1482</v>
      </c>
      <c r="J39" s="235" t="s">
        <v>1483</v>
      </c>
      <c r="K39" s="235" t="s">
        <v>1484</v>
      </c>
      <c r="L39" s="235" t="s">
        <v>1485</v>
      </c>
      <c r="M39" s="235" t="s">
        <v>1486</v>
      </c>
      <c r="N39" s="235" t="s">
        <v>1487</v>
      </c>
      <c r="O39" s="235" t="s">
        <v>1488</v>
      </c>
      <c r="P39" s="235" t="s">
        <v>1489</v>
      </c>
      <c r="Q39" s="235" t="s">
        <v>1490</v>
      </c>
      <c r="R39" s="1"/>
      <c r="S39" s="1"/>
      <c r="T39" s="251" t="s">
        <v>1471</v>
      </c>
    </row>
    <row r="40" spans="1:20" ht="60.75" customHeight="1">
      <c r="A40" s="9"/>
      <c r="B40" s="10" t="s">
        <v>116</v>
      </c>
      <c r="C40" s="11">
        <v>2</v>
      </c>
      <c r="D40" s="121" t="s">
        <v>1472</v>
      </c>
      <c r="E40" s="121" t="s">
        <v>1473</v>
      </c>
      <c r="F40" s="236" t="s">
        <v>1481</v>
      </c>
      <c r="G40" s="236" t="s">
        <v>1485</v>
      </c>
      <c r="H40" s="236" t="s">
        <v>1491</v>
      </c>
      <c r="I40" s="236" t="s">
        <v>1482</v>
      </c>
      <c r="J40" s="236" t="s">
        <v>1483</v>
      </c>
      <c r="K40" s="236" t="s">
        <v>1484</v>
      </c>
      <c r="L40" s="236" t="s">
        <v>1485</v>
      </c>
      <c r="M40" s="236" t="s">
        <v>1486</v>
      </c>
      <c r="N40" s="236" t="s">
        <v>1487</v>
      </c>
      <c r="O40" s="236" t="s">
        <v>1485</v>
      </c>
      <c r="P40" s="236" t="s">
        <v>1489</v>
      </c>
      <c r="Q40" s="714" t="s">
        <v>1490</v>
      </c>
      <c r="R40" s="1"/>
      <c r="S40" s="1"/>
      <c r="T40" s="251" t="s">
        <v>1474</v>
      </c>
    </row>
    <row r="41" spans="1:20" ht="63.75" customHeight="1">
      <c r="A41" s="9"/>
      <c r="B41" s="10" t="s">
        <v>116</v>
      </c>
      <c r="C41" s="11">
        <v>3</v>
      </c>
      <c r="D41" s="121" t="s">
        <v>1475</v>
      </c>
      <c r="E41" s="121" t="s">
        <v>1473</v>
      </c>
      <c r="F41" s="236" t="s">
        <v>1481</v>
      </c>
      <c r="G41" s="236" t="s">
        <v>1492</v>
      </c>
      <c r="H41" s="236" t="s">
        <v>1493</v>
      </c>
      <c r="I41" s="236" t="s">
        <v>1482</v>
      </c>
      <c r="J41" s="236" t="s">
        <v>1483</v>
      </c>
      <c r="K41" s="236" t="s">
        <v>1484</v>
      </c>
      <c r="L41" s="236" t="s">
        <v>1485</v>
      </c>
      <c r="M41" s="236" t="s">
        <v>1494</v>
      </c>
      <c r="N41" s="236" t="s">
        <v>1487</v>
      </c>
      <c r="O41" s="236" t="s">
        <v>1488</v>
      </c>
      <c r="P41" s="236" t="s">
        <v>1489</v>
      </c>
      <c r="Q41" s="714" t="s">
        <v>1490</v>
      </c>
      <c r="R41" s="1"/>
      <c r="S41" s="1"/>
      <c r="T41" s="251" t="s">
        <v>1476</v>
      </c>
    </row>
    <row r="42" spans="1:20" ht="63.75" customHeight="1">
      <c r="A42" s="9"/>
      <c r="B42" s="10" t="s">
        <v>116</v>
      </c>
      <c r="C42" s="11">
        <v>4</v>
      </c>
      <c r="D42" s="121" t="s">
        <v>1477</v>
      </c>
      <c r="E42" s="121" t="s">
        <v>1478</v>
      </c>
      <c r="F42" s="236" t="s">
        <v>1481</v>
      </c>
      <c r="G42" s="236" t="s">
        <v>1024</v>
      </c>
      <c r="H42" s="236" t="s">
        <v>1491</v>
      </c>
      <c r="I42" s="236" t="s">
        <v>1495</v>
      </c>
      <c r="J42" s="236" t="s">
        <v>1483</v>
      </c>
      <c r="K42" s="236" t="s">
        <v>1484</v>
      </c>
      <c r="L42" s="236" t="s">
        <v>1485</v>
      </c>
      <c r="M42" s="236" t="s">
        <v>1486</v>
      </c>
      <c r="N42" s="236" t="s">
        <v>1487</v>
      </c>
      <c r="O42" s="236" t="s">
        <v>1488</v>
      </c>
      <c r="P42" s="236" t="s">
        <v>1489</v>
      </c>
      <c r="Q42" s="714" t="s">
        <v>1490</v>
      </c>
      <c r="R42" s="1"/>
      <c r="S42" s="1"/>
      <c r="T42" s="251" t="s">
        <v>1479</v>
      </c>
    </row>
    <row r="43" spans="1:20" ht="15.75" customHeight="1">
      <c r="A43" s="1"/>
      <c r="B43" s="1"/>
      <c r="C43" s="1" t="s">
        <v>349</v>
      </c>
      <c r="D43" s="1"/>
      <c r="E43" s="1"/>
      <c r="F43" s="1">
        <v>21</v>
      </c>
      <c r="G43" s="1">
        <v>11</v>
      </c>
      <c r="H43" s="1">
        <v>11</v>
      </c>
      <c r="I43" s="1">
        <v>8</v>
      </c>
      <c r="J43" s="1">
        <v>6</v>
      </c>
      <c r="K43" s="1">
        <v>10</v>
      </c>
      <c r="L43" s="1">
        <v>8</v>
      </c>
      <c r="M43" s="1">
        <v>12</v>
      </c>
      <c r="N43" s="1">
        <v>24</v>
      </c>
      <c r="O43" s="1">
        <v>28</v>
      </c>
      <c r="P43" s="1">
        <v>24</v>
      </c>
      <c r="Q43" s="1">
        <v>9</v>
      </c>
      <c r="R43" s="1"/>
      <c r="S43" s="1"/>
    </row>
    <row r="44" spans="1:20" ht="15.75" customHeight="1">
      <c r="A44" s="1"/>
      <c r="B44" s="1"/>
      <c r="C44" s="1"/>
      <c r="D44" s="1"/>
      <c r="E44" s="1"/>
      <c r="F44" s="1"/>
      <c r="G44" s="1"/>
      <c r="H44" s="1"/>
      <c r="I44" s="1"/>
      <c r="J44" s="1"/>
      <c r="K44" s="1"/>
      <c r="L44" s="1"/>
      <c r="M44" s="1"/>
      <c r="N44" s="1"/>
      <c r="O44" s="1"/>
      <c r="P44" s="1"/>
      <c r="Q44" s="1"/>
      <c r="R44" s="1"/>
      <c r="S44" s="1"/>
    </row>
    <row r="45" spans="1:20" ht="15.75" customHeight="1">
      <c r="A45" s="1"/>
      <c r="B45" s="1"/>
      <c r="C45" s="1"/>
      <c r="D45" s="889" t="s">
        <v>70</v>
      </c>
      <c r="E45" s="890"/>
      <c r="F45" s="1177"/>
      <c r="G45" s="1177"/>
      <c r="H45" s="1177"/>
      <c r="I45" s="1177"/>
      <c r="J45" s="1177"/>
      <c r="K45" s="1177"/>
      <c r="L45" s="1177"/>
      <c r="M45" s="1177"/>
      <c r="N45" s="1177"/>
      <c r="O45" s="1177"/>
      <c r="P45" s="1177"/>
      <c r="Q45" s="1177"/>
      <c r="R45" s="1177"/>
      <c r="S45" s="1178"/>
    </row>
    <row r="46" spans="1:20" ht="15.75" customHeight="1">
      <c r="A46" s="1"/>
      <c r="B46" s="1"/>
      <c r="C46" s="1"/>
      <c r="D46" s="889" t="s">
        <v>74</v>
      </c>
      <c r="E46" s="890"/>
      <c r="F46" s="1177"/>
      <c r="G46" s="1177"/>
      <c r="H46" s="1177"/>
      <c r="I46" s="1177"/>
      <c r="J46" s="1177"/>
      <c r="K46" s="1177"/>
      <c r="L46" s="1177"/>
      <c r="M46" s="1177"/>
      <c r="N46" s="1177"/>
      <c r="O46" s="1177"/>
      <c r="P46" s="1177"/>
      <c r="Q46" s="1177"/>
      <c r="R46" s="1177"/>
      <c r="S46" s="1178"/>
    </row>
    <row r="47" spans="1:20" ht="15.75" customHeight="1">
      <c r="A47" s="1"/>
      <c r="B47" s="1"/>
      <c r="C47" s="1"/>
      <c r="D47" s="1179"/>
      <c r="E47" s="1180"/>
      <c r="F47" s="1177"/>
      <c r="G47" s="1177"/>
      <c r="H47" s="1177"/>
      <c r="I47" s="1178"/>
      <c r="J47" s="844" t="s">
        <v>78</v>
      </c>
      <c r="K47" s="1177"/>
      <c r="L47" s="1177"/>
      <c r="M47" s="1177"/>
      <c r="N47" s="1177"/>
      <c r="O47" s="1177"/>
      <c r="P47" s="1177"/>
      <c r="Q47" s="1177"/>
      <c r="R47" s="1177"/>
      <c r="S47" s="1178"/>
    </row>
    <row r="48" spans="1:20" ht="15.75" customHeight="1">
      <c r="A48" s="1"/>
      <c r="B48" s="1"/>
      <c r="C48" s="1"/>
      <c r="D48" s="14" t="s">
        <v>82</v>
      </c>
      <c r="E48" s="14"/>
      <c r="F48" s="14" t="s">
        <v>83</v>
      </c>
      <c r="G48" s="14" t="s">
        <v>84</v>
      </c>
      <c r="H48" s="14" t="s">
        <v>85</v>
      </c>
      <c r="I48" s="14" t="s">
        <v>86</v>
      </c>
      <c r="J48" s="14" t="s">
        <v>4</v>
      </c>
      <c r="K48" s="14" t="s">
        <v>5</v>
      </c>
      <c r="L48" s="14" t="s">
        <v>6</v>
      </c>
      <c r="M48" s="14" t="s">
        <v>7</v>
      </c>
      <c r="N48" s="14" t="s">
        <v>8</v>
      </c>
      <c r="O48" s="14" t="s">
        <v>9</v>
      </c>
      <c r="P48" s="14" t="s">
        <v>10</v>
      </c>
      <c r="Q48" s="14" t="s">
        <v>11</v>
      </c>
      <c r="R48" s="14" t="s">
        <v>12</v>
      </c>
      <c r="S48" s="14" t="s">
        <v>13</v>
      </c>
    </row>
    <row r="49" spans="4:19" ht="15.75" customHeight="1">
      <c r="D49" s="886" t="s">
        <v>1496</v>
      </c>
      <c r="E49" s="281"/>
      <c r="F49" s="886" t="s">
        <v>1497</v>
      </c>
      <c r="G49" s="883" t="s">
        <v>29</v>
      </c>
      <c r="H49" s="32">
        <v>1</v>
      </c>
      <c r="I49" s="65" t="s">
        <v>1469</v>
      </c>
      <c r="J49" s="35">
        <f>AVERAGE(F7:K7)</f>
        <v>5.5416666666666679</v>
      </c>
      <c r="K49" s="14" t="s">
        <v>905</v>
      </c>
      <c r="L49" s="59">
        <f>AVERAGE(F11:K11)</f>
        <v>17.666666666666668</v>
      </c>
      <c r="M49" s="35">
        <f>AVERAGE(F15:K15)</f>
        <v>7.169999999999999</v>
      </c>
      <c r="N49" s="35">
        <f>AVERAGE(F19:K19)</f>
        <v>29.150000000000002</v>
      </c>
      <c r="O49" s="59">
        <f>AVERAGE(F23:K23)</f>
        <v>5</v>
      </c>
      <c r="P49" s="59">
        <f>GEOMEAN(F27:K27)</f>
        <v>247.77114850723117</v>
      </c>
      <c r="Q49" s="28">
        <f>AVERAGE(F31:K31)</f>
        <v>0.13550000000000004</v>
      </c>
      <c r="R49" s="35">
        <f>R35</f>
        <v>2.8250000000000001E-2</v>
      </c>
      <c r="S49" s="14" t="s">
        <v>905</v>
      </c>
    </row>
    <row r="50" spans="4:19" ht="15.75" customHeight="1">
      <c r="D50" s="1196"/>
      <c r="E50" s="289"/>
      <c r="F50" s="1196"/>
      <c r="G50" s="1196"/>
      <c r="H50" s="32">
        <v>2</v>
      </c>
      <c r="I50" s="65" t="s">
        <v>1472</v>
      </c>
      <c r="J50" s="35">
        <f>AVERAGE(F8:K8)</f>
        <v>5.7650000000000006</v>
      </c>
      <c r="K50" s="14" t="s">
        <v>905</v>
      </c>
      <c r="L50" s="59">
        <f>AVERAGE(F12:K12)</f>
        <v>14.833333333333334</v>
      </c>
      <c r="M50" s="35">
        <f>AVERAGE(F16:K16)</f>
        <v>7.1783333333333337</v>
      </c>
      <c r="N50" s="35">
        <f>AVERAGE(F20:K20)</f>
        <v>29.350000000000005</v>
      </c>
      <c r="O50" s="59">
        <f>AVERAGE(F24:K24)</f>
        <v>5</v>
      </c>
      <c r="P50" s="59">
        <f>GEOMEAN(F28:K28)</f>
        <v>201.87904285328372</v>
      </c>
      <c r="Q50" s="28">
        <f>AVERAGE(F32:K32)</f>
        <v>0.1045</v>
      </c>
      <c r="R50" s="35">
        <f t="shared" ref="R50:R52" si="2">R36</f>
        <v>4.6666666666666669E-2</v>
      </c>
      <c r="S50" s="14" t="s">
        <v>905</v>
      </c>
    </row>
    <row r="51" spans="4:19" ht="15.75" customHeight="1">
      <c r="D51" s="1196"/>
      <c r="E51" s="289"/>
      <c r="F51" s="1196"/>
      <c r="G51" s="1196"/>
      <c r="H51" s="32">
        <v>3</v>
      </c>
      <c r="I51" s="65" t="s">
        <v>1475</v>
      </c>
      <c r="J51" s="35">
        <f>AVERAGE(F9:K9)</f>
        <v>5.6333333333333337</v>
      </c>
      <c r="K51" s="14" t="s">
        <v>905</v>
      </c>
      <c r="L51" s="59">
        <f>AVERAGE(F13:K13)</f>
        <v>14.833333333333334</v>
      </c>
      <c r="M51" s="35">
        <f>AVERAGE(F17:K17)</f>
        <v>7.1750000000000007</v>
      </c>
      <c r="N51" s="35">
        <f>AVERAGE(F21:K21)</f>
        <v>29.433333333333334</v>
      </c>
      <c r="O51" s="59">
        <f>AVERAGE(F25:K25)</f>
        <v>5</v>
      </c>
      <c r="P51" s="59">
        <f>GEOMEAN(F29:K29)</f>
        <v>260.52465651136225</v>
      </c>
      <c r="Q51" s="28">
        <f>AVERAGE(F33:K33)</f>
        <v>9.8166666666666666E-2</v>
      </c>
      <c r="R51" s="35">
        <f t="shared" si="2"/>
        <v>3.5166666666666666E-2</v>
      </c>
      <c r="S51" s="14" t="s">
        <v>905</v>
      </c>
    </row>
    <row r="52" spans="4:19" ht="15.75" customHeight="1">
      <c r="D52" s="1197"/>
      <c r="E52" s="290"/>
      <c r="F52" s="1197"/>
      <c r="G52" s="1197"/>
      <c r="H52" s="32">
        <v>4</v>
      </c>
      <c r="I52" s="65" t="s">
        <v>1477</v>
      </c>
      <c r="J52" s="35">
        <f>AVERAGE(F10:K10)</f>
        <v>5.8999999999999995</v>
      </c>
      <c r="K52" s="14" t="s">
        <v>905</v>
      </c>
      <c r="L52" s="59">
        <f>AVERAGE(F14:K14)</f>
        <v>13.333333333333334</v>
      </c>
      <c r="M52" s="35">
        <f>AVERAGE(F18:K18)</f>
        <v>7.1983333333333333</v>
      </c>
      <c r="N52" s="35">
        <f>AVERAGE(F22:K22)</f>
        <v>29.516666666666669</v>
      </c>
      <c r="O52" s="59">
        <f>AVERAGE(F26:K26)</f>
        <v>5</v>
      </c>
      <c r="P52" s="59">
        <f>GEOMEAN(F30:K30)</f>
        <v>113.50648453591955</v>
      </c>
      <c r="Q52" s="28">
        <f>AVERAGE(F34:K34)</f>
        <v>0.14100000000000001</v>
      </c>
      <c r="R52" s="35">
        <f t="shared" si="2"/>
        <v>2.6833333333333338E-2</v>
      </c>
      <c r="S52" s="14" t="s">
        <v>905</v>
      </c>
    </row>
    <row r="53" spans="4:19" ht="15.75" customHeight="1">
      <c r="D53" s="1179"/>
      <c r="E53" s="1180"/>
      <c r="F53" s="1177"/>
      <c r="G53" s="1177"/>
      <c r="H53" s="1177"/>
      <c r="I53" s="1177"/>
      <c r="J53" s="1177"/>
      <c r="K53" s="1177"/>
      <c r="L53" s="1177"/>
      <c r="M53" s="1177"/>
      <c r="N53" s="1177"/>
      <c r="O53" s="1177"/>
      <c r="P53" s="1177"/>
      <c r="Q53" s="1177"/>
      <c r="R53" s="1177"/>
      <c r="S53" s="1178"/>
    </row>
    <row r="54" spans="4:19" ht="15.75" customHeight="1">
      <c r="D54" s="14" t="s">
        <v>93</v>
      </c>
      <c r="E54" s="291"/>
      <c r="F54" s="1167"/>
      <c r="G54" s="1160"/>
      <c r="H54" s="1160"/>
      <c r="I54" s="1181"/>
      <c r="J54" s="35">
        <f>AVERAGE(J49:J52)</f>
        <v>5.71</v>
      </c>
      <c r="K54" s="14" t="s">
        <v>905</v>
      </c>
      <c r="L54" s="59">
        <f>AVERAGE(L49:L52)</f>
        <v>15.166666666666668</v>
      </c>
      <c r="M54" s="35">
        <f>AVERAGE(M49:M52)</f>
        <v>7.1804166666666669</v>
      </c>
      <c r="N54" s="35">
        <f>AVERAGE(N49:N52)</f>
        <v>29.362500000000001</v>
      </c>
      <c r="O54" s="59">
        <f>AVERAGE(O49:O52)</f>
        <v>5</v>
      </c>
      <c r="P54" s="59">
        <f>AVERAGE(P49:P52)</f>
        <v>205.92033310194915</v>
      </c>
      <c r="Q54" s="28">
        <f>AVERAGE(Q49:Q52)</f>
        <v>0.11979166666666669</v>
      </c>
      <c r="R54" s="14">
        <f>AVERAGE(R49:R52)</f>
        <v>3.4229166666666672E-2</v>
      </c>
      <c r="S54" s="14" t="s">
        <v>905</v>
      </c>
    </row>
    <row r="55" spans="4:19" ht="15.75" customHeight="1">
      <c r="D55" s="14" t="s">
        <v>94</v>
      </c>
      <c r="E55" s="293"/>
      <c r="F55" s="1182"/>
      <c r="G55" s="1176"/>
      <c r="H55" s="1176"/>
      <c r="I55" s="1183"/>
      <c r="J55" s="35">
        <f>MIN(J49:J52)</f>
        <v>5.5416666666666679</v>
      </c>
      <c r="K55" s="14" t="s">
        <v>905</v>
      </c>
      <c r="L55" s="59">
        <f>MIN(L49:L52)</f>
        <v>13.333333333333334</v>
      </c>
      <c r="M55" s="35">
        <f>MIN(M49:M52)</f>
        <v>7.169999999999999</v>
      </c>
      <c r="N55" s="35">
        <f>MIN(N49:N52)</f>
        <v>29.150000000000002</v>
      </c>
      <c r="O55" s="59">
        <f>MIN(O49:O52)</f>
        <v>5</v>
      </c>
      <c r="P55" s="59">
        <f>MIN(P49:P52)</f>
        <v>113.50648453591955</v>
      </c>
      <c r="Q55" s="28">
        <f>MIN(Q49:Q52)</f>
        <v>9.8166666666666666E-2</v>
      </c>
      <c r="R55" s="14">
        <f>MIN(R49:R52)</f>
        <v>2.6833333333333338E-2</v>
      </c>
      <c r="S55" s="14" t="s">
        <v>905</v>
      </c>
    </row>
    <row r="56" spans="4:19" ht="15.75" customHeight="1">
      <c r="D56" s="14" t="s">
        <v>95</v>
      </c>
      <c r="E56" s="293"/>
      <c r="F56" s="1182"/>
      <c r="G56" s="1176"/>
      <c r="H56" s="1176"/>
      <c r="I56" s="1183"/>
      <c r="J56" s="35">
        <f>MAX(J49:J52)</f>
        <v>5.8999999999999995</v>
      </c>
      <c r="K56" s="14" t="s">
        <v>905</v>
      </c>
      <c r="L56" s="59">
        <f>MAX(L49:L52)</f>
        <v>17.666666666666668</v>
      </c>
      <c r="M56" s="35">
        <f>MAX(M49:M52)</f>
        <v>7.1983333333333333</v>
      </c>
      <c r="N56" s="35">
        <f>MAX(N49:N52)</f>
        <v>29.516666666666669</v>
      </c>
      <c r="O56" s="59">
        <f>MAX(O49:O52)</f>
        <v>5</v>
      </c>
      <c r="P56" s="59">
        <f>MAX(P49:P52)</f>
        <v>260.52465651136225</v>
      </c>
      <c r="Q56" s="28">
        <f>MAX(Q49:Q52)</f>
        <v>0.14100000000000001</v>
      </c>
      <c r="R56" s="14">
        <f>MAX(R49:R52)</f>
        <v>4.6666666666666669E-2</v>
      </c>
      <c r="S56" s="14" t="s">
        <v>905</v>
      </c>
    </row>
    <row r="57" spans="4:19" ht="15.75" customHeight="1">
      <c r="D57" s="14" t="s">
        <v>96</v>
      </c>
      <c r="E57" s="292"/>
      <c r="F57" s="1184"/>
      <c r="G57" s="1159"/>
      <c r="H57" s="1159"/>
      <c r="I57" s="1185"/>
      <c r="J57" s="118" t="s">
        <v>906</v>
      </c>
      <c r="K57" s="118" t="s">
        <v>905</v>
      </c>
      <c r="L57" s="118" t="s">
        <v>907</v>
      </c>
      <c r="M57" s="118" t="s">
        <v>908</v>
      </c>
      <c r="N57" s="29" t="s">
        <v>909</v>
      </c>
      <c r="O57" s="118" t="s">
        <v>699</v>
      </c>
      <c r="P57" s="118" t="s">
        <v>700</v>
      </c>
      <c r="Q57" s="118" t="s">
        <v>910</v>
      </c>
      <c r="R57" s="118" t="s">
        <v>911</v>
      </c>
      <c r="S57" s="118" t="s">
        <v>905</v>
      </c>
    </row>
    <row r="58" spans="4:19" ht="15.75" customHeight="1">
      <c r="D58" s="1"/>
      <c r="E58" s="1"/>
      <c r="F58" s="1"/>
      <c r="G58" s="1"/>
      <c r="H58" s="1"/>
      <c r="I58" s="1"/>
      <c r="J58" s="1"/>
      <c r="K58" s="1"/>
      <c r="L58" s="1"/>
      <c r="M58" s="1"/>
      <c r="N58" s="1"/>
      <c r="O58" s="1"/>
      <c r="P58" s="1"/>
      <c r="Q58" s="1"/>
      <c r="R58" s="1"/>
      <c r="S58" s="1"/>
    </row>
    <row r="59" spans="4:19" ht="15.75" customHeight="1">
      <c r="D59" s="1"/>
      <c r="E59" s="1"/>
      <c r="F59" s="1"/>
      <c r="G59" s="1"/>
      <c r="H59" s="1"/>
      <c r="I59" s="1"/>
      <c r="J59" s="1"/>
      <c r="K59" s="1"/>
      <c r="L59" s="1"/>
      <c r="M59" s="1"/>
      <c r="N59" s="1"/>
      <c r="O59" s="1"/>
      <c r="P59" s="1"/>
      <c r="Q59" s="1"/>
      <c r="R59" s="1"/>
      <c r="S59" s="1"/>
    </row>
    <row r="60" spans="4:19" ht="15.75" customHeight="1">
      <c r="D60" s="971" t="s">
        <v>70</v>
      </c>
      <c r="E60" s="972"/>
      <c r="F60" s="1198"/>
      <c r="G60" s="1198"/>
      <c r="H60" s="1198"/>
      <c r="I60" s="1198"/>
      <c r="J60" s="1198"/>
      <c r="K60" s="1198"/>
      <c r="L60" s="1198"/>
      <c r="M60" s="1198"/>
      <c r="N60" s="1198"/>
      <c r="O60" s="1198"/>
      <c r="P60" s="1198"/>
      <c r="Q60" s="1198"/>
      <c r="R60" s="1198"/>
      <c r="S60" s="1199"/>
    </row>
    <row r="61" spans="4:19" ht="15.75" customHeight="1">
      <c r="D61" s="971" t="s">
        <v>107</v>
      </c>
      <c r="E61" s="972"/>
      <c r="F61" s="1198"/>
      <c r="G61" s="1198"/>
      <c r="H61" s="1198"/>
      <c r="I61" s="1198"/>
      <c r="J61" s="1198"/>
      <c r="K61" s="1198"/>
      <c r="L61" s="1198"/>
      <c r="M61" s="1198"/>
      <c r="N61" s="1198"/>
      <c r="O61" s="1198"/>
      <c r="P61" s="1198"/>
      <c r="Q61" s="1198"/>
      <c r="R61" s="1198"/>
      <c r="S61" s="1199"/>
    </row>
    <row r="62" spans="4:19" ht="15.75" customHeight="1">
      <c r="D62" s="1179"/>
      <c r="E62" s="1180"/>
      <c r="F62" s="1177"/>
      <c r="G62" s="1177"/>
      <c r="H62" s="1177"/>
      <c r="I62" s="1178"/>
      <c r="J62" s="844" t="s">
        <v>78</v>
      </c>
      <c r="K62" s="1177"/>
      <c r="L62" s="1177"/>
      <c r="M62" s="1177"/>
      <c r="N62" s="1177"/>
      <c r="O62" s="1177"/>
      <c r="P62" s="1177"/>
      <c r="Q62" s="1177"/>
      <c r="R62" s="1177"/>
      <c r="S62" s="1178"/>
    </row>
    <row r="63" spans="4:19" ht="15.75" customHeight="1">
      <c r="D63" s="14" t="s">
        <v>82</v>
      </c>
      <c r="E63" s="14"/>
      <c r="F63" s="14" t="s">
        <v>83</v>
      </c>
      <c r="G63" s="14" t="s">
        <v>84</v>
      </c>
      <c r="H63" s="14" t="s">
        <v>85</v>
      </c>
      <c r="I63" s="14" t="s">
        <v>86</v>
      </c>
      <c r="J63" s="14" t="s">
        <v>4</v>
      </c>
      <c r="K63" s="14" t="s">
        <v>5</v>
      </c>
      <c r="L63" s="14" t="s">
        <v>6</v>
      </c>
      <c r="M63" s="14" t="s">
        <v>7</v>
      </c>
      <c r="N63" s="14" t="s">
        <v>8</v>
      </c>
      <c r="O63" s="14" t="s">
        <v>9</v>
      </c>
      <c r="P63" s="14" t="s">
        <v>10</v>
      </c>
      <c r="Q63" s="14" t="s">
        <v>11</v>
      </c>
      <c r="R63" s="14" t="s">
        <v>12</v>
      </c>
      <c r="S63" s="14" t="s">
        <v>13</v>
      </c>
    </row>
    <row r="64" spans="4:19" ht="15.75" customHeight="1">
      <c r="D64" s="886" t="s">
        <v>1496</v>
      </c>
      <c r="E64" s="281"/>
      <c r="F64" s="886" t="s">
        <v>1497</v>
      </c>
      <c r="G64" s="883" t="s">
        <v>29</v>
      </c>
      <c r="H64" s="32">
        <v>1</v>
      </c>
      <c r="I64" s="65" t="s">
        <v>1469</v>
      </c>
      <c r="J64" s="35">
        <f t="shared" ref="J64:J67" si="3">R7</f>
        <v>5.8558333333333339</v>
      </c>
      <c r="K64" s="14" t="s">
        <v>905</v>
      </c>
      <c r="L64" s="35">
        <f t="shared" ref="L64:L67" si="4">R11</f>
        <v>30.916666666666668</v>
      </c>
      <c r="M64" s="35">
        <f t="shared" ref="M64:M67" si="5">R15</f>
        <v>7.371666666666667</v>
      </c>
      <c r="N64" s="35">
        <f t="shared" ref="N64:N67" si="6">R19</f>
        <v>29.116666666666671</v>
      </c>
      <c r="O64" s="35">
        <f>R23</f>
        <v>5</v>
      </c>
      <c r="P64" s="36">
        <f t="shared" ref="P64:P67" si="7">R27</f>
        <v>190.95707655672359</v>
      </c>
      <c r="Q64" s="28">
        <f t="shared" ref="Q64:Q67" si="8">R31</f>
        <v>0.12975</v>
      </c>
      <c r="R64" s="28">
        <f t="shared" ref="R64:R67" si="9">R35</f>
        <v>2.8250000000000001E-2</v>
      </c>
      <c r="S64" s="14" t="s">
        <v>905</v>
      </c>
    </row>
    <row r="65" spans="3:20" ht="15.75" customHeight="1">
      <c r="D65" s="1196"/>
      <c r="E65" s="289"/>
      <c r="F65" s="1196"/>
      <c r="G65" s="1196"/>
      <c r="H65" s="32">
        <v>2</v>
      </c>
      <c r="I65" s="65" t="s">
        <v>1472</v>
      </c>
      <c r="J65" s="35">
        <f t="shared" si="3"/>
        <v>5.8866333333333332</v>
      </c>
      <c r="K65" s="14" t="s">
        <v>905</v>
      </c>
      <c r="L65" s="35">
        <f t="shared" si="4"/>
        <v>33.666666666666664</v>
      </c>
      <c r="M65" s="35">
        <f t="shared" si="5"/>
        <v>7.3309090909090919</v>
      </c>
      <c r="N65" s="35">
        <f t="shared" si="6"/>
        <v>29.250000000000004</v>
      </c>
      <c r="O65" s="35">
        <f t="shared" ref="O65:O67" si="10">R24</f>
        <v>5</v>
      </c>
      <c r="P65" s="36">
        <f t="shared" si="7"/>
        <v>199.59437862418176</v>
      </c>
      <c r="Q65" s="28">
        <f t="shared" si="8"/>
        <v>0.11299999999999999</v>
      </c>
      <c r="R65" s="28">
        <f t="shared" si="9"/>
        <v>4.6666666666666669E-2</v>
      </c>
      <c r="S65" s="14" t="s">
        <v>905</v>
      </c>
    </row>
    <row r="66" spans="3:20" ht="15.75" customHeight="1">
      <c r="D66" s="1196"/>
      <c r="E66" s="289"/>
      <c r="F66" s="1196"/>
      <c r="G66" s="1196"/>
      <c r="H66" s="32">
        <v>3</v>
      </c>
      <c r="I66" s="65" t="s">
        <v>1475</v>
      </c>
      <c r="J66" s="35">
        <f t="shared" si="3"/>
        <v>5.8566666666666665</v>
      </c>
      <c r="K66" s="14" t="s">
        <v>905</v>
      </c>
      <c r="L66" s="35">
        <f t="shared" si="4"/>
        <v>36.75</v>
      </c>
      <c r="M66" s="35">
        <f t="shared" si="5"/>
        <v>7.3808333333333325</v>
      </c>
      <c r="N66" s="35">
        <f t="shared" si="6"/>
        <v>29.266666666666669</v>
      </c>
      <c r="O66" s="35">
        <f t="shared" si="10"/>
        <v>5</v>
      </c>
      <c r="P66" s="36">
        <f t="shared" si="7"/>
        <v>285.34518815389276</v>
      </c>
      <c r="Q66" s="28">
        <f t="shared" si="8"/>
        <v>0.10233333333333335</v>
      </c>
      <c r="R66" s="28">
        <f t="shared" si="9"/>
        <v>3.5166666666666666E-2</v>
      </c>
      <c r="S66" s="14"/>
    </row>
    <row r="67" spans="3:20" ht="15.75" customHeight="1">
      <c r="D67" s="1197"/>
      <c r="E67" s="290"/>
      <c r="F67" s="1197"/>
      <c r="G67" s="1197"/>
      <c r="H67" s="32">
        <v>4</v>
      </c>
      <c r="I67" s="65" t="s">
        <v>1477</v>
      </c>
      <c r="J67" s="35">
        <f t="shared" si="3"/>
        <v>5.9200000000000008</v>
      </c>
      <c r="K67" s="14" t="s">
        <v>905</v>
      </c>
      <c r="L67" s="35">
        <f t="shared" si="4"/>
        <v>31.083333333333332</v>
      </c>
      <c r="M67" s="35">
        <f t="shared" si="5"/>
        <v>7.3916666666666657</v>
      </c>
      <c r="N67" s="35">
        <f t="shared" si="6"/>
        <v>29.233333333333338</v>
      </c>
      <c r="O67" s="35">
        <f t="shared" si="10"/>
        <v>5</v>
      </c>
      <c r="P67" s="36">
        <f t="shared" si="7"/>
        <v>155.7669446453335</v>
      </c>
      <c r="Q67" s="28">
        <f t="shared" si="8"/>
        <v>0.14433333333333334</v>
      </c>
      <c r="R67" s="28">
        <f t="shared" si="9"/>
        <v>2.6833333333333338E-2</v>
      </c>
      <c r="S67" s="14"/>
    </row>
    <row r="68" spans="3:20" ht="15.75" customHeight="1">
      <c r="D68" s="1179"/>
      <c r="E68" s="1180"/>
      <c r="F68" s="1177"/>
      <c r="G68" s="1177"/>
      <c r="H68" s="1177"/>
      <c r="I68" s="1177"/>
      <c r="J68" s="1177"/>
      <c r="K68" s="1177"/>
      <c r="L68" s="1177"/>
      <c r="M68" s="1177"/>
      <c r="N68" s="1177"/>
      <c r="O68" s="1177"/>
      <c r="P68" s="1177"/>
      <c r="Q68" s="1177"/>
      <c r="R68" s="1177"/>
      <c r="S68" s="1178"/>
    </row>
    <row r="69" spans="3:20" ht="15.75" customHeight="1">
      <c r="D69" s="14" t="s">
        <v>93</v>
      </c>
      <c r="E69" s="291"/>
      <c r="F69" s="1167"/>
      <c r="G69" s="1160"/>
      <c r="H69" s="1160"/>
      <c r="I69" s="1181"/>
      <c r="J69" s="35">
        <f>AVERAGE(J64:J67)</f>
        <v>5.879783333333334</v>
      </c>
      <c r="K69" s="14" t="s">
        <v>905</v>
      </c>
      <c r="L69" s="35">
        <f t="shared" ref="L69:R69" si="11">AVERAGE(L64:L67)</f>
        <v>33.104166666666664</v>
      </c>
      <c r="M69" s="35">
        <f t="shared" si="11"/>
        <v>7.3687689393939388</v>
      </c>
      <c r="N69" s="35">
        <f t="shared" si="11"/>
        <v>29.216666666666669</v>
      </c>
      <c r="O69" s="14">
        <f t="shared" si="11"/>
        <v>5</v>
      </c>
      <c r="P69" s="36">
        <f t="shared" si="11"/>
        <v>207.91589699503291</v>
      </c>
      <c r="Q69" s="28">
        <f t="shared" si="11"/>
        <v>0.12235416666666668</v>
      </c>
      <c r="R69" s="28">
        <f t="shared" si="11"/>
        <v>3.4229166666666672E-2</v>
      </c>
      <c r="S69" s="14" t="s">
        <v>905</v>
      </c>
    </row>
    <row r="70" spans="3:20" ht="15.75" customHeight="1">
      <c r="D70" s="14" t="s">
        <v>94</v>
      </c>
      <c r="E70" s="293"/>
      <c r="F70" s="1182"/>
      <c r="G70" s="1176"/>
      <c r="H70" s="1176"/>
      <c r="I70" s="1183"/>
      <c r="J70" s="35">
        <f>MIN(J64:J67)</f>
        <v>5.8558333333333339</v>
      </c>
      <c r="K70" s="14" t="s">
        <v>905</v>
      </c>
      <c r="L70" s="35">
        <f t="shared" ref="L70:R70" si="12">MIN(L64:L67)</f>
        <v>30.916666666666668</v>
      </c>
      <c r="M70" s="35">
        <f t="shared" si="12"/>
        <v>7.3309090909090919</v>
      </c>
      <c r="N70" s="35">
        <f t="shared" si="12"/>
        <v>29.116666666666671</v>
      </c>
      <c r="O70" s="14">
        <f t="shared" si="12"/>
        <v>5</v>
      </c>
      <c r="P70" s="36">
        <f t="shared" si="12"/>
        <v>155.7669446453335</v>
      </c>
      <c r="Q70" s="28">
        <f t="shared" si="12"/>
        <v>0.10233333333333335</v>
      </c>
      <c r="R70" s="28">
        <f t="shared" si="12"/>
        <v>2.6833333333333338E-2</v>
      </c>
      <c r="S70" s="14" t="s">
        <v>905</v>
      </c>
    </row>
    <row r="71" spans="3:20" ht="15.75" customHeight="1">
      <c r="D71" s="14" t="s">
        <v>95</v>
      </c>
      <c r="E71" s="293"/>
      <c r="F71" s="1182"/>
      <c r="G71" s="1176"/>
      <c r="H71" s="1176"/>
      <c r="I71" s="1183"/>
      <c r="J71" s="35">
        <f>MAX(J64:J67)</f>
        <v>5.9200000000000008</v>
      </c>
      <c r="K71" s="14" t="s">
        <v>905</v>
      </c>
      <c r="L71" s="35">
        <f t="shared" ref="L71:R71" si="13">MAX(L64:L67)</f>
        <v>36.75</v>
      </c>
      <c r="M71" s="35">
        <f t="shared" si="13"/>
        <v>7.3916666666666657</v>
      </c>
      <c r="N71" s="35">
        <f t="shared" si="13"/>
        <v>29.266666666666669</v>
      </c>
      <c r="O71" s="14">
        <f t="shared" si="13"/>
        <v>5</v>
      </c>
      <c r="P71" s="36">
        <f t="shared" si="13"/>
        <v>285.34518815389276</v>
      </c>
      <c r="Q71" s="28">
        <f t="shared" si="13"/>
        <v>0.14433333333333334</v>
      </c>
      <c r="R71" s="28">
        <f t="shared" si="13"/>
        <v>4.6666666666666669E-2</v>
      </c>
      <c r="S71" s="14" t="s">
        <v>905</v>
      </c>
    </row>
    <row r="72" spans="3:20" ht="15.75" customHeight="1">
      <c r="D72" s="14" t="s">
        <v>96</v>
      </c>
      <c r="E72" s="292"/>
      <c r="F72" s="1184"/>
      <c r="G72" s="1159"/>
      <c r="H72" s="1159"/>
      <c r="I72" s="1185"/>
      <c r="J72" s="118" t="s">
        <v>906</v>
      </c>
      <c r="K72" s="118" t="s">
        <v>905</v>
      </c>
      <c r="L72" s="118" t="s">
        <v>907</v>
      </c>
      <c r="M72" s="118" t="s">
        <v>908</v>
      </c>
      <c r="N72" s="29" t="s">
        <v>909</v>
      </c>
      <c r="O72" s="118" t="s">
        <v>699</v>
      </c>
      <c r="P72" s="118" t="s">
        <v>700</v>
      </c>
      <c r="Q72" s="118" t="s">
        <v>910</v>
      </c>
      <c r="R72" s="118" t="s">
        <v>911</v>
      </c>
      <c r="S72" s="118" t="s">
        <v>905</v>
      </c>
    </row>
    <row r="75" spans="3:20" ht="15" customHeight="1">
      <c r="D75" s="232" t="s">
        <v>175</v>
      </c>
      <c r="E75" s="232"/>
      <c r="F75" s="232"/>
      <c r="G75" s="232"/>
      <c r="H75" s="232"/>
      <c r="I75" s="232"/>
      <c r="J75" s="232"/>
      <c r="K75" s="232"/>
      <c r="L75" s="232"/>
      <c r="M75" s="232"/>
      <c r="N75" s="232"/>
      <c r="O75" s="232"/>
      <c r="P75" s="232"/>
      <c r="Q75" s="232"/>
      <c r="R75" s="232"/>
      <c r="S75" s="232"/>
    </row>
    <row r="76" spans="3:20" ht="15" customHeight="1">
      <c r="C76" s="232"/>
      <c r="D76" s="856" t="s">
        <v>1498</v>
      </c>
      <c r="E76" s="857"/>
      <c r="F76" s="857"/>
      <c r="G76" s="857"/>
      <c r="H76" s="857"/>
      <c r="I76" s="857"/>
      <c r="J76" s="857"/>
      <c r="K76" s="857"/>
      <c r="L76" s="857"/>
      <c r="M76" s="857"/>
      <c r="N76" s="857"/>
      <c r="O76" s="857"/>
      <c r="P76" s="857"/>
      <c r="Q76" s="857"/>
      <c r="R76" s="857"/>
      <c r="S76" s="858"/>
      <c r="T76" s="232"/>
    </row>
    <row r="77" spans="3:20" ht="15" customHeight="1">
      <c r="C77" s="232"/>
      <c r="D77" s="1141"/>
      <c r="E77" s="867"/>
      <c r="F77" s="867"/>
      <c r="G77" s="867"/>
      <c r="H77" s="867"/>
      <c r="I77" s="867"/>
      <c r="J77" s="867"/>
      <c r="K77" s="867"/>
      <c r="L77" s="867"/>
      <c r="M77" s="867"/>
      <c r="N77" s="867"/>
      <c r="O77" s="867"/>
      <c r="P77" s="867"/>
      <c r="Q77" s="867"/>
      <c r="R77" s="867"/>
      <c r="S77" s="1142"/>
      <c r="T77" s="232"/>
    </row>
    <row r="78" spans="3:20" ht="15" customHeight="1">
      <c r="C78" s="232"/>
      <c r="D78" s="1141"/>
      <c r="E78" s="867"/>
      <c r="F78" s="867"/>
      <c r="G78" s="867"/>
      <c r="H78" s="867"/>
      <c r="I78" s="867"/>
      <c r="J78" s="867"/>
      <c r="K78" s="867"/>
      <c r="L78" s="867"/>
      <c r="M78" s="867"/>
      <c r="N78" s="867"/>
      <c r="O78" s="867"/>
      <c r="P78" s="867"/>
      <c r="Q78" s="867"/>
      <c r="R78" s="867"/>
      <c r="S78" s="1142"/>
      <c r="T78" s="232"/>
    </row>
    <row r="79" spans="3:20" ht="15" customHeight="1">
      <c r="C79" s="232"/>
      <c r="D79" s="1141"/>
      <c r="E79" s="867"/>
      <c r="F79" s="867"/>
      <c r="G79" s="867"/>
      <c r="H79" s="867"/>
      <c r="I79" s="867"/>
      <c r="J79" s="867"/>
      <c r="K79" s="867"/>
      <c r="L79" s="867"/>
      <c r="M79" s="867"/>
      <c r="N79" s="867"/>
      <c r="O79" s="867"/>
      <c r="P79" s="867"/>
      <c r="Q79" s="867"/>
      <c r="R79" s="867"/>
      <c r="S79" s="1142"/>
      <c r="T79" s="232"/>
    </row>
    <row r="80" spans="3:20" ht="15" customHeight="1">
      <c r="C80" s="232"/>
      <c r="D80" s="1141"/>
      <c r="E80" s="867"/>
      <c r="F80" s="867"/>
      <c r="G80" s="867"/>
      <c r="H80" s="867"/>
      <c r="I80" s="867"/>
      <c r="J80" s="867"/>
      <c r="K80" s="867"/>
      <c r="L80" s="867"/>
      <c r="M80" s="867"/>
      <c r="N80" s="867"/>
      <c r="O80" s="867"/>
      <c r="P80" s="867"/>
      <c r="Q80" s="867"/>
      <c r="R80" s="867"/>
      <c r="S80" s="1142"/>
      <c r="T80" s="232"/>
    </row>
    <row r="81" spans="3:20" ht="15" customHeight="1">
      <c r="C81" s="232"/>
      <c r="D81" s="1141"/>
      <c r="E81" s="867"/>
      <c r="F81" s="867"/>
      <c r="G81" s="867"/>
      <c r="H81" s="867"/>
      <c r="I81" s="867"/>
      <c r="J81" s="867"/>
      <c r="K81" s="867"/>
      <c r="L81" s="867"/>
      <c r="M81" s="867"/>
      <c r="N81" s="867"/>
      <c r="O81" s="867"/>
      <c r="P81" s="867"/>
      <c r="Q81" s="867"/>
      <c r="R81" s="867"/>
      <c r="S81" s="1142"/>
      <c r="T81" s="232"/>
    </row>
    <row r="82" spans="3:20" ht="15" customHeight="1">
      <c r="C82" s="232"/>
      <c r="D82" s="1141"/>
      <c r="E82" s="867"/>
      <c r="F82" s="867"/>
      <c r="G82" s="867"/>
      <c r="H82" s="867"/>
      <c r="I82" s="867"/>
      <c r="J82" s="867"/>
      <c r="K82" s="867"/>
      <c r="L82" s="867"/>
      <c r="M82" s="867"/>
      <c r="N82" s="867"/>
      <c r="O82" s="867"/>
      <c r="P82" s="867"/>
      <c r="Q82" s="867"/>
      <c r="R82" s="867"/>
      <c r="S82" s="1142"/>
      <c r="T82" s="232"/>
    </row>
    <row r="83" spans="3:20" ht="15" customHeight="1">
      <c r="C83" s="232"/>
      <c r="D83" s="1141"/>
      <c r="E83" s="867"/>
      <c r="F83" s="867"/>
      <c r="G83" s="867"/>
      <c r="H83" s="867"/>
      <c r="I83" s="867"/>
      <c r="J83" s="867"/>
      <c r="K83" s="867"/>
      <c r="L83" s="867"/>
      <c r="M83" s="867"/>
      <c r="N83" s="867"/>
      <c r="O83" s="867"/>
      <c r="P83" s="867"/>
      <c r="Q83" s="867"/>
      <c r="R83" s="867"/>
      <c r="S83" s="1142"/>
      <c r="T83" s="232"/>
    </row>
    <row r="84" spans="3:20" ht="15" customHeight="1">
      <c r="C84" s="232"/>
      <c r="D84" s="1141"/>
      <c r="E84" s="867"/>
      <c r="F84" s="867"/>
      <c r="G84" s="867"/>
      <c r="H84" s="867"/>
      <c r="I84" s="867"/>
      <c r="J84" s="867"/>
      <c r="K84" s="867"/>
      <c r="L84" s="867"/>
      <c r="M84" s="867"/>
      <c r="N84" s="867"/>
      <c r="O84" s="867"/>
      <c r="P84" s="867"/>
      <c r="Q84" s="867"/>
      <c r="R84" s="867"/>
      <c r="S84" s="1142"/>
      <c r="T84" s="232"/>
    </row>
    <row r="85" spans="3:20" ht="15" customHeight="1">
      <c r="C85" s="232"/>
      <c r="D85" s="1141"/>
      <c r="E85" s="867"/>
      <c r="F85" s="867"/>
      <c r="G85" s="867"/>
      <c r="H85" s="867"/>
      <c r="I85" s="867"/>
      <c r="J85" s="867"/>
      <c r="K85" s="867"/>
      <c r="L85" s="867"/>
      <c r="M85" s="867"/>
      <c r="N85" s="867"/>
      <c r="O85" s="867"/>
      <c r="P85" s="867"/>
      <c r="Q85" s="867"/>
      <c r="R85" s="867"/>
      <c r="S85" s="1142"/>
      <c r="T85" s="232"/>
    </row>
    <row r="86" spans="3:20" ht="15" customHeight="1">
      <c r="C86" s="232"/>
      <c r="D86" s="1141"/>
      <c r="E86" s="867"/>
      <c r="F86" s="867"/>
      <c r="G86" s="867"/>
      <c r="H86" s="867"/>
      <c r="I86" s="867"/>
      <c r="J86" s="867"/>
      <c r="K86" s="867"/>
      <c r="L86" s="867"/>
      <c r="M86" s="867"/>
      <c r="N86" s="867"/>
      <c r="O86" s="867"/>
      <c r="P86" s="867"/>
      <c r="Q86" s="867"/>
      <c r="R86" s="867"/>
      <c r="S86" s="1142"/>
      <c r="T86" s="232"/>
    </row>
    <row r="87" spans="3:20" ht="15" customHeight="1">
      <c r="C87" s="232"/>
      <c r="D87" s="1141"/>
      <c r="E87" s="867"/>
      <c r="F87" s="867"/>
      <c r="G87" s="867"/>
      <c r="H87" s="867"/>
      <c r="I87" s="867"/>
      <c r="J87" s="867"/>
      <c r="K87" s="867"/>
      <c r="L87" s="867"/>
      <c r="M87" s="867"/>
      <c r="N87" s="867"/>
      <c r="O87" s="867"/>
      <c r="P87" s="867"/>
      <c r="Q87" s="867"/>
      <c r="R87" s="867"/>
      <c r="S87" s="1142"/>
      <c r="T87" s="232"/>
    </row>
    <row r="88" spans="3:20" ht="15" customHeight="1">
      <c r="C88" s="232"/>
      <c r="D88" s="1141"/>
      <c r="E88" s="867"/>
      <c r="F88" s="867"/>
      <c r="G88" s="867"/>
      <c r="H88" s="867"/>
      <c r="I88" s="867"/>
      <c r="J88" s="867"/>
      <c r="K88" s="867"/>
      <c r="L88" s="867"/>
      <c r="M88" s="867"/>
      <c r="N88" s="867"/>
      <c r="O88" s="867"/>
      <c r="P88" s="867"/>
      <c r="Q88" s="867"/>
      <c r="R88" s="867"/>
      <c r="S88" s="1142"/>
      <c r="T88" s="232"/>
    </row>
    <row r="89" spans="3:20" ht="15" customHeight="1">
      <c r="C89" s="232"/>
      <c r="D89" s="1141"/>
      <c r="E89" s="867"/>
      <c r="F89" s="867"/>
      <c r="G89" s="867"/>
      <c r="H89" s="867"/>
      <c r="I89" s="867"/>
      <c r="J89" s="867"/>
      <c r="K89" s="867"/>
      <c r="L89" s="867"/>
      <c r="M89" s="867"/>
      <c r="N89" s="867"/>
      <c r="O89" s="867"/>
      <c r="P89" s="867"/>
      <c r="Q89" s="867"/>
      <c r="R89" s="867"/>
      <c r="S89" s="1142"/>
      <c r="T89" s="232"/>
    </row>
    <row r="90" spans="3:20" ht="15" customHeight="1">
      <c r="C90" s="232"/>
      <c r="D90" s="1141"/>
      <c r="E90" s="867"/>
      <c r="F90" s="867"/>
      <c r="G90" s="867"/>
      <c r="H90" s="867"/>
      <c r="I90" s="867"/>
      <c r="J90" s="867"/>
      <c r="K90" s="867"/>
      <c r="L90" s="867"/>
      <c r="M90" s="867"/>
      <c r="N90" s="867"/>
      <c r="O90" s="867"/>
      <c r="P90" s="867"/>
      <c r="Q90" s="867"/>
      <c r="R90" s="867"/>
      <c r="S90" s="1142"/>
      <c r="T90" s="232"/>
    </row>
    <row r="91" spans="3:20" ht="15" customHeight="1">
      <c r="C91" s="232"/>
      <c r="D91" s="1141"/>
      <c r="E91" s="867"/>
      <c r="F91" s="867"/>
      <c r="G91" s="867"/>
      <c r="H91" s="867"/>
      <c r="I91" s="867"/>
      <c r="J91" s="867"/>
      <c r="K91" s="867"/>
      <c r="L91" s="867"/>
      <c r="M91" s="867"/>
      <c r="N91" s="867"/>
      <c r="O91" s="867"/>
      <c r="P91" s="867"/>
      <c r="Q91" s="867"/>
      <c r="R91" s="867"/>
      <c r="S91" s="1142"/>
      <c r="T91" s="232"/>
    </row>
    <row r="92" spans="3:20" ht="15" customHeight="1">
      <c r="C92" s="232"/>
      <c r="D92" s="859"/>
      <c r="E92" s="860"/>
      <c r="F92" s="860"/>
      <c r="G92" s="860"/>
      <c r="H92" s="860"/>
      <c r="I92" s="860"/>
      <c r="J92" s="860"/>
      <c r="K92" s="860"/>
      <c r="L92" s="860"/>
      <c r="M92" s="860"/>
      <c r="N92" s="860"/>
      <c r="O92" s="860"/>
      <c r="P92" s="860"/>
      <c r="Q92" s="860"/>
      <c r="R92" s="860"/>
      <c r="S92" s="861"/>
      <c r="T92" s="232"/>
    </row>
    <row r="93" spans="3:20" ht="15" customHeight="1">
      <c r="D93" s="232"/>
      <c r="E93" s="232"/>
      <c r="F93" s="232"/>
      <c r="G93" s="232"/>
      <c r="H93" s="232"/>
      <c r="I93" s="232"/>
      <c r="J93" s="232"/>
      <c r="K93" s="232"/>
      <c r="L93" s="232"/>
      <c r="M93" s="232"/>
      <c r="N93" s="232"/>
      <c r="O93" s="232"/>
      <c r="P93" s="232"/>
      <c r="Q93" s="232"/>
      <c r="R93" s="232"/>
      <c r="S93" s="232"/>
    </row>
  </sheetData>
  <mergeCells count="24">
    <mergeCell ref="D76:S92"/>
    <mergeCell ref="C1:S1"/>
    <mergeCell ref="C2:S2"/>
    <mergeCell ref="C3:S3"/>
    <mergeCell ref="C4:S4"/>
    <mergeCell ref="C5:S5"/>
    <mergeCell ref="D45:S45"/>
    <mergeCell ref="D46:S46"/>
    <mergeCell ref="D47:I47"/>
    <mergeCell ref="J47:S47"/>
    <mergeCell ref="D49:D52"/>
    <mergeCell ref="F49:F52"/>
    <mergeCell ref="G49:G52"/>
    <mergeCell ref="D53:S53"/>
    <mergeCell ref="F54:I57"/>
    <mergeCell ref="G64:G67"/>
    <mergeCell ref="F69:I72"/>
    <mergeCell ref="D60:S60"/>
    <mergeCell ref="D61:S61"/>
    <mergeCell ref="D62:I62"/>
    <mergeCell ref="J62:S62"/>
    <mergeCell ref="D64:D67"/>
    <mergeCell ref="F64:F67"/>
    <mergeCell ref="D68:S68"/>
  </mergeCells>
  <phoneticPr fontId="18" type="noConversion"/>
  <pageMargins left="0.7" right="0.7" top="0.75" bottom="0.75" header="0" footer="0"/>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AF748-F4AD-45D7-9DE8-6B6C24436F46}">
  <sheetPr>
    <tabColor theme="0" tint="-0.34998626667073579"/>
  </sheetPr>
  <dimension ref="A1:Z1000"/>
  <sheetViews>
    <sheetView workbookViewId="0">
      <selection activeCell="K23" sqref="K23"/>
    </sheetView>
  </sheetViews>
  <sheetFormatPr defaultRowHeight="15"/>
  <cols>
    <col min="1" max="2" width="9.140625" style="406"/>
    <col min="3" max="3" width="12.28515625" style="406" customWidth="1"/>
    <col min="4" max="4" width="11.5703125" style="406" customWidth="1"/>
    <col min="5" max="5" width="14" style="406" customWidth="1"/>
    <col min="6" max="8" width="9.140625" style="406"/>
    <col min="9" max="9" width="26.5703125" style="406" customWidth="1"/>
    <col min="10" max="10" width="18.28515625" style="406" customWidth="1"/>
    <col min="11" max="11" width="29.7109375" style="406" customWidth="1"/>
    <col min="12" max="16384" width="9.140625" style="406"/>
  </cols>
  <sheetData>
    <row r="1" spans="1:26">
      <c r="A1" s="1129" t="s">
        <v>40</v>
      </c>
      <c r="B1" s="1130"/>
      <c r="C1" s="1130"/>
      <c r="D1" s="1130"/>
      <c r="E1" s="1130"/>
      <c r="F1" s="1130"/>
      <c r="G1" s="1130"/>
      <c r="H1" s="1130"/>
      <c r="I1" s="1130"/>
      <c r="J1" s="1130"/>
      <c r="K1" s="1131"/>
      <c r="L1" s="404"/>
      <c r="M1" s="404"/>
      <c r="N1" s="404"/>
      <c r="O1" s="404"/>
      <c r="P1" s="404"/>
      <c r="Q1" s="404"/>
      <c r="R1" s="404"/>
      <c r="S1" s="404"/>
      <c r="T1" s="404"/>
      <c r="U1" s="404"/>
      <c r="V1" s="404"/>
      <c r="W1" s="404"/>
      <c r="X1" s="404"/>
      <c r="Y1" s="404"/>
      <c r="Z1" s="405"/>
    </row>
    <row r="2" spans="1:26">
      <c r="A2" s="1148" t="s">
        <v>41</v>
      </c>
      <c r="B2" s="1149"/>
      <c r="C2" s="1149"/>
      <c r="D2" s="1149"/>
      <c r="E2" s="1149"/>
      <c r="F2" s="1149"/>
      <c r="G2" s="1149"/>
      <c r="H2" s="1149"/>
      <c r="I2" s="1149"/>
      <c r="J2" s="1149"/>
      <c r="K2" s="1150"/>
      <c r="L2" s="407"/>
      <c r="M2" s="407"/>
      <c r="N2" s="407"/>
      <c r="O2" s="407"/>
      <c r="P2" s="407"/>
      <c r="Q2" s="407"/>
      <c r="R2" s="407"/>
      <c r="S2" s="407"/>
      <c r="T2" s="407"/>
      <c r="U2" s="407"/>
      <c r="V2" s="407"/>
      <c r="W2" s="407"/>
      <c r="X2" s="407"/>
      <c r="Y2" s="407"/>
      <c r="Z2" s="408"/>
    </row>
    <row r="3" spans="1:26">
      <c r="A3" s="1151" t="s">
        <v>42</v>
      </c>
      <c r="B3" s="1152"/>
      <c r="C3" s="1152"/>
      <c r="D3" s="1152"/>
      <c r="E3" s="1152"/>
      <c r="F3" s="1152"/>
      <c r="G3" s="1152"/>
      <c r="H3" s="1152"/>
      <c r="I3" s="1152"/>
      <c r="J3" s="1152"/>
      <c r="K3" s="1153"/>
      <c r="L3" s="407"/>
      <c r="M3" s="407"/>
      <c r="N3" s="407"/>
      <c r="O3" s="407"/>
      <c r="P3" s="407"/>
      <c r="Q3" s="407"/>
      <c r="R3" s="407"/>
      <c r="S3" s="407"/>
      <c r="T3" s="407"/>
      <c r="U3" s="407"/>
      <c r="V3" s="407"/>
      <c r="W3" s="407"/>
      <c r="X3" s="407"/>
      <c r="Y3" s="407"/>
      <c r="Z3" s="408"/>
    </row>
    <row r="4" spans="1:26">
      <c r="A4" s="1154" t="s">
        <v>45</v>
      </c>
      <c r="B4" s="1143" t="s">
        <v>46</v>
      </c>
      <c r="C4" s="1143" t="s">
        <v>47</v>
      </c>
      <c r="D4" s="1156" t="s">
        <v>1499</v>
      </c>
      <c r="E4" s="1157"/>
      <c r="F4" s="1143" t="s">
        <v>392</v>
      </c>
      <c r="G4" s="1143" t="s">
        <v>393</v>
      </c>
      <c r="H4" s="1143" t="s">
        <v>394</v>
      </c>
      <c r="I4" s="1143" t="s">
        <v>395</v>
      </c>
      <c r="J4" s="1143" t="s">
        <v>1500</v>
      </c>
      <c r="K4" s="1143" t="s">
        <v>1501</v>
      </c>
      <c r="L4" s="407"/>
      <c r="M4" s="407"/>
      <c r="N4" s="407"/>
      <c r="O4" s="407"/>
      <c r="P4" s="407"/>
      <c r="Q4" s="407"/>
      <c r="R4" s="407"/>
      <c r="S4" s="407"/>
      <c r="T4" s="407"/>
      <c r="U4" s="407"/>
      <c r="V4" s="407"/>
      <c r="W4" s="407"/>
      <c r="X4" s="407"/>
      <c r="Y4" s="407"/>
      <c r="Z4" s="408"/>
    </row>
    <row r="5" spans="1:26" ht="28.5">
      <c r="A5" s="1155"/>
      <c r="B5" s="1144"/>
      <c r="C5" s="1144"/>
      <c r="D5" s="363" t="s">
        <v>1502</v>
      </c>
      <c r="E5" s="363" t="s">
        <v>1503</v>
      </c>
      <c r="F5" s="1144"/>
      <c r="G5" s="1144"/>
      <c r="H5" s="1144"/>
      <c r="I5" s="1144"/>
      <c r="J5" s="1144"/>
      <c r="K5" s="1144"/>
      <c r="L5" s="407"/>
      <c r="M5" s="407"/>
      <c r="N5" s="407"/>
      <c r="O5" s="407"/>
      <c r="P5" s="407"/>
      <c r="Q5" s="407"/>
      <c r="R5" s="407"/>
      <c r="S5" s="407"/>
      <c r="T5" s="407"/>
      <c r="U5" s="407"/>
      <c r="V5" s="407"/>
      <c r="W5" s="407"/>
      <c r="X5" s="407"/>
      <c r="Y5" s="407"/>
      <c r="Z5" s="408"/>
    </row>
    <row r="6" spans="1:26">
      <c r="A6" s="1145" t="s">
        <v>1504</v>
      </c>
      <c r="B6" s="1146"/>
      <c r="C6" s="1146"/>
      <c r="D6" s="1146"/>
      <c r="E6" s="1146"/>
      <c r="F6" s="1146"/>
      <c r="G6" s="1146"/>
      <c r="H6" s="1146"/>
      <c r="I6" s="1146"/>
      <c r="J6" s="1146"/>
      <c r="K6" s="1147"/>
      <c r="L6" s="407"/>
      <c r="M6" s="407"/>
      <c r="N6" s="407"/>
      <c r="O6" s="407"/>
      <c r="P6" s="407"/>
      <c r="Q6" s="407"/>
      <c r="R6" s="407"/>
      <c r="S6" s="407"/>
      <c r="T6" s="407"/>
      <c r="U6" s="407"/>
      <c r="V6" s="407"/>
      <c r="W6" s="407"/>
      <c r="X6" s="407"/>
      <c r="Y6" s="407"/>
      <c r="Z6" s="408"/>
    </row>
    <row r="7" spans="1:26">
      <c r="A7" s="1145" t="s">
        <v>1505</v>
      </c>
      <c r="B7" s="1146"/>
      <c r="C7" s="1146"/>
      <c r="D7" s="1146"/>
      <c r="E7" s="1146"/>
      <c r="F7" s="1146"/>
      <c r="G7" s="1146"/>
      <c r="H7" s="1146"/>
      <c r="I7" s="1146"/>
      <c r="J7" s="1146"/>
      <c r="K7" s="1147"/>
      <c r="L7" s="407"/>
      <c r="M7" s="407"/>
      <c r="N7" s="407"/>
      <c r="O7" s="407"/>
      <c r="P7" s="407"/>
      <c r="Q7" s="407"/>
      <c r="R7" s="407"/>
      <c r="S7" s="407"/>
      <c r="T7" s="407"/>
      <c r="U7" s="407"/>
      <c r="V7" s="407"/>
      <c r="W7" s="407"/>
      <c r="X7" s="407"/>
      <c r="Y7" s="407"/>
      <c r="Z7" s="408"/>
    </row>
    <row r="8" spans="1:26">
      <c r="A8" s="409" t="s">
        <v>65</v>
      </c>
      <c r="B8" s="1098" t="s">
        <v>1506</v>
      </c>
      <c r="C8" s="410">
        <v>1</v>
      </c>
      <c r="D8" s="411">
        <v>14.666689999999999</v>
      </c>
      <c r="E8" s="411">
        <v>120.84238999999999</v>
      </c>
      <c r="F8" s="810">
        <v>5.9</v>
      </c>
      <c r="G8" s="811">
        <v>3.1</v>
      </c>
      <c r="H8" s="811" t="s">
        <v>1361</v>
      </c>
      <c r="I8" s="811" t="s">
        <v>1361</v>
      </c>
      <c r="J8" s="411" t="e">
        <v>#DIV/0!</v>
      </c>
      <c r="K8" s="411">
        <v>9.6</v>
      </c>
      <c r="L8" s="407"/>
      <c r="M8" s="407"/>
      <c r="N8" s="407"/>
      <c r="O8" s="407"/>
      <c r="P8" s="407"/>
      <c r="Q8" s="407"/>
      <c r="R8" s="407"/>
      <c r="S8" s="407"/>
      <c r="T8" s="407"/>
      <c r="U8" s="407"/>
      <c r="V8" s="407"/>
      <c r="W8" s="407"/>
      <c r="X8" s="407"/>
      <c r="Y8" s="407"/>
      <c r="Z8" s="408"/>
    </row>
    <row r="9" spans="1:26">
      <c r="A9" s="412"/>
      <c r="B9" s="1099"/>
      <c r="C9" s="413">
        <v>2</v>
      </c>
      <c r="D9" s="390">
        <v>14.67756</v>
      </c>
      <c r="E9" s="390">
        <v>120.76119</v>
      </c>
      <c r="F9" s="812">
        <v>5.0999999999999996</v>
      </c>
      <c r="G9" s="309">
        <v>4</v>
      </c>
      <c r="H9" s="309" t="s">
        <v>1361</v>
      </c>
      <c r="I9" s="309" t="s">
        <v>1361</v>
      </c>
      <c r="J9" s="390" t="e">
        <v>#DIV/0!</v>
      </c>
      <c r="K9" s="390">
        <v>9.6</v>
      </c>
      <c r="L9" s="407"/>
      <c r="M9" s="407"/>
      <c r="N9" s="407"/>
      <c r="O9" s="407"/>
      <c r="P9" s="407"/>
      <c r="Q9" s="407"/>
      <c r="R9" s="407"/>
      <c r="S9" s="407"/>
      <c r="T9" s="407"/>
      <c r="U9" s="407"/>
      <c r="V9" s="407"/>
      <c r="W9" s="407"/>
      <c r="X9" s="407"/>
      <c r="Y9" s="407"/>
      <c r="Z9" s="408"/>
    </row>
    <row r="10" spans="1:26">
      <c r="A10" s="412"/>
      <c r="B10" s="1099"/>
      <c r="C10" s="413">
        <v>3</v>
      </c>
      <c r="D10" s="390">
        <v>14.671419999999999</v>
      </c>
      <c r="E10" s="390">
        <v>120.62481</v>
      </c>
      <c r="F10" s="812">
        <v>5.5</v>
      </c>
      <c r="G10" s="309">
        <v>4.5</v>
      </c>
      <c r="H10" s="309" t="s">
        <v>1361</v>
      </c>
      <c r="I10" s="309" t="s">
        <v>1361</v>
      </c>
      <c r="J10" s="390" t="e">
        <v>#DIV/0!</v>
      </c>
      <c r="K10" s="390">
        <v>9.6</v>
      </c>
      <c r="L10" s="407"/>
      <c r="M10" s="407"/>
      <c r="N10" s="407"/>
      <c r="O10" s="407"/>
      <c r="P10" s="407"/>
      <c r="Q10" s="407"/>
      <c r="R10" s="407"/>
      <c r="S10" s="407"/>
      <c r="T10" s="407"/>
      <c r="U10" s="407"/>
      <c r="V10" s="407"/>
      <c r="W10" s="407"/>
      <c r="X10" s="407"/>
      <c r="Y10" s="407"/>
      <c r="Z10" s="408"/>
    </row>
    <row r="11" spans="1:26">
      <c r="A11" s="412"/>
      <c r="B11" s="1099"/>
      <c r="C11" s="413">
        <v>4</v>
      </c>
      <c r="D11" s="390">
        <v>14.57836</v>
      </c>
      <c r="E11" s="390">
        <v>120.63139</v>
      </c>
      <c r="F11" s="812">
        <v>4.7</v>
      </c>
      <c r="G11" s="309">
        <v>3.8</v>
      </c>
      <c r="H11" s="309" t="s">
        <v>1361</v>
      </c>
      <c r="I11" s="309" t="s">
        <v>1361</v>
      </c>
      <c r="J11" s="390" t="e">
        <v>#DIV/0!</v>
      </c>
      <c r="K11" s="390">
        <v>9.6</v>
      </c>
      <c r="L11" s="407"/>
      <c r="M11" s="407"/>
      <c r="N11" s="407"/>
      <c r="O11" s="407"/>
      <c r="P11" s="407"/>
      <c r="Q11" s="407"/>
      <c r="R11" s="407"/>
      <c r="S11" s="407"/>
      <c r="T11" s="407"/>
      <c r="U11" s="407"/>
      <c r="V11" s="407"/>
      <c r="W11" s="407"/>
      <c r="X11" s="407"/>
      <c r="Y11" s="407"/>
      <c r="Z11" s="408"/>
    </row>
    <row r="12" spans="1:26">
      <c r="A12" s="412"/>
      <c r="B12" s="1099"/>
      <c r="C12" s="413">
        <v>5</v>
      </c>
      <c r="D12" s="390">
        <v>14.452500000000001</v>
      </c>
      <c r="E12" s="390">
        <v>120.62608</v>
      </c>
      <c r="F12" s="812">
        <v>4.8</v>
      </c>
      <c r="G12" s="309">
        <v>5.7</v>
      </c>
      <c r="H12" s="309" t="s">
        <v>1361</v>
      </c>
      <c r="I12" s="309" t="s">
        <v>1361</v>
      </c>
      <c r="J12" s="390" t="e">
        <v>#DIV/0!</v>
      </c>
      <c r="K12" s="390">
        <v>9.6</v>
      </c>
      <c r="L12" s="407"/>
      <c r="M12" s="407"/>
      <c r="N12" s="407"/>
      <c r="O12" s="407"/>
      <c r="P12" s="407"/>
      <c r="Q12" s="407"/>
      <c r="R12" s="407"/>
      <c r="S12" s="407"/>
      <c r="T12" s="407"/>
      <c r="U12" s="407"/>
      <c r="V12" s="407"/>
      <c r="W12" s="407"/>
      <c r="X12" s="407"/>
      <c r="Y12" s="407"/>
      <c r="Z12" s="408"/>
    </row>
    <row r="13" spans="1:26">
      <c r="A13" s="412"/>
      <c r="B13" s="1099"/>
      <c r="C13" s="413">
        <v>6</v>
      </c>
      <c r="D13" s="390">
        <v>14.453060000000001</v>
      </c>
      <c r="E13" s="390">
        <v>120.75489</v>
      </c>
      <c r="F13" s="812">
        <v>5.6</v>
      </c>
      <c r="G13" s="309">
        <v>4.4000000000000004</v>
      </c>
      <c r="H13" s="309" t="s">
        <v>1361</v>
      </c>
      <c r="I13" s="309" t="s">
        <v>1361</v>
      </c>
      <c r="J13" s="390" t="e">
        <v>#DIV/0!</v>
      </c>
      <c r="K13" s="390">
        <v>9.6</v>
      </c>
      <c r="L13" s="407"/>
      <c r="M13" s="407"/>
      <c r="N13" s="407"/>
      <c r="O13" s="407"/>
      <c r="P13" s="407"/>
      <c r="Q13" s="407"/>
      <c r="R13" s="407"/>
      <c r="S13" s="407"/>
      <c r="T13" s="407"/>
      <c r="U13" s="407"/>
      <c r="V13" s="407"/>
      <c r="W13" s="407"/>
      <c r="X13" s="407"/>
      <c r="Y13" s="407"/>
      <c r="Z13" s="408"/>
    </row>
    <row r="14" spans="1:26">
      <c r="A14" s="412"/>
      <c r="B14" s="1099"/>
      <c r="C14" s="413">
        <v>7</v>
      </c>
      <c r="D14" s="390">
        <v>14.46786</v>
      </c>
      <c r="E14" s="390">
        <v>120.84110699999999</v>
      </c>
      <c r="F14" s="812">
        <v>5.7</v>
      </c>
      <c r="G14" s="309">
        <v>3.7</v>
      </c>
      <c r="H14" s="309" t="s">
        <v>1361</v>
      </c>
      <c r="I14" s="309" t="s">
        <v>1361</v>
      </c>
      <c r="J14" s="390" t="e">
        <v>#DIV/0!</v>
      </c>
      <c r="K14" s="390">
        <v>9.6</v>
      </c>
      <c r="L14" s="407"/>
      <c r="M14" s="407"/>
      <c r="N14" s="407"/>
      <c r="O14" s="407"/>
      <c r="P14" s="407"/>
      <c r="Q14" s="407"/>
      <c r="R14" s="407"/>
      <c r="S14" s="407"/>
      <c r="T14" s="407"/>
      <c r="U14" s="407"/>
      <c r="V14" s="407"/>
      <c r="W14" s="407"/>
      <c r="X14" s="407"/>
      <c r="Y14" s="407"/>
      <c r="Z14" s="408"/>
    </row>
    <row r="15" spans="1:26">
      <c r="A15" s="412"/>
      <c r="B15" s="1099"/>
      <c r="C15" s="413">
        <v>8</v>
      </c>
      <c r="D15" s="390">
        <v>14.584440000000001</v>
      </c>
      <c r="E15" s="390">
        <v>120.76211000000001</v>
      </c>
      <c r="F15" s="812">
        <v>6.2</v>
      </c>
      <c r="G15" s="309">
        <v>5.0999999999999996</v>
      </c>
      <c r="H15" s="309" t="s">
        <v>1361</v>
      </c>
      <c r="I15" s="309" t="s">
        <v>1361</v>
      </c>
      <c r="J15" s="390" t="e">
        <v>#DIV/0!</v>
      </c>
      <c r="K15" s="390">
        <v>9.6</v>
      </c>
      <c r="L15" s="407"/>
      <c r="M15" s="407"/>
      <c r="N15" s="407"/>
      <c r="O15" s="407"/>
      <c r="P15" s="407"/>
      <c r="Q15" s="407"/>
      <c r="R15" s="407"/>
      <c r="S15" s="407"/>
      <c r="T15" s="407"/>
      <c r="U15" s="407"/>
      <c r="V15" s="407"/>
      <c r="W15" s="407"/>
      <c r="X15" s="407"/>
      <c r="Y15" s="407"/>
      <c r="Z15" s="408"/>
    </row>
    <row r="16" spans="1:26">
      <c r="A16" s="412"/>
      <c r="B16" s="1100"/>
      <c r="C16" s="413">
        <v>9</v>
      </c>
      <c r="D16" s="390">
        <v>14.590809</v>
      </c>
      <c r="E16" s="390">
        <v>120.847296</v>
      </c>
      <c r="F16" s="812">
        <v>6.2</v>
      </c>
      <c r="G16" s="309">
        <v>4.4000000000000004</v>
      </c>
      <c r="H16" s="309" t="s">
        <v>1361</v>
      </c>
      <c r="I16" s="309" t="s">
        <v>1361</v>
      </c>
      <c r="J16" s="390" t="e">
        <v>#DIV/0!</v>
      </c>
      <c r="K16" s="390">
        <v>9.6</v>
      </c>
      <c r="L16" s="407"/>
      <c r="M16" s="407"/>
      <c r="N16" s="407"/>
      <c r="O16" s="407"/>
      <c r="P16" s="407"/>
      <c r="Q16" s="407"/>
      <c r="R16" s="407"/>
      <c r="S16" s="407"/>
      <c r="T16" s="407"/>
      <c r="U16" s="407"/>
      <c r="V16" s="407"/>
      <c r="W16" s="407"/>
      <c r="X16" s="407"/>
      <c r="Y16" s="407"/>
      <c r="Z16" s="408"/>
    </row>
    <row r="17" spans="1:26">
      <c r="A17" s="412"/>
      <c r="B17" s="1098" t="s">
        <v>1507</v>
      </c>
      <c r="C17" s="410">
        <v>1</v>
      </c>
      <c r="D17" s="411">
        <v>14.666689999999999</v>
      </c>
      <c r="E17" s="411">
        <v>120.84238999999999</v>
      </c>
      <c r="F17" s="813" t="s">
        <v>1508</v>
      </c>
      <c r="G17" s="353" t="s">
        <v>1508</v>
      </c>
      <c r="H17" s="353" t="s">
        <v>1361</v>
      </c>
      <c r="I17" s="353" t="s">
        <v>1361</v>
      </c>
      <c r="J17" s="411" t="e">
        <v>#DIV/0!</v>
      </c>
      <c r="K17" s="411">
        <v>370</v>
      </c>
      <c r="L17" s="407"/>
      <c r="M17" s="407"/>
      <c r="N17" s="407"/>
      <c r="O17" s="407"/>
      <c r="P17" s="407"/>
      <c r="Q17" s="407"/>
      <c r="R17" s="407"/>
      <c r="S17" s="407"/>
      <c r="T17" s="407"/>
      <c r="U17" s="407"/>
      <c r="V17" s="407"/>
      <c r="W17" s="407"/>
      <c r="X17" s="407"/>
      <c r="Y17" s="407"/>
      <c r="Z17" s="408"/>
    </row>
    <row r="18" spans="1:26">
      <c r="A18" s="412"/>
      <c r="B18" s="1099"/>
      <c r="C18" s="413">
        <v>2</v>
      </c>
      <c r="D18" s="390">
        <v>14.67756</v>
      </c>
      <c r="E18" s="390">
        <v>120.76119</v>
      </c>
      <c r="F18" s="812" t="s">
        <v>1508</v>
      </c>
      <c r="G18" s="309" t="s">
        <v>1508</v>
      </c>
      <c r="H18" s="309" t="s">
        <v>1361</v>
      </c>
      <c r="I18" s="309" t="s">
        <v>1361</v>
      </c>
      <c r="J18" s="390" t="e">
        <v>#DIV/0!</v>
      </c>
      <c r="K18" s="390">
        <v>370</v>
      </c>
      <c r="L18" s="407"/>
      <c r="M18" s="407"/>
      <c r="N18" s="407"/>
      <c r="O18" s="407"/>
      <c r="P18" s="407"/>
      <c r="Q18" s="407"/>
      <c r="R18" s="407"/>
      <c r="S18" s="407"/>
      <c r="T18" s="407"/>
      <c r="U18" s="407"/>
      <c r="V18" s="407"/>
      <c r="W18" s="407"/>
      <c r="X18" s="407"/>
      <c r="Y18" s="407"/>
      <c r="Z18" s="408"/>
    </row>
    <row r="19" spans="1:26">
      <c r="A19" s="412"/>
      <c r="B19" s="1099"/>
      <c r="C19" s="413">
        <v>3</v>
      </c>
      <c r="D19" s="390">
        <v>14.671419999999999</v>
      </c>
      <c r="E19" s="390">
        <v>120.62481</v>
      </c>
      <c r="F19" s="812" t="s">
        <v>1508</v>
      </c>
      <c r="G19" s="309" t="s">
        <v>1508</v>
      </c>
      <c r="H19" s="309" t="s">
        <v>1361</v>
      </c>
      <c r="I19" s="309" t="s">
        <v>1361</v>
      </c>
      <c r="J19" s="390" t="e">
        <v>#DIV/0!</v>
      </c>
      <c r="K19" s="390">
        <v>370</v>
      </c>
      <c r="L19" s="407"/>
      <c r="M19" s="407"/>
      <c r="N19" s="407"/>
      <c r="O19" s="407"/>
      <c r="P19" s="407"/>
      <c r="Q19" s="407"/>
      <c r="R19" s="407"/>
      <c r="S19" s="407"/>
      <c r="T19" s="407"/>
      <c r="U19" s="407"/>
      <c r="V19" s="407"/>
      <c r="W19" s="407"/>
      <c r="X19" s="407"/>
      <c r="Y19" s="407"/>
      <c r="Z19" s="408"/>
    </row>
    <row r="20" spans="1:26">
      <c r="A20" s="412"/>
      <c r="B20" s="1099"/>
      <c r="C20" s="413">
        <v>4</v>
      </c>
      <c r="D20" s="390">
        <v>14.57836</v>
      </c>
      <c r="E20" s="390">
        <v>120.63139</v>
      </c>
      <c r="F20" s="812" t="s">
        <v>1508</v>
      </c>
      <c r="G20" s="309" t="s">
        <v>1508</v>
      </c>
      <c r="H20" s="309" t="s">
        <v>1361</v>
      </c>
      <c r="I20" s="309" t="s">
        <v>1361</v>
      </c>
      <c r="J20" s="390" t="e">
        <v>#DIV/0!</v>
      </c>
      <c r="K20" s="390">
        <v>370</v>
      </c>
      <c r="L20" s="407"/>
      <c r="M20" s="407"/>
      <c r="N20" s="407"/>
      <c r="O20" s="407"/>
      <c r="P20" s="407"/>
      <c r="Q20" s="407"/>
      <c r="R20" s="407"/>
      <c r="S20" s="407"/>
      <c r="T20" s="407"/>
      <c r="U20" s="407"/>
      <c r="V20" s="407"/>
      <c r="W20" s="407"/>
      <c r="X20" s="407"/>
      <c r="Y20" s="407"/>
      <c r="Z20" s="408"/>
    </row>
    <row r="21" spans="1:26">
      <c r="A21" s="412"/>
      <c r="B21" s="1099"/>
      <c r="C21" s="413">
        <v>5</v>
      </c>
      <c r="D21" s="390">
        <v>14.452500000000001</v>
      </c>
      <c r="E21" s="390">
        <v>120.62608</v>
      </c>
      <c r="F21" s="812" t="s">
        <v>1508</v>
      </c>
      <c r="G21" s="309" t="s">
        <v>1508</v>
      </c>
      <c r="H21" s="309" t="s">
        <v>1361</v>
      </c>
      <c r="I21" s="309" t="s">
        <v>1361</v>
      </c>
      <c r="J21" s="390" t="e">
        <v>#DIV/0!</v>
      </c>
      <c r="K21" s="390">
        <v>370</v>
      </c>
      <c r="L21" s="407"/>
      <c r="M21" s="407"/>
      <c r="N21" s="407"/>
      <c r="O21" s="407"/>
      <c r="P21" s="407"/>
      <c r="Q21" s="407"/>
      <c r="R21" s="407"/>
      <c r="S21" s="407"/>
      <c r="T21" s="407"/>
      <c r="U21" s="407"/>
      <c r="V21" s="407"/>
      <c r="W21" s="407"/>
      <c r="X21" s="407"/>
      <c r="Y21" s="407"/>
      <c r="Z21" s="408"/>
    </row>
    <row r="22" spans="1:26">
      <c r="A22" s="412"/>
      <c r="B22" s="1099"/>
      <c r="C22" s="413">
        <v>6</v>
      </c>
      <c r="D22" s="390">
        <v>14.453060000000001</v>
      </c>
      <c r="E22" s="390">
        <v>120.75489</v>
      </c>
      <c r="F22" s="812" t="s">
        <v>1508</v>
      </c>
      <c r="G22" s="309" t="s">
        <v>1508</v>
      </c>
      <c r="H22" s="309" t="s">
        <v>1361</v>
      </c>
      <c r="I22" s="309" t="s">
        <v>1361</v>
      </c>
      <c r="J22" s="390" t="e">
        <v>#DIV/0!</v>
      </c>
      <c r="K22" s="390">
        <v>370</v>
      </c>
      <c r="L22" s="407"/>
      <c r="M22" s="407"/>
      <c r="N22" s="407"/>
      <c r="O22" s="407"/>
      <c r="P22" s="407"/>
      <c r="Q22" s="407"/>
      <c r="R22" s="407"/>
      <c r="S22" s="407"/>
      <c r="T22" s="407"/>
      <c r="U22" s="407"/>
      <c r="V22" s="407"/>
      <c r="W22" s="407"/>
      <c r="X22" s="407"/>
      <c r="Y22" s="407"/>
      <c r="Z22" s="408"/>
    </row>
    <row r="23" spans="1:26">
      <c r="A23" s="412"/>
      <c r="B23" s="1099"/>
      <c r="C23" s="413">
        <v>7</v>
      </c>
      <c r="D23" s="390">
        <v>14.46786</v>
      </c>
      <c r="E23" s="390">
        <v>120.84110699999999</v>
      </c>
      <c r="F23" s="812" t="s">
        <v>1508</v>
      </c>
      <c r="G23" s="309" t="s">
        <v>1508</v>
      </c>
      <c r="H23" s="309" t="s">
        <v>1361</v>
      </c>
      <c r="I23" s="309" t="s">
        <v>1361</v>
      </c>
      <c r="J23" s="390" t="e">
        <v>#DIV/0!</v>
      </c>
      <c r="K23" s="390">
        <v>370</v>
      </c>
      <c r="L23" s="407"/>
      <c r="M23" s="407"/>
      <c r="N23" s="407"/>
      <c r="O23" s="407"/>
      <c r="P23" s="407"/>
      <c r="Q23" s="407"/>
      <c r="R23" s="407"/>
      <c r="S23" s="407"/>
      <c r="T23" s="407"/>
      <c r="U23" s="407"/>
      <c r="V23" s="407"/>
      <c r="W23" s="407"/>
      <c r="X23" s="407"/>
      <c r="Y23" s="407"/>
      <c r="Z23" s="408"/>
    </row>
    <row r="24" spans="1:26">
      <c r="A24" s="412"/>
      <c r="B24" s="1099"/>
      <c r="C24" s="413">
        <v>8</v>
      </c>
      <c r="D24" s="390">
        <v>14.584440000000001</v>
      </c>
      <c r="E24" s="390">
        <v>120.76211000000001</v>
      </c>
      <c r="F24" s="812" t="s">
        <v>1508</v>
      </c>
      <c r="G24" s="309" t="s">
        <v>1508</v>
      </c>
      <c r="H24" s="309" t="s">
        <v>1361</v>
      </c>
      <c r="I24" s="309" t="s">
        <v>1361</v>
      </c>
      <c r="J24" s="390" t="e">
        <v>#DIV/0!</v>
      </c>
      <c r="K24" s="390">
        <v>370</v>
      </c>
      <c r="L24" s="407"/>
      <c r="M24" s="407"/>
      <c r="N24" s="407"/>
      <c r="O24" s="407"/>
      <c r="P24" s="407"/>
      <c r="Q24" s="407"/>
      <c r="R24" s="407"/>
      <c r="S24" s="407"/>
      <c r="T24" s="407"/>
      <c r="U24" s="407"/>
      <c r="V24" s="407"/>
      <c r="W24" s="407"/>
      <c r="X24" s="407"/>
      <c r="Y24" s="407"/>
      <c r="Z24" s="408"/>
    </row>
    <row r="25" spans="1:26">
      <c r="A25" s="412"/>
      <c r="B25" s="1100"/>
      <c r="C25" s="413">
        <v>9</v>
      </c>
      <c r="D25" s="390">
        <v>14.590809</v>
      </c>
      <c r="E25" s="390">
        <v>120.847296</v>
      </c>
      <c r="F25" s="812" t="s">
        <v>1508</v>
      </c>
      <c r="G25" s="309" t="s">
        <v>1508</v>
      </c>
      <c r="H25" s="309" t="s">
        <v>1361</v>
      </c>
      <c r="I25" s="309" t="s">
        <v>1361</v>
      </c>
      <c r="J25" s="390" t="e">
        <v>#DIV/0!</v>
      </c>
      <c r="K25" s="390">
        <v>370</v>
      </c>
      <c r="L25" s="407"/>
      <c r="M25" s="407"/>
      <c r="N25" s="407"/>
      <c r="O25" s="407"/>
      <c r="P25" s="407"/>
      <c r="Q25" s="407"/>
      <c r="R25" s="407"/>
      <c r="S25" s="407"/>
      <c r="T25" s="407"/>
      <c r="U25" s="407"/>
      <c r="V25" s="407"/>
      <c r="W25" s="407"/>
      <c r="X25" s="407"/>
      <c r="Y25" s="407"/>
      <c r="Z25" s="408"/>
    </row>
    <row r="26" spans="1:26">
      <c r="A26" s="412"/>
      <c r="B26" s="1098" t="s">
        <v>1509</v>
      </c>
      <c r="C26" s="410">
        <v>1</v>
      </c>
      <c r="D26" s="411">
        <v>14.666689999999999</v>
      </c>
      <c r="E26" s="411">
        <v>120.84238999999999</v>
      </c>
      <c r="F26" s="813">
        <v>25</v>
      </c>
      <c r="G26" s="353">
        <v>7.8</v>
      </c>
      <c r="H26" s="353" t="s">
        <v>1361</v>
      </c>
      <c r="I26" s="353" t="s">
        <v>1361</v>
      </c>
      <c r="J26" s="411" t="e">
        <v>#DIV/0!</v>
      </c>
      <c r="K26" s="411">
        <v>218</v>
      </c>
      <c r="L26" s="407"/>
      <c r="M26" s="407"/>
      <c r="N26" s="407"/>
      <c r="O26" s="407"/>
      <c r="P26" s="407"/>
      <c r="Q26" s="407"/>
      <c r="R26" s="407"/>
      <c r="S26" s="407"/>
      <c r="T26" s="407"/>
      <c r="U26" s="407"/>
      <c r="V26" s="407"/>
      <c r="W26" s="407"/>
      <c r="X26" s="407"/>
      <c r="Y26" s="407"/>
      <c r="Z26" s="408"/>
    </row>
    <row r="27" spans="1:26">
      <c r="A27" s="412"/>
      <c r="B27" s="1099"/>
      <c r="C27" s="413">
        <v>2</v>
      </c>
      <c r="D27" s="390">
        <v>14.67756</v>
      </c>
      <c r="E27" s="390">
        <v>120.76119</v>
      </c>
      <c r="F27" s="812" t="s">
        <v>1508</v>
      </c>
      <c r="G27" s="309">
        <v>5.9</v>
      </c>
      <c r="H27" s="309" t="s">
        <v>1361</v>
      </c>
      <c r="I27" s="309" t="s">
        <v>1361</v>
      </c>
      <c r="J27" s="390" t="e">
        <v>#DIV/0!</v>
      </c>
      <c r="K27" s="390">
        <v>218</v>
      </c>
      <c r="L27" s="407"/>
      <c r="M27" s="407"/>
      <c r="N27" s="407"/>
      <c r="O27" s="407"/>
      <c r="P27" s="407"/>
      <c r="Q27" s="407"/>
      <c r="R27" s="407"/>
      <c r="S27" s="407"/>
      <c r="T27" s="407"/>
      <c r="U27" s="407"/>
      <c r="V27" s="407"/>
      <c r="W27" s="407"/>
      <c r="X27" s="407"/>
      <c r="Y27" s="407"/>
      <c r="Z27" s="408"/>
    </row>
    <row r="28" spans="1:26">
      <c r="A28" s="412"/>
      <c r="B28" s="1099"/>
      <c r="C28" s="413">
        <v>3</v>
      </c>
      <c r="D28" s="390">
        <v>14.671419999999999</v>
      </c>
      <c r="E28" s="390">
        <v>120.62481</v>
      </c>
      <c r="F28" s="812">
        <v>9.3000000000000007</v>
      </c>
      <c r="G28" s="309" t="s">
        <v>1508</v>
      </c>
      <c r="H28" s="309" t="s">
        <v>1361</v>
      </c>
      <c r="I28" s="309" t="s">
        <v>1361</v>
      </c>
      <c r="J28" s="390" t="e">
        <v>#DIV/0!</v>
      </c>
      <c r="K28" s="390">
        <v>218</v>
      </c>
      <c r="L28" s="407"/>
      <c r="M28" s="407"/>
      <c r="N28" s="407"/>
      <c r="O28" s="407"/>
      <c r="P28" s="407"/>
      <c r="Q28" s="407"/>
      <c r="R28" s="407"/>
      <c r="S28" s="407"/>
      <c r="T28" s="407"/>
      <c r="U28" s="407"/>
      <c r="V28" s="407"/>
      <c r="W28" s="407"/>
      <c r="X28" s="407"/>
      <c r="Y28" s="407"/>
      <c r="Z28" s="408"/>
    </row>
    <row r="29" spans="1:26">
      <c r="A29" s="412"/>
      <c r="B29" s="1099"/>
      <c r="C29" s="413">
        <v>4</v>
      </c>
      <c r="D29" s="390">
        <v>14.57836</v>
      </c>
      <c r="E29" s="390">
        <v>120.63139</v>
      </c>
      <c r="F29" s="812" t="s">
        <v>1508</v>
      </c>
      <c r="G29" s="309" t="s">
        <v>1508</v>
      </c>
      <c r="H29" s="309" t="s">
        <v>1361</v>
      </c>
      <c r="I29" s="309" t="s">
        <v>1361</v>
      </c>
      <c r="J29" s="390" t="e">
        <v>#DIV/0!</v>
      </c>
      <c r="K29" s="390">
        <v>218</v>
      </c>
      <c r="L29" s="407"/>
      <c r="M29" s="407"/>
      <c r="N29" s="407"/>
      <c r="O29" s="407"/>
      <c r="P29" s="407"/>
      <c r="Q29" s="407"/>
      <c r="R29" s="407"/>
      <c r="S29" s="407"/>
      <c r="T29" s="407"/>
      <c r="U29" s="407"/>
      <c r="V29" s="407"/>
      <c r="W29" s="407"/>
      <c r="X29" s="407"/>
      <c r="Y29" s="407"/>
      <c r="Z29" s="408"/>
    </row>
    <row r="30" spans="1:26">
      <c r="A30" s="412"/>
      <c r="B30" s="1099"/>
      <c r="C30" s="413">
        <v>5</v>
      </c>
      <c r="D30" s="390">
        <v>14.452500000000001</v>
      </c>
      <c r="E30" s="390">
        <v>120.62608</v>
      </c>
      <c r="F30" s="812" t="s">
        <v>1508</v>
      </c>
      <c r="G30" s="309">
        <v>5.3</v>
      </c>
      <c r="H30" s="309" t="s">
        <v>1361</v>
      </c>
      <c r="I30" s="309" t="s">
        <v>1361</v>
      </c>
      <c r="J30" s="390" t="e">
        <v>#DIV/0!</v>
      </c>
      <c r="K30" s="390">
        <v>218</v>
      </c>
      <c r="L30" s="407"/>
      <c r="M30" s="407"/>
      <c r="N30" s="407"/>
      <c r="O30" s="407"/>
      <c r="P30" s="407"/>
      <c r="Q30" s="407"/>
      <c r="R30" s="407"/>
      <c r="S30" s="407"/>
      <c r="T30" s="407"/>
      <c r="U30" s="407"/>
      <c r="V30" s="407"/>
      <c r="W30" s="407"/>
      <c r="X30" s="407"/>
      <c r="Y30" s="407"/>
      <c r="Z30" s="408"/>
    </row>
    <row r="31" spans="1:26">
      <c r="A31" s="412"/>
      <c r="B31" s="1099"/>
      <c r="C31" s="413">
        <v>6</v>
      </c>
      <c r="D31" s="390">
        <v>14.453060000000001</v>
      </c>
      <c r="E31" s="390">
        <v>120.75489</v>
      </c>
      <c r="F31" s="812" t="s">
        <v>1508</v>
      </c>
      <c r="G31" s="309">
        <v>5.3</v>
      </c>
      <c r="H31" s="309" t="s">
        <v>1361</v>
      </c>
      <c r="I31" s="309" t="s">
        <v>1361</v>
      </c>
      <c r="J31" s="390" t="e">
        <v>#DIV/0!</v>
      </c>
      <c r="K31" s="390">
        <v>218</v>
      </c>
      <c r="L31" s="407"/>
      <c r="M31" s="407"/>
      <c r="N31" s="407"/>
      <c r="O31" s="407"/>
      <c r="P31" s="407"/>
      <c r="Q31" s="407"/>
      <c r="R31" s="407"/>
      <c r="S31" s="407"/>
      <c r="T31" s="407"/>
      <c r="U31" s="407"/>
      <c r="V31" s="407"/>
      <c r="W31" s="407"/>
      <c r="X31" s="407"/>
      <c r="Y31" s="407"/>
      <c r="Z31" s="408"/>
    </row>
    <row r="32" spans="1:26">
      <c r="A32" s="412"/>
      <c r="B32" s="1099"/>
      <c r="C32" s="413">
        <v>7</v>
      </c>
      <c r="D32" s="390">
        <v>14.46786</v>
      </c>
      <c r="E32" s="390">
        <v>120.84110699999999</v>
      </c>
      <c r="F32" s="812">
        <v>8.3000000000000007</v>
      </c>
      <c r="G32" s="309" t="s">
        <v>1508</v>
      </c>
      <c r="H32" s="309" t="s">
        <v>1361</v>
      </c>
      <c r="I32" s="309" t="s">
        <v>1361</v>
      </c>
      <c r="J32" s="390" t="e">
        <v>#DIV/0!</v>
      </c>
      <c r="K32" s="390">
        <v>218</v>
      </c>
      <c r="L32" s="407"/>
      <c r="M32" s="407"/>
      <c r="N32" s="407"/>
      <c r="O32" s="407"/>
      <c r="P32" s="407"/>
      <c r="Q32" s="407"/>
      <c r="R32" s="407"/>
      <c r="S32" s="407"/>
      <c r="T32" s="407"/>
      <c r="U32" s="407"/>
      <c r="V32" s="407"/>
      <c r="W32" s="407"/>
      <c r="X32" s="407"/>
      <c r="Y32" s="407"/>
      <c r="Z32" s="408"/>
    </row>
    <row r="33" spans="1:26">
      <c r="A33" s="412"/>
      <c r="B33" s="1099"/>
      <c r="C33" s="413">
        <v>8</v>
      </c>
      <c r="D33" s="390">
        <v>14.584440000000001</v>
      </c>
      <c r="E33" s="390">
        <v>120.76211000000001</v>
      </c>
      <c r="F33" s="812">
        <v>7.6</v>
      </c>
      <c r="G33" s="309">
        <v>7.1</v>
      </c>
      <c r="H33" s="309" t="s">
        <v>1361</v>
      </c>
      <c r="I33" s="309" t="s">
        <v>1361</v>
      </c>
      <c r="J33" s="390" t="e">
        <v>#DIV/0!</v>
      </c>
      <c r="K33" s="390">
        <v>218</v>
      </c>
      <c r="L33" s="407"/>
      <c r="M33" s="407"/>
      <c r="N33" s="407"/>
      <c r="O33" s="407"/>
      <c r="P33" s="407"/>
      <c r="Q33" s="407"/>
      <c r="R33" s="407"/>
      <c r="S33" s="407"/>
      <c r="T33" s="407"/>
      <c r="U33" s="407"/>
      <c r="V33" s="407"/>
      <c r="W33" s="407"/>
      <c r="X33" s="407"/>
      <c r="Y33" s="407"/>
      <c r="Z33" s="408"/>
    </row>
    <row r="34" spans="1:26">
      <c r="A34" s="412"/>
      <c r="B34" s="1100"/>
      <c r="C34" s="413">
        <v>9</v>
      </c>
      <c r="D34" s="390">
        <v>14.590809</v>
      </c>
      <c r="E34" s="390">
        <v>120.847296</v>
      </c>
      <c r="F34" s="812">
        <v>9.4</v>
      </c>
      <c r="G34" s="309">
        <v>11</v>
      </c>
      <c r="H34" s="309" t="s">
        <v>1361</v>
      </c>
      <c r="I34" s="309" t="s">
        <v>1361</v>
      </c>
      <c r="J34" s="390" t="e">
        <v>#DIV/0!</v>
      </c>
      <c r="K34" s="390">
        <v>218</v>
      </c>
      <c r="L34" s="407"/>
      <c r="M34" s="407"/>
      <c r="N34" s="407"/>
      <c r="O34" s="407"/>
      <c r="P34" s="407"/>
      <c r="Q34" s="407"/>
      <c r="R34" s="407"/>
      <c r="S34" s="407"/>
      <c r="T34" s="407"/>
      <c r="U34" s="407"/>
      <c r="V34" s="407"/>
      <c r="W34" s="407"/>
      <c r="X34" s="407"/>
      <c r="Y34" s="407"/>
      <c r="Z34" s="408"/>
    </row>
    <row r="35" spans="1:26">
      <c r="A35" s="412"/>
      <c r="B35" s="1098" t="s">
        <v>1510</v>
      </c>
      <c r="C35" s="410">
        <v>1</v>
      </c>
      <c r="D35" s="411">
        <v>14.666689999999999</v>
      </c>
      <c r="E35" s="411">
        <v>120.84238999999999</v>
      </c>
      <c r="F35" s="813" t="s">
        <v>1508</v>
      </c>
      <c r="G35" s="353">
        <v>0.2</v>
      </c>
      <c r="H35" s="353" t="s">
        <v>1361</v>
      </c>
      <c r="I35" s="353" t="s">
        <v>1361</v>
      </c>
      <c r="J35" s="411" t="e">
        <v>#DIV/0!</v>
      </c>
      <c r="K35" s="411">
        <v>1</v>
      </c>
      <c r="L35" s="407"/>
      <c r="M35" s="407"/>
      <c r="N35" s="407"/>
      <c r="O35" s="407"/>
      <c r="P35" s="407"/>
      <c r="Q35" s="407"/>
      <c r="R35" s="407"/>
      <c r="S35" s="407"/>
      <c r="T35" s="407"/>
      <c r="U35" s="407"/>
      <c r="V35" s="407"/>
      <c r="W35" s="407"/>
      <c r="X35" s="407"/>
      <c r="Y35" s="407"/>
      <c r="Z35" s="408"/>
    </row>
    <row r="36" spans="1:26">
      <c r="A36" s="412"/>
      <c r="B36" s="1099"/>
      <c r="C36" s="413">
        <v>2</v>
      </c>
      <c r="D36" s="390">
        <v>14.67756</v>
      </c>
      <c r="E36" s="390">
        <v>120.76119</v>
      </c>
      <c r="F36" s="812" t="s">
        <v>1508</v>
      </c>
      <c r="G36" s="309">
        <v>0.1</v>
      </c>
      <c r="H36" s="309" t="s">
        <v>1361</v>
      </c>
      <c r="I36" s="309" t="s">
        <v>1361</v>
      </c>
      <c r="J36" s="390" t="e">
        <v>#DIV/0!</v>
      </c>
      <c r="K36" s="415">
        <v>1</v>
      </c>
      <c r="L36" s="407"/>
      <c r="M36" s="407"/>
      <c r="N36" s="407"/>
      <c r="O36" s="407"/>
      <c r="P36" s="407"/>
      <c r="Q36" s="407"/>
      <c r="R36" s="407"/>
      <c r="S36" s="407"/>
      <c r="T36" s="407"/>
      <c r="U36" s="407"/>
      <c r="V36" s="407"/>
      <c r="W36" s="407"/>
      <c r="X36" s="407"/>
      <c r="Y36" s="407"/>
      <c r="Z36" s="408"/>
    </row>
    <row r="37" spans="1:26">
      <c r="A37" s="412"/>
      <c r="B37" s="1099"/>
      <c r="C37" s="413">
        <v>3</v>
      </c>
      <c r="D37" s="390">
        <v>14.671419999999999</v>
      </c>
      <c r="E37" s="390">
        <v>120.62481</v>
      </c>
      <c r="F37" s="812" t="s">
        <v>1508</v>
      </c>
      <c r="G37" s="309" t="s">
        <v>1508</v>
      </c>
      <c r="H37" s="309" t="s">
        <v>1361</v>
      </c>
      <c r="I37" s="309" t="s">
        <v>1361</v>
      </c>
      <c r="J37" s="390" t="e">
        <v>#DIV/0!</v>
      </c>
      <c r="K37" s="415">
        <v>1</v>
      </c>
      <c r="L37" s="407"/>
      <c r="M37" s="407"/>
      <c r="N37" s="407"/>
      <c r="O37" s="407"/>
      <c r="P37" s="407"/>
      <c r="Q37" s="407"/>
      <c r="R37" s="407"/>
      <c r="S37" s="407"/>
      <c r="T37" s="407"/>
      <c r="U37" s="407"/>
      <c r="V37" s="407"/>
      <c r="W37" s="407"/>
      <c r="X37" s="407"/>
      <c r="Y37" s="407"/>
      <c r="Z37" s="408"/>
    </row>
    <row r="38" spans="1:26">
      <c r="A38" s="412"/>
      <c r="B38" s="1099"/>
      <c r="C38" s="413">
        <v>4</v>
      </c>
      <c r="D38" s="390">
        <v>14.57836</v>
      </c>
      <c r="E38" s="390">
        <v>120.63139</v>
      </c>
      <c r="F38" s="812" t="s">
        <v>1508</v>
      </c>
      <c r="G38" s="309">
        <v>0.1</v>
      </c>
      <c r="H38" s="309" t="s">
        <v>1361</v>
      </c>
      <c r="I38" s="309" t="s">
        <v>1361</v>
      </c>
      <c r="J38" s="390" t="e">
        <v>#DIV/0!</v>
      </c>
      <c r="K38" s="415">
        <v>1</v>
      </c>
      <c r="L38" s="407"/>
      <c r="M38" s="407"/>
      <c r="N38" s="407"/>
      <c r="O38" s="407"/>
      <c r="P38" s="407"/>
      <c r="Q38" s="407"/>
      <c r="R38" s="407"/>
      <c r="S38" s="407"/>
      <c r="T38" s="407"/>
      <c r="U38" s="407"/>
      <c r="V38" s="407"/>
      <c r="W38" s="407"/>
      <c r="X38" s="407"/>
      <c r="Y38" s="407"/>
      <c r="Z38" s="408"/>
    </row>
    <row r="39" spans="1:26">
      <c r="A39" s="412"/>
      <c r="B39" s="1099"/>
      <c r="C39" s="413">
        <v>5</v>
      </c>
      <c r="D39" s="390">
        <v>14.452500000000001</v>
      </c>
      <c r="E39" s="390">
        <v>120.62608</v>
      </c>
      <c r="F39" s="812" t="s">
        <v>1508</v>
      </c>
      <c r="G39" s="309" t="s">
        <v>1508</v>
      </c>
      <c r="H39" s="309" t="s">
        <v>1361</v>
      </c>
      <c r="I39" s="309" t="s">
        <v>1361</v>
      </c>
      <c r="J39" s="390" t="e">
        <v>#DIV/0!</v>
      </c>
      <c r="K39" s="415">
        <v>1</v>
      </c>
      <c r="L39" s="407"/>
      <c r="M39" s="407"/>
      <c r="N39" s="407"/>
      <c r="O39" s="407"/>
      <c r="P39" s="407"/>
      <c r="Q39" s="407"/>
      <c r="R39" s="407"/>
      <c r="S39" s="407"/>
      <c r="T39" s="407"/>
      <c r="U39" s="407"/>
      <c r="V39" s="407"/>
      <c r="W39" s="407"/>
      <c r="X39" s="407"/>
      <c r="Y39" s="407"/>
      <c r="Z39" s="408"/>
    </row>
    <row r="40" spans="1:26">
      <c r="A40" s="412"/>
      <c r="B40" s="1099"/>
      <c r="C40" s="413">
        <v>6</v>
      </c>
      <c r="D40" s="390">
        <v>14.453060000000001</v>
      </c>
      <c r="E40" s="390">
        <v>120.75489</v>
      </c>
      <c r="F40" s="812" t="s">
        <v>1508</v>
      </c>
      <c r="G40" s="309" t="s">
        <v>1508</v>
      </c>
      <c r="H40" s="309" t="s">
        <v>1361</v>
      </c>
      <c r="I40" s="309" t="s">
        <v>1361</v>
      </c>
      <c r="J40" s="390" t="e">
        <v>#DIV/0!</v>
      </c>
      <c r="K40" s="415">
        <v>1</v>
      </c>
      <c r="L40" s="407"/>
      <c r="M40" s="407"/>
      <c r="N40" s="407"/>
      <c r="O40" s="407"/>
      <c r="P40" s="407"/>
      <c r="Q40" s="407"/>
      <c r="R40" s="407"/>
      <c r="S40" s="407"/>
      <c r="T40" s="407"/>
      <c r="U40" s="407"/>
      <c r="V40" s="407"/>
      <c r="W40" s="407"/>
      <c r="X40" s="407"/>
      <c r="Y40" s="407"/>
      <c r="Z40" s="408"/>
    </row>
    <row r="41" spans="1:26">
      <c r="A41" s="412"/>
      <c r="B41" s="1099"/>
      <c r="C41" s="413">
        <v>7</v>
      </c>
      <c r="D41" s="390">
        <v>14.46786</v>
      </c>
      <c r="E41" s="390">
        <v>120.84110699999999</v>
      </c>
      <c r="F41" s="812" t="s">
        <v>1508</v>
      </c>
      <c r="G41" s="309">
        <v>0.1</v>
      </c>
      <c r="H41" s="309" t="s">
        <v>1361</v>
      </c>
      <c r="I41" s="309" t="s">
        <v>1361</v>
      </c>
      <c r="J41" s="390" t="e">
        <v>#DIV/0!</v>
      </c>
      <c r="K41" s="415">
        <v>1</v>
      </c>
      <c r="L41" s="407"/>
      <c r="M41" s="407"/>
      <c r="N41" s="407"/>
      <c r="O41" s="407"/>
      <c r="P41" s="407"/>
      <c r="Q41" s="407"/>
      <c r="R41" s="407"/>
      <c r="S41" s="407"/>
      <c r="T41" s="407"/>
      <c r="U41" s="407"/>
      <c r="V41" s="407"/>
      <c r="W41" s="407"/>
      <c r="X41" s="407"/>
      <c r="Y41" s="407"/>
      <c r="Z41" s="408"/>
    </row>
    <row r="42" spans="1:26">
      <c r="A42" s="412"/>
      <c r="B42" s="1099"/>
      <c r="C42" s="413">
        <v>8</v>
      </c>
      <c r="D42" s="390">
        <v>14.584440000000001</v>
      </c>
      <c r="E42" s="390">
        <v>120.76211000000001</v>
      </c>
      <c r="F42" s="812" t="s">
        <v>1508</v>
      </c>
      <c r="G42" s="309">
        <v>0.1</v>
      </c>
      <c r="H42" s="309" t="s">
        <v>1361</v>
      </c>
      <c r="I42" s="309" t="s">
        <v>1361</v>
      </c>
      <c r="J42" s="390" t="e">
        <v>#DIV/0!</v>
      </c>
      <c r="K42" s="415">
        <v>1</v>
      </c>
      <c r="L42" s="407"/>
      <c r="M42" s="407"/>
      <c r="N42" s="407"/>
      <c r="O42" s="407"/>
      <c r="P42" s="407"/>
      <c r="Q42" s="407"/>
      <c r="R42" s="407"/>
      <c r="S42" s="407"/>
      <c r="T42" s="407"/>
      <c r="U42" s="407"/>
      <c r="V42" s="407"/>
      <c r="W42" s="407"/>
      <c r="X42" s="407"/>
      <c r="Y42" s="407"/>
      <c r="Z42" s="408"/>
    </row>
    <row r="43" spans="1:26">
      <c r="A43" s="412"/>
      <c r="B43" s="1100"/>
      <c r="C43" s="413">
        <v>9</v>
      </c>
      <c r="D43" s="390">
        <v>14.590809</v>
      </c>
      <c r="E43" s="390">
        <v>120.847296</v>
      </c>
      <c r="F43" s="812" t="s">
        <v>1508</v>
      </c>
      <c r="G43" s="309">
        <v>0.2</v>
      </c>
      <c r="H43" s="309" t="s">
        <v>1361</v>
      </c>
      <c r="I43" s="309" t="s">
        <v>1361</v>
      </c>
      <c r="J43" s="390" t="e">
        <v>#DIV/0!</v>
      </c>
      <c r="K43" s="415">
        <v>1</v>
      </c>
      <c r="L43" s="407"/>
      <c r="M43" s="407"/>
      <c r="N43" s="407"/>
      <c r="O43" s="407"/>
      <c r="P43" s="407"/>
      <c r="Q43" s="407"/>
      <c r="R43" s="407"/>
      <c r="S43" s="407"/>
      <c r="T43" s="407"/>
      <c r="U43" s="407"/>
      <c r="V43" s="407"/>
      <c r="W43" s="407"/>
      <c r="X43" s="407"/>
      <c r="Y43" s="407"/>
      <c r="Z43" s="408"/>
    </row>
    <row r="44" spans="1:26">
      <c r="A44" s="412"/>
      <c r="B44" s="1098" t="s">
        <v>1511</v>
      </c>
      <c r="C44" s="410">
        <v>1</v>
      </c>
      <c r="D44" s="411">
        <v>14.666689999999999</v>
      </c>
      <c r="E44" s="411">
        <v>120.84238999999999</v>
      </c>
      <c r="F44" s="813">
        <v>2.6</v>
      </c>
      <c r="G44" s="353">
        <v>3.1</v>
      </c>
      <c r="H44" s="353" t="s">
        <v>1361</v>
      </c>
      <c r="I44" s="353" t="s">
        <v>1361</v>
      </c>
      <c r="J44" s="411">
        <v>2.6</v>
      </c>
      <c r="K44" s="411">
        <v>70</v>
      </c>
      <c r="L44" s="407"/>
      <c r="M44" s="407"/>
      <c r="N44" s="407"/>
      <c r="O44" s="407"/>
      <c r="P44" s="407"/>
      <c r="Q44" s="407"/>
      <c r="R44" s="407"/>
      <c r="S44" s="407"/>
      <c r="T44" s="407"/>
      <c r="U44" s="407"/>
      <c r="V44" s="407"/>
      <c r="W44" s="407"/>
      <c r="X44" s="407"/>
      <c r="Y44" s="407"/>
      <c r="Z44" s="408"/>
    </row>
    <row r="45" spans="1:26">
      <c r="A45" s="412"/>
      <c r="B45" s="1099"/>
      <c r="C45" s="413">
        <v>2</v>
      </c>
      <c r="D45" s="390">
        <v>14.67756</v>
      </c>
      <c r="E45" s="390">
        <v>120.76119</v>
      </c>
      <c r="F45" s="812">
        <v>3.8</v>
      </c>
      <c r="G45" s="309">
        <v>4.2</v>
      </c>
      <c r="H45" s="309" t="s">
        <v>1361</v>
      </c>
      <c r="I45" s="309" t="s">
        <v>1361</v>
      </c>
      <c r="J45" s="390">
        <v>3.8</v>
      </c>
      <c r="K45" s="390">
        <v>70</v>
      </c>
      <c r="L45" s="407"/>
      <c r="M45" s="407"/>
      <c r="N45" s="407"/>
      <c r="O45" s="407"/>
      <c r="P45" s="407"/>
      <c r="Q45" s="407"/>
      <c r="R45" s="407"/>
      <c r="S45" s="407"/>
      <c r="T45" s="407"/>
      <c r="U45" s="407"/>
      <c r="V45" s="407"/>
      <c r="W45" s="407"/>
      <c r="X45" s="407"/>
      <c r="Y45" s="407"/>
      <c r="Z45" s="408"/>
    </row>
    <row r="46" spans="1:26">
      <c r="A46" s="412"/>
      <c r="B46" s="1099"/>
      <c r="C46" s="413">
        <v>3</v>
      </c>
      <c r="D46" s="390">
        <v>14.671419999999999</v>
      </c>
      <c r="E46" s="390">
        <v>120.62481</v>
      </c>
      <c r="F46" s="812">
        <v>3.2</v>
      </c>
      <c r="G46" s="309">
        <v>3.8</v>
      </c>
      <c r="H46" s="309" t="s">
        <v>1361</v>
      </c>
      <c r="I46" s="309" t="s">
        <v>1361</v>
      </c>
      <c r="J46" s="390">
        <v>3.2</v>
      </c>
      <c r="K46" s="390">
        <v>70</v>
      </c>
      <c r="L46" s="407"/>
      <c r="M46" s="407"/>
      <c r="N46" s="407"/>
      <c r="O46" s="407"/>
      <c r="P46" s="407"/>
      <c r="Q46" s="407"/>
      <c r="R46" s="407"/>
      <c r="S46" s="407"/>
      <c r="T46" s="407"/>
      <c r="U46" s="407"/>
      <c r="V46" s="407"/>
      <c r="W46" s="407"/>
      <c r="X46" s="407"/>
      <c r="Y46" s="407"/>
      <c r="Z46" s="408"/>
    </row>
    <row r="47" spans="1:26">
      <c r="A47" s="412"/>
      <c r="B47" s="1099"/>
      <c r="C47" s="413">
        <v>4</v>
      </c>
      <c r="D47" s="390">
        <v>14.57836</v>
      </c>
      <c r="E47" s="390">
        <v>120.63139</v>
      </c>
      <c r="F47" s="812">
        <v>2.2000000000000002</v>
      </c>
      <c r="G47" s="309">
        <v>3.6</v>
      </c>
      <c r="H47" s="309" t="s">
        <v>1361</v>
      </c>
      <c r="I47" s="309" t="s">
        <v>1361</v>
      </c>
      <c r="J47" s="390">
        <v>2.2000000000000002</v>
      </c>
      <c r="K47" s="390">
        <v>70</v>
      </c>
      <c r="L47" s="407"/>
      <c r="M47" s="407"/>
      <c r="N47" s="407"/>
      <c r="O47" s="407"/>
      <c r="P47" s="407"/>
      <c r="Q47" s="407"/>
      <c r="R47" s="407"/>
      <c r="S47" s="407"/>
      <c r="T47" s="407"/>
      <c r="U47" s="407"/>
      <c r="V47" s="407"/>
      <c r="W47" s="407"/>
      <c r="X47" s="407"/>
      <c r="Y47" s="407"/>
      <c r="Z47" s="408"/>
    </row>
    <row r="48" spans="1:26">
      <c r="A48" s="412"/>
      <c r="B48" s="1099"/>
      <c r="C48" s="413">
        <v>5</v>
      </c>
      <c r="D48" s="390">
        <v>14.452500000000001</v>
      </c>
      <c r="E48" s="390">
        <v>120.62608</v>
      </c>
      <c r="F48" s="812">
        <v>2.9</v>
      </c>
      <c r="G48" s="309">
        <v>7.5</v>
      </c>
      <c r="H48" s="309" t="s">
        <v>1361</v>
      </c>
      <c r="I48" s="309" t="s">
        <v>1361</v>
      </c>
      <c r="J48" s="390">
        <v>2.9</v>
      </c>
      <c r="K48" s="390">
        <v>70</v>
      </c>
      <c r="L48" s="407"/>
      <c r="M48" s="407"/>
      <c r="N48" s="407"/>
      <c r="O48" s="407"/>
      <c r="P48" s="407"/>
      <c r="Q48" s="407"/>
      <c r="R48" s="407"/>
      <c r="S48" s="407"/>
      <c r="T48" s="407"/>
      <c r="U48" s="407"/>
      <c r="V48" s="407"/>
      <c r="W48" s="407"/>
      <c r="X48" s="407"/>
      <c r="Y48" s="407"/>
      <c r="Z48" s="408"/>
    </row>
    <row r="49" spans="1:26">
      <c r="A49" s="412"/>
      <c r="B49" s="1099"/>
      <c r="C49" s="413">
        <v>6</v>
      </c>
      <c r="D49" s="390">
        <v>14.453060000000001</v>
      </c>
      <c r="E49" s="390">
        <v>120.75489</v>
      </c>
      <c r="F49" s="812">
        <v>4.9000000000000004</v>
      </c>
      <c r="G49" s="309">
        <v>5.5</v>
      </c>
      <c r="H49" s="309" t="s">
        <v>1361</v>
      </c>
      <c r="I49" s="309" t="s">
        <v>1361</v>
      </c>
      <c r="J49" s="390">
        <v>4.9000000000000004</v>
      </c>
      <c r="K49" s="390">
        <v>70</v>
      </c>
      <c r="L49" s="407"/>
      <c r="M49" s="407"/>
      <c r="N49" s="407"/>
      <c r="O49" s="407"/>
      <c r="P49" s="407"/>
      <c r="Q49" s="407"/>
      <c r="R49" s="407"/>
      <c r="S49" s="407"/>
      <c r="T49" s="407"/>
      <c r="U49" s="407"/>
      <c r="V49" s="407"/>
      <c r="W49" s="407"/>
      <c r="X49" s="407"/>
      <c r="Y49" s="407"/>
      <c r="Z49" s="408"/>
    </row>
    <row r="50" spans="1:26">
      <c r="A50" s="412"/>
      <c r="B50" s="1099"/>
      <c r="C50" s="413">
        <v>7</v>
      </c>
      <c r="D50" s="390">
        <v>14.46786</v>
      </c>
      <c r="E50" s="390">
        <v>120.84110699999999</v>
      </c>
      <c r="F50" s="812">
        <v>4.8</v>
      </c>
      <c r="G50" s="309">
        <v>6.6</v>
      </c>
      <c r="H50" s="309" t="s">
        <v>1361</v>
      </c>
      <c r="I50" s="309" t="s">
        <v>1361</v>
      </c>
      <c r="J50" s="390">
        <v>4.8</v>
      </c>
      <c r="K50" s="390">
        <v>70</v>
      </c>
      <c r="L50" s="407"/>
      <c r="M50" s="407"/>
      <c r="N50" s="407"/>
      <c r="O50" s="407"/>
      <c r="P50" s="407"/>
      <c r="Q50" s="407"/>
      <c r="R50" s="407"/>
      <c r="S50" s="407"/>
      <c r="T50" s="407"/>
      <c r="U50" s="407"/>
      <c r="V50" s="407"/>
      <c r="W50" s="407"/>
      <c r="X50" s="407"/>
      <c r="Y50" s="407"/>
      <c r="Z50" s="408"/>
    </row>
    <row r="51" spans="1:26">
      <c r="A51" s="412"/>
      <c r="B51" s="1099"/>
      <c r="C51" s="413">
        <v>8</v>
      </c>
      <c r="D51" s="390">
        <v>14.584440000000001</v>
      </c>
      <c r="E51" s="390">
        <v>120.76211000000001</v>
      </c>
      <c r="F51" s="812">
        <v>4.7</v>
      </c>
      <c r="G51" s="309">
        <v>4.5999999999999996</v>
      </c>
      <c r="H51" s="309" t="s">
        <v>1361</v>
      </c>
      <c r="I51" s="309" t="s">
        <v>1361</v>
      </c>
      <c r="J51" s="390">
        <v>4.7</v>
      </c>
      <c r="K51" s="390">
        <v>70</v>
      </c>
      <c r="L51" s="407"/>
      <c r="M51" s="407"/>
      <c r="N51" s="407"/>
      <c r="O51" s="407"/>
      <c r="P51" s="407"/>
      <c r="Q51" s="407"/>
      <c r="R51" s="407"/>
      <c r="S51" s="407"/>
      <c r="T51" s="407"/>
      <c r="U51" s="407"/>
      <c r="V51" s="407"/>
      <c r="W51" s="407"/>
      <c r="X51" s="407"/>
      <c r="Y51" s="407"/>
      <c r="Z51" s="408"/>
    </row>
    <row r="52" spans="1:26">
      <c r="A52" s="412"/>
      <c r="B52" s="1100"/>
      <c r="C52" s="413">
        <v>9</v>
      </c>
      <c r="D52" s="390">
        <v>14.590809</v>
      </c>
      <c r="E52" s="390">
        <v>120.847296</v>
      </c>
      <c r="F52" s="812">
        <v>4.8</v>
      </c>
      <c r="G52" s="309">
        <v>5.4</v>
      </c>
      <c r="H52" s="309" t="s">
        <v>1361</v>
      </c>
      <c r="I52" s="309" t="s">
        <v>1361</v>
      </c>
      <c r="J52" s="390">
        <v>4.8</v>
      </c>
      <c r="K52" s="390">
        <v>70</v>
      </c>
      <c r="L52" s="407"/>
      <c r="M52" s="407"/>
      <c r="N52" s="407"/>
      <c r="O52" s="407"/>
      <c r="P52" s="407"/>
      <c r="Q52" s="407"/>
      <c r="R52" s="407"/>
      <c r="S52" s="407"/>
      <c r="T52" s="407"/>
      <c r="U52" s="407"/>
      <c r="V52" s="407"/>
      <c r="W52" s="407"/>
      <c r="X52" s="407"/>
      <c r="Y52" s="407"/>
      <c r="Z52" s="408"/>
    </row>
    <row r="53" spans="1:26">
      <c r="A53" s="412"/>
      <c r="B53" s="1098" t="s">
        <v>1512</v>
      </c>
      <c r="C53" s="410">
        <v>1</v>
      </c>
      <c r="D53" s="411">
        <v>14.666689999999999</v>
      </c>
      <c r="E53" s="411">
        <v>120.84238999999999</v>
      </c>
      <c r="F53" s="813">
        <v>1.3</v>
      </c>
      <c r="G53" s="353" t="s">
        <v>1508</v>
      </c>
      <c r="H53" s="353" t="s">
        <v>1361</v>
      </c>
      <c r="I53" s="353" t="s">
        <v>1361</v>
      </c>
      <c r="J53" s="411">
        <v>1.3</v>
      </c>
      <c r="K53" s="411" t="s">
        <v>1513</v>
      </c>
      <c r="L53" s="407"/>
      <c r="M53" s="407"/>
      <c r="N53" s="407"/>
      <c r="O53" s="407"/>
      <c r="P53" s="407"/>
      <c r="Q53" s="407"/>
      <c r="R53" s="407"/>
      <c r="S53" s="407"/>
      <c r="T53" s="407"/>
      <c r="U53" s="407"/>
      <c r="V53" s="407"/>
      <c r="W53" s="407"/>
      <c r="X53" s="407"/>
      <c r="Y53" s="407"/>
      <c r="Z53" s="408"/>
    </row>
    <row r="54" spans="1:26">
      <c r="A54" s="412"/>
      <c r="B54" s="1099"/>
      <c r="C54" s="413">
        <v>2</v>
      </c>
      <c r="D54" s="390">
        <v>14.67756</v>
      </c>
      <c r="E54" s="390">
        <v>120.76119</v>
      </c>
      <c r="F54" s="812">
        <v>5.6</v>
      </c>
      <c r="G54" s="309">
        <v>1.5</v>
      </c>
      <c r="H54" s="309" t="s">
        <v>1361</v>
      </c>
      <c r="I54" s="309" t="s">
        <v>1361</v>
      </c>
      <c r="J54" s="390">
        <v>5.6</v>
      </c>
      <c r="K54" s="390" t="s">
        <v>1513</v>
      </c>
      <c r="L54" s="407"/>
      <c r="M54" s="407"/>
      <c r="N54" s="407"/>
      <c r="O54" s="407"/>
      <c r="P54" s="407"/>
      <c r="Q54" s="407"/>
      <c r="R54" s="407"/>
      <c r="S54" s="407"/>
      <c r="T54" s="407"/>
      <c r="U54" s="407"/>
      <c r="V54" s="407"/>
      <c r="W54" s="407"/>
      <c r="X54" s="407"/>
      <c r="Y54" s="407"/>
      <c r="Z54" s="408"/>
    </row>
    <row r="55" spans="1:26">
      <c r="A55" s="412"/>
      <c r="B55" s="1099"/>
      <c r="C55" s="413">
        <v>3</v>
      </c>
      <c r="D55" s="390">
        <v>14.671419999999999</v>
      </c>
      <c r="E55" s="390">
        <v>120.62481</v>
      </c>
      <c r="F55" s="812">
        <v>1.9</v>
      </c>
      <c r="G55" s="309">
        <v>1.9</v>
      </c>
      <c r="H55" s="309" t="s">
        <v>1361</v>
      </c>
      <c r="I55" s="309" t="s">
        <v>1361</v>
      </c>
      <c r="J55" s="390">
        <v>1.9</v>
      </c>
      <c r="K55" s="390" t="s">
        <v>1513</v>
      </c>
      <c r="L55" s="407"/>
      <c r="M55" s="407"/>
      <c r="N55" s="407"/>
      <c r="O55" s="407"/>
      <c r="P55" s="407"/>
      <c r="Q55" s="407"/>
      <c r="R55" s="407"/>
      <c r="S55" s="407"/>
      <c r="T55" s="407"/>
      <c r="U55" s="407"/>
      <c r="V55" s="407"/>
      <c r="W55" s="407"/>
      <c r="X55" s="407"/>
      <c r="Y55" s="407"/>
      <c r="Z55" s="408"/>
    </row>
    <row r="56" spans="1:26">
      <c r="A56" s="412"/>
      <c r="B56" s="1099"/>
      <c r="C56" s="413">
        <v>4</v>
      </c>
      <c r="D56" s="390">
        <v>14.57836</v>
      </c>
      <c r="E56" s="390">
        <v>120.63139</v>
      </c>
      <c r="F56" s="812">
        <v>2</v>
      </c>
      <c r="G56" s="309">
        <v>1.2</v>
      </c>
      <c r="H56" s="309" t="s">
        <v>1361</v>
      </c>
      <c r="I56" s="309" t="s">
        <v>1361</v>
      </c>
      <c r="J56" s="390">
        <v>2</v>
      </c>
      <c r="K56" s="390" t="s">
        <v>1513</v>
      </c>
      <c r="L56" s="407"/>
      <c r="M56" s="407"/>
      <c r="N56" s="407"/>
      <c r="O56" s="407"/>
      <c r="P56" s="407"/>
      <c r="Q56" s="407"/>
      <c r="R56" s="407"/>
      <c r="S56" s="407"/>
      <c r="T56" s="407"/>
      <c r="U56" s="407"/>
      <c r="V56" s="407"/>
      <c r="W56" s="407"/>
      <c r="X56" s="407"/>
      <c r="Y56" s="407"/>
      <c r="Z56" s="408"/>
    </row>
    <row r="57" spans="1:26">
      <c r="A57" s="412"/>
      <c r="B57" s="1099"/>
      <c r="C57" s="413">
        <v>5</v>
      </c>
      <c r="D57" s="390">
        <v>14.452500000000001</v>
      </c>
      <c r="E57" s="390">
        <v>120.62608</v>
      </c>
      <c r="F57" s="812">
        <v>1.7</v>
      </c>
      <c r="G57" s="309">
        <v>2.2000000000000002</v>
      </c>
      <c r="H57" s="309" t="s">
        <v>1361</v>
      </c>
      <c r="I57" s="309" t="s">
        <v>1361</v>
      </c>
      <c r="J57" s="390">
        <v>1.7</v>
      </c>
      <c r="K57" s="390" t="s">
        <v>1513</v>
      </c>
      <c r="L57" s="407"/>
      <c r="M57" s="407"/>
      <c r="N57" s="407"/>
      <c r="O57" s="407"/>
      <c r="P57" s="407"/>
      <c r="Q57" s="407"/>
      <c r="R57" s="407"/>
      <c r="S57" s="407"/>
      <c r="T57" s="407"/>
      <c r="U57" s="407"/>
      <c r="V57" s="407"/>
      <c r="W57" s="407"/>
      <c r="X57" s="407"/>
      <c r="Y57" s="407"/>
      <c r="Z57" s="408"/>
    </row>
    <row r="58" spans="1:26">
      <c r="A58" s="412"/>
      <c r="B58" s="1099"/>
      <c r="C58" s="413">
        <v>6</v>
      </c>
      <c r="D58" s="390">
        <v>14.453060000000001</v>
      </c>
      <c r="E58" s="390">
        <v>120.75489</v>
      </c>
      <c r="F58" s="812">
        <v>1.4</v>
      </c>
      <c r="G58" s="309">
        <v>1.7</v>
      </c>
      <c r="H58" s="309" t="s">
        <v>1361</v>
      </c>
      <c r="I58" s="309" t="s">
        <v>1361</v>
      </c>
      <c r="J58" s="390">
        <v>1.4</v>
      </c>
      <c r="K58" s="390" t="s">
        <v>1513</v>
      </c>
      <c r="L58" s="407"/>
      <c r="M58" s="407"/>
      <c r="N58" s="407"/>
      <c r="O58" s="407"/>
      <c r="P58" s="407"/>
      <c r="Q58" s="407"/>
      <c r="R58" s="407"/>
      <c r="S58" s="407"/>
      <c r="T58" s="407"/>
      <c r="U58" s="407"/>
      <c r="V58" s="407"/>
      <c r="W58" s="407"/>
      <c r="X58" s="407"/>
      <c r="Y58" s="407"/>
      <c r="Z58" s="408"/>
    </row>
    <row r="59" spans="1:26">
      <c r="A59" s="412"/>
      <c r="B59" s="1099"/>
      <c r="C59" s="413">
        <v>7</v>
      </c>
      <c r="D59" s="390">
        <v>14.46786</v>
      </c>
      <c r="E59" s="390">
        <v>120.84110699999999</v>
      </c>
      <c r="F59" s="812">
        <v>1.2</v>
      </c>
      <c r="G59" s="309">
        <v>2.2999999999999998</v>
      </c>
      <c r="H59" s="309" t="s">
        <v>1361</v>
      </c>
      <c r="I59" s="309" t="s">
        <v>1361</v>
      </c>
      <c r="J59" s="390">
        <v>1.2</v>
      </c>
      <c r="K59" s="390" t="s">
        <v>1513</v>
      </c>
      <c r="L59" s="407"/>
      <c r="M59" s="407"/>
      <c r="N59" s="407"/>
      <c r="O59" s="407"/>
      <c r="P59" s="407"/>
      <c r="Q59" s="407"/>
      <c r="R59" s="407"/>
      <c r="S59" s="407"/>
      <c r="T59" s="407"/>
      <c r="U59" s="407"/>
      <c r="V59" s="407"/>
      <c r="W59" s="407"/>
      <c r="X59" s="407"/>
      <c r="Y59" s="407"/>
      <c r="Z59" s="408"/>
    </row>
    <row r="60" spans="1:26">
      <c r="A60" s="412"/>
      <c r="B60" s="1099"/>
      <c r="C60" s="413">
        <v>8</v>
      </c>
      <c r="D60" s="390">
        <v>14.584440000000001</v>
      </c>
      <c r="E60" s="390">
        <v>120.76211000000001</v>
      </c>
      <c r="F60" s="812">
        <v>5.4</v>
      </c>
      <c r="G60" s="309">
        <v>1.2</v>
      </c>
      <c r="H60" s="309" t="s">
        <v>1361</v>
      </c>
      <c r="I60" s="309" t="s">
        <v>1361</v>
      </c>
      <c r="J60" s="390">
        <v>5.4</v>
      </c>
      <c r="K60" s="390" t="s">
        <v>1513</v>
      </c>
      <c r="L60" s="407"/>
      <c r="M60" s="407"/>
      <c r="N60" s="407"/>
      <c r="O60" s="407"/>
      <c r="P60" s="407"/>
      <c r="Q60" s="407"/>
      <c r="R60" s="407"/>
      <c r="S60" s="407"/>
      <c r="T60" s="407"/>
      <c r="U60" s="407"/>
      <c r="V60" s="407"/>
      <c r="W60" s="407"/>
      <c r="X60" s="407"/>
      <c r="Y60" s="407"/>
      <c r="Z60" s="408"/>
    </row>
    <row r="61" spans="1:26">
      <c r="A61" s="412"/>
      <c r="B61" s="1100"/>
      <c r="C61" s="413">
        <v>9</v>
      </c>
      <c r="D61" s="390">
        <v>14.590809</v>
      </c>
      <c r="E61" s="390">
        <v>120.847296</v>
      </c>
      <c r="F61" s="812">
        <v>5.3</v>
      </c>
      <c r="G61" s="309">
        <v>1.4</v>
      </c>
      <c r="H61" s="309" t="s">
        <v>1361</v>
      </c>
      <c r="I61" s="309" t="s">
        <v>1361</v>
      </c>
      <c r="J61" s="390">
        <v>5.3</v>
      </c>
      <c r="K61" s="390" t="s">
        <v>1513</v>
      </c>
      <c r="L61" s="407"/>
      <c r="M61" s="407"/>
      <c r="N61" s="407"/>
      <c r="O61" s="407"/>
      <c r="P61" s="407"/>
      <c r="Q61" s="407"/>
      <c r="R61" s="407"/>
      <c r="S61" s="407"/>
      <c r="T61" s="407"/>
      <c r="U61" s="407"/>
      <c r="V61" s="407"/>
      <c r="W61" s="407"/>
      <c r="X61" s="407"/>
      <c r="Y61" s="407"/>
      <c r="Z61" s="408"/>
    </row>
    <row r="62" spans="1:26">
      <c r="A62" s="412"/>
      <c r="B62" s="1098" t="s">
        <v>1514</v>
      </c>
      <c r="C62" s="410">
        <v>1</v>
      </c>
      <c r="D62" s="411">
        <v>14.666689999999999</v>
      </c>
      <c r="E62" s="411">
        <v>120.84238999999999</v>
      </c>
      <c r="F62" s="813">
        <v>49</v>
      </c>
      <c r="G62" s="353">
        <v>50</v>
      </c>
      <c r="H62" s="353" t="s">
        <v>1361</v>
      </c>
      <c r="I62" s="353" t="s">
        <v>1361</v>
      </c>
      <c r="J62" s="411" t="e">
        <v>#DIV/0!</v>
      </c>
      <c r="K62" s="411">
        <v>270</v>
      </c>
      <c r="L62" s="407"/>
      <c r="M62" s="407"/>
      <c r="N62" s="407"/>
      <c r="O62" s="407"/>
      <c r="P62" s="407"/>
      <c r="Q62" s="407"/>
      <c r="R62" s="407"/>
      <c r="S62" s="407"/>
      <c r="T62" s="407"/>
      <c r="U62" s="407"/>
      <c r="V62" s="407"/>
      <c r="W62" s="407"/>
      <c r="X62" s="407"/>
      <c r="Y62" s="407"/>
      <c r="Z62" s="408"/>
    </row>
    <row r="63" spans="1:26">
      <c r="A63" s="412"/>
      <c r="B63" s="1099"/>
      <c r="C63" s="413">
        <v>2</v>
      </c>
      <c r="D63" s="390">
        <v>14.67756</v>
      </c>
      <c r="E63" s="390">
        <v>120.76119</v>
      </c>
      <c r="F63" s="812">
        <v>45</v>
      </c>
      <c r="G63" s="309">
        <v>49</v>
      </c>
      <c r="H63" s="309" t="s">
        <v>1361</v>
      </c>
      <c r="I63" s="309" t="s">
        <v>1361</v>
      </c>
      <c r="J63" s="390" t="e">
        <v>#DIV/0!</v>
      </c>
      <c r="K63" s="390">
        <v>270</v>
      </c>
      <c r="L63" s="407"/>
      <c r="M63" s="407"/>
      <c r="N63" s="407"/>
      <c r="O63" s="407"/>
      <c r="P63" s="407"/>
      <c r="Q63" s="407"/>
      <c r="R63" s="407"/>
      <c r="S63" s="407"/>
      <c r="T63" s="407"/>
      <c r="U63" s="407"/>
      <c r="V63" s="407"/>
      <c r="W63" s="407"/>
      <c r="X63" s="407"/>
      <c r="Y63" s="407"/>
      <c r="Z63" s="408"/>
    </row>
    <row r="64" spans="1:26">
      <c r="A64" s="412"/>
      <c r="B64" s="1099"/>
      <c r="C64" s="413">
        <v>3</v>
      </c>
      <c r="D64" s="390">
        <v>14.671419999999999</v>
      </c>
      <c r="E64" s="390">
        <v>120.62481</v>
      </c>
      <c r="F64" s="812">
        <v>55</v>
      </c>
      <c r="G64" s="309">
        <v>53</v>
      </c>
      <c r="H64" s="309" t="s">
        <v>1361</v>
      </c>
      <c r="I64" s="309" t="s">
        <v>1361</v>
      </c>
      <c r="J64" s="390" t="e">
        <v>#DIV/0!</v>
      </c>
      <c r="K64" s="390">
        <v>270</v>
      </c>
      <c r="L64" s="407"/>
      <c r="M64" s="407"/>
      <c r="N64" s="407"/>
      <c r="O64" s="407"/>
      <c r="P64" s="407"/>
      <c r="Q64" s="407"/>
      <c r="R64" s="407"/>
      <c r="S64" s="407"/>
      <c r="T64" s="407"/>
      <c r="U64" s="407"/>
      <c r="V64" s="407"/>
      <c r="W64" s="407"/>
      <c r="X64" s="407"/>
      <c r="Y64" s="407"/>
      <c r="Z64" s="408"/>
    </row>
    <row r="65" spans="1:26">
      <c r="A65" s="412"/>
      <c r="B65" s="1099"/>
      <c r="C65" s="413">
        <v>4</v>
      </c>
      <c r="D65" s="390">
        <v>14.57836</v>
      </c>
      <c r="E65" s="390">
        <v>120.63139</v>
      </c>
      <c r="F65" s="812">
        <v>55</v>
      </c>
      <c r="G65" s="309">
        <v>53</v>
      </c>
      <c r="H65" s="309" t="s">
        <v>1361</v>
      </c>
      <c r="I65" s="309" t="s">
        <v>1361</v>
      </c>
      <c r="J65" s="390" t="e">
        <v>#DIV/0!</v>
      </c>
      <c r="K65" s="390">
        <v>270</v>
      </c>
      <c r="L65" s="407"/>
      <c r="M65" s="407"/>
      <c r="N65" s="407"/>
      <c r="O65" s="407"/>
      <c r="P65" s="407"/>
      <c r="Q65" s="407"/>
      <c r="R65" s="407"/>
      <c r="S65" s="407"/>
      <c r="T65" s="407"/>
      <c r="U65" s="407"/>
      <c r="V65" s="407"/>
      <c r="W65" s="407"/>
      <c r="X65" s="407"/>
      <c r="Y65" s="407"/>
      <c r="Z65" s="408"/>
    </row>
    <row r="66" spans="1:26">
      <c r="A66" s="412"/>
      <c r="B66" s="1099"/>
      <c r="C66" s="413">
        <v>5</v>
      </c>
      <c r="D66" s="390">
        <v>14.452500000000001</v>
      </c>
      <c r="E66" s="390">
        <v>120.62608</v>
      </c>
      <c r="F66" s="812">
        <v>50</v>
      </c>
      <c r="G66" s="309">
        <v>58</v>
      </c>
      <c r="H66" s="309" t="s">
        <v>1361</v>
      </c>
      <c r="I66" s="309" t="s">
        <v>1361</v>
      </c>
      <c r="J66" s="390" t="e">
        <v>#DIV/0!</v>
      </c>
      <c r="K66" s="390">
        <v>270</v>
      </c>
      <c r="L66" s="407"/>
      <c r="M66" s="407"/>
      <c r="N66" s="407"/>
      <c r="O66" s="407"/>
      <c r="P66" s="407"/>
      <c r="Q66" s="407"/>
      <c r="R66" s="407"/>
      <c r="S66" s="407"/>
      <c r="T66" s="407"/>
      <c r="U66" s="407"/>
      <c r="V66" s="407"/>
      <c r="W66" s="407"/>
      <c r="X66" s="407"/>
      <c r="Y66" s="407"/>
      <c r="Z66" s="408"/>
    </row>
    <row r="67" spans="1:26">
      <c r="A67" s="412"/>
      <c r="B67" s="1099"/>
      <c r="C67" s="413">
        <v>6</v>
      </c>
      <c r="D67" s="390">
        <v>14.453060000000001</v>
      </c>
      <c r="E67" s="390">
        <v>120.75489</v>
      </c>
      <c r="F67" s="812">
        <v>52</v>
      </c>
      <c r="G67" s="309">
        <v>41</v>
      </c>
      <c r="H67" s="309" t="s">
        <v>1361</v>
      </c>
      <c r="I67" s="309" t="s">
        <v>1361</v>
      </c>
      <c r="J67" s="390" t="e">
        <v>#DIV/0!</v>
      </c>
      <c r="K67" s="390">
        <v>270</v>
      </c>
      <c r="L67" s="407"/>
      <c r="M67" s="407"/>
      <c r="N67" s="407"/>
      <c r="O67" s="407"/>
      <c r="P67" s="407"/>
      <c r="Q67" s="407"/>
      <c r="R67" s="407"/>
      <c r="S67" s="407"/>
      <c r="T67" s="407"/>
      <c r="U67" s="407"/>
      <c r="V67" s="407"/>
      <c r="W67" s="407"/>
      <c r="X67" s="407"/>
      <c r="Y67" s="407"/>
      <c r="Z67" s="408"/>
    </row>
    <row r="68" spans="1:26">
      <c r="A68" s="412"/>
      <c r="B68" s="1099"/>
      <c r="C68" s="413">
        <v>7</v>
      </c>
      <c r="D68" s="390">
        <v>14.46786</v>
      </c>
      <c r="E68" s="390">
        <v>120.84110699999999</v>
      </c>
      <c r="F68" s="812">
        <v>47</v>
      </c>
      <c r="G68" s="309">
        <v>43</v>
      </c>
      <c r="H68" s="309" t="s">
        <v>1361</v>
      </c>
      <c r="I68" s="309" t="s">
        <v>1361</v>
      </c>
      <c r="J68" s="390" t="e">
        <v>#DIV/0!</v>
      </c>
      <c r="K68" s="390">
        <v>270</v>
      </c>
      <c r="L68" s="407"/>
      <c r="M68" s="407"/>
      <c r="N68" s="407"/>
      <c r="O68" s="407"/>
      <c r="P68" s="407"/>
      <c r="Q68" s="407"/>
      <c r="R68" s="407"/>
      <c r="S68" s="407"/>
      <c r="T68" s="407"/>
      <c r="U68" s="407"/>
      <c r="V68" s="407"/>
      <c r="W68" s="407"/>
      <c r="X68" s="407"/>
      <c r="Y68" s="407"/>
      <c r="Z68" s="408"/>
    </row>
    <row r="69" spans="1:26">
      <c r="A69" s="412"/>
      <c r="B69" s="1099"/>
      <c r="C69" s="413">
        <v>8</v>
      </c>
      <c r="D69" s="390">
        <v>14.584440000000001</v>
      </c>
      <c r="E69" s="390">
        <v>120.76211000000001</v>
      </c>
      <c r="F69" s="812">
        <v>44</v>
      </c>
      <c r="G69" s="309">
        <v>50</v>
      </c>
      <c r="H69" s="309" t="s">
        <v>1361</v>
      </c>
      <c r="I69" s="309" t="s">
        <v>1361</v>
      </c>
      <c r="J69" s="390" t="e">
        <v>#DIV/0!</v>
      </c>
      <c r="K69" s="390">
        <v>270</v>
      </c>
      <c r="L69" s="407"/>
      <c r="M69" s="407"/>
      <c r="N69" s="407"/>
      <c r="O69" s="407"/>
      <c r="P69" s="407"/>
      <c r="Q69" s="407"/>
      <c r="R69" s="407"/>
      <c r="S69" s="407"/>
      <c r="T69" s="407"/>
      <c r="U69" s="407"/>
      <c r="V69" s="407"/>
      <c r="W69" s="407"/>
      <c r="X69" s="407"/>
      <c r="Y69" s="407"/>
      <c r="Z69" s="408"/>
    </row>
    <row r="70" spans="1:26">
      <c r="A70" s="412"/>
      <c r="B70" s="1100"/>
      <c r="C70" s="413">
        <v>9</v>
      </c>
      <c r="D70" s="390">
        <v>14.590809</v>
      </c>
      <c r="E70" s="390">
        <v>120.847296</v>
      </c>
      <c r="F70" s="812">
        <v>54</v>
      </c>
      <c r="G70" s="309">
        <v>52</v>
      </c>
      <c r="H70" s="309" t="s">
        <v>1361</v>
      </c>
      <c r="I70" s="309" t="s">
        <v>1361</v>
      </c>
      <c r="J70" s="390" t="e">
        <v>#DIV/0!</v>
      </c>
      <c r="K70" s="390">
        <v>270</v>
      </c>
      <c r="L70" s="407"/>
      <c r="M70" s="407"/>
      <c r="N70" s="407"/>
      <c r="O70" s="407"/>
      <c r="P70" s="407"/>
      <c r="Q70" s="407"/>
      <c r="R70" s="407"/>
      <c r="S70" s="407"/>
      <c r="T70" s="407"/>
      <c r="U70" s="407"/>
      <c r="V70" s="407"/>
      <c r="W70" s="407"/>
      <c r="X70" s="407"/>
      <c r="Y70" s="407"/>
      <c r="Z70" s="408"/>
    </row>
    <row r="71" spans="1:26">
      <c r="A71" s="412"/>
      <c r="B71" s="1098" t="s">
        <v>1515</v>
      </c>
      <c r="C71" s="410">
        <v>1</v>
      </c>
      <c r="D71" s="411">
        <v>14.666689999999999</v>
      </c>
      <c r="E71" s="411">
        <v>120.84238999999999</v>
      </c>
      <c r="F71" s="813">
        <v>724</v>
      </c>
      <c r="G71" s="353">
        <v>504</v>
      </c>
      <c r="H71" s="353" t="s">
        <v>1361</v>
      </c>
      <c r="I71" s="353" t="s">
        <v>1361</v>
      </c>
      <c r="J71" s="411">
        <v>724</v>
      </c>
      <c r="K71" s="411" t="s">
        <v>1513</v>
      </c>
      <c r="L71" s="407"/>
      <c r="M71" s="407"/>
      <c r="N71" s="407"/>
      <c r="O71" s="407"/>
      <c r="P71" s="407"/>
      <c r="Q71" s="407"/>
      <c r="R71" s="407"/>
      <c r="S71" s="407"/>
      <c r="T71" s="407"/>
      <c r="U71" s="407"/>
      <c r="V71" s="407"/>
      <c r="W71" s="407"/>
      <c r="X71" s="407"/>
      <c r="Y71" s="407"/>
      <c r="Z71" s="408"/>
    </row>
    <row r="72" spans="1:26">
      <c r="A72" s="412"/>
      <c r="B72" s="1099"/>
      <c r="C72" s="413">
        <v>2</v>
      </c>
      <c r="D72" s="390">
        <v>14.67756</v>
      </c>
      <c r="E72" s="390">
        <v>120.76119</v>
      </c>
      <c r="F72" s="812">
        <v>798</v>
      </c>
      <c r="G72" s="309">
        <v>626</v>
      </c>
      <c r="H72" s="309" t="s">
        <v>1361</v>
      </c>
      <c r="I72" s="309" t="s">
        <v>1361</v>
      </c>
      <c r="J72" s="390">
        <v>798</v>
      </c>
      <c r="K72" s="390" t="s">
        <v>1513</v>
      </c>
      <c r="L72" s="407"/>
      <c r="M72" s="407"/>
      <c r="N72" s="407"/>
      <c r="O72" s="407"/>
      <c r="P72" s="407"/>
      <c r="Q72" s="407"/>
      <c r="R72" s="407"/>
      <c r="S72" s="407"/>
      <c r="T72" s="407"/>
      <c r="U72" s="407"/>
      <c r="V72" s="407"/>
      <c r="W72" s="407"/>
      <c r="X72" s="407"/>
      <c r="Y72" s="407"/>
      <c r="Z72" s="408"/>
    </row>
    <row r="73" spans="1:26">
      <c r="A73" s="412"/>
      <c r="B73" s="1099"/>
      <c r="C73" s="413">
        <v>3</v>
      </c>
      <c r="D73" s="390">
        <v>14.671419999999999</v>
      </c>
      <c r="E73" s="390">
        <v>120.62481</v>
      </c>
      <c r="F73" s="812">
        <v>761</v>
      </c>
      <c r="G73" s="309">
        <v>507</v>
      </c>
      <c r="H73" s="309" t="s">
        <v>1361</v>
      </c>
      <c r="I73" s="309" t="s">
        <v>1361</v>
      </c>
      <c r="J73" s="390">
        <v>761</v>
      </c>
      <c r="K73" s="390" t="s">
        <v>1513</v>
      </c>
      <c r="L73" s="407"/>
      <c r="M73" s="407"/>
      <c r="N73" s="407"/>
      <c r="O73" s="407"/>
      <c r="P73" s="407"/>
      <c r="Q73" s="407"/>
      <c r="R73" s="407"/>
      <c r="S73" s="407"/>
      <c r="T73" s="407"/>
      <c r="U73" s="407"/>
      <c r="V73" s="407"/>
      <c r="W73" s="407"/>
      <c r="X73" s="407"/>
      <c r="Y73" s="407"/>
      <c r="Z73" s="408"/>
    </row>
    <row r="74" spans="1:26">
      <c r="A74" s="412"/>
      <c r="B74" s="1099"/>
      <c r="C74" s="413">
        <v>4</v>
      </c>
      <c r="D74" s="390">
        <v>14.57836</v>
      </c>
      <c r="E74" s="390">
        <v>120.63139</v>
      </c>
      <c r="F74" s="812">
        <v>817</v>
      </c>
      <c r="G74" s="309">
        <v>579</v>
      </c>
      <c r="H74" s="309" t="s">
        <v>1361</v>
      </c>
      <c r="I74" s="309" t="s">
        <v>1361</v>
      </c>
      <c r="J74" s="390">
        <v>817</v>
      </c>
      <c r="K74" s="390" t="s">
        <v>1513</v>
      </c>
      <c r="L74" s="407"/>
      <c r="M74" s="407"/>
      <c r="N74" s="407"/>
      <c r="O74" s="407"/>
      <c r="P74" s="407"/>
      <c r="Q74" s="407"/>
      <c r="R74" s="407"/>
      <c r="S74" s="407"/>
      <c r="T74" s="407"/>
      <c r="U74" s="407"/>
      <c r="V74" s="407"/>
      <c r="W74" s="407"/>
      <c r="X74" s="407"/>
      <c r="Y74" s="407"/>
      <c r="Z74" s="408"/>
    </row>
    <row r="75" spans="1:26">
      <c r="A75" s="412"/>
      <c r="B75" s="1099"/>
      <c r="C75" s="413">
        <v>5</v>
      </c>
      <c r="D75" s="390">
        <v>14.452500000000001</v>
      </c>
      <c r="E75" s="390">
        <v>120.62608</v>
      </c>
      <c r="F75" s="812">
        <v>629</v>
      </c>
      <c r="G75" s="309">
        <v>472</v>
      </c>
      <c r="H75" s="309" t="s">
        <v>1361</v>
      </c>
      <c r="I75" s="309" t="s">
        <v>1361</v>
      </c>
      <c r="J75" s="390">
        <v>629</v>
      </c>
      <c r="K75" s="390" t="s">
        <v>1513</v>
      </c>
      <c r="L75" s="407"/>
      <c r="M75" s="407"/>
      <c r="N75" s="407"/>
      <c r="O75" s="407"/>
      <c r="P75" s="407"/>
      <c r="Q75" s="407"/>
      <c r="R75" s="407"/>
      <c r="S75" s="407"/>
      <c r="T75" s="407"/>
      <c r="U75" s="407"/>
      <c r="V75" s="407"/>
      <c r="W75" s="407"/>
      <c r="X75" s="407"/>
      <c r="Y75" s="407"/>
      <c r="Z75" s="408"/>
    </row>
    <row r="76" spans="1:26">
      <c r="A76" s="412"/>
      <c r="B76" s="1099"/>
      <c r="C76" s="413">
        <v>6</v>
      </c>
      <c r="D76" s="390">
        <v>14.453060000000001</v>
      </c>
      <c r="E76" s="390">
        <v>120.75489</v>
      </c>
      <c r="F76" s="812">
        <v>747</v>
      </c>
      <c r="G76" s="309">
        <v>503</v>
      </c>
      <c r="H76" s="309" t="s">
        <v>1361</v>
      </c>
      <c r="I76" s="309" t="s">
        <v>1361</v>
      </c>
      <c r="J76" s="390">
        <v>747</v>
      </c>
      <c r="K76" s="390" t="s">
        <v>1513</v>
      </c>
      <c r="L76" s="407"/>
      <c r="M76" s="407"/>
      <c r="N76" s="407"/>
      <c r="O76" s="407"/>
      <c r="P76" s="407"/>
      <c r="Q76" s="407"/>
      <c r="R76" s="407"/>
      <c r="S76" s="407"/>
      <c r="T76" s="407"/>
      <c r="U76" s="407"/>
      <c r="V76" s="407"/>
      <c r="W76" s="407"/>
      <c r="X76" s="407"/>
      <c r="Y76" s="407"/>
      <c r="Z76" s="408"/>
    </row>
    <row r="77" spans="1:26">
      <c r="A77" s="412"/>
      <c r="B77" s="1099"/>
      <c r="C77" s="413">
        <v>7</v>
      </c>
      <c r="D77" s="390">
        <v>14.46786</v>
      </c>
      <c r="E77" s="390">
        <v>120.84110699999999</v>
      </c>
      <c r="F77" s="812">
        <v>1000</v>
      </c>
      <c r="G77" s="309">
        <v>662</v>
      </c>
      <c r="H77" s="309" t="s">
        <v>1361</v>
      </c>
      <c r="I77" s="309" t="s">
        <v>1361</v>
      </c>
      <c r="J77" s="390">
        <v>1000</v>
      </c>
      <c r="K77" s="390" t="s">
        <v>1513</v>
      </c>
      <c r="L77" s="407"/>
      <c r="M77" s="407"/>
      <c r="N77" s="407"/>
      <c r="O77" s="407"/>
      <c r="P77" s="407"/>
      <c r="Q77" s="407"/>
      <c r="R77" s="407"/>
      <c r="S77" s="407"/>
      <c r="T77" s="407"/>
      <c r="U77" s="407"/>
      <c r="V77" s="407"/>
      <c r="W77" s="407"/>
      <c r="X77" s="407"/>
      <c r="Y77" s="407"/>
      <c r="Z77" s="408"/>
    </row>
    <row r="78" spans="1:26">
      <c r="A78" s="412"/>
      <c r="B78" s="1099"/>
      <c r="C78" s="413">
        <v>8</v>
      </c>
      <c r="D78" s="390">
        <v>14.584440000000001</v>
      </c>
      <c r="E78" s="390">
        <v>120.76211000000001</v>
      </c>
      <c r="F78" s="812">
        <v>939</v>
      </c>
      <c r="G78" s="309">
        <v>630</v>
      </c>
      <c r="H78" s="309" t="s">
        <v>1361</v>
      </c>
      <c r="I78" s="309" t="s">
        <v>1361</v>
      </c>
      <c r="J78" s="390">
        <v>939</v>
      </c>
      <c r="K78" s="390" t="s">
        <v>1513</v>
      </c>
      <c r="L78" s="407"/>
      <c r="M78" s="407"/>
      <c r="N78" s="407"/>
      <c r="O78" s="407"/>
      <c r="P78" s="407"/>
      <c r="Q78" s="407"/>
      <c r="R78" s="407"/>
      <c r="S78" s="407"/>
      <c r="T78" s="407"/>
      <c r="U78" s="407"/>
      <c r="V78" s="407"/>
      <c r="W78" s="407"/>
      <c r="X78" s="407"/>
      <c r="Y78" s="407"/>
      <c r="Z78" s="408"/>
    </row>
    <row r="79" spans="1:26">
      <c r="A79" s="412"/>
      <c r="B79" s="1100"/>
      <c r="C79" s="413">
        <v>9</v>
      </c>
      <c r="D79" s="390">
        <v>14.590809</v>
      </c>
      <c r="E79" s="390">
        <v>120.847296</v>
      </c>
      <c r="F79" s="812">
        <v>932</v>
      </c>
      <c r="G79" s="309">
        <v>572</v>
      </c>
      <c r="H79" s="309" t="s">
        <v>1361</v>
      </c>
      <c r="I79" s="309" t="s">
        <v>1361</v>
      </c>
      <c r="J79" s="390">
        <v>932</v>
      </c>
      <c r="K79" s="390" t="s">
        <v>1513</v>
      </c>
      <c r="L79" s="407"/>
      <c r="M79" s="407"/>
      <c r="N79" s="407"/>
      <c r="O79" s="407"/>
      <c r="P79" s="407"/>
      <c r="Q79" s="407"/>
      <c r="R79" s="407"/>
      <c r="S79" s="407"/>
      <c r="T79" s="407"/>
      <c r="U79" s="407"/>
      <c r="V79" s="407"/>
      <c r="W79" s="407"/>
      <c r="X79" s="407"/>
      <c r="Y79" s="407"/>
      <c r="Z79" s="408"/>
    </row>
    <row r="80" spans="1:26">
      <c r="A80" s="412"/>
      <c r="B80" s="1098" t="s">
        <v>1516</v>
      </c>
      <c r="C80" s="410">
        <v>1</v>
      </c>
      <c r="D80" s="411">
        <v>14.666689999999999</v>
      </c>
      <c r="E80" s="411">
        <v>120.84238999999999</v>
      </c>
      <c r="F80" s="813">
        <v>25</v>
      </c>
      <c r="G80" s="353">
        <v>22</v>
      </c>
      <c r="H80" s="353" t="s">
        <v>1361</v>
      </c>
      <c r="I80" s="353" t="s">
        <v>1361</v>
      </c>
      <c r="J80" s="411" t="e">
        <v>#DIV/0!</v>
      </c>
      <c r="K80" s="411">
        <v>40</v>
      </c>
      <c r="L80" s="407"/>
      <c r="M80" s="407"/>
      <c r="N80" s="407"/>
      <c r="O80" s="407"/>
      <c r="P80" s="407"/>
      <c r="Q80" s="407"/>
      <c r="R80" s="407"/>
      <c r="S80" s="407"/>
      <c r="T80" s="407"/>
      <c r="U80" s="407"/>
      <c r="V80" s="407"/>
      <c r="W80" s="407"/>
      <c r="X80" s="407"/>
      <c r="Y80" s="407"/>
      <c r="Z80" s="408"/>
    </row>
    <row r="81" spans="1:26">
      <c r="A81" s="412"/>
      <c r="B81" s="1099"/>
      <c r="C81" s="413">
        <v>2</v>
      </c>
      <c r="D81" s="390">
        <v>14.67756</v>
      </c>
      <c r="E81" s="390">
        <v>120.76119</v>
      </c>
      <c r="F81" s="812">
        <v>25</v>
      </c>
      <c r="G81" s="309">
        <v>24</v>
      </c>
      <c r="H81" s="309" t="s">
        <v>1361</v>
      </c>
      <c r="I81" s="309" t="s">
        <v>1361</v>
      </c>
      <c r="J81" s="390" t="e">
        <v>#DIV/0!</v>
      </c>
      <c r="K81" s="390">
        <v>40</v>
      </c>
      <c r="L81" s="407"/>
      <c r="M81" s="407"/>
      <c r="N81" s="407"/>
      <c r="O81" s="407"/>
      <c r="P81" s="407"/>
      <c r="Q81" s="407"/>
      <c r="R81" s="407"/>
      <c r="S81" s="407"/>
      <c r="T81" s="407"/>
      <c r="U81" s="407"/>
      <c r="V81" s="407"/>
      <c r="W81" s="407"/>
      <c r="X81" s="407"/>
      <c r="Y81" s="407"/>
      <c r="Z81" s="408"/>
    </row>
    <row r="82" spans="1:26">
      <c r="A82" s="412"/>
      <c r="B82" s="1099"/>
      <c r="C82" s="413">
        <v>3</v>
      </c>
      <c r="D82" s="390">
        <v>14.671419999999999</v>
      </c>
      <c r="E82" s="390">
        <v>120.62481</v>
      </c>
      <c r="F82" s="812">
        <v>26</v>
      </c>
      <c r="G82" s="309">
        <v>26</v>
      </c>
      <c r="H82" s="309" t="s">
        <v>1361</v>
      </c>
      <c r="I82" s="309" t="s">
        <v>1361</v>
      </c>
      <c r="J82" s="390" t="e">
        <v>#DIV/0!</v>
      </c>
      <c r="K82" s="390">
        <v>40</v>
      </c>
      <c r="L82" s="407"/>
      <c r="M82" s="407"/>
      <c r="N82" s="407"/>
      <c r="O82" s="407"/>
      <c r="P82" s="407"/>
      <c r="Q82" s="407"/>
      <c r="R82" s="407"/>
      <c r="S82" s="407"/>
      <c r="T82" s="407"/>
      <c r="U82" s="407"/>
      <c r="V82" s="407"/>
      <c r="W82" s="407"/>
      <c r="X82" s="407"/>
      <c r="Y82" s="407"/>
      <c r="Z82" s="408"/>
    </row>
    <row r="83" spans="1:26">
      <c r="A83" s="412"/>
      <c r="B83" s="1099"/>
      <c r="C83" s="413">
        <v>4</v>
      </c>
      <c r="D83" s="390">
        <v>14.57836</v>
      </c>
      <c r="E83" s="390">
        <v>120.63139</v>
      </c>
      <c r="F83" s="812">
        <v>25</v>
      </c>
      <c r="G83" s="309">
        <v>25</v>
      </c>
      <c r="H83" s="309" t="s">
        <v>1361</v>
      </c>
      <c r="I83" s="309" t="s">
        <v>1361</v>
      </c>
      <c r="J83" s="390" t="e">
        <v>#DIV/0!</v>
      </c>
      <c r="K83" s="390">
        <v>40</v>
      </c>
      <c r="L83" s="407"/>
      <c r="M83" s="407"/>
      <c r="N83" s="407"/>
      <c r="O83" s="407"/>
      <c r="P83" s="407"/>
      <c r="Q83" s="407"/>
      <c r="R83" s="407"/>
      <c r="S83" s="407"/>
      <c r="T83" s="407"/>
      <c r="U83" s="407"/>
      <c r="V83" s="407"/>
      <c r="W83" s="407"/>
      <c r="X83" s="407"/>
      <c r="Y83" s="407"/>
      <c r="Z83" s="408"/>
    </row>
    <row r="84" spans="1:26">
      <c r="A84" s="412"/>
      <c r="B84" s="1099"/>
      <c r="C84" s="413">
        <v>5</v>
      </c>
      <c r="D84" s="390">
        <v>14.452500000000001</v>
      </c>
      <c r="E84" s="390">
        <v>120.62608</v>
      </c>
      <c r="F84" s="812">
        <v>23</v>
      </c>
      <c r="G84" s="309">
        <v>28</v>
      </c>
      <c r="H84" s="309" t="s">
        <v>1361</v>
      </c>
      <c r="I84" s="309" t="s">
        <v>1361</v>
      </c>
      <c r="J84" s="390" t="e">
        <v>#DIV/0!</v>
      </c>
      <c r="K84" s="390">
        <v>40</v>
      </c>
      <c r="L84" s="407"/>
      <c r="M84" s="407"/>
      <c r="N84" s="407"/>
      <c r="O84" s="407"/>
      <c r="P84" s="407"/>
      <c r="Q84" s="407"/>
      <c r="R84" s="407"/>
      <c r="S84" s="407"/>
      <c r="T84" s="407"/>
      <c r="U84" s="407"/>
      <c r="V84" s="407"/>
      <c r="W84" s="407"/>
      <c r="X84" s="407"/>
      <c r="Y84" s="407"/>
      <c r="Z84" s="408"/>
    </row>
    <row r="85" spans="1:26">
      <c r="A85" s="412"/>
      <c r="B85" s="1099"/>
      <c r="C85" s="413">
        <v>6</v>
      </c>
      <c r="D85" s="390">
        <v>14.453060000000001</v>
      </c>
      <c r="E85" s="390">
        <v>120.75489</v>
      </c>
      <c r="F85" s="812">
        <v>25</v>
      </c>
      <c r="G85" s="309">
        <v>22</v>
      </c>
      <c r="H85" s="309" t="s">
        <v>1361</v>
      </c>
      <c r="I85" s="309" t="s">
        <v>1361</v>
      </c>
      <c r="J85" s="390" t="e">
        <v>#DIV/0!</v>
      </c>
      <c r="K85" s="390">
        <v>40</v>
      </c>
      <c r="L85" s="407"/>
      <c r="M85" s="407"/>
      <c r="N85" s="407"/>
      <c r="O85" s="407"/>
      <c r="P85" s="407"/>
      <c r="Q85" s="407"/>
      <c r="R85" s="407"/>
      <c r="S85" s="407"/>
      <c r="T85" s="407"/>
      <c r="U85" s="407"/>
      <c r="V85" s="407"/>
      <c r="W85" s="407"/>
      <c r="X85" s="407"/>
      <c r="Y85" s="407"/>
      <c r="Z85" s="408"/>
    </row>
    <row r="86" spans="1:26">
      <c r="A86" s="412"/>
      <c r="B86" s="1099"/>
      <c r="C86" s="413">
        <v>7</v>
      </c>
      <c r="D86" s="390">
        <v>14.46786</v>
      </c>
      <c r="E86" s="390">
        <v>120.84110699999999</v>
      </c>
      <c r="F86" s="812">
        <v>26</v>
      </c>
      <c r="G86" s="309">
        <v>17</v>
      </c>
      <c r="H86" s="309" t="s">
        <v>1361</v>
      </c>
      <c r="I86" s="309" t="s">
        <v>1361</v>
      </c>
      <c r="J86" s="390" t="e">
        <v>#DIV/0!</v>
      </c>
      <c r="K86" s="390">
        <v>40</v>
      </c>
      <c r="L86" s="407"/>
      <c r="M86" s="407"/>
      <c r="N86" s="407"/>
      <c r="O86" s="407"/>
      <c r="P86" s="407"/>
      <c r="Q86" s="407"/>
      <c r="R86" s="407"/>
      <c r="S86" s="407"/>
      <c r="T86" s="407"/>
      <c r="U86" s="407"/>
      <c r="V86" s="407"/>
      <c r="W86" s="407"/>
      <c r="X86" s="407"/>
      <c r="Y86" s="407"/>
      <c r="Z86" s="408"/>
    </row>
    <row r="87" spans="1:26">
      <c r="A87" s="412"/>
      <c r="B87" s="1099"/>
      <c r="C87" s="413">
        <v>8</v>
      </c>
      <c r="D87" s="390">
        <v>14.584440000000001</v>
      </c>
      <c r="E87" s="390">
        <v>120.76211000000001</v>
      </c>
      <c r="F87" s="812">
        <v>23</v>
      </c>
      <c r="G87" s="309">
        <v>25</v>
      </c>
      <c r="H87" s="309" t="s">
        <v>1361</v>
      </c>
      <c r="I87" s="309" t="s">
        <v>1361</v>
      </c>
      <c r="J87" s="390" t="e">
        <v>#DIV/0!</v>
      </c>
      <c r="K87" s="390">
        <v>40</v>
      </c>
      <c r="L87" s="407"/>
      <c r="M87" s="407"/>
      <c r="N87" s="407"/>
      <c r="O87" s="407"/>
      <c r="P87" s="407"/>
      <c r="Q87" s="407"/>
      <c r="R87" s="407"/>
      <c r="S87" s="407"/>
      <c r="T87" s="407"/>
      <c r="U87" s="407"/>
      <c r="V87" s="407"/>
      <c r="W87" s="407"/>
      <c r="X87" s="407"/>
      <c r="Y87" s="407"/>
      <c r="Z87" s="408"/>
    </row>
    <row r="88" spans="1:26">
      <c r="A88" s="412"/>
      <c r="B88" s="1100"/>
      <c r="C88" s="413">
        <v>9</v>
      </c>
      <c r="D88" s="390">
        <v>14.590809</v>
      </c>
      <c r="E88" s="390">
        <v>120.847296</v>
      </c>
      <c r="F88" s="812">
        <v>20</v>
      </c>
      <c r="G88" s="309">
        <v>21</v>
      </c>
      <c r="H88" s="309" t="s">
        <v>1361</v>
      </c>
      <c r="I88" s="309" t="s">
        <v>1361</v>
      </c>
      <c r="J88" s="390" t="e">
        <v>#DIV/0!</v>
      </c>
      <c r="K88" s="390">
        <v>40</v>
      </c>
      <c r="L88" s="407"/>
      <c r="M88" s="407"/>
      <c r="N88" s="407"/>
      <c r="O88" s="407"/>
      <c r="P88" s="407"/>
      <c r="Q88" s="407"/>
      <c r="R88" s="407"/>
      <c r="S88" s="407"/>
      <c r="T88" s="407"/>
      <c r="U88" s="407"/>
      <c r="V88" s="407"/>
      <c r="W88" s="407"/>
      <c r="X88" s="407"/>
      <c r="Y88" s="407"/>
      <c r="Z88" s="408"/>
    </row>
    <row r="89" spans="1:26">
      <c r="A89" s="412"/>
      <c r="B89" s="1098" t="s">
        <v>1517</v>
      </c>
      <c r="C89" s="410">
        <v>1</v>
      </c>
      <c r="D89" s="411">
        <v>14.666689999999999</v>
      </c>
      <c r="E89" s="411">
        <v>120.84238999999999</v>
      </c>
      <c r="F89" s="813">
        <v>129</v>
      </c>
      <c r="G89" s="353">
        <v>109</v>
      </c>
      <c r="H89" s="353" t="s">
        <v>1361</v>
      </c>
      <c r="I89" s="353" t="s">
        <v>1361</v>
      </c>
      <c r="J89" s="411" t="e">
        <v>#DIV/0!</v>
      </c>
      <c r="K89" s="411">
        <v>410</v>
      </c>
      <c r="L89" s="407"/>
      <c r="M89" s="407"/>
      <c r="N89" s="407"/>
      <c r="O89" s="407"/>
      <c r="P89" s="407"/>
      <c r="Q89" s="407"/>
      <c r="R89" s="407"/>
      <c r="S89" s="407"/>
      <c r="T89" s="407"/>
      <c r="U89" s="407"/>
      <c r="V89" s="407"/>
      <c r="W89" s="407"/>
      <c r="X89" s="407"/>
      <c r="Y89" s="407"/>
      <c r="Z89" s="408"/>
    </row>
    <row r="90" spans="1:26">
      <c r="A90" s="412"/>
      <c r="B90" s="1099"/>
      <c r="C90" s="413">
        <v>2</v>
      </c>
      <c r="D90" s="390">
        <v>14.67756</v>
      </c>
      <c r="E90" s="390">
        <v>120.76119</v>
      </c>
      <c r="F90" s="812">
        <v>74</v>
      </c>
      <c r="G90" s="309">
        <v>89</v>
      </c>
      <c r="H90" s="309" t="s">
        <v>1361</v>
      </c>
      <c r="I90" s="309" t="s">
        <v>1361</v>
      </c>
      <c r="J90" s="390" t="e">
        <v>#DIV/0!</v>
      </c>
      <c r="K90" s="390">
        <v>410</v>
      </c>
      <c r="L90" s="407"/>
      <c r="M90" s="407"/>
      <c r="N90" s="407"/>
      <c r="O90" s="407"/>
      <c r="P90" s="407"/>
      <c r="Q90" s="407"/>
      <c r="R90" s="407"/>
      <c r="S90" s="407"/>
      <c r="T90" s="407"/>
      <c r="U90" s="407"/>
      <c r="V90" s="407"/>
      <c r="W90" s="407"/>
      <c r="X90" s="407"/>
      <c r="Y90" s="407"/>
      <c r="Z90" s="408"/>
    </row>
    <row r="91" spans="1:26">
      <c r="A91" s="412"/>
      <c r="B91" s="1099"/>
      <c r="C91" s="413">
        <v>3</v>
      </c>
      <c r="D91" s="390">
        <v>14.671419999999999</v>
      </c>
      <c r="E91" s="390">
        <v>120.62481</v>
      </c>
      <c r="F91" s="812">
        <v>112</v>
      </c>
      <c r="G91" s="309">
        <v>91</v>
      </c>
      <c r="H91" s="309" t="s">
        <v>1361</v>
      </c>
      <c r="I91" s="309" t="s">
        <v>1361</v>
      </c>
      <c r="J91" s="390" t="e">
        <v>#DIV/0!</v>
      </c>
      <c r="K91" s="390">
        <v>410</v>
      </c>
      <c r="L91" s="407"/>
      <c r="M91" s="407"/>
      <c r="N91" s="407"/>
      <c r="O91" s="407"/>
      <c r="P91" s="407"/>
      <c r="Q91" s="407"/>
      <c r="R91" s="407"/>
      <c r="S91" s="407"/>
      <c r="T91" s="407"/>
      <c r="U91" s="407"/>
      <c r="V91" s="407"/>
      <c r="W91" s="407"/>
      <c r="X91" s="407"/>
      <c r="Y91" s="407"/>
      <c r="Z91" s="408"/>
    </row>
    <row r="92" spans="1:26">
      <c r="A92" s="412"/>
      <c r="B92" s="1099"/>
      <c r="C92" s="413">
        <v>4</v>
      </c>
      <c r="D92" s="390">
        <v>14.57836</v>
      </c>
      <c r="E92" s="390">
        <v>120.63139</v>
      </c>
      <c r="F92" s="812">
        <v>84</v>
      </c>
      <c r="G92" s="309">
        <v>88</v>
      </c>
      <c r="H92" s="309" t="s">
        <v>1361</v>
      </c>
      <c r="I92" s="309" t="s">
        <v>1361</v>
      </c>
      <c r="J92" s="390" t="e">
        <v>#DIV/0!</v>
      </c>
      <c r="K92" s="390">
        <v>410</v>
      </c>
      <c r="L92" s="407"/>
      <c r="M92" s="407"/>
      <c r="N92" s="407"/>
      <c r="O92" s="407"/>
      <c r="P92" s="407"/>
      <c r="Q92" s="407"/>
      <c r="R92" s="407"/>
      <c r="S92" s="407"/>
      <c r="T92" s="407"/>
      <c r="U92" s="407"/>
      <c r="V92" s="407"/>
      <c r="W92" s="407"/>
      <c r="X92" s="407"/>
      <c r="Y92" s="407"/>
      <c r="Z92" s="408"/>
    </row>
    <row r="93" spans="1:26">
      <c r="A93" s="412"/>
      <c r="B93" s="1099"/>
      <c r="C93" s="413">
        <v>5</v>
      </c>
      <c r="D93" s="390">
        <v>14.452500000000001</v>
      </c>
      <c r="E93" s="390">
        <v>120.62608</v>
      </c>
      <c r="F93" s="812">
        <v>77</v>
      </c>
      <c r="G93" s="309">
        <v>85</v>
      </c>
      <c r="H93" s="309" t="s">
        <v>1361</v>
      </c>
      <c r="I93" s="309" t="s">
        <v>1361</v>
      </c>
      <c r="J93" s="390" t="e">
        <v>#DIV/0!</v>
      </c>
      <c r="K93" s="390">
        <v>410</v>
      </c>
      <c r="L93" s="407"/>
      <c r="M93" s="407"/>
      <c r="N93" s="407"/>
      <c r="O93" s="407"/>
      <c r="P93" s="407"/>
      <c r="Q93" s="407"/>
      <c r="R93" s="407"/>
      <c r="S93" s="407"/>
      <c r="T93" s="407"/>
      <c r="U93" s="407"/>
      <c r="V93" s="407"/>
      <c r="W93" s="407"/>
      <c r="X93" s="407"/>
      <c r="Y93" s="407"/>
      <c r="Z93" s="408"/>
    </row>
    <row r="94" spans="1:26">
      <c r="A94" s="412"/>
      <c r="B94" s="1099"/>
      <c r="C94" s="413">
        <v>6</v>
      </c>
      <c r="D94" s="390">
        <v>14.453060000000001</v>
      </c>
      <c r="E94" s="390">
        <v>120.75489</v>
      </c>
      <c r="F94" s="812">
        <v>89</v>
      </c>
      <c r="G94" s="309">
        <v>75</v>
      </c>
      <c r="H94" s="309" t="s">
        <v>1361</v>
      </c>
      <c r="I94" s="309" t="s">
        <v>1361</v>
      </c>
      <c r="J94" s="390" t="e">
        <v>#DIV/0!</v>
      </c>
      <c r="K94" s="390">
        <v>410</v>
      </c>
      <c r="L94" s="407"/>
      <c r="M94" s="407"/>
      <c r="N94" s="407"/>
      <c r="O94" s="407"/>
      <c r="P94" s="407"/>
      <c r="Q94" s="407"/>
      <c r="R94" s="407"/>
      <c r="S94" s="407"/>
      <c r="T94" s="407"/>
      <c r="U94" s="407"/>
      <c r="V94" s="407"/>
      <c r="W94" s="407"/>
      <c r="X94" s="407"/>
      <c r="Y94" s="407"/>
      <c r="Z94" s="408"/>
    </row>
    <row r="95" spans="1:26">
      <c r="A95" s="412"/>
      <c r="B95" s="1099"/>
      <c r="C95" s="413">
        <v>7</v>
      </c>
      <c r="D95" s="390">
        <v>14.46786</v>
      </c>
      <c r="E95" s="390">
        <v>120.84110699999999</v>
      </c>
      <c r="F95" s="812">
        <v>90</v>
      </c>
      <c r="G95" s="309">
        <v>67</v>
      </c>
      <c r="H95" s="309" t="s">
        <v>1361</v>
      </c>
      <c r="I95" s="309" t="s">
        <v>1361</v>
      </c>
      <c r="J95" s="390" t="e">
        <v>#DIV/0!</v>
      </c>
      <c r="K95" s="390">
        <v>410</v>
      </c>
      <c r="L95" s="407"/>
      <c r="M95" s="407"/>
      <c r="N95" s="407"/>
      <c r="O95" s="407"/>
      <c r="P95" s="407"/>
      <c r="Q95" s="407"/>
      <c r="R95" s="407"/>
      <c r="S95" s="407"/>
      <c r="T95" s="407"/>
      <c r="U95" s="407"/>
      <c r="V95" s="407"/>
      <c r="W95" s="407"/>
      <c r="X95" s="407"/>
      <c r="Y95" s="407"/>
      <c r="Z95" s="408"/>
    </row>
    <row r="96" spans="1:26">
      <c r="A96" s="412"/>
      <c r="B96" s="1099"/>
      <c r="C96" s="413">
        <v>8</v>
      </c>
      <c r="D96" s="390">
        <v>14.584440000000001</v>
      </c>
      <c r="E96" s="390">
        <v>120.76211000000001</v>
      </c>
      <c r="F96" s="812">
        <v>77</v>
      </c>
      <c r="G96" s="309">
        <v>91</v>
      </c>
      <c r="H96" s="309" t="s">
        <v>1361</v>
      </c>
      <c r="I96" s="309" t="s">
        <v>1361</v>
      </c>
      <c r="J96" s="390" t="e">
        <v>#DIV/0!</v>
      </c>
      <c r="K96" s="390">
        <v>410</v>
      </c>
      <c r="L96" s="407"/>
      <c r="M96" s="407"/>
      <c r="N96" s="407"/>
      <c r="O96" s="407"/>
      <c r="P96" s="407"/>
      <c r="Q96" s="407"/>
      <c r="R96" s="407"/>
      <c r="S96" s="407"/>
      <c r="T96" s="407"/>
      <c r="U96" s="407"/>
      <c r="V96" s="407"/>
      <c r="W96" s="407"/>
      <c r="X96" s="407"/>
      <c r="Y96" s="407"/>
      <c r="Z96" s="408"/>
    </row>
    <row r="97" spans="1:26">
      <c r="A97" s="412"/>
      <c r="B97" s="1100"/>
      <c r="C97" s="413">
        <v>9</v>
      </c>
      <c r="D97" s="390">
        <v>14.590809</v>
      </c>
      <c r="E97" s="390">
        <v>120.847296</v>
      </c>
      <c r="F97" s="812">
        <v>97</v>
      </c>
      <c r="G97" s="309">
        <v>127</v>
      </c>
      <c r="H97" s="309" t="s">
        <v>1361</v>
      </c>
      <c r="I97" s="309" t="s">
        <v>1361</v>
      </c>
      <c r="J97" s="390" t="e">
        <v>#DIV/0!</v>
      </c>
      <c r="K97" s="390">
        <v>410</v>
      </c>
      <c r="L97" s="407"/>
      <c r="M97" s="407"/>
      <c r="N97" s="407"/>
      <c r="O97" s="407"/>
      <c r="P97" s="407"/>
      <c r="Q97" s="407"/>
      <c r="R97" s="407"/>
      <c r="S97" s="407"/>
      <c r="T97" s="407"/>
      <c r="U97" s="407"/>
      <c r="V97" s="407"/>
      <c r="W97" s="407"/>
      <c r="X97" s="407"/>
      <c r="Y97" s="407"/>
      <c r="Z97" s="408"/>
    </row>
    <row r="98" spans="1:26">
      <c r="A98" s="412"/>
      <c r="B98" s="1098" t="s">
        <v>1518</v>
      </c>
      <c r="C98" s="410">
        <v>1</v>
      </c>
      <c r="D98" s="411">
        <v>14.666689999999999</v>
      </c>
      <c r="E98" s="411">
        <v>120.84238999999999</v>
      </c>
      <c r="F98" s="813">
        <v>8.1</v>
      </c>
      <c r="G98" s="353">
        <v>7</v>
      </c>
      <c r="H98" s="353" t="s">
        <v>1361</v>
      </c>
      <c r="I98" s="353" t="s">
        <v>1361</v>
      </c>
      <c r="J98" s="411">
        <v>8.1</v>
      </c>
      <c r="K98" s="411" t="s">
        <v>1513</v>
      </c>
      <c r="L98" s="407"/>
      <c r="M98" s="407"/>
      <c r="N98" s="407"/>
      <c r="O98" s="407"/>
      <c r="P98" s="407"/>
      <c r="Q98" s="407"/>
      <c r="R98" s="407"/>
      <c r="S98" s="407"/>
      <c r="T98" s="407"/>
      <c r="U98" s="407"/>
      <c r="V98" s="407"/>
      <c r="W98" s="407"/>
      <c r="X98" s="407"/>
      <c r="Y98" s="407"/>
      <c r="Z98" s="408"/>
    </row>
    <row r="99" spans="1:26">
      <c r="A99" s="412"/>
      <c r="B99" s="1099"/>
      <c r="C99" s="413">
        <v>2</v>
      </c>
      <c r="D99" s="390">
        <v>14.67756</v>
      </c>
      <c r="E99" s="390">
        <v>120.76119</v>
      </c>
      <c r="F99" s="812">
        <v>7.9</v>
      </c>
      <c r="G99" s="309">
        <v>8.1</v>
      </c>
      <c r="H99" s="309" t="s">
        <v>1361</v>
      </c>
      <c r="I99" s="309" t="s">
        <v>1361</v>
      </c>
      <c r="J99" s="390">
        <v>7.9</v>
      </c>
      <c r="K99" s="390" t="s">
        <v>1513</v>
      </c>
      <c r="L99" s="407"/>
      <c r="M99" s="407"/>
      <c r="N99" s="407"/>
      <c r="O99" s="407"/>
      <c r="P99" s="407"/>
      <c r="Q99" s="407"/>
      <c r="R99" s="407"/>
      <c r="S99" s="407"/>
      <c r="T99" s="407"/>
      <c r="U99" s="407"/>
      <c r="V99" s="407"/>
      <c r="W99" s="407"/>
      <c r="X99" s="407"/>
      <c r="Y99" s="407"/>
      <c r="Z99" s="408"/>
    </row>
    <row r="100" spans="1:26">
      <c r="A100" s="412"/>
      <c r="B100" s="1099"/>
      <c r="C100" s="413">
        <v>3</v>
      </c>
      <c r="D100" s="390">
        <v>14.671419999999999</v>
      </c>
      <c r="E100" s="390">
        <v>120.62481</v>
      </c>
      <c r="F100" s="812">
        <v>8.6999999999999993</v>
      </c>
      <c r="G100" s="309">
        <v>11</v>
      </c>
      <c r="H100" s="309" t="s">
        <v>1361</v>
      </c>
      <c r="I100" s="309" t="s">
        <v>1361</v>
      </c>
      <c r="J100" s="390">
        <v>8.6999999999999993</v>
      </c>
      <c r="K100" s="390" t="s">
        <v>1513</v>
      </c>
      <c r="L100" s="407"/>
      <c r="M100" s="407"/>
      <c r="N100" s="407"/>
      <c r="O100" s="407"/>
      <c r="P100" s="407"/>
      <c r="Q100" s="407"/>
      <c r="R100" s="407"/>
      <c r="S100" s="407"/>
      <c r="T100" s="407"/>
      <c r="U100" s="407"/>
      <c r="V100" s="407"/>
      <c r="W100" s="407"/>
      <c r="X100" s="407"/>
      <c r="Y100" s="407"/>
      <c r="Z100" s="408"/>
    </row>
    <row r="101" spans="1:26">
      <c r="A101" s="412"/>
      <c r="B101" s="1099"/>
      <c r="C101" s="413">
        <v>4</v>
      </c>
      <c r="D101" s="390">
        <v>14.57836</v>
      </c>
      <c r="E101" s="390">
        <v>120.63139</v>
      </c>
      <c r="F101" s="812">
        <v>8.6999999999999993</v>
      </c>
      <c r="G101" s="309">
        <v>9.5</v>
      </c>
      <c r="H101" s="309" t="s">
        <v>1361</v>
      </c>
      <c r="I101" s="309" t="s">
        <v>1361</v>
      </c>
      <c r="J101" s="390">
        <v>8.6999999999999993</v>
      </c>
      <c r="K101" s="390" t="s">
        <v>1513</v>
      </c>
      <c r="L101" s="407"/>
      <c r="M101" s="407"/>
      <c r="N101" s="407"/>
      <c r="O101" s="407"/>
      <c r="P101" s="407"/>
      <c r="Q101" s="407"/>
      <c r="R101" s="407"/>
      <c r="S101" s="407"/>
      <c r="T101" s="407"/>
      <c r="U101" s="407"/>
      <c r="V101" s="407"/>
      <c r="W101" s="407"/>
      <c r="X101" s="407"/>
      <c r="Y101" s="407"/>
      <c r="Z101" s="408"/>
    </row>
    <row r="102" spans="1:26">
      <c r="A102" s="412"/>
      <c r="B102" s="1099"/>
      <c r="C102" s="413">
        <v>5</v>
      </c>
      <c r="D102" s="390">
        <v>14.452500000000001</v>
      </c>
      <c r="E102" s="390">
        <v>120.62608</v>
      </c>
      <c r="F102" s="812">
        <v>8.1</v>
      </c>
      <c r="G102" s="309">
        <v>10</v>
      </c>
      <c r="H102" s="309" t="s">
        <v>1361</v>
      </c>
      <c r="I102" s="309" t="s">
        <v>1361</v>
      </c>
      <c r="J102" s="390">
        <v>8.1</v>
      </c>
      <c r="K102" s="390" t="s">
        <v>1513</v>
      </c>
      <c r="L102" s="407"/>
      <c r="M102" s="407"/>
      <c r="N102" s="407"/>
      <c r="O102" s="407"/>
      <c r="P102" s="407"/>
      <c r="Q102" s="407"/>
      <c r="R102" s="407"/>
      <c r="S102" s="407"/>
      <c r="T102" s="407"/>
      <c r="U102" s="407"/>
      <c r="V102" s="407"/>
      <c r="W102" s="407"/>
      <c r="X102" s="407"/>
      <c r="Y102" s="407"/>
      <c r="Z102" s="408"/>
    </row>
    <row r="103" spans="1:26">
      <c r="A103" s="412"/>
      <c r="B103" s="1099"/>
      <c r="C103" s="413">
        <v>6</v>
      </c>
      <c r="D103" s="390">
        <v>14.453060000000001</v>
      </c>
      <c r="E103" s="390">
        <v>120.75489</v>
      </c>
      <c r="F103" s="812">
        <v>10</v>
      </c>
      <c r="G103" s="309">
        <v>11</v>
      </c>
      <c r="H103" s="309" t="s">
        <v>1361</v>
      </c>
      <c r="I103" s="309" t="s">
        <v>1361</v>
      </c>
      <c r="J103" s="390">
        <v>10</v>
      </c>
      <c r="K103" s="390" t="s">
        <v>1513</v>
      </c>
      <c r="L103" s="407"/>
      <c r="M103" s="407"/>
      <c r="N103" s="407"/>
      <c r="O103" s="407"/>
      <c r="P103" s="407"/>
      <c r="Q103" s="407"/>
      <c r="R103" s="407"/>
      <c r="S103" s="407"/>
      <c r="T103" s="407"/>
      <c r="U103" s="407"/>
      <c r="V103" s="407"/>
      <c r="W103" s="407"/>
      <c r="X103" s="407"/>
      <c r="Y103" s="407"/>
      <c r="Z103" s="408"/>
    </row>
    <row r="104" spans="1:26">
      <c r="A104" s="412"/>
      <c r="B104" s="1099"/>
      <c r="C104" s="413">
        <v>7</v>
      </c>
      <c r="D104" s="390">
        <v>14.46786</v>
      </c>
      <c r="E104" s="390">
        <v>120.84110699999999</v>
      </c>
      <c r="F104" s="812">
        <v>12</v>
      </c>
      <c r="G104" s="309">
        <v>12</v>
      </c>
      <c r="H104" s="309" t="s">
        <v>1361</v>
      </c>
      <c r="I104" s="309" t="s">
        <v>1361</v>
      </c>
      <c r="J104" s="390">
        <v>12</v>
      </c>
      <c r="K104" s="390" t="s">
        <v>1513</v>
      </c>
      <c r="L104" s="407"/>
      <c r="M104" s="407"/>
      <c r="N104" s="407"/>
      <c r="O104" s="407"/>
      <c r="P104" s="407"/>
      <c r="Q104" s="407"/>
      <c r="R104" s="407"/>
      <c r="S104" s="407"/>
      <c r="T104" s="407"/>
      <c r="U104" s="407"/>
      <c r="V104" s="407"/>
      <c r="W104" s="407"/>
      <c r="X104" s="407"/>
      <c r="Y104" s="407"/>
      <c r="Z104" s="408"/>
    </row>
    <row r="105" spans="1:26">
      <c r="A105" s="412"/>
      <c r="B105" s="1099"/>
      <c r="C105" s="413">
        <v>8</v>
      </c>
      <c r="D105" s="390">
        <v>14.584440000000001</v>
      </c>
      <c r="E105" s="390">
        <v>120.76211000000001</v>
      </c>
      <c r="F105" s="812">
        <v>14</v>
      </c>
      <c r="G105" s="309">
        <v>11</v>
      </c>
      <c r="H105" s="309" t="s">
        <v>1361</v>
      </c>
      <c r="I105" s="309" t="s">
        <v>1361</v>
      </c>
      <c r="J105" s="390">
        <v>14</v>
      </c>
      <c r="K105" s="390" t="s">
        <v>1513</v>
      </c>
      <c r="L105" s="407"/>
      <c r="M105" s="407"/>
      <c r="N105" s="407"/>
      <c r="O105" s="407"/>
      <c r="P105" s="407"/>
      <c r="Q105" s="407"/>
      <c r="R105" s="407"/>
      <c r="S105" s="407"/>
      <c r="T105" s="407"/>
      <c r="U105" s="407"/>
      <c r="V105" s="407"/>
      <c r="W105" s="407"/>
      <c r="X105" s="407"/>
      <c r="Y105" s="407"/>
      <c r="Z105" s="408"/>
    </row>
    <row r="106" spans="1:26">
      <c r="A106" s="412"/>
      <c r="B106" s="1100"/>
      <c r="C106" s="413">
        <v>9</v>
      </c>
      <c r="D106" s="390">
        <v>14.590809</v>
      </c>
      <c r="E106" s="390">
        <v>120.847296</v>
      </c>
      <c r="F106" s="812">
        <v>16</v>
      </c>
      <c r="G106" s="309">
        <v>11</v>
      </c>
      <c r="H106" s="309" t="s">
        <v>1361</v>
      </c>
      <c r="I106" s="309" t="s">
        <v>1361</v>
      </c>
      <c r="J106" s="390">
        <v>16</v>
      </c>
      <c r="K106" s="390" t="s">
        <v>1513</v>
      </c>
      <c r="L106" s="407"/>
      <c r="M106" s="407"/>
      <c r="N106" s="407"/>
      <c r="O106" s="407"/>
      <c r="P106" s="407"/>
      <c r="Q106" s="407"/>
      <c r="R106" s="407"/>
      <c r="S106" s="407"/>
      <c r="T106" s="407"/>
      <c r="U106" s="407"/>
      <c r="V106" s="407"/>
      <c r="W106" s="407"/>
      <c r="X106" s="407"/>
      <c r="Y106" s="407"/>
      <c r="Z106" s="408"/>
    </row>
    <row r="107" spans="1:26">
      <c r="A107" s="412"/>
      <c r="B107" s="1098" t="s">
        <v>1519</v>
      </c>
      <c r="C107" s="410">
        <v>1</v>
      </c>
      <c r="D107" s="411">
        <v>14.666689999999999</v>
      </c>
      <c r="E107" s="411">
        <v>120.84238999999999</v>
      </c>
      <c r="F107" s="813">
        <v>21</v>
      </c>
      <c r="G107" s="353">
        <v>124</v>
      </c>
      <c r="H107" s="353" t="s">
        <v>1361</v>
      </c>
      <c r="I107" s="353" t="s">
        <v>1361</v>
      </c>
      <c r="J107" s="411">
        <v>21</v>
      </c>
      <c r="K107" s="411" t="s">
        <v>1513</v>
      </c>
      <c r="L107" s="407"/>
      <c r="M107" s="407"/>
      <c r="N107" s="407"/>
      <c r="O107" s="407"/>
      <c r="P107" s="407"/>
      <c r="Q107" s="407"/>
      <c r="R107" s="407"/>
      <c r="S107" s="407"/>
      <c r="T107" s="407"/>
      <c r="U107" s="407"/>
      <c r="V107" s="407"/>
      <c r="W107" s="407"/>
      <c r="X107" s="407"/>
      <c r="Y107" s="407"/>
      <c r="Z107" s="408"/>
    </row>
    <row r="108" spans="1:26">
      <c r="A108" s="412"/>
      <c r="B108" s="1099"/>
      <c r="C108" s="413">
        <v>2</v>
      </c>
      <c r="D108" s="390">
        <v>14.67756</v>
      </c>
      <c r="E108" s="390">
        <v>120.76119</v>
      </c>
      <c r="F108" s="812">
        <v>29</v>
      </c>
      <c r="G108" s="309">
        <v>134</v>
      </c>
      <c r="H108" s="309" t="s">
        <v>1361</v>
      </c>
      <c r="I108" s="309" t="s">
        <v>1361</v>
      </c>
      <c r="J108" s="390">
        <v>29</v>
      </c>
      <c r="K108" s="390" t="s">
        <v>1513</v>
      </c>
      <c r="L108" s="407"/>
      <c r="M108" s="407"/>
      <c r="N108" s="407"/>
      <c r="O108" s="407"/>
      <c r="P108" s="407"/>
      <c r="Q108" s="407"/>
      <c r="R108" s="407"/>
      <c r="S108" s="407"/>
      <c r="T108" s="407"/>
      <c r="U108" s="407"/>
      <c r="V108" s="407"/>
      <c r="W108" s="407"/>
      <c r="X108" s="407"/>
      <c r="Y108" s="407"/>
      <c r="Z108" s="408"/>
    </row>
    <row r="109" spans="1:26">
      <c r="A109" s="412"/>
      <c r="B109" s="1099"/>
      <c r="C109" s="413">
        <v>3</v>
      </c>
      <c r="D109" s="390">
        <v>14.671419999999999</v>
      </c>
      <c r="E109" s="390">
        <v>120.62481</v>
      </c>
      <c r="F109" s="812">
        <v>29</v>
      </c>
      <c r="G109" s="309">
        <v>136</v>
      </c>
      <c r="H109" s="309" t="s">
        <v>1361</v>
      </c>
      <c r="I109" s="309" t="s">
        <v>1361</v>
      </c>
      <c r="J109" s="390">
        <v>29</v>
      </c>
      <c r="K109" s="390" t="s">
        <v>1513</v>
      </c>
      <c r="L109" s="407"/>
      <c r="M109" s="407"/>
      <c r="N109" s="407"/>
      <c r="O109" s="407"/>
      <c r="P109" s="407"/>
      <c r="Q109" s="407"/>
      <c r="R109" s="407"/>
      <c r="S109" s="407"/>
      <c r="T109" s="407"/>
      <c r="U109" s="407"/>
      <c r="V109" s="407"/>
      <c r="W109" s="407"/>
      <c r="X109" s="407"/>
      <c r="Y109" s="407"/>
      <c r="Z109" s="408"/>
    </row>
    <row r="110" spans="1:26">
      <c r="A110" s="412"/>
      <c r="B110" s="1099"/>
      <c r="C110" s="413">
        <v>4</v>
      </c>
      <c r="D110" s="390">
        <v>14.57836</v>
      </c>
      <c r="E110" s="390">
        <v>120.63139</v>
      </c>
      <c r="F110" s="812">
        <v>33</v>
      </c>
      <c r="G110" s="309">
        <v>134</v>
      </c>
      <c r="H110" s="309" t="s">
        <v>1361</v>
      </c>
      <c r="I110" s="309" t="s">
        <v>1361</v>
      </c>
      <c r="J110" s="390">
        <v>33</v>
      </c>
      <c r="K110" s="390" t="s">
        <v>1513</v>
      </c>
      <c r="L110" s="407"/>
      <c r="M110" s="407"/>
      <c r="N110" s="407"/>
      <c r="O110" s="407"/>
      <c r="P110" s="407"/>
      <c r="Q110" s="407"/>
      <c r="R110" s="407"/>
      <c r="S110" s="407"/>
      <c r="T110" s="407"/>
      <c r="U110" s="407"/>
      <c r="V110" s="407"/>
      <c r="W110" s="407"/>
      <c r="X110" s="407"/>
      <c r="Y110" s="407"/>
      <c r="Z110" s="408"/>
    </row>
    <row r="111" spans="1:26">
      <c r="A111" s="412"/>
      <c r="B111" s="1099"/>
      <c r="C111" s="413">
        <v>5</v>
      </c>
      <c r="D111" s="390">
        <v>14.452500000000001</v>
      </c>
      <c r="E111" s="390">
        <v>120.62608</v>
      </c>
      <c r="F111" s="812">
        <v>29</v>
      </c>
      <c r="G111" s="309">
        <v>137</v>
      </c>
      <c r="H111" s="309" t="s">
        <v>1361</v>
      </c>
      <c r="I111" s="309" t="s">
        <v>1361</v>
      </c>
      <c r="J111" s="390">
        <v>29</v>
      </c>
      <c r="K111" s="390" t="s">
        <v>1513</v>
      </c>
      <c r="L111" s="407"/>
      <c r="M111" s="407"/>
      <c r="N111" s="407"/>
      <c r="O111" s="407"/>
      <c r="P111" s="407"/>
      <c r="Q111" s="407"/>
      <c r="R111" s="407"/>
      <c r="S111" s="407"/>
      <c r="T111" s="407"/>
      <c r="U111" s="407"/>
      <c r="V111" s="407"/>
      <c r="W111" s="407"/>
      <c r="X111" s="407"/>
      <c r="Y111" s="407"/>
      <c r="Z111" s="408"/>
    </row>
    <row r="112" spans="1:26">
      <c r="A112" s="412"/>
      <c r="B112" s="1099"/>
      <c r="C112" s="413">
        <v>6</v>
      </c>
      <c r="D112" s="390">
        <v>14.453060000000001</v>
      </c>
      <c r="E112" s="390">
        <v>120.75489</v>
      </c>
      <c r="F112" s="812">
        <v>36</v>
      </c>
      <c r="G112" s="309">
        <v>139</v>
      </c>
      <c r="H112" s="309" t="s">
        <v>1361</v>
      </c>
      <c r="I112" s="309" t="s">
        <v>1361</v>
      </c>
      <c r="J112" s="390">
        <v>36</v>
      </c>
      <c r="K112" s="390" t="s">
        <v>1513</v>
      </c>
      <c r="L112" s="407"/>
      <c r="M112" s="407"/>
      <c r="N112" s="407"/>
      <c r="O112" s="407"/>
      <c r="P112" s="407"/>
      <c r="Q112" s="407"/>
      <c r="R112" s="407"/>
      <c r="S112" s="407"/>
      <c r="T112" s="407"/>
      <c r="U112" s="407"/>
      <c r="V112" s="407"/>
      <c r="W112" s="407"/>
      <c r="X112" s="407"/>
      <c r="Y112" s="407"/>
      <c r="Z112" s="408"/>
    </row>
    <row r="113" spans="1:26">
      <c r="A113" s="412"/>
      <c r="B113" s="1099"/>
      <c r="C113" s="413">
        <v>7</v>
      </c>
      <c r="D113" s="390">
        <v>14.46786</v>
      </c>
      <c r="E113" s="390">
        <v>120.84110699999999</v>
      </c>
      <c r="F113" s="812">
        <v>43</v>
      </c>
      <c r="G113" s="309">
        <v>147</v>
      </c>
      <c r="H113" s="309" t="s">
        <v>1361</v>
      </c>
      <c r="I113" s="309" t="s">
        <v>1361</v>
      </c>
      <c r="J113" s="390">
        <v>43</v>
      </c>
      <c r="K113" s="390" t="s">
        <v>1513</v>
      </c>
      <c r="L113" s="407"/>
      <c r="M113" s="407"/>
      <c r="N113" s="407"/>
      <c r="O113" s="407"/>
      <c r="P113" s="407"/>
      <c r="Q113" s="407"/>
      <c r="R113" s="407"/>
      <c r="S113" s="407"/>
      <c r="T113" s="407"/>
      <c r="U113" s="407"/>
      <c r="V113" s="407"/>
      <c r="W113" s="407"/>
      <c r="X113" s="407"/>
      <c r="Y113" s="407"/>
      <c r="Z113" s="408"/>
    </row>
    <row r="114" spans="1:26">
      <c r="A114" s="412"/>
      <c r="B114" s="1099"/>
      <c r="C114" s="413">
        <v>8</v>
      </c>
      <c r="D114" s="390">
        <v>14.584440000000001</v>
      </c>
      <c r="E114" s="390">
        <v>120.76211000000001</v>
      </c>
      <c r="F114" s="812">
        <v>47</v>
      </c>
      <c r="G114" s="309">
        <v>147</v>
      </c>
      <c r="H114" s="309" t="s">
        <v>1361</v>
      </c>
      <c r="I114" s="309" t="s">
        <v>1361</v>
      </c>
      <c r="J114" s="390">
        <v>47</v>
      </c>
      <c r="K114" s="390" t="s">
        <v>1513</v>
      </c>
      <c r="L114" s="407"/>
      <c r="M114" s="407"/>
      <c r="N114" s="407"/>
      <c r="O114" s="407"/>
      <c r="P114" s="407"/>
      <c r="Q114" s="407"/>
      <c r="R114" s="407"/>
      <c r="S114" s="407"/>
      <c r="T114" s="407"/>
      <c r="U114" s="407"/>
      <c r="V114" s="407"/>
      <c r="W114" s="407"/>
      <c r="X114" s="407"/>
      <c r="Y114" s="407"/>
      <c r="Z114" s="408"/>
    </row>
    <row r="115" spans="1:26">
      <c r="A115" s="412"/>
      <c r="B115" s="1100"/>
      <c r="C115" s="413">
        <v>9</v>
      </c>
      <c r="D115" s="390">
        <v>14.590809</v>
      </c>
      <c r="E115" s="390">
        <v>120.847296</v>
      </c>
      <c r="F115" s="812">
        <v>49</v>
      </c>
      <c r="G115" s="309">
        <v>129</v>
      </c>
      <c r="H115" s="309" t="s">
        <v>1361</v>
      </c>
      <c r="I115" s="309" t="s">
        <v>1361</v>
      </c>
      <c r="J115" s="390">
        <v>49</v>
      </c>
      <c r="K115" s="390" t="s">
        <v>1513</v>
      </c>
      <c r="L115" s="407"/>
      <c r="M115" s="407"/>
      <c r="N115" s="407"/>
      <c r="O115" s="407"/>
      <c r="P115" s="407"/>
      <c r="Q115" s="407"/>
      <c r="R115" s="407"/>
      <c r="S115" s="407"/>
      <c r="T115" s="407"/>
      <c r="U115" s="407"/>
      <c r="V115" s="407"/>
      <c r="W115" s="407"/>
      <c r="X115" s="407"/>
      <c r="Y115" s="407"/>
      <c r="Z115" s="408"/>
    </row>
    <row r="116" spans="1:26">
      <c r="A116" s="416"/>
      <c r="B116" s="407"/>
      <c r="C116" s="407"/>
      <c r="D116" s="407"/>
      <c r="E116" s="407"/>
      <c r="F116" s="407"/>
      <c r="G116" s="407"/>
      <c r="H116" s="407"/>
      <c r="I116" s="407"/>
      <c r="J116" s="407"/>
      <c r="K116" s="407"/>
      <c r="L116" s="407"/>
      <c r="M116" s="407"/>
      <c r="N116" s="407"/>
      <c r="O116" s="407"/>
      <c r="P116" s="407"/>
      <c r="Q116" s="407"/>
      <c r="R116" s="407"/>
      <c r="S116" s="407"/>
      <c r="T116" s="407"/>
      <c r="U116" s="407"/>
      <c r="V116" s="407"/>
      <c r="W116" s="407"/>
      <c r="X116" s="407"/>
      <c r="Y116" s="407"/>
      <c r="Z116" s="408"/>
    </row>
    <row r="117" spans="1:26">
      <c r="A117" s="416"/>
      <c r="B117" s="407"/>
      <c r="C117" s="407"/>
      <c r="D117" s="407"/>
      <c r="E117" s="407"/>
      <c r="F117" s="407"/>
      <c r="G117" s="407"/>
      <c r="H117" s="407"/>
      <c r="I117" s="407"/>
      <c r="J117" s="407"/>
      <c r="K117" s="407"/>
      <c r="L117" s="407"/>
      <c r="M117" s="407"/>
      <c r="N117" s="407"/>
      <c r="O117" s="407"/>
      <c r="P117" s="407"/>
      <c r="Q117" s="407"/>
      <c r="R117" s="407"/>
      <c r="S117" s="407"/>
      <c r="T117" s="407"/>
      <c r="U117" s="407"/>
      <c r="V117" s="407"/>
      <c r="W117" s="407"/>
      <c r="X117" s="407"/>
      <c r="Y117" s="407"/>
      <c r="Z117" s="408"/>
    </row>
    <row r="118" spans="1:26" ht="30">
      <c r="A118" s="416"/>
      <c r="B118" s="407" t="s">
        <v>1520</v>
      </c>
      <c r="C118" s="407"/>
      <c r="D118" s="407"/>
      <c r="E118" s="407"/>
      <c r="F118" s="407"/>
      <c r="G118" s="407"/>
      <c r="H118" s="407"/>
      <c r="I118" s="407"/>
      <c r="J118" s="407"/>
      <c r="K118" s="407"/>
      <c r="L118" s="407"/>
      <c r="M118" s="407"/>
      <c r="N118" s="407"/>
      <c r="O118" s="407"/>
      <c r="P118" s="407"/>
      <c r="Q118" s="407"/>
      <c r="R118" s="407"/>
      <c r="S118" s="407"/>
      <c r="T118" s="407"/>
      <c r="U118" s="407"/>
      <c r="V118" s="407"/>
      <c r="W118" s="407"/>
      <c r="X118" s="407"/>
      <c r="Y118" s="407"/>
      <c r="Z118" s="408"/>
    </row>
    <row r="119" spans="1:26" ht="60">
      <c r="A119" s="416"/>
      <c r="B119" s="407" t="s">
        <v>1521</v>
      </c>
      <c r="C119" s="407"/>
      <c r="D119" s="407"/>
      <c r="E119" s="407"/>
      <c r="F119" s="407"/>
      <c r="G119" s="407"/>
      <c r="H119" s="407"/>
      <c r="I119" s="407"/>
      <c r="J119" s="407"/>
      <c r="K119" s="407"/>
      <c r="L119" s="407"/>
      <c r="M119" s="407"/>
      <c r="N119" s="407"/>
      <c r="O119" s="407"/>
      <c r="P119" s="407"/>
      <c r="Q119" s="407"/>
      <c r="R119" s="407"/>
      <c r="S119" s="407"/>
      <c r="T119" s="407"/>
      <c r="U119" s="407"/>
      <c r="V119" s="407"/>
      <c r="W119" s="407"/>
      <c r="X119" s="407"/>
      <c r="Y119" s="407"/>
      <c r="Z119" s="408"/>
    </row>
    <row r="120" spans="1:26" ht="180">
      <c r="A120" s="416"/>
      <c r="B120" s="407" t="s">
        <v>1522</v>
      </c>
      <c r="C120" s="407"/>
      <c r="D120" s="407"/>
      <c r="E120" s="407"/>
      <c r="F120" s="407"/>
      <c r="G120" s="407"/>
      <c r="H120" s="407"/>
      <c r="I120" s="407"/>
      <c r="J120" s="407"/>
      <c r="K120" s="407"/>
      <c r="L120" s="407"/>
      <c r="M120" s="407"/>
      <c r="N120" s="407"/>
      <c r="O120" s="407"/>
      <c r="P120" s="407"/>
      <c r="Q120" s="407"/>
      <c r="R120" s="407"/>
      <c r="S120" s="407"/>
      <c r="T120" s="407"/>
      <c r="U120" s="407"/>
      <c r="V120" s="407"/>
      <c r="W120" s="407"/>
      <c r="X120" s="407"/>
      <c r="Y120" s="407"/>
      <c r="Z120" s="408"/>
    </row>
    <row r="121" spans="1:26" ht="30">
      <c r="A121" s="416"/>
      <c r="B121" s="407" t="s">
        <v>1523</v>
      </c>
      <c r="C121" s="407"/>
      <c r="D121" s="407"/>
      <c r="E121" s="407"/>
      <c r="F121" s="407"/>
      <c r="G121" s="407"/>
      <c r="H121" s="407"/>
      <c r="I121" s="407"/>
      <c r="J121" s="407"/>
      <c r="K121" s="407"/>
      <c r="L121" s="407"/>
      <c r="M121" s="407"/>
      <c r="N121" s="407"/>
      <c r="O121" s="407"/>
      <c r="P121" s="407"/>
      <c r="Q121" s="407"/>
      <c r="R121" s="407"/>
      <c r="S121" s="407"/>
      <c r="T121" s="407"/>
      <c r="U121" s="407"/>
      <c r="V121" s="407"/>
      <c r="W121" s="407"/>
      <c r="X121" s="407"/>
      <c r="Y121" s="407"/>
      <c r="Z121" s="408"/>
    </row>
    <row r="122" spans="1:26">
      <c r="A122" s="416"/>
      <c r="B122" s="407"/>
      <c r="C122" s="407"/>
      <c r="D122" s="407"/>
      <c r="E122" s="407"/>
      <c r="F122" s="407"/>
      <c r="G122" s="407"/>
      <c r="H122" s="407"/>
      <c r="I122" s="407"/>
      <c r="J122" s="407"/>
      <c r="K122" s="407"/>
      <c r="L122" s="407"/>
      <c r="M122" s="407"/>
      <c r="N122" s="407"/>
      <c r="O122" s="407"/>
      <c r="P122" s="407"/>
      <c r="Q122" s="407"/>
      <c r="R122" s="407"/>
      <c r="S122" s="407"/>
      <c r="T122" s="407"/>
      <c r="U122" s="407"/>
      <c r="V122" s="407"/>
      <c r="W122" s="407"/>
      <c r="X122" s="407"/>
      <c r="Y122" s="407"/>
      <c r="Z122" s="408"/>
    </row>
    <row r="123" spans="1:26">
      <c r="A123" s="416"/>
      <c r="B123" s="407"/>
      <c r="C123" s="407"/>
      <c r="D123" s="407"/>
      <c r="E123" s="407"/>
      <c r="F123" s="407"/>
      <c r="G123" s="407"/>
      <c r="H123" s="407"/>
      <c r="I123" s="407"/>
      <c r="J123" s="407"/>
      <c r="K123" s="407"/>
      <c r="L123" s="407"/>
      <c r="M123" s="407"/>
      <c r="N123" s="407"/>
      <c r="O123" s="407"/>
      <c r="P123" s="407"/>
      <c r="Q123" s="407"/>
      <c r="R123" s="407"/>
      <c r="S123" s="407"/>
      <c r="T123" s="407"/>
      <c r="U123" s="407"/>
      <c r="V123" s="407"/>
      <c r="W123" s="407"/>
      <c r="X123" s="407"/>
      <c r="Y123" s="407"/>
      <c r="Z123" s="408"/>
    </row>
    <row r="124" spans="1:26">
      <c r="A124" s="416"/>
      <c r="B124" s="407"/>
      <c r="C124" s="407"/>
      <c r="D124" s="407"/>
      <c r="E124" s="407"/>
      <c r="F124" s="407"/>
      <c r="G124" s="407"/>
      <c r="H124" s="407"/>
      <c r="I124" s="407"/>
      <c r="J124" s="407"/>
      <c r="K124" s="407"/>
      <c r="L124" s="407"/>
      <c r="M124" s="407"/>
      <c r="N124" s="407"/>
      <c r="O124" s="407"/>
      <c r="P124" s="407"/>
      <c r="Q124" s="407"/>
      <c r="R124" s="407"/>
      <c r="S124" s="407"/>
      <c r="T124" s="407"/>
      <c r="U124" s="407"/>
      <c r="V124" s="407"/>
      <c r="W124" s="407"/>
      <c r="X124" s="407"/>
      <c r="Y124" s="407"/>
      <c r="Z124" s="408"/>
    </row>
    <row r="125" spans="1:26">
      <c r="A125" s="416"/>
      <c r="B125" s="407"/>
      <c r="C125" s="407"/>
      <c r="D125" s="407"/>
      <c r="E125" s="407"/>
      <c r="F125" s="407"/>
      <c r="G125" s="407"/>
      <c r="H125" s="407"/>
      <c r="I125" s="407"/>
      <c r="J125" s="407"/>
      <c r="K125" s="407"/>
      <c r="L125" s="407"/>
      <c r="M125" s="407"/>
      <c r="N125" s="407"/>
      <c r="O125" s="407"/>
      <c r="P125" s="407"/>
      <c r="Q125" s="407"/>
      <c r="R125" s="407"/>
      <c r="S125" s="407"/>
      <c r="T125" s="407"/>
      <c r="U125" s="407"/>
      <c r="V125" s="407"/>
      <c r="W125" s="407"/>
      <c r="X125" s="407"/>
      <c r="Y125" s="407"/>
      <c r="Z125" s="408"/>
    </row>
    <row r="126" spans="1:26">
      <c r="A126" s="416"/>
      <c r="B126" s="407"/>
      <c r="C126" s="407"/>
      <c r="D126" s="407"/>
      <c r="E126" s="407"/>
      <c r="F126" s="407"/>
      <c r="G126" s="407"/>
      <c r="H126" s="407"/>
      <c r="I126" s="407"/>
      <c r="J126" s="407"/>
      <c r="K126" s="407"/>
      <c r="L126" s="407"/>
      <c r="M126" s="407"/>
      <c r="N126" s="407"/>
      <c r="O126" s="407"/>
      <c r="P126" s="407"/>
      <c r="Q126" s="407"/>
      <c r="R126" s="407"/>
      <c r="S126" s="407"/>
      <c r="T126" s="407"/>
      <c r="U126" s="407"/>
      <c r="V126" s="407"/>
      <c r="W126" s="407"/>
      <c r="X126" s="407"/>
      <c r="Y126" s="407"/>
      <c r="Z126" s="408"/>
    </row>
    <row r="127" spans="1:26">
      <c r="A127" s="416"/>
      <c r="B127" s="407"/>
      <c r="C127" s="407"/>
      <c r="D127" s="407"/>
      <c r="E127" s="407"/>
      <c r="F127" s="407"/>
      <c r="G127" s="407"/>
      <c r="H127" s="407"/>
      <c r="I127" s="407"/>
      <c r="J127" s="407"/>
      <c r="K127" s="407"/>
      <c r="L127" s="407"/>
      <c r="M127" s="407"/>
      <c r="N127" s="407"/>
      <c r="O127" s="407"/>
      <c r="P127" s="407"/>
      <c r="Q127" s="407"/>
      <c r="R127" s="407"/>
      <c r="S127" s="407"/>
      <c r="T127" s="407"/>
      <c r="U127" s="407"/>
      <c r="V127" s="407"/>
      <c r="W127" s="407"/>
      <c r="X127" s="407"/>
      <c r="Y127" s="407"/>
      <c r="Z127" s="408"/>
    </row>
    <row r="128" spans="1:26">
      <c r="A128" s="416"/>
      <c r="B128" s="407"/>
      <c r="C128" s="407"/>
      <c r="D128" s="407"/>
      <c r="E128" s="407"/>
      <c r="F128" s="407"/>
      <c r="G128" s="407"/>
      <c r="H128" s="407"/>
      <c r="I128" s="407"/>
      <c r="J128" s="407"/>
      <c r="K128" s="407"/>
      <c r="L128" s="407"/>
      <c r="M128" s="407"/>
      <c r="N128" s="407"/>
      <c r="O128" s="407"/>
      <c r="P128" s="407"/>
      <c r="Q128" s="407"/>
      <c r="R128" s="407"/>
      <c r="S128" s="407"/>
      <c r="T128" s="407"/>
      <c r="U128" s="407"/>
      <c r="V128" s="407"/>
      <c r="W128" s="407"/>
      <c r="X128" s="407"/>
      <c r="Y128" s="407"/>
      <c r="Z128" s="408"/>
    </row>
    <row r="129" spans="1:26">
      <c r="A129" s="416"/>
      <c r="B129" s="407"/>
      <c r="C129" s="407"/>
      <c r="D129" s="407"/>
      <c r="E129" s="407"/>
      <c r="F129" s="407"/>
      <c r="G129" s="407"/>
      <c r="H129" s="407"/>
      <c r="I129" s="407"/>
      <c r="J129" s="407"/>
      <c r="K129" s="407"/>
      <c r="L129" s="407"/>
      <c r="M129" s="407"/>
      <c r="N129" s="407"/>
      <c r="O129" s="407"/>
      <c r="P129" s="407"/>
      <c r="Q129" s="407"/>
      <c r="R129" s="407"/>
      <c r="S129" s="407"/>
      <c r="T129" s="407"/>
      <c r="U129" s="407"/>
      <c r="V129" s="407"/>
      <c r="W129" s="407"/>
      <c r="X129" s="407"/>
      <c r="Y129" s="407"/>
      <c r="Z129" s="408"/>
    </row>
    <row r="130" spans="1:26">
      <c r="A130" s="416"/>
      <c r="B130" s="407"/>
      <c r="C130" s="407"/>
      <c r="D130" s="407"/>
      <c r="E130" s="407"/>
      <c r="F130" s="407"/>
      <c r="G130" s="407"/>
      <c r="H130" s="407"/>
      <c r="I130" s="407"/>
      <c r="J130" s="407"/>
      <c r="K130" s="407"/>
      <c r="L130" s="407"/>
      <c r="M130" s="407"/>
      <c r="N130" s="407"/>
      <c r="O130" s="407"/>
      <c r="P130" s="407"/>
      <c r="Q130" s="407"/>
      <c r="R130" s="407"/>
      <c r="S130" s="407"/>
      <c r="T130" s="407"/>
      <c r="U130" s="407"/>
      <c r="V130" s="407"/>
      <c r="W130" s="407"/>
      <c r="X130" s="407"/>
      <c r="Y130" s="407"/>
      <c r="Z130" s="408"/>
    </row>
    <row r="131" spans="1:26">
      <c r="A131" s="416"/>
      <c r="B131" s="407"/>
      <c r="C131" s="407"/>
      <c r="D131" s="407"/>
      <c r="E131" s="407"/>
      <c r="F131" s="407"/>
      <c r="G131" s="407"/>
      <c r="H131" s="407"/>
      <c r="I131" s="407"/>
      <c r="J131" s="407"/>
      <c r="K131" s="407"/>
      <c r="L131" s="407"/>
      <c r="M131" s="407"/>
      <c r="N131" s="407"/>
      <c r="O131" s="407"/>
      <c r="P131" s="407"/>
      <c r="Q131" s="407"/>
      <c r="R131" s="407"/>
      <c r="S131" s="407"/>
      <c r="T131" s="407"/>
      <c r="U131" s="407"/>
      <c r="V131" s="407"/>
      <c r="W131" s="407"/>
      <c r="X131" s="407"/>
      <c r="Y131" s="407"/>
      <c r="Z131" s="408"/>
    </row>
    <row r="132" spans="1:26">
      <c r="A132" s="416"/>
      <c r="B132" s="407"/>
      <c r="C132" s="407"/>
      <c r="D132" s="407"/>
      <c r="E132" s="407"/>
      <c r="F132" s="407"/>
      <c r="G132" s="407"/>
      <c r="H132" s="407"/>
      <c r="I132" s="407"/>
      <c r="J132" s="407"/>
      <c r="K132" s="407"/>
      <c r="L132" s="407"/>
      <c r="M132" s="407"/>
      <c r="N132" s="407"/>
      <c r="O132" s="407"/>
      <c r="P132" s="407"/>
      <c r="Q132" s="407"/>
      <c r="R132" s="407"/>
      <c r="S132" s="407"/>
      <c r="T132" s="407"/>
      <c r="U132" s="407"/>
      <c r="V132" s="407"/>
      <c r="W132" s="407"/>
      <c r="X132" s="407"/>
      <c r="Y132" s="407"/>
      <c r="Z132" s="408"/>
    </row>
    <row r="133" spans="1:26">
      <c r="A133" s="416"/>
      <c r="B133" s="407"/>
      <c r="C133" s="407"/>
      <c r="D133" s="407"/>
      <c r="E133" s="407"/>
      <c r="F133" s="407"/>
      <c r="G133" s="407"/>
      <c r="H133" s="407"/>
      <c r="I133" s="407"/>
      <c r="J133" s="407"/>
      <c r="K133" s="407"/>
      <c r="L133" s="407"/>
      <c r="M133" s="407"/>
      <c r="N133" s="407"/>
      <c r="O133" s="407"/>
      <c r="P133" s="407"/>
      <c r="Q133" s="407"/>
      <c r="R133" s="407"/>
      <c r="S133" s="407"/>
      <c r="T133" s="407"/>
      <c r="U133" s="407"/>
      <c r="V133" s="407"/>
      <c r="W133" s="407"/>
      <c r="X133" s="407"/>
      <c r="Y133" s="407"/>
      <c r="Z133" s="408"/>
    </row>
    <row r="134" spans="1:26">
      <c r="A134" s="416"/>
      <c r="B134" s="407"/>
      <c r="C134" s="407"/>
      <c r="D134" s="407"/>
      <c r="E134" s="407"/>
      <c r="F134" s="407"/>
      <c r="G134" s="407"/>
      <c r="H134" s="407"/>
      <c r="I134" s="407"/>
      <c r="J134" s="407"/>
      <c r="K134" s="407"/>
      <c r="L134" s="407"/>
      <c r="M134" s="407"/>
      <c r="N134" s="407"/>
      <c r="O134" s="407"/>
      <c r="P134" s="407"/>
      <c r="Q134" s="407"/>
      <c r="R134" s="407"/>
      <c r="S134" s="407"/>
      <c r="T134" s="407"/>
      <c r="U134" s="407"/>
      <c r="V134" s="407"/>
      <c r="W134" s="407"/>
      <c r="X134" s="407"/>
      <c r="Y134" s="407"/>
      <c r="Z134" s="408"/>
    </row>
    <row r="135" spans="1:26">
      <c r="A135" s="416"/>
      <c r="B135" s="407"/>
      <c r="C135" s="407"/>
      <c r="D135" s="407"/>
      <c r="E135" s="407"/>
      <c r="F135" s="407"/>
      <c r="G135" s="407"/>
      <c r="H135" s="407"/>
      <c r="I135" s="407"/>
      <c r="J135" s="407"/>
      <c r="K135" s="407"/>
      <c r="L135" s="407"/>
      <c r="M135" s="407"/>
      <c r="N135" s="407"/>
      <c r="O135" s="407"/>
      <c r="P135" s="407"/>
      <c r="Q135" s="407"/>
      <c r="R135" s="407"/>
      <c r="S135" s="407"/>
      <c r="T135" s="407"/>
      <c r="U135" s="407"/>
      <c r="V135" s="407"/>
      <c r="W135" s="407"/>
      <c r="X135" s="407"/>
      <c r="Y135" s="407"/>
      <c r="Z135" s="408"/>
    </row>
    <row r="136" spans="1:26">
      <c r="A136" s="416"/>
      <c r="B136" s="407"/>
      <c r="C136" s="407"/>
      <c r="D136" s="407"/>
      <c r="E136" s="407"/>
      <c r="F136" s="407"/>
      <c r="G136" s="407"/>
      <c r="H136" s="407"/>
      <c r="I136" s="407"/>
      <c r="J136" s="407"/>
      <c r="K136" s="407"/>
      <c r="L136" s="407"/>
      <c r="M136" s="407"/>
      <c r="N136" s="407"/>
      <c r="O136" s="407"/>
      <c r="P136" s="407"/>
      <c r="Q136" s="407"/>
      <c r="R136" s="407"/>
      <c r="S136" s="407"/>
      <c r="T136" s="407"/>
      <c r="U136" s="407"/>
      <c r="V136" s="407"/>
      <c r="W136" s="407"/>
      <c r="X136" s="407"/>
      <c r="Y136" s="407"/>
      <c r="Z136" s="408"/>
    </row>
    <row r="137" spans="1:26">
      <c r="A137" s="416"/>
      <c r="B137" s="407"/>
      <c r="C137" s="407"/>
      <c r="D137" s="407"/>
      <c r="E137" s="407"/>
      <c r="F137" s="407"/>
      <c r="G137" s="407"/>
      <c r="H137" s="407"/>
      <c r="I137" s="407"/>
      <c r="J137" s="407"/>
      <c r="K137" s="407"/>
      <c r="L137" s="407"/>
      <c r="M137" s="407"/>
      <c r="N137" s="407"/>
      <c r="O137" s="407"/>
      <c r="P137" s="407"/>
      <c r="Q137" s="407"/>
      <c r="R137" s="407"/>
      <c r="S137" s="407"/>
      <c r="T137" s="407"/>
      <c r="U137" s="407"/>
      <c r="V137" s="407"/>
      <c r="W137" s="407"/>
      <c r="X137" s="407"/>
      <c r="Y137" s="407"/>
      <c r="Z137" s="408"/>
    </row>
    <row r="138" spans="1:26">
      <c r="A138" s="416"/>
      <c r="B138" s="407"/>
      <c r="C138" s="407"/>
      <c r="D138" s="407"/>
      <c r="E138" s="407"/>
      <c r="F138" s="407"/>
      <c r="G138" s="407"/>
      <c r="H138" s="407"/>
      <c r="I138" s="407"/>
      <c r="J138" s="407"/>
      <c r="K138" s="407"/>
      <c r="L138" s="407"/>
      <c r="M138" s="407"/>
      <c r="N138" s="407"/>
      <c r="O138" s="407"/>
      <c r="P138" s="407"/>
      <c r="Q138" s="407"/>
      <c r="R138" s="407"/>
      <c r="S138" s="407"/>
      <c r="T138" s="407"/>
      <c r="U138" s="407"/>
      <c r="V138" s="407"/>
      <c r="W138" s="407"/>
      <c r="X138" s="407"/>
      <c r="Y138" s="407"/>
      <c r="Z138" s="408"/>
    </row>
    <row r="139" spans="1:26">
      <c r="A139" s="416"/>
      <c r="B139" s="407"/>
      <c r="C139" s="407"/>
      <c r="D139" s="407"/>
      <c r="E139" s="407"/>
      <c r="F139" s="407"/>
      <c r="G139" s="407"/>
      <c r="H139" s="407"/>
      <c r="I139" s="407"/>
      <c r="J139" s="407"/>
      <c r="K139" s="407"/>
      <c r="L139" s="407"/>
      <c r="M139" s="407"/>
      <c r="N139" s="407"/>
      <c r="O139" s="407"/>
      <c r="P139" s="407"/>
      <c r="Q139" s="407"/>
      <c r="R139" s="407"/>
      <c r="S139" s="407"/>
      <c r="T139" s="407"/>
      <c r="U139" s="407"/>
      <c r="V139" s="407"/>
      <c r="W139" s="407"/>
      <c r="X139" s="407"/>
      <c r="Y139" s="407"/>
      <c r="Z139" s="408"/>
    </row>
    <row r="140" spans="1:26">
      <c r="A140" s="416"/>
      <c r="B140" s="407"/>
      <c r="C140" s="407"/>
      <c r="D140" s="407"/>
      <c r="E140" s="407"/>
      <c r="F140" s="407"/>
      <c r="G140" s="407"/>
      <c r="H140" s="407"/>
      <c r="I140" s="407"/>
      <c r="J140" s="407"/>
      <c r="K140" s="407"/>
      <c r="L140" s="407"/>
      <c r="M140" s="407"/>
      <c r="N140" s="407"/>
      <c r="O140" s="407"/>
      <c r="P140" s="407"/>
      <c r="Q140" s="407"/>
      <c r="R140" s="407"/>
      <c r="S140" s="407"/>
      <c r="T140" s="407"/>
      <c r="U140" s="407"/>
      <c r="V140" s="407"/>
      <c r="W140" s="407"/>
      <c r="X140" s="407"/>
      <c r="Y140" s="407"/>
      <c r="Z140" s="408"/>
    </row>
    <row r="141" spans="1:26">
      <c r="A141" s="416"/>
      <c r="B141" s="407"/>
      <c r="C141" s="407"/>
      <c r="D141" s="407"/>
      <c r="E141" s="407"/>
      <c r="F141" s="407"/>
      <c r="G141" s="407"/>
      <c r="H141" s="407"/>
      <c r="I141" s="407"/>
      <c r="J141" s="407"/>
      <c r="K141" s="407"/>
      <c r="L141" s="407"/>
      <c r="M141" s="407"/>
      <c r="N141" s="407"/>
      <c r="O141" s="407"/>
      <c r="P141" s="407"/>
      <c r="Q141" s="407"/>
      <c r="R141" s="407"/>
      <c r="S141" s="407"/>
      <c r="T141" s="407"/>
      <c r="U141" s="407"/>
      <c r="V141" s="407"/>
      <c r="W141" s="407"/>
      <c r="X141" s="407"/>
      <c r="Y141" s="407"/>
      <c r="Z141" s="408"/>
    </row>
    <row r="142" spans="1:26">
      <c r="A142" s="416"/>
      <c r="B142" s="407"/>
      <c r="C142" s="407"/>
      <c r="D142" s="407"/>
      <c r="E142" s="407"/>
      <c r="F142" s="407"/>
      <c r="G142" s="407"/>
      <c r="H142" s="407"/>
      <c r="I142" s="407"/>
      <c r="J142" s="407"/>
      <c r="K142" s="407"/>
      <c r="L142" s="407"/>
      <c r="M142" s="407"/>
      <c r="N142" s="407"/>
      <c r="O142" s="407"/>
      <c r="P142" s="407"/>
      <c r="Q142" s="407"/>
      <c r="R142" s="407"/>
      <c r="S142" s="407"/>
      <c r="T142" s="407"/>
      <c r="U142" s="407"/>
      <c r="V142" s="407"/>
      <c r="W142" s="407"/>
      <c r="X142" s="407"/>
      <c r="Y142" s="407"/>
      <c r="Z142" s="408"/>
    </row>
    <row r="143" spans="1:26">
      <c r="A143" s="416"/>
      <c r="B143" s="407"/>
      <c r="C143" s="407"/>
      <c r="D143" s="407"/>
      <c r="E143" s="407"/>
      <c r="F143" s="407"/>
      <c r="G143" s="407"/>
      <c r="H143" s="407"/>
      <c r="I143" s="407"/>
      <c r="J143" s="407"/>
      <c r="K143" s="407"/>
      <c r="L143" s="407"/>
      <c r="M143" s="407"/>
      <c r="N143" s="407"/>
      <c r="O143" s="407"/>
      <c r="P143" s="407"/>
      <c r="Q143" s="407"/>
      <c r="R143" s="407"/>
      <c r="S143" s="407"/>
      <c r="T143" s="407"/>
      <c r="U143" s="407"/>
      <c r="V143" s="407"/>
      <c r="W143" s="407"/>
      <c r="X143" s="407"/>
      <c r="Y143" s="407"/>
      <c r="Z143" s="408"/>
    </row>
    <row r="144" spans="1:26">
      <c r="A144" s="416"/>
      <c r="B144" s="407"/>
      <c r="C144" s="407"/>
      <c r="D144" s="407"/>
      <c r="E144" s="407"/>
      <c r="F144" s="407"/>
      <c r="G144" s="407"/>
      <c r="H144" s="407"/>
      <c r="I144" s="407"/>
      <c r="J144" s="407"/>
      <c r="K144" s="407"/>
      <c r="L144" s="407"/>
      <c r="M144" s="407"/>
      <c r="N144" s="407"/>
      <c r="O144" s="407"/>
      <c r="P144" s="407"/>
      <c r="Q144" s="407"/>
      <c r="R144" s="407"/>
      <c r="S144" s="407"/>
      <c r="T144" s="407"/>
      <c r="U144" s="407"/>
      <c r="V144" s="407"/>
      <c r="W144" s="407"/>
      <c r="X144" s="407"/>
      <c r="Y144" s="407"/>
      <c r="Z144" s="408"/>
    </row>
    <row r="145" spans="1:26">
      <c r="A145" s="416"/>
      <c r="B145" s="407"/>
      <c r="C145" s="407"/>
      <c r="D145" s="407"/>
      <c r="E145" s="407"/>
      <c r="F145" s="407"/>
      <c r="G145" s="407"/>
      <c r="H145" s="407"/>
      <c r="I145" s="407"/>
      <c r="J145" s="407"/>
      <c r="K145" s="407"/>
      <c r="L145" s="407"/>
      <c r="M145" s="407"/>
      <c r="N145" s="407"/>
      <c r="O145" s="407"/>
      <c r="P145" s="407"/>
      <c r="Q145" s="407"/>
      <c r="R145" s="407"/>
      <c r="S145" s="407"/>
      <c r="T145" s="407"/>
      <c r="U145" s="407"/>
      <c r="V145" s="407"/>
      <c r="W145" s="407"/>
      <c r="X145" s="407"/>
      <c r="Y145" s="407"/>
      <c r="Z145" s="408"/>
    </row>
    <row r="146" spans="1:26">
      <c r="A146" s="416"/>
      <c r="B146" s="407"/>
      <c r="C146" s="407"/>
      <c r="D146" s="407"/>
      <c r="E146" s="407"/>
      <c r="F146" s="407"/>
      <c r="G146" s="407"/>
      <c r="H146" s="407"/>
      <c r="I146" s="407"/>
      <c r="J146" s="407"/>
      <c r="K146" s="407"/>
      <c r="L146" s="407"/>
      <c r="M146" s="407"/>
      <c r="N146" s="407"/>
      <c r="O146" s="407"/>
      <c r="P146" s="407"/>
      <c r="Q146" s="407"/>
      <c r="R146" s="407"/>
      <c r="S146" s="407"/>
      <c r="T146" s="407"/>
      <c r="U146" s="407"/>
      <c r="V146" s="407"/>
      <c r="W146" s="407"/>
      <c r="X146" s="407"/>
      <c r="Y146" s="407"/>
      <c r="Z146" s="408"/>
    </row>
    <row r="147" spans="1:26">
      <c r="A147" s="416"/>
      <c r="B147" s="407"/>
      <c r="C147" s="407"/>
      <c r="D147" s="407"/>
      <c r="E147" s="407"/>
      <c r="F147" s="407"/>
      <c r="G147" s="407"/>
      <c r="H147" s="407"/>
      <c r="I147" s="407"/>
      <c r="J147" s="407"/>
      <c r="K147" s="407"/>
      <c r="L147" s="407"/>
      <c r="M147" s="407"/>
      <c r="N147" s="407"/>
      <c r="O147" s="407"/>
      <c r="P147" s="407"/>
      <c r="Q147" s="407"/>
      <c r="R147" s="407"/>
      <c r="S147" s="407"/>
      <c r="T147" s="407"/>
      <c r="U147" s="407"/>
      <c r="V147" s="407"/>
      <c r="W147" s="407"/>
      <c r="X147" s="407"/>
      <c r="Y147" s="407"/>
      <c r="Z147" s="408"/>
    </row>
    <row r="148" spans="1:26">
      <c r="A148" s="416"/>
      <c r="B148" s="407"/>
      <c r="C148" s="407"/>
      <c r="D148" s="407"/>
      <c r="E148" s="407"/>
      <c r="F148" s="407"/>
      <c r="G148" s="407"/>
      <c r="H148" s="407"/>
      <c r="I148" s="407"/>
      <c r="J148" s="407"/>
      <c r="K148" s="407"/>
      <c r="L148" s="407"/>
      <c r="M148" s="407"/>
      <c r="N148" s="407"/>
      <c r="O148" s="407"/>
      <c r="P148" s="407"/>
      <c r="Q148" s="407"/>
      <c r="R148" s="407"/>
      <c r="S148" s="407"/>
      <c r="T148" s="407"/>
      <c r="U148" s="407"/>
      <c r="V148" s="407"/>
      <c r="W148" s="407"/>
      <c r="X148" s="407"/>
      <c r="Y148" s="407"/>
      <c r="Z148" s="408"/>
    </row>
    <row r="149" spans="1:26">
      <c r="A149" s="416"/>
      <c r="B149" s="407"/>
      <c r="C149" s="407"/>
      <c r="D149" s="407"/>
      <c r="E149" s="407"/>
      <c r="F149" s="407"/>
      <c r="G149" s="407"/>
      <c r="H149" s="407"/>
      <c r="I149" s="407"/>
      <c r="J149" s="407"/>
      <c r="K149" s="407"/>
      <c r="L149" s="407"/>
      <c r="M149" s="407"/>
      <c r="N149" s="407"/>
      <c r="O149" s="407"/>
      <c r="P149" s="407"/>
      <c r="Q149" s="407"/>
      <c r="R149" s="407"/>
      <c r="S149" s="407"/>
      <c r="T149" s="407"/>
      <c r="U149" s="407"/>
      <c r="V149" s="407"/>
      <c r="W149" s="407"/>
      <c r="X149" s="407"/>
      <c r="Y149" s="407"/>
      <c r="Z149" s="408"/>
    </row>
    <row r="150" spans="1:26">
      <c r="A150" s="416"/>
      <c r="B150" s="407"/>
      <c r="C150" s="407"/>
      <c r="D150" s="407"/>
      <c r="E150" s="407"/>
      <c r="F150" s="407"/>
      <c r="G150" s="407"/>
      <c r="H150" s="407"/>
      <c r="I150" s="407"/>
      <c r="J150" s="407"/>
      <c r="K150" s="407"/>
      <c r="L150" s="407"/>
      <c r="M150" s="407"/>
      <c r="N150" s="407"/>
      <c r="O150" s="407"/>
      <c r="P150" s="407"/>
      <c r="Q150" s="407"/>
      <c r="R150" s="407"/>
      <c r="S150" s="407"/>
      <c r="T150" s="407"/>
      <c r="U150" s="407"/>
      <c r="V150" s="407"/>
      <c r="W150" s="407"/>
      <c r="X150" s="407"/>
      <c r="Y150" s="407"/>
      <c r="Z150" s="408"/>
    </row>
    <row r="151" spans="1:26">
      <c r="A151" s="416"/>
      <c r="B151" s="407"/>
      <c r="C151" s="407"/>
      <c r="D151" s="407"/>
      <c r="E151" s="407"/>
      <c r="F151" s="407"/>
      <c r="G151" s="407"/>
      <c r="H151" s="407"/>
      <c r="I151" s="407"/>
      <c r="J151" s="407"/>
      <c r="K151" s="407"/>
      <c r="L151" s="407"/>
      <c r="M151" s="407"/>
      <c r="N151" s="407"/>
      <c r="O151" s="407"/>
      <c r="P151" s="407"/>
      <c r="Q151" s="407"/>
      <c r="R151" s="407"/>
      <c r="S151" s="407"/>
      <c r="T151" s="407"/>
      <c r="U151" s="407"/>
      <c r="V151" s="407"/>
      <c r="W151" s="407"/>
      <c r="X151" s="407"/>
      <c r="Y151" s="407"/>
      <c r="Z151" s="408"/>
    </row>
    <row r="152" spans="1:26">
      <c r="A152" s="416"/>
      <c r="B152" s="407"/>
      <c r="C152" s="407"/>
      <c r="D152" s="407"/>
      <c r="E152" s="407"/>
      <c r="F152" s="407"/>
      <c r="G152" s="407"/>
      <c r="H152" s="407"/>
      <c r="I152" s="407"/>
      <c r="J152" s="407"/>
      <c r="K152" s="407"/>
      <c r="L152" s="407"/>
      <c r="M152" s="407"/>
      <c r="N152" s="407"/>
      <c r="O152" s="407"/>
      <c r="P152" s="407"/>
      <c r="Q152" s="407"/>
      <c r="R152" s="407"/>
      <c r="S152" s="407"/>
      <c r="T152" s="407"/>
      <c r="U152" s="407"/>
      <c r="V152" s="407"/>
      <c r="W152" s="407"/>
      <c r="X152" s="407"/>
      <c r="Y152" s="407"/>
      <c r="Z152" s="408"/>
    </row>
    <row r="153" spans="1:26">
      <c r="A153" s="416"/>
      <c r="B153" s="407"/>
      <c r="C153" s="407"/>
      <c r="D153" s="407"/>
      <c r="E153" s="407"/>
      <c r="F153" s="407"/>
      <c r="G153" s="407"/>
      <c r="H153" s="407"/>
      <c r="I153" s="407"/>
      <c r="J153" s="407"/>
      <c r="K153" s="407"/>
      <c r="L153" s="407"/>
      <c r="M153" s="407"/>
      <c r="N153" s="407"/>
      <c r="O153" s="407"/>
      <c r="P153" s="407"/>
      <c r="Q153" s="407"/>
      <c r="R153" s="407"/>
      <c r="S153" s="407"/>
      <c r="T153" s="407"/>
      <c r="U153" s="407"/>
      <c r="V153" s="407"/>
      <c r="W153" s="407"/>
      <c r="X153" s="407"/>
      <c r="Y153" s="407"/>
      <c r="Z153" s="408"/>
    </row>
    <row r="154" spans="1:26">
      <c r="A154" s="416"/>
      <c r="B154" s="407"/>
      <c r="C154" s="407"/>
      <c r="D154" s="407"/>
      <c r="E154" s="407"/>
      <c r="F154" s="407"/>
      <c r="G154" s="407"/>
      <c r="H154" s="407"/>
      <c r="I154" s="407"/>
      <c r="J154" s="407"/>
      <c r="K154" s="407"/>
      <c r="L154" s="407"/>
      <c r="M154" s="407"/>
      <c r="N154" s="407"/>
      <c r="O154" s="407"/>
      <c r="P154" s="407"/>
      <c r="Q154" s="407"/>
      <c r="R154" s="407"/>
      <c r="S154" s="407"/>
      <c r="T154" s="407"/>
      <c r="U154" s="407"/>
      <c r="V154" s="407"/>
      <c r="W154" s="407"/>
      <c r="X154" s="407"/>
      <c r="Y154" s="407"/>
      <c r="Z154" s="408"/>
    </row>
    <row r="155" spans="1:26">
      <c r="A155" s="416"/>
      <c r="B155" s="407"/>
      <c r="C155" s="407"/>
      <c r="D155" s="407"/>
      <c r="E155" s="407"/>
      <c r="F155" s="407"/>
      <c r="G155" s="407"/>
      <c r="H155" s="407"/>
      <c r="I155" s="407"/>
      <c r="J155" s="407"/>
      <c r="K155" s="407"/>
      <c r="L155" s="407"/>
      <c r="M155" s="407"/>
      <c r="N155" s="407"/>
      <c r="O155" s="407"/>
      <c r="P155" s="407"/>
      <c r="Q155" s="407"/>
      <c r="R155" s="407"/>
      <c r="S155" s="407"/>
      <c r="T155" s="407"/>
      <c r="U155" s="407"/>
      <c r="V155" s="407"/>
      <c r="W155" s="407"/>
      <c r="X155" s="407"/>
      <c r="Y155" s="407"/>
      <c r="Z155" s="408"/>
    </row>
    <row r="156" spans="1:26">
      <c r="A156" s="416"/>
      <c r="B156" s="407"/>
      <c r="C156" s="407"/>
      <c r="D156" s="407"/>
      <c r="E156" s="407"/>
      <c r="F156" s="407"/>
      <c r="G156" s="407"/>
      <c r="H156" s="407"/>
      <c r="I156" s="407"/>
      <c r="J156" s="407"/>
      <c r="K156" s="407"/>
      <c r="L156" s="407"/>
      <c r="M156" s="407"/>
      <c r="N156" s="407"/>
      <c r="O156" s="407"/>
      <c r="P156" s="407"/>
      <c r="Q156" s="407"/>
      <c r="R156" s="407"/>
      <c r="S156" s="407"/>
      <c r="T156" s="407"/>
      <c r="U156" s="407"/>
      <c r="V156" s="407"/>
      <c r="W156" s="407"/>
      <c r="X156" s="407"/>
      <c r="Y156" s="407"/>
      <c r="Z156" s="408"/>
    </row>
    <row r="157" spans="1:26">
      <c r="A157" s="416"/>
      <c r="B157" s="407"/>
      <c r="C157" s="407"/>
      <c r="D157" s="407"/>
      <c r="E157" s="407"/>
      <c r="F157" s="407"/>
      <c r="G157" s="407"/>
      <c r="H157" s="407"/>
      <c r="I157" s="407"/>
      <c r="J157" s="407"/>
      <c r="K157" s="407"/>
      <c r="L157" s="407"/>
      <c r="M157" s="407"/>
      <c r="N157" s="407"/>
      <c r="O157" s="407"/>
      <c r="P157" s="407"/>
      <c r="Q157" s="407"/>
      <c r="R157" s="407"/>
      <c r="S157" s="407"/>
      <c r="T157" s="407"/>
      <c r="U157" s="407"/>
      <c r="V157" s="407"/>
      <c r="W157" s="407"/>
      <c r="X157" s="407"/>
      <c r="Y157" s="407"/>
      <c r="Z157" s="408"/>
    </row>
    <row r="158" spans="1:26">
      <c r="A158" s="416"/>
      <c r="B158" s="407"/>
      <c r="C158" s="407"/>
      <c r="D158" s="407"/>
      <c r="E158" s="407"/>
      <c r="F158" s="407"/>
      <c r="G158" s="407"/>
      <c r="H158" s="407"/>
      <c r="I158" s="407"/>
      <c r="J158" s="407"/>
      <c r="K158" s="407"/>
      <c r="L158" s="407"/>
      <c r="M158" s="407"/>
      <c r="N158" s="407"/>
      <c r="O158" s="407"/>
      <c r="P158" s="407"/>
      <c r="Q158" s="407"/>
      <c r="R158" s="407"/>
      <c r="S158" s="407"/>
      <c r="T158" s="407"/>
      <c r="U158" s="407"/>
      <c r="V158" s="407"/>
      <c r="W158" s="407"/>
      <c r="X158" s="407"/>
      <c r="Y158" s="407"/>
      <c r="Z158" s="408"/>
    </row>
    <row r="159" spans="1:26">
      <c r="A159" s="416"/>
      <c r="B159" s="407"/>
      <c r="C159" s="407"/>
      <c r="D159" s="407"/>
      <c r="E159" s="407"/>
      <c r="F159" s="407"/>
      <c r="G159" s="407"/>
      <c r="H159" s="407"/>
      <c r="I159" s="407"/>
      <c r="J159" s="407"/>
      <c r="K159" s="407"/>
      <c r="L159" s="407"/>
      <c r="M159" s="407"/>
      <c r="N159" s="407"/>
      <c r="O159" s="407"/>
      <c r="P159" s="407"/>
      <c r="Q159" s="407"/>
      <c r="R159" s="407"/>
      <c r="S159" s="407"/>
      <c r="T159" s="407"/>
      <c r="U159" s="407"/>
      <c r="V159" s="407"/>
      <c r="W159" s="407"/>
      <c r="X159" s="407"/>
      <c r="Y159" s="407"/>
      <c r="Z159" s="408"/>
    </row>
    <row r="160" spans="1:26">
      <c r="A160" s="416"/>
      <c r="B160" s="407"/>
      <c r="C160" s="407"/>
      <c r="D160" s="407"/>
      <c r="E160" s="407"/>
      <c r="F160" s="407"/>
      <c r="G160" s="407"/>
      <c r="H160" s="407"/>
      <c r="I160" s="407"/>
      <c r="J160" s="407"/>
      <c r="K160" s="407"/>
      <c r="L160" s="407"/>
      <c r="M160" s="407"/>
      <c r="N160" s="407"/>
      <c r="O160" s="407"/>
      <c r="P160" s="407"/>
      <c r="Q160" s="407"/>
      <c r="R160" s="407"/>
      <c r="S160" s="407"/>
      <c r="T160" s="407"/>
      <c r="U160" s="407"/>
      <c r="V160" s="407"/>
      <c r="W160" s="407"/>
      <c r="X160" s="407"/>
      <c r="Y160" s="407"/>
      <c r="Z160" s="408"/>
    </row>
    <row r="161" spans="1:26">
      <c r="A161" s="416"/>
      <c r="B161" s="407"/>
      <c r="C161" s="407"/>
      <c r="D161" s="407"/>
      <c r="E161" s="407"/>
      <c r="F161" s="407"/>
      <c r="G161" s="407"/>
      <c r="H161" s="407"/>
      <c r="I161" s="407"/>
      <c r="J161" s="407"/>
      <c r="K161" s="407"/>
      <c r="L161" s="407"/>
      <c r="M161" s="407"/>
      <c r="N161" s="407"/>
      <c r="O161" s="407"/>
      <c r="P161" s="407"/>
      <c r="Q161" s="407"/>
      <c r="R161" s="407"/>
      <c r="S161" s="407"/>
      <c r="T161" s="407"/>
      <c r="U161" s="407"/>
      <c r="V161" s="407"/>
      <c r="W161" s="407"/>
      <c r="X161" s="407"/>
      <c r="Y161" s="407"/>
      <c r="Z161" s="408"/>
    </row>
    <row r="162" spans="1:26">
      <c r="A162" s="416"/>
      <c r="B162" s="407"/>
      <c r="C162" s="407"/>
      <c r="D162" s="407"/>
      <c r="E162" s="407"/>
      <c r="F162" s="407"/>
      <c r="G162" s="407"/>
      <c r="H162" s="407"/>
      <c r="I162" s="407"/>
      <c r="J162" s="407"/>
      <c r="K162" s="407"/>
      <c r="L162" s="407"/>
      <c r="M162" s="407"/>
      <c r="N162" s="407"/>
      <c r="O162" s="407"/>
      <c r="P162" s="407"/>
      <c r="Q162" s="407"/>
      <c r="R162" s="407"/>
      <c r="S162" s="407"/>
      <c r="T162" s="407"/>
      <c r="U162" s="407"/>
      <c r="V162" s="407"/>
      <c r="W162" s="407"/>
      <c r="X162" s="407"/>
      <c r="Y162" s="407"/>
      <c r="Z162" s="408"/>
    </row>
    <row r="163" spans="1:26">
      <c r="A163" s="416"/>
      <c r="B163" s="407"/>
      <c r="C163" s="407"/>
      <c r="D163" s="407"/>
      <c r="E163" s="407"/>
      <c r="F163" s="407"/>
      <c r="G163" s="407"/>
      <c r="H163" s="407"/>
      <c r="I163" s="407"/>
      <c r="J163" s="407"/>
      <c r="K163" s="407"/>
      <c r="L163" s="407"/>
      <c r="M163" s="407"/>
      <c r="N163" s="407"/>
      <c r="O163" s="407"/>
      <c r="P163" s="407"/>
      <c r="Q163" s="407"/>
      <c r="R163" s="407"/>
      <c r="S163" s="407"/>
      <c r="T163" s="407"/>
      <c r="U163" s="407"/>
      <c r="V163" s="407"/>
      <c r="W163" s="407"/>
      <c r="X163" s="407"/>
      <c r="Y163" s="407"/>
      <c r="Z163" s="408"/>
    </row>
    <row r="164" spans="1:26">
      <c r="A164" s="416"/>
      <c r="B164" s="407"/>
      <c r="C164" s="407"/>
      <c r="D164" s="407"/>
      <c r="E164" s="407"/>
      <c r="F164" s="407"/>
      <c r="G164" s="407"/>
      <c r="H164" s="407"/>
      <c r="I164" s="407"/>
      <c r="J164" s="407"/>
      <c r="K164" s="407"/>
      <c r="L164" s="407"/>
      <c r="M164" s="407"/>
      <c r="N164" s="407"/>
      <c r="O164" s="407"/>
      <c r="P164" s="407"/>
      <c r="Q164" s="407"/>
      <c r="R164" s="407"/>
      <c r="S164" s="407"/>
      <c r="T164" s="407"/>
      <c r="U164" s="407"/>
      <c r="V164" s="407"/>
      <c r="W164" s="407"/>
      <c r="X164" s="407"/>
      <c r="Y164" s="407"/>
      <c r="Z164" s="408"/>
    </row>
    <row r="165" spans="1:26">
      <c r="A165" s="416"/>
      <c r="B165" s="407"/>
      <c r="C165" s="407"/>
      <c r="D165" s="407"/>
      <c r="E165" s="407"/>
      <c r="F165" s="407"/>
      <c r="G165" s="407"/>
      <c r="H165" s="407"/>
      <c r="I165" s="407"/>
      <c r="J165" s="407"/>
      <c r="K165" s="407"/>
      <c r="L165" s="407"/>
      <c r="M165" s="407"/>
      <c r="N165" s="407"/>
      <c r="O165" s="407"/>
      <c r="P165" s="407"/>
      <c r="Q165" s="407"/>
      <c r="R165" s="407"/>
      <c r="S165" s="407"/>
      <c r="T165" s="407"/>
      <c r="U165" s="407"/>
      <c r="V165" s="407"/>
      <c r="W165" s="407"/>
      <c r="X165" s="407"/>
      <c r="Y165" s="407"/>
      <c r="Z165" s="408"/>
    </row>
    <row r="166" spans="1:26">
      <c r="A166" s="416"/>
      <c r="B166" s="407"/>
      <c r="C166" s="407"/>
      <c r="D166" s="407"/>
      <c r="E166" s="407"/>
      <c r="F166" s="407"/>
      <c r="G166" s="407"/>
      <c r="H166" s="407"/>
      <c r="I166" s="407"/>
      <c r="J166" s="407"/>
      <c r="K166" s="407"/>
      <c r="L166" s="407"/>
      <c r="M166" s="407"/>
      <c r="N166" s="407"/>
      <c r="O166" s="407"/>
      <c r="P166" s="407"/>
      <c r="Q166" s="407"/>
      <c r="R166" s="407"/>
      <c r="S166" s="407"/>
      <c r="T166" s="407"/>
      <c r="U166" s="407"/>
      <c r="V166" s="407"/>
      <c r="W166" s="407"/>
      <c r="X166" s="407"/>
      <c r="Y166" s="407"/>
      <c r="Z166" s="408"/>
    </row>
    <row r="167" spans="1:26">
      <c r="A167" s="416"/>
      <c r="B167" s="407"/>
      <c r="C167" s="407"/>
      <c r="D167" s="407"/>
      <c r="E167" s="407"/>
      <c r="F167" s="407"/>
      <c r="G167" s="407"/>
      <c r="H167" s="407"/>
      <c r="I167" s="407"/>
      <c r="J167" s="407"/>
      <c r="K167" s="407"/>
      <c r="L167" s="407"/>
      <c r="M167" s="407"/>
      <c r="N167" s="407"/>
      <c r="O167" s="407"/>
      <c r="P167" s="407"/>
      <c r="Q167" s="407"/>
      <c r="R167" s="407"/>
      <c r="S167" s="407"/>
      <c r="T167" s="407"/>
      <c r="U167" s="407"/>
      <c r="V167" s="407"/>
      <c r="W167" s="407"/>
      <c r="X167" s="407"/>
      <c r="Y167" s="407"/>
      <c r="Z167" s="408"/>
    </row>
    <row r="168" spans="1:26">
      <c r="A168" s="416"/>
      <c r="B168" s="407"/>
      <c r="C168" s="407"/>
      <c r="D168" s="407"/>
      <c r="E168" s="407"/>
      <c r="F168" s="407"/>
      <c r="G168" s="407"/>
      <c r="H168" s="407"/>
      <c r="I168" s="407"/>
      <c r="J168" s="407"/>
      <c r="K168" s="407"/>
      <c r="L168" s="407"/>
      <c r="M168" s="407"/>
      <c r="N168" s="407"/>
      <c r="O168" s="407"/>
      <c r="P168" s="407"/>
      <c r="Q168" s="407"/>
      <c r="R168" s="407"/>
      <c r="S168" s="407"/>
      <c r="T168" s="407"/>
      <c r="U168" s="407"/>
      <c r="V168" s="407"/>
      <c r="W168" s="407"/>
      <c r="X168" s="407"/>
      <c r="Y168" s="407"/>
      <c r="Z168" s="408"/>
    </row>
    <row r="169" spans="1:26">
      <c r="A169" s="416"/>
      <c r="B169" s="407"/>
      <c r="C169" s="407"/>
      <c r="D169" s="407"/>
      <c r="E169" s="407"/>
      <c r="F169" s="407"/>
      <c r="G169" s="407"/>
      <c r="H169" s="407"/>
      <c r="I169" s="407"/>
      <c r="J169" s="407"/>
      <c r="K169" s="407"/>
      <c r="L169" s="407"/>
      <c r="M169" s="407"/>
      <c r="N169" s="407"/>
      <c r="O169" s="407"/>
      <c r="P169" s="407"/>
      <c r="Q169" s="407"/>
      <c r="R169" s="407"/>
      <c r="S169" s="407"/>
      <c r="T169" s="407"/>
      <c r="U169" s="407"/>
      <c r="V169" s="407"/>
      <c r="W169" s="407"/>
      <c r="X169" s="407"/>
      <c r="Y169" s="407"/>
      <c r="Z169" s="408"/>
    </row>
    <row r="170" spans="1:26">
      <c r="A170" s="416"/>
      <c r="B170" s="407"/>
      <c r="C170" s="407"/>
      <c r="D170" s="407"/>
      <c r="E170" s="407"/>
      <c r="F170" s="407"/>
      <c r="G170" s="407"/>
      <c r="H170" s="407"/>
      <c r="I170" s="407"/>
      <c r="J170" s="407"/>
      <c r="K170" s="407"/>
      <c r="L170" s="407"/>
      <c r="M170" s="407"/>
      <c r="N170" s="407"/>
      <c r="O170" s="407"/>
      <c r="P170" s="407"/>
      <c r="Q170" s="407"/>
      <c r="R170" s="407"/>
      <c r="S170" s="407"/>
      <c r="T170" s="407"/>
      <c r="U170" s="407"/>
      <c r="V170" s="407"/>
      <c r="W170" s="407"/>
      <c r="X170" s="407"/>
      <c r="Y170" s="407"/>
      <c r="Z170" s="408"/>
    </row>
    <row r="171" spans="1:26">
      <c r="A171" s="416"/>
      <c r="B171" s="407"/>
      <c r="C171" s="407"/>
      <c r="D171" s="407"/>
      <c r="E171" s="407"/>
      <c r="F171" s="407"/>
      <c r="G171" s="407"/>
      <c r="H171" s="407"/>
      <c r="I171" s="407"/>
      <c r="J171" s="407"/>
      <c r="K171" s="407"/>
      <c r="L171" s="407"/>
      <c r="M171" s="407"/>
      <c r="N171" s="407"/>
      <c r="O171" s="407"/>
      <c r="P171" s="407"/>
      <c r="Q171" s="407"/>
      <c r="R171" s="407"/>
      <c r="S171" s="407"/>
      <c r="T171" s="407"/>
      <c r="U171" s="407"/>
      <c r="V171" s="407"/>
      <c r="W171" s="407"/>
      <c r="X171" s="407"/>
      <c r="Y171" s="407"/>
      <c r="Z171" s="408"/>
    </row>
    <row r="172" spans="1:26">
      <c r="A172" s="416"/>
      <c r="B172" s="407"/>
      <c r="C172" s="407"/>
      <c r="D172" s="407"/>
      <c r="E172" s="407"/>
      <c r="F172" s="407"/>
      <c r="G172" s="407"/>
      <c r="H172" s="407"/>
      <c r="I172" s="407"/>
      <c r="J172" s="407"/>
      <c r="K172" s="407"/>
      <c r="L172" s="407"/>
      <c r="M172" s="407"/>
      <c r="N172" s="407"/>
      <c r="O172" s="407"/>
      <c r="P172" s="407"/>
      <c r="Q172" s="407"/>
      <c r="R172" s="407"/>
      <c r="S172" s="407"/>
      <c r="T172" s="407"/>
      <c r="U172" s="407"/>
      <c r="V172" s="407"/>
      <c r="W172" s="407"/>
      <c r="X172" s="407"/>
      <c r="Y172" s="407"/>
      <c r="Z172" s="408"/>
    </row>
    <row r="173" spans="1:26">
      <c r="A173" s="416"/>
      <c r="B173" s="407"/>
      <c r="C173" s="407"/>
      <c r="D173" s="407"/>
      <c r="E173" s="407"/>
      <c r="F173" s="407"/>
      <c r="G173" s="407"/>
      <c r="H173" s="407"/>
      <c r="I173" s="407"/>
      <c r="J173" s="407"/>
      <c r="K173" s="407"/>
      <c r="L173" s="407"/>
      <c r="M173" s="407"/>
      <c r="N173" s="407"/>
      <c r="O173" s="407"/>
      <c r="P173" s="407"/>
      <c r="Q173" s="407"/>
      <c r="R173" s="407"/>
      <c r="S173" s="407"/>
      <c r="T173" s="407"/>
      <c r="U173" s="407"/>
      <c r="V173" s="407"/>
      <c r="W173" s="407"/>
      <c r="X173" s="407"/>
      <c r="Y173" s="407"/>
      <c r="Z173" s="408"/>
    </row>
    <row r="174" spans="1:26">
      <c r="A174" s="416"/>
      <c r="B174" s="407"/>
      <c r="C174" s="407"/>
      <c r="D174" s="407"/>
      <c r="E174" s="407"/>
      <c r="F174" s="407"/>
      <c r="G174" s="407"/>
      <c r="H174" s="407"/>
      <c r="I174" s="407"/>
      <c r="J174" s="407"/>
      <c r="K174" s="407"/>
      <c r="L174" s="407"/>
      <c r="M174" s="407"/>
      <c r="N174" s="407"/>
      <c r="O174" s="407"/>
      <c r="P174" s="407"/>
      <c r="Q174" s="407"/>
      <c r="R174" s="407"/>
      <c r="S174" s="407"/>
      <c r="T174" s="407"/>
      <c r="U174" s="407"/>
      <c r="V174" s="407"/>
      <c r="W174" s="407"/>
      <c r="X174" s="407"/>
      <c r="Y174" s="407"/>
      <c r="Z174" s="408"/>
    </row>
    <row r="175" spans="1:26">
      <c r="A175" s="416"/>
      <c r="B175" s="407"/>
      <c r="C175" s="407"/>
      <c r="D175" s="407"/>
      <c r="E175" s="407"/>
      <c r="F175" s="407"/>
      <c r="G175" s="407"/>
      <c r="H175" s="407"/>
      <c r="I175" s="407"/>
      <c r="J175" s="407"/>
      <c r="K175" s="407"/>
      <c r="L175" s="407"/>
      <c r="M175" s="407"/>
      <c r="N175" s="407"/>
      <c r="O175" s="407"/>
      <c r="P175" s="407"/>
      <c r="Q175" s="407"/>
      <c r="R175" s="407"/>
      <c r="S175" s="407"/>
      <c r="T175" s="407"/>
      <c r="U175" s="407"/>
      <c r="V175" s="407"/>
      <c r="W175" s="407"/>
      <c r="X175" s="407"/>
      <c r="Y175" s="407"/>
      <c r="Z175" s="408"/>
    </row>
    <row r="176" spans="1:26">
      <c r="A176" s="416"/>
      <c r="B176" s="407"/>
      <c r="C176" s="407"/>
      <c r="D176" s="407"/>
      <c r="E176" s="407"/>
      <c r="F176" s="407"/>
      <c r="G176" s="407"/>
      <c r="H176" s="407"/>
      <c r="I176" s="407"/>
      <c r="J176" s="407"/>
      <c r="K176" s="407"/>
      <c r="L176" s="407"/>
      <c r="M176" s="407"/>
      <c r="N176" s="407"/>
      <c r="O176" s="407"/>
      <c r="P176" s="407"/>
      <c r="Q176" s="407"/>
      <c r="R176" s="407"/>
      <c r="S176" s="407"/>
      <c r="T176" s="407"/>
      <c r="U176" s="407"/>
      <c r="V176" s="407"/>
      <c r="W176" s="407"/>
      <c r="X176" s="407"/>
      <c r="Y176" s="407"/>
      <c r="Z176" s="408"/>
    </row>
    <row r="177" spans="1:26">
      <c r="A177" s="416"/>
      <c r="B177" s="407"/>
      <c r="C177" s="407"/>
      <c r="D177" s="407"/>
      <c r="E177" s="407"/>
      <c r="F177" s="407"/>
      <c r="G177" s="407"/>
      <c r="H177" s="407"/>
      <c r="I177" s="407"/>
      <c r="J177" s="407"/>
      <c r="K177" s="407"/>
      <c r="L177" s="407"/>
      <c r="M177" s="407"/>
      <c r="N177" s="407"/>
      <c r="O177" s="407"/>
      <c r="P177" s="407"/>
      <c r="Q177" s="407"/>
      <c r="R177" s="407"/>
      <c r="S177" s="407"/>
      <c r="T177" s="407"/>
      <c r="U177" s="407"/>
      <c r="V177" s="407"/>
      <c r="W177" s="407"/>
      <c r="X177" s="407"/>
      <c r="Y177" s="407"/>
      <c r="Z177" s="408"/>
    </row>
    <row r="178" spans="1:26">
      <c r="A178" s="416"/>
      <c r="B178" s="407"/>
      <c r="C178" s="407"/>
      <c r="D178" s="407"/>
      <c r="E178" s="407"/>
      <c r="F178" s="407"/>
      <c r="G178" s="407"/>
      <c r="H178" s="407"/>
      <c r="I178" s="407"/>
      <c r="J178" s="407"/>
      <c r="K178" s="407"/>
      <c r="L178" s="407"/>
      <c r="M178" s="407"/>
      <c r="N178" s="407"/>
      <c r="O178" s="407"/>
      <c r="P178" s="407"/>
      <c r="Q178" s="407"/>
      <c r="R178" s="407"/>
      <c r="S178" s="407"/>
      <c r="T178" s="407"/>
      <c r="U178" s="407"/>
      <c r="V178" s="407"/>
      <c r="W178" s="407"/>
      <c r="X178" s="407"/>
      <c r="Y178" s="407"/>
      <c r="Z178" s="408"/>
    </row>
    <row r="179" spans="1:26">
      <c r="A179" s="416"/>
      <c r="B179" s="407"/>
      <c r="C179" s="407"/>
      <c r="D179" s="407"/>
      <c r="E179" s="407"/>
      <c r="F179" s="407"/>
      <c r="G179" s="407"/>
      <c r="H179" s="407"/>
      <c r="I179" s="407"/>
      <c r="J179" s="407"/>
      <c r="K179" s="407"/>
      <c r="L179" s="407"/>
      <c r="M179" s="407"/>
      <c r="N179" s="407"/>
      <c r="O179" s="407"/>
      <c r="P179" s="407"/>
      <c r="Q179" s="407"/>
      <c r="R179" s="407"/>
      <c r="S179" s="407"/>
      <c r="T179" s="407"/>
      <c r="U179" s="407"/>
      <c r="V179" s="407"/>
      <c r="W179" s="407"/>
      <c r="X179" s="407"/>
      <c r="Y179" s="407"/>
      <c r="Z179" s="408"/>
    </row>
    <row r="180" spans="1:26">
      <c r="A180" s="416"/>
      <c r="B180" s="407"/>
      <c r="C180" s="407"/>
      <c r="D180" s="407"/>
      <c r="E180" s="407"/>
      <c r="F180" s="407"/>
      <c r="G180" s="407"/>
      <c r="H180" s="407"/>
      <c r="I180" s="407"/>
      <c r="J180" s="407"/>
      <c r="K180" s="407"/>
      <c r="L180" s="407"/>
      <c r="M180" s="407"/>
      <c r="N180" s="407"/>
      <c r="O180" s="407"/>
      <c r="P180" s="407"/>
      <c r="Q180" s="407"/>
      <c r="R180" s="407"/>
      <c r="S180" s="407"/>
      <c r="T180" s="407"/>
      <c r="U180" s="407"/>
      <c r="V180" s="407"/>
      <c r="W180" s="407"/>
      <c r="X180" s="407"/>
      <c r="Y180" s="407"/>
      <c r="Z180" s="408"/>
    </row>
    <row r="181" spans="1:26">
      <c r="A181" s="416"/>
      <c r="B181" s="407"/>
      <c r="C181" s="407"/>
      <c r="D181" s="407"/>
      <c r="E181" s="407"/>
      <c r="F181" s="407"/>
      <c r="G181" s="407"/>
      <c r="H181" s="407"/>
      <c r="I181" s="407"/>
      <c r="J181" s="407"/>
      <c r="K181" s="407"/>
      <c r="L181" s="407"/>
      <c r="M181" s="407"/>
      <c r="N181" s="407"/>
      <c r="O181" s="407"/>
      <c r="P181" s="407"/>
      <c r="Q181" s="407"/>
      <c r="R181" s="407"/>
      <c r="S181" s="407"/>
      <c r="T181" s="407"/>
      <c r="U181" s="407"/>
      <c r="V181" s="407"/>
      <c r="W181" s="407"/>
      <c r="X181" s="407"/>
      <c r="Y181" s="407"/>
      <c r="Z181" s="408"/>
    </row>
    <row r="182" spans="1:26">
      <c r="A182" s="416"/>
      <c r="B182" s="407"/>
      <c r="C182" s="407"/>
      <c r="D182" s="407"/>
      <c r="E182" s="407"/>
      <c r="F182" s="407"/>
      <c r="G182" s="407"/>
      <c r="H182" s="407"/>
      <c r="I182" s="407"/>
      <c r="J182" s="407"/>
      <c r="K182" s="407"/>
      <c r="L182" s="407"/>
      <c r="M182" s="407"/>
      <c r="N182" s="407"/>
      <c r="O182" s="407"/>
      <c r="P182" s="407"/>
      <c r="Q182" s="407"/>
      <c r="R182" s="407"/>
      <c r="S182" s="407"/>
      <c r="T182" s="407"/>
      <c r="U182" s="407"/>
      <c r="V182" s="407"/>
      <c r="W182" s="407"/>
      <c r="X182" s="407"/>
      <c r="Y182" s="407"/>
      <c r="Z182" s="408"/>
    </row>
    <row r="183" spans="1:26">
      <c r="A183" s="416"/>
      <c r="B183" s="407"/>
      <c r="C183" s="407"/>
      <c r="D183" s="407"/>
      <c r="E183" s="407"/>
      <c r="F183" s="407"/>
      <c r="G183" s="407"/>
      <c r="H183" s="407"/>
      <c r="I183" s="407"/>
      <c r="J183" s="407"/>
      <c r="K183" s="407"/>
      <c r="L183" s="407"/>
      <c r="M183" s="407"/>
      <c r="N183" s="407"/>
      <c r="O183" s="407"/>
      <c r="P183" s="407"/>
      <c r="Q183" s="407"/>
      <c r="R183" s="407"/>
      <c r="S183" s="407"/>
      <c r="T183" s="407"/>
      <c r="U183" s="407"/>
      <c r="V183" s="407"/>
      <c r="W183" s="407"/>
      <c r="X183" s="407"/>
      <c r="Y183" s="407"/>
      <c r="Z183" s="408"/>
    </row>
    <row r="184" spans="1:26">
      <c r="A184" s="416"/>
      <c r="B184" s="407"/>
      <c r="C184" s="407"/>
      <c r="D184" s="407"/>
      <c r="E184" s="407"/>
      <c r="F184" s="407"/>
      <c r="G184" s="407"/>
      <c r="H184" s="407"/>
      <c r="I184" s="407"/>
      <c r="J184" s="407"/>
      <c r="K184" s="407"/>
      <c r="L184" s="407"/>
      <c r="M184" s="407"/>
      <c r="N184" s="407"/>
      <c r="O184" s="407"/>
      <c r="P184" s="407"/>
      <c r="Q184" s="407"/>
      <c r="R184" s="407"/>
      <c r="S184" s="407"/>
      <c r="T184" s="407"/>
      <c r="U184" s="407"/>
      <c r="V184" s="407"/>
      <c r="W184" s="407"/>
      <c r="X184" s="407"/>
      <c r="Y184" s="407"/>
      <c r="Z184" s="408"/>
    </row>
    <row r="185" spans="1:26">
      <c r="A185" s="416"/>
      <c r="B185" s="407"/>
      <c r="C185" s="407"/>
      <c r="D185" s="407"/>
      <c r="E185" s="407"/>
      <c r="F185" s="407"/>
      <c r="G185" s="407"/>
      <c r="H185" s="407"/>
      <c r="I185" s="407"/>
      <c r="J185" s="407"/>
      <c r="K185" s="407"/>
      <c r="L185" s="407"/>
      <c r="M185" s="407"/>
      <c r="N185" s="407"/>
      <c r="O185" s="407"/>
      <c r="P185" s="407"/>
      <c r="Q185" s="407"/>
      <c r="R185" s="407"/>
      <c r="S185" s="407"/>
      <c r="T185" s="407"/>
      <c r="U185" s="407"/>
      <c r="V185" s="407"/>
      <c r="W185" s="407"/>
      <c r="X185" s="407"/>
      <c r="Y185" s="407"/>
      <c r="Z185" s="408"/>
    </row>
    <row r="186" spans="1:26">
      <c r="A186" s="416"/>
      <c r="B186" s="407"/>
      <c r="C186" s="407"/>
      <c r="D186" s="407"/>
      <c r="E186" s="407"/>
      <c r="F186" s="407"/>
      <c r="G186" s="407"/>
      <c r="H186" s="407"/>
      <c r="I186" s="407"/>
      <c r="J186" s="407"/>
      <c r="K186" s="407"/>
      <c r="L186" s="407"/>
      <c r="M186" s="407"/>
      <c r="N186" s="407"/>
      <c r="O186" s="407"/>
      <c r="P186" s="407"/>
      <c r="Q186" s="407"/>
      <c r="R186" s="407"/>
      <c r="S186" s="407"/>
      <c r="T186" s="407"/>
      <c r="U186" s="407"/>
      <c r="V186" s="407"/>
      <c r="W186" s="407"/>
      <c r="X186" s="407"/>
      <c r="Y186" s="407"/>
      <c r="Z186" s="408"/>
    </row>
    <row r="187" spans="1:26">
      <c r="A187" s="416"/>
      <c r="B187" s="407"/>
      <c r="C187" s="407"/>
      <c r="D187" s="407"/>
      <c r="E187" s="407"/>
      <c r="F187" s="407"/>
      <c r="G187" s="407"/>
      <c r="H187" s="407"/>
      <c r="I187" s="407"/>
      <c r="J187" s="407"/>
      <c r="K187" s="407"/>
      <c r="L187" s="407"/>
      <c r="M187" s="407"/>
      <c r="N187" s="407"/>
      <c r="O187" s="407"/>
      <c r="P187" s="407"/>
      <c r="Q187" s="407"/>
      <c r="R187" s="407"/>
      <c r="S187" s="407"/>
      <c r="T187" s="407"/>
      <c r="U187" s="407"/>
      <c r="V187" s="407"/>
      <c r="W187" s="407"/>
      <c r="X187" s="407"/>
      <c r="Y187" s="407"/>
      <c r="Z187" s="408"/>
    </row>
    <row r="188" spans="1:26">
      <c r="A188" s="416"/>
      <c r="B188" s="407"/>
      <c r="C188" s="407"/>
      <c r="D188" s="407"/>
      <c r="E188" s="407"/>
      <c r="F188" s="407"/>
      <c r="G188" s="407"/>
      <c r="H188" s="407"/>
      <c r="I188" s="407"/>
      <c r="J188" s="407"/>
      <c r="K188" s="407"/>
      <c r="L188" s="407"/>
      <c r="M188" s="407"/>
      <c r="N188" s="407"/>
      <c r="O188" s="407"/>
      <c r="P188" s="407"/>
      <c r="Q188" s="407"/>
      <c r="R188" s="407"/>
      <c r="S188" s="407"/>
      <c r="T188" s="407"/>
      <c r="U188" s="407"/>
      <c r="V188" s="407"/>
      <c r="W188" s="407"/>
      <c r="X188" s="407"/>
      <c r="Y188" s="407"/>
      <c r="Z188" s="408"/>
    </row>
    <row r="189" spans="1:26">
      <c r="A189" s="416"/>
      <c r="B189" s="407"/>
      <c r="C189" s="407"/>
      <c r="D189" s="407"/>
      <c r="E189" s="407"/>
      <c r="F189" s="407"/>
      <c r="G189" s="407"/>
      <c r="H189" s="407"/>
      <c r="I189" s="407"/>
      <c r="J189" s="407"/>
      <c r="K189" s="407"/>
      <c r="L189" s="407"/>
      <c r="M189" s="407"/>
      <c r="N189" s="407"/>
      <c r="O189" s="407"/>
      <c r="P189" s="407"/>
      <c r="Q189" s="407"/>
      <c r="R189" s="407"/>
      <c r="S189" s="407"/>
      <c r="T189" s="407"/>
      <c r="U189" s="407"/>
      <c r="V189" s="407"/>
      <c r="W189" s="407"/>
      <c r="X189" s="407"/>
      <c r="Y189" s="407"/>
      <c r="Z189" s="408"/>
    </row>
    <row r="190" spans="1:26">
      <c r="A190" s="416"/>
      <c r="B190" s="407"/>
      <c r="C190" s="407"/>
      <c r="D190" s="407"/>
      <c r="E190" s="407"/>
      <c r="F190" s="407"/>
      <c r="G190" s="407"/>
      <c r="H190" s="407"/>
      <c r="I190" s="407"/>
      <c r="J190" s="407"/>
      <c r="K190" s="407"/>
      <c r="L190" s="407"/>
      <c r="M190" s="407"/>
      <c r="N190" s="407"/>
      <c r="O190" s="407"/>
      <c r="P190" s="407"/>
      <c r="Q190" s="407"/>
      <c r="R190" s="407"/>
      <c r="S190" s="407"/>
      <c r="T190" s="407"/>
      <c r="U190" s="407"/>
      <c r="V190" s="407"/>
      <c r="W190" s="407"/>
      <c r="X190" s="407"/>
      <c r="Y190" s="407"/>
      <c r="Z190" s="408"/>
    </row>
    <row r="191" spans="1:26">
      <c r="A191" s="416"/>
      <c r="B191" s="407"/>
      <c r="C191" s="407"/>
      <c r="D191" s="407"/>
      <c r="E191" s="407"/>
      <c r="F191" s="407"/>
      <c r="G191" s="407"/>
      <c r="H191" s="407"/>
      <c r="I191" s="407"/>
      <c r="J191" s="407"/>
      <c r="K191" s="407"/>
      <c r="L191" s="407"/>
      <c r="M191" s="407"/>
      <c r="N191" s="407"/>
      <c r="O191" s="407"/>
      <c r="P191" s="407"/>
      <c r="Q191" s="407"/>
      <c r="R191" s="407"/>
      <c r="S191" s="407"/>
      <c r="T191" s="407"/>
      <c r="U191" s="407"/>
      <c r="V191" s="407"/>
      <c r="W191" s="407"/>
      <c r="X191" s="407"/>
      <c r="Y191" s="407"/>
      <c r="Z191" s="408"/>
    </row>
    <row r="192" spans="1:26">
      <c r="A192" s="416"/>
      <c r="B192" s="407"/>
      <c r="C192" s="407"/>
      <c r="D192" s="407"/>
      <c r="E192" s="407"/>
      <c r="F192" s="407"/>
      <c r="G192" s="407"/>
      <c r="H192" s="407"/>
      <c r="I192" s="407"/>
      <c r="J192" s="407"/>
      <c r="K192" s="407"/>
      <c r="L192" s="407"/>
      <c r="M192" s="407"/>
      <c r="N192" s="407"/>
      <c r="O192" s="407"/>
      <c r="P192" s="407"/>
      <c r="Q192" s="407"/>
      <c r="R192" s="407"/>
      <c r="S192" s="407"/>
      <c r="T192" s="407"/>
      <c r="U192" s="407"/>
      <c r="V192" s="407"/>
      <c r="W192" s="407"/>
      <c r="X192" s="407"/>
      <c r="Y192" s="407"/>
      <c r="Z192" s="408"/>
    </row>
    <row r="193" spans="1:26">
      <c r="A193" s="416"/>
      <c r="B193" s="407"/>
      <c r="C193" s="407"/>
      <c r="D193" s="407"/>
      <c r="E193" s="407"/>
      <c r="F193" s="407"/>
      <c r="G193" s="407"/>
      <c r="H193" s="407"/>
      <c r="I193" s="407"/>
      <c r="J193" s="407"/>
      <c r="K193" s="407"/>
      <c r="L193" s="407"/>
      <c r="M193" s="407"/>
      <c r="N193" s="407"/>
      <c r="O193" s="407"/>
      <c r="P193" s="407"/>
      <c r="Q193" s="407"/>
      <c r="R193" s="407"/>
      <c r="S193" s="407"/>
      <c r="T193" s="407"/>
      <c r="U193" s="407"/>
      <c r="V193" s="407"/>
      <c r="W193" s="407"/>
      <c r="X193" s="407"/>
      <c r="Y193" s="407"/>
      <c r="Z193" s="408"/>
    </row>
    <row r="194" spans="1:26">
      <c r="A194" s="416"/>
      <c r="B194" s="407"/>
      <c r="C194" s="407"/>
      <c r="D194" s="407"/>
      <c r="E194" s="407"/>
      <c r="F194" s="407"/>
      <c r="G194" s="407"/>
      <c r="H194" s="407"/>
      <c r="I194" s="407"/>
      <c r="J194" s="407"/>
      <c r="K194" s="407"/>
      <c r="L194" s="407"/>
      <c r="M194" s="407"/>
      <c r="N194" s="407"/>
      <c r="O194" s="407"/>
      <c r="P194" s="407"/>
      <c r="Q194" s="407"/>
      <c r="R194" s="407"/>
      <c r="S194" s="407"/>
      <c r="T194" s="407"/>
      <c r="U194" s="407"/>
      <c r="V194" s="407"/>
      <c r="W194" s="407"/>
      <c r="X194" s="407"/>
      <c r="Y194" s="407"/>
      <c r="Z194" s="408"/>
    </row>
    <row r="195" spans="1:26">
      <c r="A195" s="416"/>
      <c r="B195" s="407"/>
      <c r="C195" s="407"/>
      <c r="D195" s="407"/>
      <c r="E195" s="407"/>
      <c r="F195" s="407"/>
      <c r="G195" s="407"/>
      <c r="H195" s="407"/>
      <c r="I195" s="407"/>
      <c r="J195" s="407"/>
      <c r="K195" s="407"/>
      <c r="L195" s="407"/>
      <c r="M195" s="407"/>
      <c r="N195" s="407"/>
      <c r="O195" s="407"/>
      <c r="P195" s="407"/>
      <c r="Q195" s="407"/>
      <c r="R195" s="407"/>
      <c r="S195" s="407"/>
      <c r="T195" s="407"/>
      <c r="U195" s="407"/>
      <c r="V195" s="407"/>
      <c r="W195" s="407"/>
      <c r="X195" s="407"/>
      <c r="Y195" s="407"/>
      <c r="Z195" s="408"/>
    </row>
    <row r="196" spans="1:26">
      <c r="A196" s="416"/>
      <c r="B196" s="407"/>
      <c r="C196" s="407"/>
      <c r="D196" s="407"/>
      <c r="E196" s="407"/>
      <c r="F196" s="407"/>
      <c r="G196" s="407"/>
      <c r="H196" s="407"/>
      <c r="I196" s="407"/>
      <c r="J196" s="407"/>
      <c r="K196" s="407"/>
      <c r="L196" s="407"/>
      <c r="M196" s="407"/>
      <c r="N196" s="407"/>
      <c r="O196" s="407"/>
      <c r="P196" s="407"/>
      <c r="Q196" s="407"/>
      <c r="R196" s="407"/>
      <c r="S196" s="407"/>
      <c r="T196" s="407"/>
      <c r="U196" s="407"/>
      <c r="V196" s="407"/>
      <c r="W196" s="407"/>
      <c r="X196" s="407"/>
      <c r="Y196" s="407"/>
      <c r="Z196" s="408"/>
    </row>
    <row r="197" spans="1:26">
      <c r="A197" s="416"/>
      <c r="B197" s="407"/>
      <c r="C197" s="407"/>
      <c r="D197" s="407"/>
      <c r="E197" s="407"/>
      <c r="F197" s="407"/>
      <c r="G197" s="407"/>
      <c r="H197" s="407"/>
      <c r="I197" s="407"/>
      <c r="J197" s="407"/>
      <c r="K197" s="407"/>
      <c r="L197" s="407"/>
      <c r="M197" s="407"/>
      <c r="N197" s="407"/>
      <c r="O197" s="407"/>
      <c r="P197" s="407"/>
      <c r="Q197" s="407"/>
      <c r="R197" s="407"/>
      <c r="S197" s="407"/>
      <c r="T197" s="407"/>
      <c r="U197" s="407"/>
      <c r="V197" s="407"/>
      <c r="W197" s="407"/>
      <c r="X197" s="407"/>
      <c r="Y197" s="407"/>
      <c r="Z197" s="408"/>
    </row>
    <row r="198" spans="1:26">
      <c r="A198" s="416"/>
      <c r="B198" s="407"/>
      <c r="C198" s="407"/>
      <c r="D198" s="407"/>
      <c r="E198" s="407"/>
      <c r="F198" s="407"/>
      <c r="G198" s="407"/>
      <c r="H198" s="407"/>
      <c r="I198" s="407"/>
      <c r="J198" s="407"/>
      <c r="K198" s="407"/>
      <c r="L198" s="407"/>
      <c r="M198" s="407"/>
      <c r="N198" s="407"/>
      <c r="O198" s="407"/>
      <c r="P198" s="407"/>
      <c r="Q198" s="407"/>
      <c r="R198" s="407"/>
      <c r="S198" s="407"/>
      <c r="T198" s="407"/>
      <c r="U198" s="407"/>
      <c r="V198" s="407"/>
      <c r="W198" s="407"/>
      <c r="X198" s="407"/>
      <c r="Y198" s="407"/>
      <c r="Z198" s="408"/>
    </row>
    <row r="199" spans="1:26">
      <c r="A199" s="416"/>
      <c r="B199" s="407"/>
      <c r="C199" s="407"/>
      <c r="D199" s="407"/>
      <c r="E199" s="407"/>
      <c r="F199" s="407"/>
      <c r="G199" s="407"/>
      <c r="H199" s="407"/>
      <c r="I199" s="407"/>
      <c r="J199" s="407"/>
      <c r="K199" s="407"/>
      <c r="L199" s="407"/>
      <c r="M199" s="407"/>
      <c r="N199" s="407"/>
      <c r="O199" s="407"/>
      <c r="P199" s="407"/>
      <c r="Q199" s="407"/>
      <c r="R199" s="407"/>
      <c r="S199" s="407"/>
      <c r="T199" s="407"/>
      <c r="U199" s="407"/>
      <c r="V199" s="407"/>
      <c r="W199" s="407"/>
      <c r="X199" s="407"/>
      <c r="Y199" s="407"/>
      <c r="Z199" s="408"/>
    </row>
    <row r="200" spans="1:26">
      <c r="A200" s="416"/>
      <c r="B200" s="407"/>
      <c r="C200" s="407"/>
      <c r="D200" s="407"/>
      <c r="E200" s="407"/>
      <c r="F200" s="407"/>
      <c r="G200" s="407"/>
      <c r="H200" s="407"/>
      <c r="I200" s="407"/>
      <c r="J200" s="407"/>
      <c r="K200" s="407"/>
      <c r="L200" s="407"/>
      <c r="M200" s="407"/>
      <c r="N200" s="407"/>
      <c r="O200" s="407"/>
      <c r="P200" s="407"/>
      <c r="Q200" s="407"/>
      <c r="R200" s="407"/>
      <c r="S200" s="407"/>
      <c r="T200" s="407"/>
      <c r="U200" s="407"/>
      <c r="V200" s="407"/>
      <c r="W200" s="407"/>
      <c r="X200" s="407"/>
      <c r="Y200" s="407"/>
      <c r="Z200" s="408"/>
    </row>
    <row r="201" spans="1:26">
      <c r="A201" s="416"/>
      <c r="B201" s="407"/>
      <c r="C201" s="407"/>
      <c r="D201" s="407"/>
      <c r="E201" s="407"/>
      <c r="F201" s="407"/>
      <c r="G201" s="407"/>
      <c r="H201" s="407"/>
      <c r="I201" s="407"/>
      <c r="J201" s="407"/>
      <c r="K201" s="407"/>
      <c r="L201" s="407"/>
      <c r="M201" s="407"/>
      <c r="N201" s="407"/>
      <c r="O201" s="407"/>
      <c r="P201" s="407"/>
      <c r="Q201" s="407"/>
      <c r="R201" s="407"/>
      <c r="S201" s="407"/>
      <c r="T201" s="407"/>
      <c r="U201" s="407"/>
      <c r="V201" s="407"/>
      <c r="W201" s="407"/>
      <c r="X201" s="407"/>
      <c r="Y201" s="407"/>
      <c r="Z201" s="408"/>
    </row>
    <row r="202" spans="1:26">
      <c r="A202" s="416"/>
      <c r="B202" s="407"/>
      <c r="C202" s="407"/>
      <c r="D202" s="407"/>
      <c r="E202" s="407"/>
      <c r="F202" s="407"/>
      <c r="G202" s="407"/>
      <c r="H202" s="407"/>
      <c r="I202" s="407"/>
      <c r="J202" s="407"/>
      <c r="K202" s="407"/>
      <c r="L202" s="407"/>
      <c r="M202" s="407"/>
      <c r="N202" s="407"/>
      <c r="O202" s="407"/>
      <c r="P202" s="407"/>
      <c r="Q202" s="407"/>
      <c r="R202" s="407"/>
      <c r="S202" s="407"/>
      <c r="T202" s="407"/>
      <c r="U202" s="407"/>
      <c r="V202" s="407"/>
      <c r="W202" s="407"/>
      <c r="X202" s="407"/>
      <c r="Y202" s="407"/>
      <c r="Z202" s="408"/>
    </row>
    <row r="203" spans="1:26">
      <c r="A203" s="416"/>
      <c r="B203" s="407"/>
      <c r="C203" s="407"/>
      <c r="D203" s="407"/>
      <c r="E203" s="407"/>
      <c r="F203" s="407"/>
      <c r="G203" s="407"/>
      <c r="H203" s="407"/>
      <c r="I203" s="407"/>
      <c r="J203" s="407"/>
      <c r="K203" s="407"/>
      <c r="L203" s="407"/>
      <c r="M203" s="407"/>
      <c r="N203" s="407"/>
      <c r="O203" s="407"/>
      <c r="P203" s="407"/>
      <c r="Q203" s="407"/>
      <c r="R203" s="407"/>
      <c r="S203" s="407"/>
      <c r="T203" s="407"/>
      <c r="U203" s="407"/>
      <c r="V203" s="407"/>
      <c r="W203" s="407"/>
      <c r="X203" s="407"/>
      <c r="Y203" s="407"/>
      <c r="Z203" s="408"/>
    </row>
    <row r="204" spans="1:26">
      <c r="A204" s="416"/>
      <c r="B204" s="407"/>
      <c r="C204" s="407"/>
      <c r="D204" s="407"/>
      <c r="E204" s="407"/>
      <c r="F204" s="407"/>
      <c r="G204" s="407"/>
      <c r="H204" s="407"/>
      <c r="I204" s="407"/>
      <c r="J204" s="407"/>
      <c r="K204" s="407"/>
      <c r="L204" s="407"/>
      <c r="M204" s="407"/>
      <c r="N204" s="407"/>
      <c r="O204" s="407"/>
      <c r="P204" s="407"/>
      <c r="Q204" s="407"/>
      <c r="R204" s="407"/>
      <c r="S204" s="407"/>
      <c r="T204" s="407"/>
      <c r="U204" s="407"/>
      <c r="V204" s="407"/>
      <c r="W204" s="407"/>
      <c r="X204" s="407"/>
      <c r="Y204" s="407"/>
      <c r="Z204" s="408"/>
    </row>
    <row r="205" spans="1:26">
      <c r="A205" s="416"/>
      <c r="B205" s="407"/>
      <c r="C205" s="407"/>
      <c r="D205" s="407"/>
      <c r="E205" s="407"/>
      <c r="F205" s="407"/>
      <c r="G205" s="407"/>
      <c r="H205" s="407"/>
      <c r="I205" s="407"/>
      <c r="J205" s="407"/>
      <c r="K205" s="407"/>
      <c r="L205" s="407"/>
      <c r="M205" s="407"/>
      <c r="N205" s="407"/>
      <c r="O205" s="407"/>
      <c r="P205" s="407"/>
      <c r="Q205" s="407"/>
      <c r="R205" s="407"/>
      <c r="S205" s="407"/>
      <c r="T205" s="407"/>
      <c r="U205" s="407"/>
      <c r="V205" s="407"/>
      <c r="W205" s="407"/>
      <c r="X205" s="407"/>
      <c r="Y205" s="407"/>
      <c r="Z205" s="408"/>
    </row>
    <row r="206" spans="1:26">
      <c r="A206" s="416"/>
      <c r="B206" s="407"/>
      <c r="C206" s="407"/>
      <c r="D206" s="407"/>
      <c r="E206" s="407"/>
      <c r="F206" s="407"/>
      <c r="G206" s="407"/>
      <c r="H206" s="407"/>
      <c r="I206" s="407"/>
      <c r="J206" s="407"/>
      <c r="K206" s="407"/>
      <c r="L206" s="407"/>
      <c r="M206" s="407"/>
      <c r="N206" s="407"/>
      <c r="O206" s="407"/>
      <c r="P206" s="407"/>
      <c r="Q206" s="407"/>
      <c r="R206" s="407"/>
      <c r="S206" s="407"/>
      <c r="T206" s="407"/>
      <c r="U206" s="407"/>
      <c r="V206" s="407"/>
      <c r="W206" s="407"/>
      <c r="X206" s="407"/>
      <c r="Y206" s="407"/>
      <c r="Z206" s="408"/>
    </row>
    <row r="207" spans="1:26">
      <c r="A207" s="416"/>
      <c r="B207" s="407"/>
      <c r="C207" s="407"/>
      <c r="D207" s="407"/>
      <c r="E207" s="407"/>
      <c r="F207" s="407"/>
      <c r="G207" s="407"/>
      <c r="H207" s="407"/>
      <c r="I207" s="407"/>
      <c r="J207" s="407"/>
      <c r="K207" s="407"/>
      <c r="L207" s="407"/>
      <c r="M207" s="407"/>
      <c r="N207" s="407"/>
      <c r="O207" s="407"/>
      <c r="P207" s="407"/>
      <c r="Q207" s="407"/>
      <c r="R207" s="407"/>
      <c r="S207" s="407"/>
      <c r="T207" s="407"/>
      <c r="U207" s="407"/>
      <c r="V207" s="407"/>
      <c r="W207" s="407"/>
      <c r="X207" s="407"/>
      <c r="Y207" s="407"/>
      <c r="Z207" s="408"/>
    </row>
    <row r="208" spans="1:26">
      <c r="A208" s="416"/>
      <c r="B208" s="407"/>
      <c r="C208" s="407"/>
      <c r="D208" s="407"/>
      <c r="E208" s="407"/>
      <c r="F208" s="407"/>
      <c r="G208" s="407"/>
      <c r="H208" s="407"/>
      <c r="I208" s="407"/>
      <c r="J208" s="407"/>
      <c r="K208" s="407"/>
      <c r="L208" s="407"/>
      <c r="M208" s="407"/>
      <c r="N208" s="407"/>
      <c r="O208" s="407"/>
      <c r="P208" s="407"/>
      <c r="Q208" s="407"/>
      <c r="R208" s="407"/>
      <c r="S208" s="407"/>
      <c r="T208" s="407"/>
      <c r="U208" s="407"/>
      <c r="V208" s="407"/>
      <c r="W208" s="407"/>
      <c r="X208" s="407"/>
      <c r="Y208" s="407"/>
      <c r="Z208" s="408"/>
    </row>
    <row r="209" spans="1:26">
      <c r="A209" s="416"/>
      <c r="B209" s="407"/>
      <c r="C209" s="407"/>
      <c r="D209" s="407"/>
      <c r="E209" s="407"/>
      <c r="F209" s="407"/>
      <c r="G209" s="407"/>
      <c r="H209" s="407"/>
      <c r="I209" s="407"/>
      <c r="J209" s="407"/>
      <c r="K209" s="407"/>
      <c r="L209" s="407"/>
      <c r="M209" s="407"/>
      <c r="N209" s="407"/>
      <c r="O209" s="407"/>
      <c r="P209" s="407"/>
      <c r="Q209" s="407"/>
      <c r="R209" s="407"/>
      <c r="S209" s="407"/>
      <c r="T209" s="407"/>
      <c r="U209" s="407"/>
      <c r="V209" s="407"/>
      <c r="W209" s="407"/>
      <c r="X209" s="407"/>
      <c r="Y209" s="407"/>
      <c r="Z209" s="408"/>
    </row>
    <row r="210" spans="1:26">
      <c r="A210" s="416"/>
      <c r="B210" s="407"/>
      <c r="C210" s="407"/>
      <c r="D210" s="407"/>
      <c r="E210" s="407"/>
      <c r="F210" s="407"/>
      <c r="G210" s="407"/>
      <c r="H210" s="407"/>
      <c r="I210" s="407"/>
      <c r="J210" s="407"/>
      <c r="K210" s="407"/>
      <c r="L210" s="407"/>
      <c r="M210" s="407"/>
      <c r="N210" s="407"/>
      <c r="O210" s="407"/>
      <c r="P210" s="407"/>
      <c r="Q210" s="407"/>
      <c r="R210" s="407"/>
      <c r="S210" s="407"/>
      <c r="T210" s="407"/>
      <c r="U210" s="407"/>
      <c r="V210" s="407"/>
      <c r="W210" s="407"/>
      <c r="X210" s="407"/>
      <c r="Y210" s="407"/>
      <c r="Z210" s="408"/>
    </row>
    <row r="211" spans="1:26">
      <c r="A211" s="416"/>
      <c r="B211" s="407"/>
      <c r="C211" s="407"/>
      <c r="D211" s="407"/>
      <c r="E211" s="407"/>
      <c r="F211" s="407"/>
      <c r="G211" s="407"/>
      <c r="H211" s="407"/>
      <c r="I211" s="407"/>
      <c r="J211" s="407"/>
      <c r="K211" s="407"/>
      <c r="L211" s="407"/>
      <c r="M211" s="407"/>
      <c r="N211" s="407"/>
      <c r="O211" s="407"/>
      <c r="P211" s="407"/>
      <c r="Q211" s="407"/>
      <c r="R211" s="407"/>
      <c r="S211" s="407"/>
      <c r="T211" s="407"/>
      <c r="U211" s="407"/>
      <c r="V211" s="407"/>
      <c r="W211" s="407"/>
      <c r="X211" s="407"/>
      <c r="Y211" s="407"/>
      <c r="Z211" s="408"/>
    </row>
    <row r="212" spans="1:26">
      <c r="A212" s="416"/>
      <c r="B212" s="407"/>
      <c r="C212" s="407"/>
      <c r="D212" s="407"/>
      <c r="E212" s="407"/>
      <c r="F212" s="407"/>
      <c r="G212" s="407"/>
      <c r="H212" s="407"/>
      <c r="I212" s="407"/>
      <c r="J212" s="407"/>
      <c r="K212" s="407"/>
      <c r="L212" s="407"/>
      <c r="M212" s="407"/>
      <c r="N212" s="407"/>
      <c r="O212" s="407"/>
      <c r="P212" s="407"/>
      <c r="Q212" s="407"/>
      <c r="R212" s="407"/>
      <c r="S212" s="407"/>
      <c r="T212" s="407"/>
      <c r="U212" s="407"/>
      <c r="V212" s="407"/>
      <c r="W212" s="407"/>
      <c r="X212" s="407"/>
      <c r="Y212" s="407"/>
      <c r="Z212" s="408"/>
    </row>
    <row r="213" spans="1:26">
      <c r="A213" s="416"/>
      <c r="B213" s="407"/>
      <c r="C213" s="407"/>
      <c r="D213" s="407"/>
      <c r="E213" s="407"/>
      <c r="F213" s="407"/>
      <c r="G213" s="407"/>
      <c r="H213" s="407"/>
      <c r="I213" s="407"/>
      <c r="J213" s="407"/>
      <c r="K213" s="407"/>
      <c r="L213" s="407"/>
      <c r="M213" s="407"/>
      <c r="N213" s="407"/>
      <c r="O213" s="407"/>
      <c r="P213" s="407"/>
      <c r="Q213" s="407"/>
      <c r="R213" s="407"/>
      <c r="S213" s="407"/>
      <c r="T213" s="407"/>
      <c r="U213" s="407"/>
      <c r="V213" s="407"/>
      <c r="W213" s="407"/>
      <c r="X213" s="407"/>
      <c r="Y213" s="407"/>
      <c r="Z213" s="408"/>
    </row>
    <row r="214" spans="1:26">
      <c r="A214" s="416"/>
      <c r="B214" s="407"/>
      <c r="C214" s="407"/>
      <c r="D214" s="407"/>
      <c r="E214" s="407"/>
      <c r="F214" s="407"/>
      <c r="G214" s="407"/>
      <c r="H214" s="407"/>
      <c r="I214" s="407"/>
      <c r="J214" s="407"/>
      <c r="K214" s="407"/>
      <c r="L214" s="407"/>
      <c r="M214" s="407"/>
      <c r="N214" s="407"/>
      <c r="O214" s="407"/>
      <c r="P214" s="407"/>
      <c r="Q214" s="407"/>
      <c r="R214" s="407"/>
      <c r="S214" s="407"/>
      <c r="T214" s="407"/>
      <c r="U214" s="407"/>
      <c r="V214" s="407"/>
      <c r="W214" s="407"/>
      <c r="X214" s="407"/>
      <c r="Y214" s="407"/>
      <c r="Z214" s="408"/>
    </row>
    <row r="215" spans="1:26">
      <c r="A215" s="416"/>
      <c r="B215" s="407"/>
      <c r="C215" s="407"/>
      <c r="D215" s="407"/>
      <c r="E215" s="407"/>
      <c r="F215" s="407"/>
      <c r="G215" s="407"/>
      <c r="H215" s="407"/>
      <c r="I215" s="407"/>
      <c r="J215" s="407"/>
      <c r="K215" s="407"/>
      <c r="L215" s="407"/>
      <c r="M215" s="407"/>
      <c r="N215" s="407"/>
      <c r="O215" s="407"/>
      <c r="P215" s="407"/>
      <c r="Q215" s="407"/>
      <c r="R215" s="407"/>
      <c r="S215" s="407"/>
      <c r="T215" s="407"/>
      <c r="U215" s="407"/>
      <c r="V215" s="407"/>
      <c r="W215" s="407"/>
      <c r="X215" s="407"/>
      <c r="Y215" s="407"/>
      <c r="Z215" s="408"/>
    </row>
    <row r="216" spans="1:26">
      <c r="A216" s="416"/>
      <c r="B216" s="407"/>
      <c r="C216" s="407"/>
      <c r="D216" s="407"/>
      <c r="E216" s="407"/>
      <c r="F216" s="407"/>
      <c r="G216" s="407"/>
      <c r="H216" s="407"/>
      <c r="I216" s="407"/>
      <c r="J216" s="407"/>
      <c r="K216" s="407"/>
      <c r="L216" s="407"/>
      <c r="M216" s="407"/>
      <c r="N216" s="407"/>
      <c r="O216" s="407"/>
      <c r="P216" s="407"/>
      <c r="Q216" s="407"/>
      <c r="R216" s="407"/>
      <c r="S216" s="407"/>
      <c r="T216" s="407"/>
      <c r="U216" s="407"/>
      <c r="V216" s="407"/>
      <c r="W216" s="407"/>
      <c r="X216" s="407"/>
      <c r="Y216" s="407"/>
      <c r="Z216" s="408"/>
    </row>
    <row r="217" spans="1:26">
      <c r="A217" s="416"/>
      <c r="B217" s="407"/>
      <c r="C217" s="407"/>
      <c r="D217" s="407"/>
      <c r="E217" s="407"/>
      <c r="F217" s="407"/>
      <c r="G217" s="407"/>
      <c r="H217" s="407"/>
      <c r="I217" s="407"/>
      <c r="J217" s="407"/>
      <c r="K217" s="407"/>
      <c r="L217" s="407"/>
      <c r="M217" s="407"/>
      <c r="N217" s="407"/>
      <c r="O217" s="407"/>
      <c r="P217" s="407"/>
      <c r="Q217" s="407"/>
      <c r="R217" s="407"/>
      <c r="S217" s="407"/>
      <c r="T217" s="407"/>
      <c r="U217" s="407"/>
      <c r="V217" s="407"/>
      <c r="W217" s="407"/>
      <c r="X217" s="407"/>
      <c r="Y217" s="407"/>
      <c r="Z217" s="408"/>
    </row>
    <row r="218" spans="1:26">
      <c r="A218" s="416"/>
      <c r="B218" s="407"/>
      <c r="C218" s="407"/>
      <c r="D218" s="407"/>
      <c r="E218" s="407"/>
      <c r="F218" s="407"/>
      <c r="G218" s="407"/>
      <c r="H218" s="407"/>
      <c r="I218" s="407"/>
      <c r="J218" s="407"/>
      <c r="K218" s="407"/>
      <c r="L218" s="407"/>
      <c r="M218" s="407"/>
      <c r="N218" s="407"/>
      <c r="O218" s="407"/>
      <c r="P218" s="407"/>
      <c r="Q218" s="407"/>
      <c r="R218" s="407"/>
      <c r="S218" s="407"/>
      <c r="T218" s="407"/>
      <c r="U218" s="407"/>
      <c r="V218" s="407"/>
      <c r="W218" s="407"/>
      <c r="X218" s="407"/>
      <c r="Y218" s="407"/>
      <c r="Z218" s="408"/>
    </row>
    <row r="219" spans="1:26">
      <c r="A219" s="416"/>
      <c r="B219" s="407"/>
      <c r="C219" s="407"/>
      <c r="D219" s="407"/>
      <c r="E219" s="407"/>
      <c r="F219" s="407"/>
      <c r="G219" s="407"/>
      <c r="H219" s="407"/>
      <c r="I219" s="407"/>
      <c r="J219" s="407"/>
      <c r="K219" s="407"/>
      <c r="L219" s="407"/>
      <c r="M219" s="407"/>
      <c r="N219" s="407"/>
      <c r="O219" s="407"/>
      <c r="P219" s="407"/>
      <c r="Q219" s="407"/>
      <c r="R219" s="407"/>
      <c r="S219" s="407"/>
      <c r="T219" s="407"/>
      <c r="U219" s="407"/>
      <c r="V219" s="407"/>
      <c r="W219" s="407"/>
      <c r="X219" s="407"/>
      <c r="Y219" s="407"/>
      <c r="Z219" s="408"/>
    </row>
    <row r="220" spans="1:26">
      <c r="A220" s="416"/>
      <c r="B220" s="407"/>
      <c r="C220" s="407"/>
      <c r="D220" s="407"/>
      <c r="E220" s="407"/>
      <c r="F220" s="407"/>
      <c r="G220" s="407"/>
      <c r="H220" s="407"/>
      <c r="I220" s="407"/>
      <c r="J220" s="407"/>
      <c r="K220" s="407"/>
      <c r="L220" s="407"/>
      <c r="M220" s="407"/>
      <c r="N220" s="407"/>
      <c r="O220" s="407"/>
      <c r="P220" s="407"/>
      <c r="Q220" s="407"/>
      <c r="R220" s="407"/>
      <c r="S220" s="407"/>
      <c r="T220" s="407"/>
      <c r="U220" s="407"/>
      <c r="V220" s="407"/>
      <c r="W220" s="407"/>
      <c r="X220" s="407"/>
      <c r="Y220" s="407"/>
      <c r="Z220" s="408"/>
    </row>
    <row r="221" spans="1:26">
      <c r="A221" s="416"/>
      <c r="B221" s="407"/>
      <c r="C221" s="407"/>
      <c r="D221" s="407"/>
      <c r="E221" s="407"/>
      <c r="F221" s="407"/>
      <c r="G221" s="407"/>
      <c r="H221" s="407"/>
      <c r="I221" s="407"/>
      <c r="J221" s="407"/>
      <c r="K221" s="407"/>
      <c r="L221" s="407"/>
      <c r="M221" s="407"/>
      <c r="N221" s="407"/>
      <c r="O221" s="407"/>
      <c r="P221" s="407"/>
      <c r="Q221" s="407"/>
      <c r="R221" s="407"/>
      <c r="S221" s="407"/>
      <c r="T221" s="407"/>
      <c r="U221" s="407"/>
      <c r="V221" s="407"/>
      <c r="W221" s="407"/>
      <c r="X221" s="407"/>
      <c r="Y221" s="407"/>
      <c r="Z221" s="408"/>
    </row>
    <row r="222" spans="1:26">
      <c r="A222" s="416"/>
      <c r="B222" s="407"/>
      <c r="C222" s="407"/>
      <c r="D222" s="407"/>
      <c r="E222" s="407"/>
      <c r="F222" s="407"/>
      <c r="G222" s="407"/>
      <c r="H222" s="407"/>
      <c r="I222" s="407"/>
      <c r="J222" s="407"/>
      <c r="K222" s="407"/>
      <c r="L222" s="407"/>
      <c r="M222" s="407"/>
      <c r="N222" s="407"/>
      <c r="O222" s="407"/>
      <c r="P222" s="407"/>
      <c r="Q222" s="407"/>
      <c r="R222" s="407"/>
      <c r="S222" s="407"/>
      <c r="T222" s="407"/>
      <c r="U222" s="407"/>
      <c r="V222" s="407"/>
      <c r="W222" s="407"/>
      <c r="X222" s="407"/>
      <c r="Y222" s="407"/>
      <c r="Z222" s="408"/>
    </row>
    <row r="223" spans="1:26">
      <c r="A223" s="416"/>
      <c r="B223" s="407"/>
      <c r="C223" s="407"/>
      <c r="D223" s="407"/>
      <c r="E223" s="407"/>
      <c r="F223" s="407"/>
      <c r="G223" s="407"/>
      <c r="H223" s="407"/>
      <c r="I223" s="407"/>
      <c r="J223" s="407"/>
      <c r="K223" s="407"/>
      <c r="L223" s="407"/>
      <c r="M223" s="407"/>
      <c r="N223" s="407"/>
      <c r="O223" s="407"/>
      <c r="P223" s="407"/>
      <c r="Q223" s="407"/>
      <c r="R223" s="407"/>
      <c r="S223" s="407"/>
      <c r="T223" s="407"/>
      <c r="U223" s="407"/>
      <c r="V223" s="407"/>
      <c r="W223" s="407"/>
      <c r="X223" s="407"/>
      <c r="Y223" s="407"/>
      <c r="Z223" s="408"/>
    </row>
    <row r="224" spans="1:26">
      <c r="A224" s="416"/>
      <c r="B224" s="407"/>
      <c r="C224" s="407"/>
      <c r="D224" s="407"/>
      <c r="E224" s="407"/>
      <c r="F224" s="407"/>
      <c r="G224" s="407"/>
      <c r="H224" s="407"/>
      <c r="I224" s="407"/>
      <c r="J224" s="407"/>
      <c r="K224" s="407"/>
      <c r="L224" s="407"/>
      <c r="M224" s="407"/>
      <c r="N224" s="407"/>
      <c r="O224" s="407"/>
      <c r="P224" s="407"/>
      <c r="Q224" s="407"/>
      <c r="R224" s="407"/>
      <c r="S224" s="407"/>
      <c r="T224" s="407"/>
      <c r="U224" s="407"/>
      <c r="V224" s="407"/>
      <c r="W224" s="407"/>
      <c r="X224" s="407"/>
      <c r="Y224" s="407"/>
      <c r="Z224" s="408"/>
    </row>
    <row r="225" spans="1:26">
      <c r="A225" s="416"/>
      <c r="B225" s="407"/>
      <c r="C225" s="407"/>
      <c r="D225" s="407"/>
      <c r="E225" s="407"/>
      <c r="F225" s="407"/>
      <c r="G225" s="407"/>
      <c r="H225" s="407"/>
      <c r="I225" s="407"/>
      <c r="J225" s="407"/>
      <c r="K225" s="407"/>
      <c r="L225" s="407"/>
      <c r="M225" s="407"/>
      <c r="N225" s="407"/>
      <c r="O225" s="407"/>
      <c r="P225" s="407"/>
      <c r="Q225" s="407"/>
      <c r="R225" s="407"/>
      <c r="S225" s="407"/>
      <c r="T225" s="407"/>
      <c r="U225" s="407"/>
      <c r="V225" s="407"/>
      <c r="W225" s="407"/>
      <c r="X225" s="407"/>
      <c r="Y225" s="407"/>
      <c r="Z225" s="408"/>
    </row>
    <row r="226" spans="1:26">
      <c r="A226" s="416"/>
      <c r="B226" s="407"/>
      <c r="C226" s="407"/>
      <c r="D226" s="407"/>
      <c r="E226" s="407"/>
      <c r="F226" s="407"/>
      <c r="G226" s="407"/>
      <c r="H226" s="407"/>
      <c r="I226" s="407"/>
      <c r="J226" s="407"/>
      <c r="K226" s="407"/>
      <c r="L226" s="407"/>
      <c r="M226" s="407"/>
      <c r="N226" s="407"/>
      <c r="O226" s="407"/>
      <c r="P226" s="407"/>
      <c r="Q226" s="407"/>
      <c r="R226" s="407"/>
      <c r="S226" s="407"/>
      <c r="T226" s="407"/>
      <c r="U226" s="407"/>
      <c r="V226" s="407"/>
      <c r="W226" s="407"/>
      <c r="X226" s="407"/>
      <c r="Y226" s="407"/>
      <c r="Z226" s="408"/>
    </row>
    <row r="227" spans="1:26">
      <c r="A227" s="416"/>
      <c r="B227" s="407"/>
      <c r="C227" s="407"/>
      <c r="D227" s="407"/>
      <c r="E227" s="407"/>
      <c r="F227" s="407"/>
      <c r="G227" s="407"/>
      <c r="H227" s="407"/>
      <c r="I227" s="407"/>
      <c r="J227" s="407"/>
      <c r="K227" s="407"/>
      <c r="L227" s="407"/>
      <c r="M227" s="407"/>
      <c r="N227" s="407"/>
      <c r="O227" s="407"/>
      <c r="P227" s="407"/>
      <c r="Q227" s="407"/>
      <c r="R227" s="407"/>
      <c r="S227" s="407"/>
      <c r="T227" s="407"/>
      <c r="U227" s="407"/>
      <c r="V227" s="407"/>
      <c r="W227" s="407"/>
      <c r="X227" s="407"/>
      <c r="Y227" s="407"/>
      <c r="Z227" s="408"/>
    </row>
    <row r="228" spans="1:26">
      <c r="A228" s="416"/>
      <c r="B228" s="407"/>
      <c r="C228" s="407"/>
      <c r="D228" s="407"/>
      <c r="E228" s="407"/>
      <c r="F228" s="407"/>
      <c r="G228" s="407"/>
      <c r="H228" s="407"/>
      <c r="I228" s="407"/>
      <c r="J228" s="407"/>
      <c r="K228" s="407"/>
      <c r="L228" s="407"/>
      <c r="M228" s="407"/>
      <c r="N228" s="407"/>
      <c r="O228" s="407"/>
      <c r="P228" s="407"/>
      <c r="Q228" s="407"/>
      <c r="R228" s="407"/>
      <c r="S228" s="407"/>
      <c r="T228" s="407"/>
      <c r="U228" s="407"/>
      <c r="V228" s="407"/>
      <c r="W228" s="407"/>
      <c r="X228" s="407"/>
      <c r="Y228" s="407"/>
      <c r="Z228" s="408"/>
    </row>
    <row r="229" spans="1:26">
      <c r="A229" s="416"/>
      <c r="B229" s="407"/>
      <c r="C229" s="407"/>
      <c r="D229" s="407"/>
      <c r="E229" s="407"/>
      <c r="F229" s="407"/>
      <c r="G229" s="407"/>
      <c r="H229" s="407"/>
      <c r="I229" s="407"/>
      <c r="J229" s="407"/>
      <c r="K229" s="407"/>
      <c r="L229" s="407"/>
      <c r="M229" s="407"/>
      <c r="N229" s="407"/>
      <c r="O229" s="407"/>
      <c r="P229" s="407"/>
      <c r="Q229" s="407"/>
      <c r="R229" s="407"/>
      <c r="S229" s="407"/>
      <c r="T229" s="407"/>
      <c r="U229" s="407"/>
      <c r="V229" s="407"/>
      <c r="W229" s="407"/>
      <c r="X229" s="407"/>
      <c r="Y229" s="407"/>
      <c r="Z229" s="408"/>
    </row>
    <row r="230" spans="1:26">
      <c r="A230" s="416"/>
      <c r="B230" s="407"/>
      <c r="C230" s="407"/>
      <c r="D230" s="407"/>
      <c r="E230" s="407"/>
      <c r="F230" s="407"/>
      <c r="G230" s="407"/>
      <c r="H230" s="407"/>
      <c r="I230" s="407"/>
      <c r="J230" s="407"/>
      <c r="K230" s="407"/>
      <c r="L230" s="407"/>
      <c r="M230" s="407"/>
      <c r="N230" s="407"/>
      <c r="O230" s="407"/>
      <c r="P230" s="407"/>
      <c r="Q230" s="407"/>
      <c r="R230" s="407"/>
      <c r="S230" s="407"/>
      <c r="T230" s="407"/>
      <c r="U230" s="407"/>
      <c r="V230" s="407"/>
      <c r="W230" s="407"/>
      <c r="X230" s="407"/>
      <c r="Y230" s="407"/>
      <c r="Z230" s="408"/>
    </row>
    <row r="231" spans="1:26">
      <c r="A231" s="416"/>
      <c r="B231" s="407"/>
      <c r="C231" s="407"/>
      <c r="D231" s="407"/>
      <c r="E231" s="407"/>
      <c r="F231" s="407"/>
      <c r="G231" s="407"/>
      <c r="H231" s="407"/>
      <c r="I231" s="407"/>
      <c r="J231" s="407"/>
      <c r="K231" s="407"/>
      <c r="L231" s="407"/>
      <c r="M231" s="407"/>
      <c r="N231" s="407"/>
      <c r="O231" s="407"/>
      <c r="P231" s="407"/>
      <c r="Q231" s="407"/>
      <c r="R231" s="407"/>
      <c r="S231" s="407"/>
      <c r="T231" s="407"/>
      <c r="U231" s="407"/>
      <c r="V231" s="407"/>
      <c r="W231" s="407"/>
      <c r="X231" s="407"/>
      <c r="Y231" s="407"/>
      <c r="Z231" s="408"/>
    </row>
    <row r="232" spans="1:26">
      <c r="A232" s="416"/>
      <c r="B232" s="407"/>
      <c r="C232" s="407"/>
      <c r="D232" s="407"/>
      <c r="E232" s="407"/>
      <c r="F232" s="407"/>
      <c r="G232" s="407"/>
      <c r="H232" s="407"/>
      <c r="I232" s="407"/>
      <c r="J232" s="407"/>
      <c r="K232" s="407"/>
      <c r="L232" s="407"/>
      <c r="M232" s="407"/>
      <c r="N232" s="407"/>
      <c r="O232" s="407"/>
      <c r="P232" s="407"/>
      <c r="Q232" s="407"/>
      <c r="R232" s="407"/>
      <c r="S232" s="407"/>
      <c r="T232" s="407"/>
      <c r="U232" s="407"/>
      <c r="V232" s="407"/>
      <c r="W232" s="407"/>
      <c r="X232" s="407"/>
      <c r="Y232" s="407"/>
      <c r="Z232" s="408"/>
    </row>
    <row r="233" spans="1:26">
      <c r="A233" s="416"/>
      <c r="B233" s="407"/>
      <c r="C233" s="407"/>
      <c r="D233" s="407"/>
      <c r="E233" s="407"/>
      <c r="F233" s="407"/>
      <c r="G233" s="407"/>
      <c r="H233" s="407"/>
      <c r="I233" s="407"/>
      <c r="J233" s="407"/>
      <c r="K233" s="407"/>
      <c r="L233" s="407"/>
      <c r="M233" s="407"/>
      <c r="N233" s="407"/>
      <c r="O233" s="407"/>
      <c r="P233" s="407"/>
      <c r="Q233" s="407"/>
      <c r="R233" s="407"/>
      <c r="S233" s="407"/>
      <c r="T233" s="407"/>
      <c r="U233" s="407"/>
      <c r="V233" s="407"/>
      <c r="W233" s="407"/>
      <c r="X233" s="407"/>
      <c r="Y233" s="407"/>
      <c r="Z233" s="408"/>
    </row>
    <row r="234" spans="1:26">
      <c r="A234" s="416"/>
      <c r="B234" s="407"/>
      <c r="C234" s="407"/>
      <c r="D234" s="407"/>
      <c r="E234" s="407"/>
      <c r="F234" s="407"/>
      <c r="G234" s="407"/>
      <c r="H234" s="407"/>
      <c r="I234" s="407"/>
      <c r="J234" s="407"/>
      <c r="K234" s="407"/>
      <c r="L234" s="407"/>
      <c r="M234" s="407"/>
      <c r="N234" s="407"/>
      <c r="O234" s="407"/>
      <c r="P234" s="407"/>
      <c r="Q234" s="407"/>
      <c r="R234" s="407"/>
      <c r="S234" s="407"/>
      <c r="T234" s="407"/>
      <c r="U234" s="407"/>
      <c r="V234" s="407"/>
      <c r="W234" s="407"/>
      <c r="X234" s="407"/>
      <c r="Y234" s="407"/>
      <c r="Z234" s="408"/>
    </row>
    <row r="235" spans="1:26">
      <c r="A235" s="416"/>
      <c r="B235" s="407"/>
      <c r="C235" s="407"/>
      <c r="D235" s="407"/>
      <c r="E235" s="407"/>
      <c r="F235" s="407"/>
      <c r="G235" s="407"/>
      <c r="H235" s="407"/>
      <c r="I235" s="407"/>
      <c r="J235" s="407"/>
      <c r="K235" s="407"/>
      <c r="L235" s="407"/>
      <c r="M235" s="407"/>
      <c r="N235" s="407"/>
      <c r="O235" s="407"/>
      <c r="P235" s="407"/>
      <c r="Q235" s="407"/>
      <c r="R235" s="407"/>
      <c r="S235" s="407"/>
      <c r="T235" s="407"/>
      <c r="U235" s="407"/>
      <c r="V235" s="407"/>
      <c r="W235" s="407"/>
      <c r="X235" s="407"/>
      <c r="Y235" s="407"/>
      <c r="Z235" s="408"/>
    </row>
    <row r="236" spans="1:26">
      <c r="A236" s="416"/>
      <c r="B236" s="407"/>
      <c r="C236" s="407"/>
      <c r="D236" s="407"/>
      <c r="E236" s="407"/>
      <c r="F236" s="407"/>
      <c r="G236" s="407"/>
      <c r="H236" s="407"/>
      <c r="I236" s="407"/>
      <c r="J236" s="407"/>
      <c r="K236" s="407"/>
      <c r="L236" s="407"/>
      <c r="M236" s="407"/>
      <c r="N236" s="407"/>
      <c r="O236" s="407"/>
      <c r="P236" s="407"/>
      <c r="Q236" s="407"/>
      <c r="R236" s="407"/>
      <c r="S236" s="407"/>
      <c r="T236" s="407"/>
      <c r="U236" s="407"/>
      <c r="V236" s="407"/>
      <c r="W236" s="407"/>
      <c r="X236" s="407"/>
      <c r="Y236" s="407"/>
      <c r="Z236" s="408"/>
    </row>
    <row r="237" spans="1:26">
      <c r="A237" s="416"/>
      <c r="B237" s="407"/>
      <c r="C237" s="407"/>
      <c r="D237" s="407"/>
      <c r="E237" s="407"/>
      <c r="F237" s="407"/>
      <c r="G237" s="407"/>
      <c r="H237" s="407"/>
      <c r="I237" s="407"/>
      <c r="J237" s="407"/>
      <c r="K237" s="407"/>
      <c r="L237" s="407"/>
      <c r="M237" s="407"/>
      <c r="N237" s="407"/>
      <c r="O237" s="407"/>
      <c r="P237" s="407"/>
      <c r="Q237" s="407"/>
      <c r="R237" s="407"/>
      <c r="S237" s="407"/>
      <c r="T237" s="407"/>
      <c r="U237" s="407"/>
      <c r="V237" s="407"/>
      <c r="W237" s="407"/>
      <c r="X237" s="407"/>
      <c r="Y237" s="407"/>
      <c r="Z237" s="408"/>
    </row>
    <row r="238" spans="1:26">
      <c r="A238" s="416"/>
      <c r="B238" s="407"/>
      <c r="C238" s="407"/>
      <c r="D238" s="407"/>
      <c r="E238" s="407"/>
      <c r="F238" s="407"/>
      <c r="G238" s="407"/>
      <c r="H238" s="407"/>
      <c r="I238" s="407"/>
      <c r="J238" s="407"/>
      <c r="K238" s="407"/>
      <c r="L238" s="407"/>
      <c r="M238" s="407"/>
      <c r="N238" s="407"/>
      <c r="O238" s="407"/>
      <c r="P238" s="407"/>
      <c r="Q238" s="407"/>
      <c r="R238" s="407"/>
      <c r="S238" s="407"/>
      <c r="T238" s="407"/>
      <c r="U238" s="407"/>
      <c r="V238" s="407"/>
      <c r="W238" s="407"/>
      <c r="X238" s="407"/>
      <c r="Y238" s="407"/>
      <c r="Z238" s="408"/>
    </row>
    <row r="239" spans="1:26">
      <c r="A239" s="416"/>
      <c r="B239" s="407"/>
      <c r="C239" s="407"/>
      <c r="D239" s="407"/>
      <c r="E239" s="407"/>
      <c r="F239" s="407"/>
      <c r="G239" s="407"/>
      <c r="H239" s="407"/>
      <c r="I239" s="407"/>
      <c r="J239" s="407"/>
      <c r="K239" s="407"/>
      <c r="L239" s="407"/>
      <c r="M239" s="407"/>
      <c r="N239" s="407"/>
      <c r="O239" s="407"/>
      <c r="P239" s="407"/>
      <c r="Q239" s="407"/>
      <c r="R239" s="407"/>
      <c r="S239" s="407"/>
      <c r="T239" s="407"/>
      <c r="U239" s="407"/>
      <c r="V239" s="407"/>
      <c r="W239" s="407"/>
      <c r="X239" s="407"/>
      <c r="Y239" s="407"/>
      <c r="Z239" s="408"/>
    </row>
    <row r="240" spans="1:26">
      <c r="A240" s="416"/>
      <c r="B240" s="407"/>
      <c r="C240" s="407"/>
      <c r="D240" s="407"/>
      <c r="E240" s="407"/>
      <c r="F240" s="407"/>
      <c r="G240" s="407"/>
      <c r="H240" s="407"/>
      <c r="I240" s="407"/>
      <c r="J240" s="407"/>
      <c r="K240" s="407"/>
      <c r="L240" s="407"/>
      <c r="M240" s="407"/>
      <c r="N240" s="407"/>
      <c r="O240" s="407"/>
      <c r="P240" s="407"/>
      <c r="Q240" s="407"/>
      <c r="R240" s="407"/>
      <c r="S240" s="407"/>
      <c r="T240" s="407"/>
      <c r="U240" s="407"/>
      <c r="V240" s="407"/>
      <c r="W240" s="407"/>
      <c r="X240" s="407"/>
      <c r="Y240" s="407"/>
      <c r="Z240" s="408"/>
    </row>
    <row r="241" spans="1:26">
      <c r="A241" s="416"/>
      <c r="B241" s="407"/>
      <c r="C241" s="407"/>
      <c r="D241" s="407"/>
      <c r="E241" s="407"/>
      <c r="F241" s="407"/>
      <c r="G241" s="407"/>
      <c r="H241" s="407"/>
      <c r="I241" s="407"/>
      <c r="J241" s="407"/>
      <c r="K241" s="407"/>
      <c r="L241" s="407"/>
      <c r="M241" s="407"/>
      <c r="N241" s="407"/>
      <c r="O241" s="407"/>
      <c r="P241" s="407"/>
      <c r="Q241" s="407"/>
      <c r="R241" s="407"/>
      <c r="S241" s="407"/>
      <c r="T241" s="407"/>
      <c r="U241" s="407"/>
      <c r="V241" s="407"/>
      <c r="W241" s="407"/>
      <c r="X241" s="407"/>
      <c r="Y241" s="407"/>
      <c r="Z241" s="408"/>
    </row>
    <row r="242" spans="1:26">
      <c r="A242" s="416"/>
      <c r="B242" s="407"/>
      <c r="C242" s="407"/>
      <c r="D242" s="407"/>
      <c r="E242" s="407"/>
      <c r="F242" s="407"/>
      <c r="G242" s="407"/>
      <c r="H242" s="407"/>
      <c r="I242" s="407"/>
      <c r="J242" s="407"/>
      <c r="K242" s="407"/>
      <c r="L242" s="407"/>
      <c r="M242" s="407"/>
      <c r="N242" s="407"/>
      <c r="O242" s="407"/>
      <c r="P242" s="407"/>
      <c r="Q242" s="407"/>
      <c r="R242" s="407"/>
      <c r="S242" s="407"/>
      <c r="T242" s="407"/>
      <c r="U242" s="407"/>
      <c r="V242" s="407"/>
      <c r="W242" s="407"/>
      <c r="X242" s="407"/>
      <c r="Y242" s="407"/>
      <c r="Z242" s="408"/>
    </row>
    <row r="243" spans="1:26">
      <c r="A243" s="416"/>
      <c r="B243" s="407"/>
      <c r="C243" s="407"/>
      <c r="D243" s="407"/>
      <c r="E243" s="407"/>
      <c r="F243" s="407"/>
      <c r="G243" s="407"/>
      <c r="H243" s="407"/>
      <c r="I243" s="407"/>
      <c r="J243" s="407"/>
      <c r="K243" s="407"/>
      <c r="L243" s="407"/>
      <c r="M243" s="407"/>
      <c r="N243" s="407"/>
      <c r="O243" s="407"/>
      <c r="P243" s="407"/>
      <c r="Q243" s="407"/>
      <c r="R243" s="407"/>
      <c r="S243" s="407"/>
      <c r="T243" s="407"/>
      <c r="U243" s="407"/>
      <c r="V243" s="407"/>
      <c r="W243" s="407"/>
      <c r="X243" s="407"/>
      <c r="Y243" s="407"/>
      <c r="Z243" s="408"/>
    </row>
    <row r="244" spans="1:26">
      <c r="A244" s="416"/>
      <c r="B244" s="407"/>
      <c r="C244" s="407"/>
      <c r="D244" s="407"/>
      <c r="E244" s="407"/>
      <c r="F244" s="407"/>
      <c r="G244" s="407"/>
      <c r="H244" s="407"/>
      <c r="I244" s="407"/>
      <c r="J244" s="407"/>
      <c r="K244" s="407"/>
      <c r="L244" s="407"/>
      <c r="M244" s="407"/>
      <c r="N244" s="407"/>
      <c r="O244" s="407"/>
      <c r="P244" s="407"/>
      <c r="Q244" s="407"/>
      <c r="R244" s="407"/>
      <c r="S244" s="407"/>
      <c r="T244" s="407"/>
      <c r="U244" s="407"/>
      <c r="V244" s="407"/>
      <c r="W244" s="407"/>
      <c r="X244" s="407"/>
      <c r="Y244" s="407"/>
      <c r="Z244" s="408"/>
    </row>
    <row r="245" spans="1:26">
      <c r="A245" s="416"/>
      <c r="B245" s="407"/>
      <c r="C245" s="407"/>
      <c r="D245" s="407"/>
      <c r="E245" s="407"/>
      <c r="F245" s="407"/>
      <c r="G245" s="407"/>
      <c r="H245" s="407"/>
      <c r="I245" s="407"/>
      <c r="J245" s="407"/>
      <c r="K245" s="407"/>
      <c r="L245" s="407"/>
      <c r="M245" s="407"/>
      <c r="N245" s="407"/>
      <c r="O245" s="407"/>
      <c r="P245" s="407"/>
      <c r="Q245" s="407"/>
      <c r="R245" s="407"/>
      <c r="S245" s="407"/>
      <c r="T245" s="407"/>
      <c r="U245" s="407"/>
      <c r="V245" s="407"/>
      <c r="W245" s="407"/>
      <c r="X245" s="407"/>
      <c r="Y245" s="407"/>
      <c r="Z245" s="408"/>
    </row>
    <row r="246" spans="1:26">
      <c r="A246" s="416"/>
      <c r="B246" s="407"/>
      <c r="C246" s="407"/>
      <c r="D246" s="407"/>
      <c r="E246" s="407"/>
      <c r="F246" s="407"/>
      <c r="G246" s="407"/>
      <c r="H246" s="407"/>
      <c r="I246" s="407"/>
      <c r="J246" s="407"/>
      <c r="K246" s="407"/>
      <c r="L246" s="407"/>
      <c r="M246" s="407"/>
      <c r="N246" s="407"/>
      <c r="O246" s="407"/>
      <c r="P246" s="407"/>
      <c r="Q246" s="407"/>
      <c r="R246" s="407"/>
      <c r="S246" s="407"/>
      <c r="T246" s="407"/>
      <c r="U246" s="407"/>
      <c r="V246" s="407"/>
      <c r="W246" s="407"/>
      <c r="X246" s="407"/>
      <c r="Y246" s="407"/>
      <c r="Z246" s="408"/>
    </row>
    <row r="247" spans="1:26">
      <c r="A247" s="416"/>
      <c r="B247" s="407"/>
      <c r="C247" s="407"/>
      <c r="D247" s="407"/>
      <c r="E247" s="407"/>
      <c r="F247" s="407"/>
      <c r="G247" s="407"/>
      <c r="H247" s="407"/>
      <c r="I247" s="407"/>
      <c r="J247" s="407"/>
      <c r="K247" s="407"/>
      <c r="L247" s="407"/>
      <c r="M247" s="407"/>
      <c r="N247" s="407"/>
      <c r="O247" s="407"/>
      <c r="P247" s="407"/>
      <c r="Q247" s="407"/>
      <c r="R247" s="407"/>
      <c r="S247" s="407"/>
      <c r="T247" s="407"/>
      <c r="U247" s="407"/>
      <c r="V247" s="407"/>
      <c r="W247" s="407"/>
      <c r="X247" s="407"/>
      <c r="Y247" s="407"/>
      <c r="Z247" s="408"/>
    </row>
    <row r="248" spans="1:26">
      <c r="A248" s="416"/>
      <c r="B248" s="407"/>
      <c r="C248" s="407"/>
      <c r="D248" s="407"/>
      <c r="E248" s="407"/>
      <c r="F248" s="407"/>
      <c r="G248" s="407"/>
      <c r="H248" s="407"/>
      <c r="I248" s="407"/>
      <c r="J248" s="407"/>
      <c r="K248" s="407"/>
      <c r="L248" s="407"/>
      <c r="M248" s="407"/>
      <c r="N248" s="407"/>
      <c r="O248" s="407"/>
      <c r="P248" s="407"/>
      <c r="Q248" s="407"/>
      <c r="R248" s="407"/>
      <c r="S248" s="407"/>
      <c r="T248" s="407"/>
      <c r="U248" s="407"/>
      <c r="V248" s="407"/>
      <c r="W248" s="407"/>
      <c r="X248" s="407"/>
      <c r="Y248" s="407"/>
      <c r="Z248" s="408"/>
    </row>
    <row r="249" spans="1:26">
      <c r="A249" s="416"/>
      <c r="B249" s="407"/>
      <c r="C249" s="407"/>
      <c r="D249" s="407"/>
      <c r="E249" s="407"/>
      <c r="F249" s="407"/>
      <c r="G249" s="407"/>
      <c r="H249" s="407"/>
      <c r="I249" s="407"/>
      <c r="J249" s="407"/>
      <c r="K249" s="407"/>
      <c r="L249" s="407"/>
      <c r="M249" s="407"/>
      <c r="N249" s="407"/>
      <c r="O249" s="407"/>
      <c r="P249" s="407"/>
      <c r="Q249" s="407"/>
      <c r="R249" s="407"/>
      <c r="S249" s="407"/>
      <c r="T249" s="407"/>
      <c r="U249" s="407"/>
      <c r="V249" s="407"/>
      <c r="W249" s="407"/>
      <c r="X249" s="407"/>
      <c r="Y249" s="407"/>
      <c r="Z249" s="408"/>
    </row>
    <row r="250" spans="1:26">
      <c r="A250" s="416"/>
      <c r="B250" s="407"/>
      <c r="C250" s="407"/>
      <c r="D250" s="407"/>
      <c r="E250" s="407"/>
      <c r="F250" s="407"/>
      <c r="G250" s="407"/>
      <c r="H250" s="407"/>
      <c r="I250" s="407"/>
      <c r="J250" s="407"/>
      <c r="K250" s="407"/>
      <c r="L250" s="407"/>
      <c r="M250" s="407"/>
      <c r="N250" s="407"/>
      <c r="O250" s="407"/>
      <c r="P250" s="407"/>
      <c r="Q250" s="407"/>
      <c r="R250" s="407"/>
      <c r="S250" s="407"/>
      <c r="T250" s="407"/>
      <c r="U250" s="407"/>
      <c r="V250" s="407"/>
      <c r="W250" s="407"/>
      <c r="X250" s="407"/>
      <c r="Y250" s="407"/>
      <c r="Z250" s="408"/>
    </row>
    <row r="251" spans="1:26">
      <c r="A251" s="416"/>
      <c r="B251" s="407"/>
      <c r="C251" s="407"/>
      <c r="D251" s="407"/>
      <c r="E251" s="407"/>
      <c r="F251" s="407"/>
      <c r="G251" s="407"/>
      <c r="H251" s="407"/>
      <c r="I251" s="407"/>
      <c r="J251" s="407"/>
      <c r="K251" s="407"/>
      <c r="L251" s="407"/>
      <c r="M251" s="407"/>
      <c r="N251" s="407"/>
      <c r="O251" s="407"/>
      <c r="P251" s="407"/>
      <c r="Q251" s="407"/>
      <c r="R251" s="407"/>
      <c r="S251" s="407"/>
      <c r="T251" s="407"/>
      <c r="U251" s="407"/>
      <c r="V251" s="407"/>
      <c r="W251" s="407"/>
      <c r="X251" s="407"/>
      <c r="Y251" s="407"/>
      <c r="Z251" s="408"/>
    </row>
    <row r="252" spans="1:26">
      <c r="A252" s="416"/>
      <c r="B252" s="407"/>
      <c r="C252" s="407"/>
      <c r="D252" s="407"/>
      <c r="E252" s="407"/>
      <c r="F252" s="407"/>
      <c r="G252" s="407"/>
      <c r="H252" s="407"/>
      <c r="I252" s="407"/>
      <c r="J252" s="407"/>
      <c r="K252" s="407"/>
      <c r="L252" s="407"/>
      <c r="M252" s="407"/>
      <c r="N252" s="407"/>
      <c r="O252" s="407"/>
      <c r="P252" s="407"/>
      <c r="Q252" s="407"/>
      <c r="R252" s="407"/>
      <c r="S252" s="407"/>
      <c r="T252" s="407"/>
      <c r="U252" s="407"/>
      <c r="V252" s="407"/>
      <c r="W252" s="407"/>
      <c r="X252" s="407"/>
      <c r="Y252" s="407"/>
      <c r="Z252" s="408"/>
    </row>
    <row r="253" spans="1:26">
      <c r="A253" s="416"/>
      <c r="B253" s="407"/>
      <c r="C253" s="407"/>
      <c r="D253" s="407"/>
      <c r="E253" s="407"/>
      <c r="F253" s="407"/>
      <c r="G253" s="407"/>
      <c r="H253" s="407"/>
      <c r="I253" s="407"/>
      <c r="J253" s="407"/>
      <c r="K253" s="407"/>
      <c r="L253" s="407"/>
      <c r="M253" s="407"/>
      <c r="N253" s="407"/>
      <c r="O253" s="407"/>
      <c r="P253" s="407"/>
      <c r="Q253" s="407"/>
      <c r="R253" s="407"/>
      <c r="S253" s="407"/>
      <c r="T253" s="407"/>
      <c r="U253" s="407"/>
      <c r="V253" s="407"/>
      <c r="W253" s="407"/>
      <c r="X253" s="407"/>
      <c r="Y253" s="407"/>
      <c r="Z253" s="408"/>
    </row>
    <row r="254" spans="1:26">
      <c r="A254" s="416"/>
      <c r="B254" s="407"/>
      <c r="C254" s="407"/>
      <c r="D254" s="407"/>
      <c r="E254" s="407"/>
      <c r="F254" s="407"/>
      <c r="G254" s="407"/>
      <c r="H254" s="407"/>
      <c r="I254" s="407"/>
      <c r="J254" s="407"/>
      <c r="K254" s="407"/>
      <c r="L254" s="407"/>
      <c r="M254" s="407"/>
      <c r="N254" s="407"/>
      <c r="O254" s="407"/>
      <c r="P254" s="407"/>
      <c r="Q254" s="407"/>
      <c r="R254" s="407"/>
      <c r="S254" s="407"/>
      <c r="T254" s="407"/>
      <c r="U254" s="407"/>
      <c r="V254" s="407"/>
      <c r="W254" s="407"/>
      <c r="X254" s="407"/>
      <c r="Y254" s="407"/>
      <c r="Z254" s="408"/>
    </row>
    <row r="255" spans="1:26">
      <c r="A255" s="416"/>
      <c r="B255" s="407"/>
      <c r="C255" s="407"/>
      <c r="D255" s="407"/>
      <c r="E255" s="407"/>
      <c r="F255" s="407"/>
      <c r="G255" s="407"/>
      <c r="H255" s="407"/>
      <c r="I255" s="407"/>
      <c r="J255" s="407"/>
      <c r="K255" s="407"/>
      <c r="L255" s="407"/>
      <c r="M255" s="407"/>
      <c r="N255" s="407"/>
      <c r="O255" s="407"/>
      <c r="P255" s="407"/>
      <c r="Q255" s="407"/>
      <c r="R255" s="407"/>
      <c r="S255" s="407"/>
      <c r="T255" s="407"/>
      <c r="U255" s="407"/>
      <c r="V255" s="407"/>
      <c r="W255" s="407"/>
      <c r="X255" s="407"/>
      <c r="Y255" s="407"/>
      <c r="Z255" s="408"/>
    </row>
    <row r="256" spans="1:26">
      <c r="A256" s="416"/>
      <c r="B256" s="407"/>
      <c r="C256" s="407"/>
      <c r="D256" s="407"/>
      <c r="E256" s="407"/>
      <c r="F256" s="407"/>
      <c r="G256" s="407"/>
      <c r="H256" s="407"/>
      <c r="I256" s="407"/>
      <c r="J256" s="407"/>
      <c r="K256" s="407"/>
      <c r="L256" s="407"/>
      <c r="M256" s="407"/>
      <c r="N256" s="407"/>
      <c r="O256" s="407"/>
      <c r="P256" s="407"/>
      <c r="Q256" s="407"/>
      <c r="R256" s="407"/>
      <c r="S256" s="407"/>
      <c r="T256" s="407"/>
      <c r="U256" s="407"/>
      <c r="V256" s="407"/>
      <c r="W256" s="407"/>
      <c r="X256" s="407"/>
      <c r="Y256" s="407"/>
      <c r="Z256" s="408"/>
    </row>
    <row r="257" spans="1:26">
      <c r="A257" s="416"/>
      <c r="B257" s="407"/>
      <c r="C257" s="407"/>
      <c r="D257" s="407"/>
      <c r="E257" s="407"/>
      <c r="F257" s="407"/>
      <c r="G257" s="407"/>
      <c r="H257" s="407"/>
      <c r="I257" s="407"/>
      <c r="J257" s="407"/>
      <c r="K257" s="407"/>
      <c r="L257" s="407"/>
      <c r="M257" s="407"/>
      <c r="N257" s="407"/>
      <c r="O257" s="407"/>
      <c r="P257" s="407"/>
      <c r="Q257" s="407"/>
      <c r="R257" s="407"/>
      <c r="S257" s="407"/>
      <c r="T257" s="407"/>
      <c r="U257" s="407"/>
      <c r="V257" s="407"/>
      <c r="W257" s="407"/>
      <c r="X257" s="407"/>
      <c r="Y257" s="407"/>
      <c r="Z257" s="408"/>
    </row>
    <row r="258" spans="1:26">
      <c r="A258" s="416"/>
      <c r="B258" s="407"/>
      <c r="C258" s="407"/>
      <c r="D258" s="407"/>
      <c r="E258" s="407"/>
      <c r="F258" s="407"/>
      <c r="G258" s="407"/>
      <c r="H258" s="407"/>
      <c r="I258" s="407"/>
      <c r="J258" s="407"/>
      <c r="K258" s="407"/>
      <c r="L258" s="407"/>
      <c r="M258" s="407"/>
      <c r="N258" s="407"/>
      <c r="O258" s="407"/>
      <c r="P258" s="407"/>
      <c r="Q258" s="407"/>
      <c r="R258" s="407"/>
      <c r="S258" s="407"/>
      <c r="T258" s="407"/>
      <c r="U258" s="407"/>
      <c r="V258" s="407"/>
      <c r="W258" s="407"/>
      <c r="X258" s="407"/>
      <c r="Y258" s="407"/>
      <c r="Z258" s="408"/>
    </row>
    <row r="259" spans="1:26">
      <c r="A259" s="416"/>
      <c r="B259" s="407"/>
      <c r="C259" s="407"/>
      <c r="D259" s="407"/>
      <c r="E259" s="407"/>
      <c r="F259" s="407"/>
      <c r="G259" s="407"/>
      <c r="H259" s="407"/>
      <c r="I259" s="407"/>
      <c r="J259" s="407"/>
      <c r="K259" s="407"/>
      <c r="L259" s="407"/>
      <c r="M259" s="407"/>
      <c r="N259" s="407"/>
      <c r="O259" s="407"/>
      <c r="P259" s="407"/>
      <c r="Q259" s="407"/>
      <c r="R259" s="407"/>
      <c r="S259" s="407"/>
      <c r="T259" s="407"/>
      <c r="U259" s="407"/>
      <c r="V259" s="407"/>
      <c r="W259" s="407"/>
      <c r="X259" s="407"/>
      <c r="Y259" s="407"/>
      <c r="Z259" s="408"/>
    </row>
    <row r="260" spans="1:26">
      <c r="A260" s="416"/>
      <c r="B260" s="407"/>
      <c r="C260" s="407"/>
      <c r="D260" s="407"/>
      <c r="E260" s="407"/>
      <c r="F260" s="407"/>
      <c r="G260" s="407"/>
      <c r="H260" s="407"/>
      <c r="I260" s="407"/>
      <c r="J260" s="407"/>
      <c r="K260" s="407"/>
      <c r="L260" s="407"/>
      <c r="M260" s="407"/>
      <c r="N260" s="407"/>
      <c r="O260" s="407"/>
      <c r="P260" s="407"/>
      <c r="Q260" s="407"/>
      <c r="R260" s="407"/>
      <c r="S260" s="407"/>
      <c r="T260" s="407"/>
      <c r="U260" s="407"/>
      <c r="V260" s="407"/>
      <c r="W260" s="407"/>
      <c r="X260" s="407"/>
      <c r="Y260" s="407"/>
      <c r="Z260" s="408"/>
    </row>
    <row r="261" spans="1:26">
      <c r="A261" s="416"/>
      <c r="B261" s="407"/>
      <c r="C261" s="407"/>
      <c r="D261" s="407"/>
      <c r="E261" s="407"/>
      <c r="F261" s="407"/>
      <c r="G261" s="407"/>
      <c r="H261" s="407"/>
      <c r="I261" s="407"/>
      <c r="J261" s="407"/>
      <c r="K261" s="407"/>
      <c r="L261" s="407"/>
      <c r="M261" s="407"/>
      <c r="N261" s="407"/>
      <c r="O261" s="407"/>
      <c r="P261" s="407"/>
      <c r="Q261" s="407"/>
      <c r="R261" s="407"/>
      <c r="S261" s="407"/>
      <c r="T261" s="407"/>
      <c r="U261" s="407"/>
      <c r="V261" s="407"/>
      <c r="W261" s="407"/>
      <c r="X261" s="407"/>
      <c r="Y261" s="407"/>
      <c r="Z261" s="408"/>
    </row>
    <row r="262" spans="1:26">
      <c r="A262" s="416"/>
      <c r="B262" s="407"/>
      <c r="C262" s="407"/>
      <c r="D262" s="407"/>
      <c r="E262" s="407"/>
      <c r="F262" s="407"/>
      <c r="G262" s="407"/>
      <c r="H262" s="407"/>
      <c r="I262" s="407"/>
      <c r="J262" s="407"/>
      <c r="K262" s="407"/>
      <c r="L262" s="407"/>
      <c r="M262" s="407"/>
      <c r="N262" s="407"/>
      <c r="O262" s="407"/>
      <c r="P262" s="407"/>
      <c r="Q262" s="407"/>
      <c r="R262" s="407"/>
      <c r="S262" s="407"/>
      <c r="T262" s="407"/>
      <c r="U262" s="407"/>
      <c r="V262" s="407"/>
      <c r="W262" s="407"/>
      <c r="X262" s="407"/>
      <c r="Y262" s="407"/>
      <c r="Z262" s="408"/>
    </row>
    <row r="263" spans="1:26">
      <c r="A263" s="416"/>
      <c r="B263" s="407"/>
      <c r="C263" s="407"/>
      <c r="D263" s="407"/>
      <c r="E263" s="407"/>
      <c r="F263" s="407"/>
      <c r="G263" s="407"/>
      <c r="H263" s="407"/>
      <c r="I263" s="407"/>
      <c r="J263" s="407"/>
      <c r="K263" s="407"/>
      <c r="L263" s="407"/>
      <c r="M263" s="407"/>
      <c r="N263" s="407"/>
      <c r="O263" s="407"/>
      <c r="P263" s="407"/>
      <c r="Q263" s="407"/>
      <c r="R263" s="407"/>
      <c r="S263" s="407"/>
      <c r="T263" s="407"/>
      <c r="U263" s="407"/>
      <c r="V263" s="407"/>
      <c r="W263" s="407"/>
      <c r="X263" s="407"/>
      <c r="Y263" s="407"/>
      <c r="Z263" s="408"/>
    </row>
    <row r="264" spans="1:26">
      <c r="A264" s="416"/>
      <c r="B264" s="407"/>
      <c r="C264" s="407"/>
      <c r="D264" s="407"/>
      <c r="E264" s="407"/>
      <c r="F264" s="407"/>
      <c r="G264" s="407"/>
      <c r="H264" s="407"/>
      <c r="I264" s="407"/>
      <c r="J264" s="407"/>
      <c r="K264" s="407"/>
      <c r="L264" s="407"/>
      <c r="M264" s="407"/>
      <c r="N264" s="407"/>
      <c r="O264" s="407"/>
      <c r="P264" s="407"/>
      <c r="Q264" s="407"/>
      <c r="R264" s="407"/>
      <c r="S264" s="407"/>
      <c r="T264" s="407"/>
      <c r="U264" s="407"/>
      <c r="V264" s="407"/>
      <c r="W264" s="407"/>
      <c r="X264" s="407"/>
      <c r="Y264" s="407"/>
      <c r="Z264" s="408"/>
    </row>
    <row r="265" spans="1:26">
      <c r="A265" s="416"/>
      <c r="B265" s="407"/>
      <c r="C265" s="407"/>
      <c r="D265" s="407"/>
      <c r="E265" s="407"/>
      <c r="F265" s="407"/>
      <c r="G265" s="407"/>
      <c r="H265" s="407"/>
      <c r="I265" s="407"/>
      <c r="J265" s="407"/>
      <c r="K265" s="407"/>
      <c r="L265" s="407"/>
      <c r="M265" s="407"/>
      <c r="N265" s="407"/>
      <c r="O265" s="407"/>
      <c r="P265" s="407"/>
      <c r="Q265" s="407"/>
      <c r="R265" s="407"/>
      <c r="S265" s="407"/>
      <c r="T265" s="407"/>
      <c r="U265" s="407"/>
      <c r="V265" s="407"/>
      <c r="W265" s="407"/>
      <c r="X265" s="407"/>
      <c r="Y265" s="407"/>
      <c r="Z265" s="408"/>
    </row>
    <row r="266" spans="1:26">
      <c r="A266" s="416"/>
      <c r="B266" s="407"/>
      <c r="C266" s="407"/>
      <c r="D266" s="407"/>
      <c r="E266" s="407"/>
      <c r="F266" s="407"/>
      <c r="G266" s="407"/>
      <c r="H266" s="407"/>
      <c r="I266" s="407"/>
      <c r="J266" s="407"/>
      <c r="K266" s="407"/>
      <c r="L266" s="407"/>
      <c r="M266" s="407"/>
      <c r="N266" s="407"/>
      <c r="O266" s="407"/>
      <c r="P266" s="407"/>
      <c r="Q266" s="407"/>
      <c r="R266" s="407"/>
      <c r="S266" s="407"/>
      <c r="T266" s="407"/>
      <c r="U266" s="407"/>
      <c r="V266" s="407"/>
      <c r="W266" s="407"/>
      <c r="X266" s="407"/>
      <c r="Y266" s="407"/>
      <c r="Z266" s="408"/>
    </row>
    <row r="267" spans="1:26">
      <c r="A267" s="416"/>
      <c r="B267" s="407"/>
      <c r="C267" s="407"/>
      <c r="D267" s="407"/>
      <c r="E267" s="407"/>
      <c r="F267" s="407"/>
      <c r="G267" s="407"/>
      <c r="H267" s="407"/>
      <c r="I267" s="407"/>
      <c r="J267" s="407"/>
      <c r="K267" s="407"/>
      <c r="L267" s="407"/>
      <c r="M267" s="407"/>
      <c r="N267" s="407"/>
      <c r="O267" s="407"/>
      <c r="P267" s="407"/>
      <c r="Q267" s="407"/>
      <c r="R267" s="407"/>
      <c r="S267" s="407"/>
      <c r="T267" s="407"/>
      <c r="U267" s="407"/>
      <c r="V267" s="407"/>
      <c r="W267" s="407"/>
      <c r="X267" s="407"/>
      <c r="Y267" s="407"/>
      <c r="Z267" s="408"/>
    </row>
    <row r="268" spans="1:26">
      <c r="A268" s="416"/>
      <c r="B268" s="407"/>
      <c r="C268" s="407"/>
      <c r="D268" s="407"/>
      <c r="E268" s="407"/>
      <c r="F268" s="407"/>
      <c r="G268" s="407"/>
      <c r="H268" s="407"/>
      <c r="I268" s="407"/>
      <c r="J268" s="407"/>
      <c r="K268" s="407"/>
      <c r="L268" s="407"/>
      <c r="M268" s="407"/>
      <c r="N268" s="407"/>
      <c r="O268" s="407"/>
      <c r="P268" s="407"/>
      <c r="Q268" s="407"/>
      <c r="R268" s="407"/>
      <c r="S268" s="407"/>
      <c r="T268" s="407"/>
      <c r="U268" s="407"/>
      <c r="V268" s="407"/>
      <c r="W268" s="407"/>
      <c r="X268" s="407"/>
      <c r="Y268" s="407"/>
      <c r="Z268" s="408"/>
    </row>
    <row r="269" spans="1:26">
      <c r="A269" s="416"/>
      <c r="B269" s="407"/>
      <c r="C269" s="407"/>
      <c r="D269" s="407"/>
      <c r="E269" s="407"/>
      <c r="F269" s="407"/>
      <c r="G269" s="407"/>
      <c r="H269" s="407"/>
      <c r="I269" s="407"/>
      <c r="J269" s="407"/>
      <c r="K269" s="407"/>
      <c r="L269" s="407"/>
      <c r="M269" s="407"/>
      <c r="N269" s="407"/>
      <c r="O269" s="407"/>
      <c r="P269" s="407"/>
      <c r="Q269" s="407"/>
      <c r="R269" s="407"/>
      <c r="S269" s="407"/>
      <c r="T269" s="407"/>
      <c r="U269" s="407"/>
      <c r="V269" s="407"/>
      <c r="W269" s="407"/>
      <c r="X269" s="407"/>
      <c r="Y269" s="407"/>
      <c r="Z269" s="408"/>
    </row>
    <row r="270" spans="1:26">
      <c r="A270" s="416"/>
      <c r="B270" s="407"/>
      <c r="C270" s="407"/>
      <c r="D270" s="407"/>
      <c r="E270" s="407"/>
      <c r="F270" s="407"/>
      <c r="G270" s="407"/>
      <c r="H270" s="407"/>
      <c r="I270" s="407"/>
      <c r="J270" s="407"/>
      <c r="K270" s="407"/>
      <c r="L270" s="407"/>
      <c r="M270" s="407"/>
      <c r="N270" s="407"/>
      <c r="O270" s="407"/>
      <c r="P270" s="407"/>
      <c r="Q270" s="407"/>
      <c r="R270" s="407"/>
      <c r="S270" s="407"/>
      <c r="T270" s="407"/>
      <c r="U270" s="407"/>
      <c r="V270" s="407"/>
      <c r="W270" s="407"/>
      <c r="X270" s="407"/>
      <c r="Y270" s="407"/>
      <c r="Z270" s="408"/>
    </row>
    <row r="271" spans="1:26">
      <c r="A271" s="416"/>
      <c r="B271" s="407"/>
      <c r="C271" s="407"/>
      <c r="D271" s="407"/>
      <c r="E271" s="407"/>
      <c r="F271" s="407"/>
      <c r="G271" s="407"/>
      <c r="H271" s="407"/>
      <c r="I271" s="407"/>
      <c r="J271" s="407"/>
      <c r="K271" s="407"/>
      <c r="L271" s="407"/>
      <c r="M271" s="407"/>
      <c r="N271" s="407"/>
      <c r="O271" s="407"/>
      <c r="P271" s="407"/>
      <c r="Q271" s="407"/>
      <c r="R271" s="407"/>
      <c r="S271" s="407"/>
      <c r="T271" s="407"/>
      <c r="U271" s="407"/>
      <c r="V271" s="407"/>
      <c r="W271" s="407"/>
      <c r="X271" s="407"/>
      <c r="Y271" s="407"/>
      <c r="Z271" s="408"/>
    </row>
    <row r="272" spans="1:26">
      <c r="A272" s="416"/>
      <c r="B272" s="407"/>
      <c r="C272" s="407"/>
      <c r="D272" s="407"/>
      <c r="E272" s="407"/>
      <c r="F272" s="407"/>
      <c r="G272" s="407"/>
      <c r="H272" s="407"/>
      <c r="I272" s="407"/>
      <c r="J272" s="407"/>
      <c r="K272" s="407"/>
      <c r="L272" s="407"/>
      <c r="M272" s="407"/>
      <c r="N272" s="407"/>
      <c r="O272" s="407"/>
      <c r="P272" s="407"/>
      <c r="Q272" s="407"/>
      <c r="R272" s="407"/>
      <c r="S272" s="407"/>
      <c r="T272" s="407"/>
      <c r="U272" s="407"/>
      <c r="V272" s="407"/>
      <c r="W272" s="407"/>
      <c r="X272" s="407"/>
      <c r="Y272" s="407"/>
      <c r="Z272" s="408"/>
    </row>
    <row r="273" spans="1:26">
      <c r="A273" s="416"/>
      <c r="B273" s="407"/>
      <c r="C273" s="407"/>
      <c r="D273" s="407"/>
      <c r="E273" s="407"/>
      <c r="F273" s="407"/>
      <c r="G273" s="407"/>
      <c r="H273" s="407"/>
      <c r="I273" s="407"/>
      <c r="J273" s="407"/>
      <c r="K273" s="407"/>
      <c r="L273" s="407"/>
      <c r="M273" s="407"/>
      <c r="N273" s="407"/>
      <c r="O273" s="407"/>
      <c r="P273" s="407"/>
      <c r="Q273" s="407"/>
      <c r="R273" s="407"/>
      <c r="S273" s="407"/>
      <c r="T273" s="407"/>
      <c r="U273" s="407"/>
      <c r="V273" s="407"/>
      <c r="W273" s="407"/>
      <c r="X273" s="407"/>
      <c r="Y273" s="407"/>
      <c r="Z273" s="408"/>
    </row>
    <row r="274" spans="1:26">
      <c r="A274" s="416"/>
      <c r="B274" s="407"/>
      <c r="C274" s="407"/>
      <c r="D274" s="407"/>
      <c r="E274" s="407"/>
      <c r="F274" s="407"/>
      <c r="G274" s="407"/>
      <c r="H274" s="407"/>
      <c r="I274" s="407"/>
      <c r="J274" s="407"/>
      <c r="K274" s="407"/>
      <c r="L274" s="407"/>
      <c r="M274" s="407"/>
      <c r="N274" s="407"/>
      <c r="O274" s="407"/>
      <c r="P274" s="407"/>
      <c r="Q274" s="407"/>
      <c r="R274" s="407"/>
      <c r="S274" s="407"/>
      <c r="T274" s="407"/>
      <c r="U274" s="407"/>
      <c r="V274" s="407"/>
      <c r="W274" s="407"/>
      <c r="X274" s="407"/>
      <c r="Y274" s="407"/>
      <c r="Z274" s="408"/>
    </row>
    <row r="275" spans="1:26">
      <c r="A275" s="416"/>
      <c r="B275" s="407"/>
      <c r="C275" s="407"/>
      <c r="D275" s="407"/>
      <c r="E275" s="407"/>
      <c r="F275" s="407"/>
      <c r="G275" s="407"/>
      <c r="H275" s="407"/>
      <c r="I275" s="407"/>
      <c r="J275" s="407"/>
      <c r="K275" s="407"/>
      <c r="L275" s="407"/>
      <c r="M275" s="407"/>
      <c r="N275" s="407"/>
      <c r="O275" s="407"/>
      <c r="P275" s="407"/>
      <c r="Q275" s="407"/>
      <c r="R275" s="407"/>
      <c r="S275" s="407"/>
      <c r="T275" s="407"/>
      <c r="U275" s="407"/>
      <c r="V275" s="407"/>
      <c r="W275" s="407"/>
      <c r="X275" s="407"/>
      <c r="Y275" s="407"/>
      <c r="Z275" s="408"/>
    </row>
    <row r="276" spans="1:26">
      <c r="A276" s="416"/>
      <c r="B276" s="407"/>
      <c r="C276" s="407"/>
      <c r="D276" s="407"/>
      <c r="E276" s="407"/>
      <c r="F276" s="407"/>
      <c r="G276" s="407"/>
      <c r="H276" s="407"/>
      <c r="I276" s="407"/>
      <c r="J276" s="407"/>
      <c r="K276" s="407"/>
      <c r="L276" s="407"/>
      <c r="M276" s="407"/>
      <c r="N276" s="407"/>
      <c r="O276" s="407"/>
      <c r="P276" s="407"/>
      <c r="Q276" s="407"/>
      <c r="R276" s="407"/>
      <c r="S276" s="407"/>
      <c r="T276" s="407"/>
      <c r="U276" s="407"/>
      <c r="V276" s="407"/>
      <c r="W276" s="407"/>
      <c r="X276" s="407"/>
      <c r="Y276" s="407"/>
      <c r="Z276" s="408"/>
    </row>
    <row r="277" spans="1:26">
      <c r="A277" s="416"/>
      <c r="B277" s="407"/>
      <c r="C277" s="407"/>
      <c r="D277" s="407"/>
      <c r="E277" s="407"/>
      <c r="F277" s="407"/>
      <c r="G277" s="407"/>
      <c r="H277" s="407"/>
      <c r="I277" s="407"/>
      <c r="J277" s="407"/>
      <c r="K277" s="407"/>
      <c r="L277" s="407"/>
      <c r="M277" s="407"/>
      <c r="N277" s="407"/>
      <c r="O277" s="407"/>
      <c r="P277" s="407"/>
      <c r="Q277" s="407"/>
      <c r="R277" s="407"/>
      <c r="S277" s="407"/>
      <c r="T277" s="407"/>
      <c r="U277" s="407"/>
      <c r="V277" s="407"/>
      <c r="W277" s="407"/>
      <c r="X277" s="407"/>
      <c r="Y277" s="407"/>
      <c r="Z277" s="408"/>
    </row>
    <row r="278" spans="1:26">
      <c r="A278" s="416"/>
      <c r="B278" s="407"/>
      <c r="C278" s="407"/>
      <c r="D278" s="407"/>
      <c r="E278" s="407"/>
      <c r="F278" s="407"/>
      <c r="G278" s="407"/>
      <c r="H278" s="407"/>
      <c r="I278" s="407"/>
      <c r="J278" s="407"/>
      <c r="K278" s="407"/>
      <c r="L278" s="407"/>
      <c r="M278" s="407"/>
      <c r="N278" s="407"/>
      <c r="O278" s="407"/>
      <c r="P278" s="407"/>
      <c r="Q278" s="407"/>
      <c r="R278" s="407"/>
      <c r="S278" s="407"/>
      <c r="T278" s="407"/>
      <c r="U278" s="407"/>
      <c r="V278" s="407"/>
      <c r="W278" s="407"/>
      <c r="X278" s="407"/>
      <c r="Y278" s="407"/>
      <c r="Z278" s="408"/>
    </row>
    <row r="279" spans="1:26">
      <c r="A279" s="416"/>
      <c r="B279" s="407"/>
      <c r="C279" s="407"/>
      <c r="D279" s="407"/>
      <c r="E279" s="407"/>
      <c r="F279" s="407"/>
      <c r="G279" s="407"/>
      <c r="H279" s="407"/>
      <c r="I279" s="407"/>
      <c r="J279" s="407"/>
      <c r="K279" s="407"/>
      <c r="L279" s="407"/>
      <c r="M279" s="407"/>
      <c r="N279" s="407"/>
      <c r="O279" s="407"/>
      <c r="P279" s="407"/>
      <c r="Q279" s="407"/>
      <c r="R279" s="407"/>
      <c r="S279" s="407"/>
      <c r="T279" s="407"/>
      <c r="U279" s="407"/>
      <c r="V279" s="407"/>
      <c r="W279" s="407"/>
      <c r="X279" s="407"/>
      <c r="Y279" s="407"/>
      <c r="Z279" s="408"/>
    </row>
    <row r="280" spans="1:26">
      <c r="A280" s="416"/>
      <c r="B280" s="407"/>
      <c r="C280" s="407"/>
      <c r="D280" s="407"/>
      <c r="E280" s="407"/>
      <c r="F280" s="407"/>
      <c r="G280" s="407"/>
      <c r="H280" s="407"/>
      <c r="I280" s="407"/>
      <c r="J280" s="407"/>
      <c r="K280" s="407"/>
      <c r="L280" s="407"/>
      <c r="M280" s="407"/>
      <c r="N280" s="407"/>
      <c r="O280" s="407"/>
      <c r="P280" s="407"/>
      <c r="Q280" s="407"/>
      <c r="R280" s="407"/>
      <c r="S280" s="407"/>
      <c r="T280" s="407"/>
      <c r="U280" s="407"/>
      <c r="V280" s="407"/>
      <c r="W280" s="407"/>
      <c r="X280" s="407"/>
      <c r="Y280" s="407"/>
      <c r="Z280" s="408"/>
    </row>
    <row r="281" spans="1:26">
      <c r="A281" s="416"/>
      <c r="B281" s="407"/>
      <c r="C281" s="407"/>
      <c r="D281" s="407"/>
      <c r="E281" s="407"/>
      <c r="F281" s="407"/>
      <c r="G281" s="407"/>
      <c r="H281" s="407"/>
      <c r="I281" s="407"/>
      <c r="J281" s="407"/>
      <c r="K281" s="407"/>
      <c r="L281" s="407"/>
      <c r="M281" s="407"/>
      <c r="N281" s="407"/>
      <c r="O281" s="407"/>
      <c r="P281" s="407"/>
      <c r="Q281" s="407"/>
      <c r="R281" s="407"/>
      <c r="S281" s="407"/>
      <c r="T281" s="407"/>
      <c r="U281" s="407"/>
      <c r="V281" s="407"/>
      <c r="W281" s="407"/>
      <c r="X281" s="407"/>
      <c r="Y281" s="407"/>
      <c r="Z281" s="408"/>
    </row>
    <row r="282" spans="1:26">
      <c r="A282" s="416"/>
      <c r="B282" s="407"/>
      <c r="C282" s="407"/>
      <c r="D282" s="407"/>
      <c r="E282" s="407"/>
      <c r="F282" s="407"/>
      <c r="G282" s="407"/>
      <c r="H282" s="407"/>
      <c r="I282" s="407"/>
      <c r="J282" s="407"/>
      <c r="K282" s="407"/>
      <c r="L282" s="407"/>
      <c r="M282" s="407"/>
      <c r="N282" s="407"/>
      <c r="O282" s="407"/>
      <c r="P282" s="407"/>
      <c r="Q282" s="407"/>
      <c r="R282" s="407"/>
      <c r="S282" s="407"/>
      <c r="T282" s="407"/>
      <c r="U282" s="407"/>
      <c r="V282" s="407"/>
      <c r="W282" s="407"/>
      <c r="X282" s="407"/>
      <c r="Y282" s="407"/>
      <c r="Z282" s="408"/>
    </row>
    <row r="283" spans="1:26">
      <c r="A283" s="416"/>
      <c r="B283" s="407"/>
      <c r="C283" s="407"/>
      <c r="D283" s="407"/>
      <c r="E283" s="407"/>
      <c r="F283" s="407"/>
      <c r="G283" s="407"/>
      <c r="H283" s="407"/>
      <c r="I283" s="407"/>
      <c r="J283" s="407"/>
      <c r="K283" s="407"/>
      <c r="L283" s="407"/>
      <c r="M283" s="407"/>
      <c r="N283" s="407"/>
      <c r="O283" s="407"/>
      <c r="P283" s="407"/>
      <c r="Q283" s="407"/>
      <c r="R283" s="407"/>
      <c r="S283" s="407"/>
      <c r="T283" s="407"/>
      <c r="U283" s="407"/>
      <c r="V283" s="407"/>
      <c r="W283" s="407"/>
      <c r="X283" s="407"/>
      <c r="Y283" s="407"/>
      <c r="Z283" s="408"/>
    </row>
    <row r="284" spans="1:26">
      <c r="A284" s="416"/>
      <c r="B284" s="407"/>
      <c r="C284" s="407"/>
      <c r="D284" s="407"/>
      <c r="E284" s="407"/>
      <c r="F284" s="407"/>
      <c r="G284" s="407"/>
      <c r="H284" s="407"/>
      <c r="I284" s="407"/>
      <c r="J284" s="407"/>
      <c r="K284" s="407"/>
      <c r="L284" s="407"/>
      <c r="M284" s="407"/>
      <c r="N284" s="407"/>
      <c r="O284" s="407"/>
      <c r="P284" s="407"/>
      <c r="Q284" s="407"/>
      <c r="R284" s="407"/>
      <c r="S284" s="407"/>
      <c r="T284" s="407"/>
      <c r="U284" s="407"/>
      <c r="V284" s="407"/>
      <c r="W284" s="407"/>
      <c r="X284" s="407"/>
      <c r="Y284" s="407"/>
      <c r="Z284" s="408"/>
    </row>
    <row r="285" spans="1:26">
      <c r="A285" s="416"/>
      <c r="B285" s="407"/>
      <c r="C285" s="407"/>
      <c r="D285" s="407"/>
      <c r="E285" s="407"/>
      <c r="F285" s="407"/>
      <c r="G285" s="407"/>
      <c r="H285" s="407"/>
      <c r="I285" s="407"/>
      <c r="J285" s="407"/>
      <c r="K285" s="407"/>
      <c r="L285" s="407"/>
      <c r="M285" s="407"/>
      <c r="N285" s="407"/>
      <c r="O285" s="407"/>
      <c r="P285" s="407"/>
      <c r="Q285" s="407"/>
      <c r="R285" s="407"/>
      <c r="S285" s="407"/>
      <c r="T285" s="407"/>
      <c r="U285" s="407"/>
      <c r="V285" s="407"/>
      <c r="W285" s="407"/>
      <c r="X285" s="407"/>
      <c r="Y285" s="407"/>
      <c r="Z285" s="408"/>
    </row>
    <row r="286" spans="1:26">
      <c r="A286" s="416"/>
      <c r="B286" s="407"/>
      <c r="C286" s="407"/>
      <c r="D286" s="407"/>
      <c r="E286" s="407"/>
      <c r="F286" s="407"/>
      <c r="G286" s="407"/>
      <c r="H286" s="407"/>
      <c r="I286" s="407"/>
      <c r="J286" s="407"/>
      <c r="K286" s="407"/>
      <c r="L286" s="407"/>
      <c r="M286" s="407"/>
      <c r="N286" s="407"/>
      <c r="O286" s="407"/>
      <c r="P286" s="407"/>
      <c r="Q286" s="407"/>
      <c r="R286" s="407"/>
      <c r="S286" s="407"/>
      <c r="T286" s="407"/>
      <c r="U286" s="407"/>
      <c r="V286" s="407"/>
      <c r="W286" s="407"/>
      <c r="X286" s="407"/>
      <c r="Y286" s="407"/>
      <c r="Z286" s="408"/>
    </row>
    <row r="287" spans="1:26">
      <c r="A287" s="416"/>
      <c r="B287" s="407"/>
      <c r="C287" s="407"/>
      <c r="D287" s="407"/>
      <c r="E287" s="407"/>
      <c r="F287" s="407"/>
      <c r="G287" s="407"/>
      <c r="H287" s="407"/>
      <c r="I287" s="407"/>
      <c r="J287" s="407"/>
      <c r="K287" s="407"/>
      <c r="L287" s="407"/>
      <c r="M287" s="407"/>
      <c r="N287" s="407"/>
      <c r="O287" s="407"/>
      <c r="P287" s="407"/>
      <c r="Q287" s="407"/>
      <c r="R287" s="407"/>
      <c r="S287" s="407"/>
      <c r="T287" s="407"/>
      <c r="U287" s="407"/>
      <c r="V287" s="407"/>
      <c r="W287" s="407"/>
      <c r="X287" s="407"/>
      <c r="Y287" s="407"/>
      <c r="Z287" s="408"/>
    </row>
    <row r="288" spans="1:26">
      <c r="A288" s="416"/>
      <c r="B288" s="407"/>
      <c r="C288" s="407"/>
      <c r="D288" s="407"/>
      <c r="E288" s="407"/>
      <c r="F288" s="407"/>
      <c r="G288" s="407"/>
      <c r="H288" s="407"/>
      <c r="I288" s="407"/>
      <c r="J288" s="407"/>
      <c r="K288" s="407"/>
      <c r="L288" s="407"/>
      <c r="M288" s="407"/>
      <c r="N288" s="407"/>
      <c r="O288" s="407"/>
      <c r="P288" s="407"/>
      <c r="Q288" s="407"/>
      <c r="R288" s="407"/>
      <c r="S288" s="407"/>
      <c r="T288" s="407"/>
      <c r="U288" s="407"/>
      <c r="V288" s="407"/>
      <c r="W288" s="407"/>
      <c r="X288" s="407"/>
      <c r="Y288" s="407"/>
      <c r="Z288" s="408"/>
    </row>
    <row r="289" spans="1:26">
      <c r="A289" s="416"/>
      <c r="B289" s="407"/>
      <c r="C289" s="407"/>
      <c r="D289" s="407"/>
      <c r="E289" s="407"/>
      <c r="F289" s="407"/>
      <c r="G289" s="407"/>
      <c r="H289" s="407"/>
      <c r="I289" s="407"/>
      <c r="J289" s="407"/>
      <c r="K289" s="407"/>
      <c r="L289" s="407"/>
      <c r="M289" s="407"/>
      <c r="N289" s="407"/>
      <c r="O289" s="407"/>
      <c r="P289" s="407"/>
      <c r="Q289" s="407"/>
      <c r="R289" s="407"/>
      <c r="S289" s="407"/>
      <c r="T289" s="407"/>
      <c r="U289" s="407"/>
      <c r="V289" s="407"/>
      <c r="W289" s="407"/>
      <c r="X289" s="407"/>
      <c r="Y289" s="407"/>
      <c r="Z289" s="408"/>
    </row>
    <row r="290" spans="1:26">
      <c r="A290" s="416"/>
      <c r="B290" s="407"/>
      <c r="C290" s="407"/>
      <c r="D290" s="407"/>
      <c r="E290" s="407"/>
      <c r="F290" s="407"/>
      <c r="G290" s="407"/>
      <c r="H290" s="407"/>
      <c r="I290" s="407"/>
      <c r="J290" s="407"/>
      <c r="K290" s="407"/>
      <c r="L290" s="407"/>
      <c r="M290" s="407"/>
      <c r="N290" s="407"/>
      <c r="O290" s="407"/>
      <c r="P290" s="407"/>
      <c r="Q290" s="407"/>
      <c r="R290" s="407"/>
      <c r="S290" s="407"/>
      <c r="T290" s="407"/>
      <c r="U290" s="407"/>
      <c r="V290" s="407"/>
      <c r="W290" s="407"/>
      <c r="X290" s="407"/>
      <c r="Y290" s="407"/>
      <c r="Z290" s="408"/>
    </row>
    <row r="291" spans="1:26">
      <c r="A291" s="416"/>
      <c r="B291" s="407"/>
      <c r="C291" s="407"/>
      <c r="D291" s="407"/>
      <c r="E291" s="407"/>
      <c r="F291" s="407"/>
      <c r="G291" s="407"/>
      <c r="H291" s="407"/>
      <c r="I291" s="407"/>
      <c r="J291" s="407"/>
      <c r="K291" s="407"/>
      <c r="L291" s="407"/>
      <c r="M291" s="407"/>
      <c r="N291" s="407"/>
      <c r="O291" s="407"/>
      <c r="P291" s="407"/>
      <c r="Q291" s="407"/>
      <c r="R291" s="407"/>
      <c r="S291" s="407"/>
      <c r="T291" s="407"/>
      <c r="U291" s="407"/>
      <c r="V291" s="407"/>
      <c r="W291" s="407"/>
      <c r="X291" s="407"/>
      <c r="Y291" s="407"/>
      <c r="Z291" s="408"/>
    </row>
    <row r="292" spans="1:26">
      <c r="A292" s="416"/>
      <c r="B292" s="407"/>
      <c r="C292" s="407"/>
      <c r="D292" s="407"/>
      <c r="E292" s="407"/>
      <c r="F292" s="407"/>
      <c r="G292" s="407"/>
      <c r="H292" s="407"/>
      <c r="I292" s="407"/>
      <c r="J292" s="407"/>
      <c r="K292" s="407"/>
      <c r="L292" s="407"/>
      <c r="M292" s="407"/>
      <c r="N292" s="407"/>
      <c r="O292" s="407"/>
      <c r="P292" s="407"/>
      <c r="Q292" s="407"/>
      <c r="R292" s="407"/>
      <c r="S292" s="407"/>
      <c r="T292" s="407"/>
      <c r="U292" s="407"/>
      <c r="V292" s="407"/>
      <c r="W292" s="407"/>
      <c r="X292" s="407"/>
      <c r="Y292" s="407"/>
      <c r="Z292" s="408"/>
    </row>
    <row r="293" spans="1:26">
      <c r="A293" s="416"/>
      <c r="B293" s="407"/>
      <c r="C293" s="407"/>
      <c r="D293" s="407"/>
      <c r="E293" s="407"/>
      <c r="F293" s="407"/>
      <c r="G293" s="407"/>
      <c r="H293" s="407"/>
      <c r="I293" s="407"/>
      <c r="J293" s="407"/>
      <c r="K293" s="407"/>
      <c r="L293" s="407"/>
      <c r="M293" s="407"/>
      <c r="N293" s="407"/>
      <c r="O293" s="407"/>
      <c r="P293" s="407"/>
      <c r="Q293" s="407"/>
      <c r="R293" s="407"/>
      <c r="S293" s="407"/>
      <c r="T293" s="407"/>
      <c r="U293" s="407"/>
      <c r="V293" s="407"/>
      <c r="W293" s="407"/>
      <c r="X293" s="407"/>
      <c r="Y293" s="407"/>
      <c r="Z293" s="408"/>
    </row>
    <row r="294" spans="1:26">
      <c r="A294" s="416"/>
      <c r="B294" s="407"/>
      <c r="C294" s="407"/>
      <c r="D294" s="407"/>
      <c r="E294" s="407"/>
      <c r="F294" s="407"/>
      <c r="G294" s="407"/>
      <c r="H294" s="407"/>
      <c r="I294" s="407"/>
      <c r="J294" s="407"/>
      <c r="K294" s="407"/>
      <c r="L294" s="407"/>
      <c r="M294" s="407"/>
      <c r="N294" s="407"/>
      <c r="O294" s="407"/>
      <c r="P294" s="407"/>
      <c r="Q294" s="407"/>
      <c r="R294" s="407"/>
      <c r="S294" s="407"/>
      <c r="T294" s="407"/>
      <c r="U294" s="407"/>
      <c r="V294" s="407"/>
      <c r="W294" s="407"/>
      <c r="X294" s="407"/>
      <c r="Y294" s="407"/>
      <c r="Z294" s="408"/>
    </row>
    <row r="295" spans="1:26">
      <c r="A295" s="416"/>
      <c r="B295" s="407"/>
      <c r="C295" s="407"/>
      <c r="D295" s="407"/>
      <c r="E295" s="407"/>
      <c r="F295" s="407"/>
      <c r="G295" s="407"/>
      <c r="H295" s="407"/>
      <c r="I295" s="407"/>
      <c r="J295" s="407"/>
      <c r="K295" s="407"/>
      <c r="L295" s="407"/>
      <c r="M295" s="407"/>
      <c r="N295" s="407"/>
      <c r="O295" s="407"/>
      <c r="P295" s="407"/>
      <c r="Q295" s="407"/>
      <c r="R295" s="407"/>
      <c r="S295" s="407"/>
      <c r="T295" s="407"/>
      <c r="U295" s="407"/>
      <c r="V295" s="407"/>
      <c r="W295" s="407"/>
      <c r="X295" s="407"/>
      <c r="Y295" s="407"/>
      <c r="Z295" s="408"/>
    </row>
    <row r="296" spans="1:26">
      <c r="A296" s="416"/>
      <c r="B296" s="407"/>
      <c r="C296" s="407"/>
      <c r="D296" s="407"/>
      <c r="E296" s="407"/>
      <c r="F296" s="407"/>
      <c r="G296" s="407"/>
      <c r="H296" s="407"/>
      <c r="I296" s="407"/>
      <c r="J296" s="407"/>
      <c r="K296" s="407"/>
      <c r="L296" s="407"/>
      <c r="M296" s="407"/>
      <c r="N296" s="407"/>
      <c r="O296" s="407"/>
      <c r="P296" s="407"/>
      <c r="Q296" s="407"/>
      <c r="R296" s="407"/>
      <c r="S296" s="407"/>
      <c r="T296" s="407"/>
      <c r="U296" s="407"/>
      <c r="V296" s="407"/>
      <c r="W296" s="407"/>
      <c r="X296" s="407"/>
      <c r="Y296" s="407"/>
      <c r="Z296" s="408"/>
    </row>
    <row r="297" spans="1:26">
      <c r="A297" s="416"/>
      <c r="B297" s="407"/>
      <c r="C297" s="407"/>
      <c r="D297" s="407"/>
      <c r="E297" s="407"/>
      <c r="F297" s="407"/>
      <c r="G297" s="407"/>
      <c r="H297" s="407"/>
      <c r="I297" s="407"/>
      <c r="J297" s="407"/>
      <c r="K297" s="407"/>
      <c r="L297" s="407"/>
      <c r="M297" s="407"/>
      <c r="N297" s="407"/>
      <c r="O297" s="407"/>
      <c r="P297" s="407"/>
      <c r="Q297" s="407"/>
      <c r="R297" s="407"/>
      <c r="S297" s="407"/>
      <c r="T297" s="407"/>
      <c r="U297" s="407"/>
      <c r="V297" s="407"/>
      <c r="W297" s="407"/>
      <c r="X297" s="407"/>
      <c r="Y297" s="407"/>
      <c r="Z297" s="408"/>
    </row>
    <row r="298" spans="1:26">
      <c r="A298" s="416"/>
      <c r="B298" s="407"/>
      <c r="C298" s="407"/>
      <c r="D298" s="407"/>
      <c r="E298" s="407"/>
      <c r="F298" s="407"/>
      <c r="G298" s="407"/>
      <c r="H298" s="407"/>
      <c r="I298" s="407"/>
      <c r="J298" s="407"/>
      <c r="K298" s="407"/>
      <c r="L298" s="407"/>
      <c r="M298" s="407"/>
      <c r="N298" s="407"/>
      <c r="O298" s="407"/>
      <c r="P298" s="407"/>
      <c r="Q298" s="407"/>
      <c r="R298" s="407"/>
      <c r="S298" s="407"/>
      <c r="T298" s="407"/>
      <c r="U298" s="407"/>
      <c r="V298" s="407"/>
      <c r="W298" s="407"/>
      <c r="X298" s="407"/>
      <c r="Y298" s="407"/>
      <c r="Z298" s="408"/>
    </row>
    <row r="299" spans="1:26">
      <c r="A299" s="416"/>
      <c r="B299" s="407"/>
      <c r="C299" s="407"/>
      <c r="D299" s="407"/>
      <c r="E299" s="407"/>
      <c r="F299" s="407"/>
      <c r="G299" s="407"/>
      <c r="H299" s="407"/>
      <c r="I299" s="407"/>
      <c r="J299" s="407"/>
      <c r="K299" s="407"/>
      <c r="L299" s="407"/>
      <c r="M299" s="407"/>
      <c r="N299" s="407"/>
      <c r="O299" s="407"/>
      <c r="P299" s="407"/>
      <c r="Q299" s="407"/>
      <c r="R299" s="407"/>
      <c r="S299" s="407"/>
      <c r="T299" s="407"/>
      <c r="U299" s="407"/>
      <c r="V299" s="407"/>
      <c r="W299" s="407"/>
      <c r="X299" s="407"/>
      <c r="Y299" s="407"/>
      <c r="Z299" s="408"/>
    </row>
    <row r="300" spans="1:26">
      <c r="A300" s="416"/>
      <c r="B300" s="407"/>
      <c r="C300" s="407"/>
      <c r="D300" s="407"/>
      <c r="E300" s="407"/>
      <c r="F300" s="407"/>
      <c r="G300" s="407"/>
      <c r="H300" s="407"/>
      <c r="I300" s="407"/>
      <c r="J300" s="407"/>
      <c r="K300" s="407"/>
      <c r="L300" s="407"/>
      <c r="M300" s="407"/>
      <c r="N300" s="407"/>
      <c r="O300" s="407"/>
      <c r="P300" s="407"/>
      <c r="Q300" s="407"/>
      <c r="R300" s="407"/>
      <c r="S300" s="407"/>
      <c r="T300" s="407"/>
      <c r="U300" s="407"/>
      <c r="V300" s="407"/>
      <c r="W300" s="407"/>
      <c r="X300" s="407"/>
      <c r="Y300" s="407"/>
      <c r="Z300" s="408"/>
    </row>
    <row r="301" spans="1:26">
      <c r="A301" s="416"/>
      <c r="B301" s="407"/>
      <c r="C301" s="407"/>
      <c r="D301" s="407"/>
      <c r="E301" s="407"/>
      <c r="F301" s="407"/>
      <c r="G301" s="407"/>
      <c r="H301" s="407"/>
      <c r="I301" s="407"/>
      <c r="J301" s="407"/>
      <c r="K301" s="407"/>
      <c r="L301" s="407"/>
      <c r="M301" s="407"/>
      <c r="N301" s="407"/>
      <c r="O301" s="407"/>
      <c r="P301" s="407"/>
      <c r="Q301" s="407"/>
      <c r="R301" s="407"/>
      <c r="S301" s="407"/>
      <c r="T301" s="407"/>
      <c r="U301" s="407"/>
      <c r="V301" s="407"/>
      <c r="W301" s="407"/>
      <c r="X301" s="407"/>
      <c r="Y301" s="407"/>
      <c r="Z301" s="408"/>
    </row>
    <row r="302" spans="1:26">
      <c r="A302" s="416"/>
      <c r="B302" s="407"/>
      <c r="C302" s="407"/>
      <c r="D302" s="407"/>
      <c r="E302" s="407"/>
      <c r="F302" s="407"/>
      <c r="G302" s="407"/>
      <c r="H302" s="407"/>
      <c r="I302" s="407"/>
      <c r="J302" s="407"/>
      <c r="K302" s="407"/>
      <c r="L302" s="407"/>
      <c r="M302" s="407"/>
      <c r="N302" s="407"/>
      <c r="O302" s="407"/>
      <c r="P302" s="407"/>
      <c r="Q302" s="407"/>
      <c r="R302" s="407"/>
      <c r="S302" s="407"/>
      <c r="T302" s="407"/>
      <c r="U302" s="407"/>
      <c r="V302" s="407"/>
      <c r="W302" s="407"/>
      <c r="X302" s="407"/>
      <c r="Y302" s="407"/>
      <c r="Z302" s="408"/>
    </row>
    <row r="303" spans="1:26">
      <c r="A303" s="416"/>
      <c r="B303" s="407"/>
      <c r="C303" s="407"/>
      <c r="D303" s="407"/>
      <c r="E303" s="407"/>
      <c r="F303" s="407"/>
      <c r="G303" s="407"/>
      <c r="H303" s="407"/>
      <c r="I303" s="407"/>
      <c r="J303" s="407"/>
      <c r="K303" s="407"/>
      <c r="L303" s="407"/>
      <c r="M303" s="407"/>
      <c r="N303" s="407"/>
      <c r="O303" s="407"/>
      <c r="P303" s="407"/>
      <c r="Q303" s="407"/>
      <c r="R303" s="407"/>
      <c r="S303" s="407"/>
      <c r="T303" s="407"/>
      <c r="U303" s="407"/>
      <c r="V303" s="407"/>
      <c r="W303" s="407"/>
      <c r="X303" s="407"/>
      <c r="Y303" s="407"/>
      <c r="Z303" s="408"/>
    </row>
    <row r="304" spans="1:26">
      <c r="A304" s="416"/>
      <c r="B304" s="407"/>
      <c r="C304" s="407"/>
      <c r="D304" s="407"/>
      <c r="E304" s="407"/>
      <c r="F304" s="407"/>
      <c r="G304" s="407"/>
      <c r="H304" s="407"/>
      <c r="I304" s="407"/>
      <c r="J304" s="407"/>
      <c r="K304" s="407"/>
      <c r="L304" s="407"/>
      <c r="M304" s="407"/>
      <c r="N304" s="407"/>
      <c r="O304" s="407"/>
      <c r="P304" s="407"/>
      <c r="Q304" s="407"/>
      <c r="R304" s="407"/>
      <c r="S304" s="407"/>
      <c r="T304" s="407"/>
      <c r="U304" s="407"/>
      <c r="V304" s="407"/>
      <c r="W304" s="407"/>
      <c r="X304" s="407"/>
      <c r="Y304" s="407"/>
      <c r="Z304" s="408"/>
    </row>
    <row r="305" spans="1:26">
      <c r="A305" s="416"/>
      <c r="B305" s="407"/>
      <c r="C305" s="407"/>
      <c r="D305" s="407"/>
      <c r="E305" s="407"/>
      <c r="F305" s="407"/>
      <c r="G305" s="407"/>
      <c r="H305" s="407"/>
      <c r="I305" s="407"/>
      <c r="J305" s="407"/>
      <c r="K305" s="407"/>
      <c r="L305" s="407"/>
      <c r="M305" s="407"/>
      <c r="N305" s="407"/>
      <c r="O305" s="407"/>
      <c r="P305" s="407"/>
      <c r="Q305" s="407"/>
      <c r="R305" s="407"/>
      <c r="S305" s="407"/>
      <c r="T305" s="407"/>
      <c r="U305" s="407"/>
      <c r="V305" s="407"/>
      <c r="W305" s="407"/>
      <c r="X305" s="407"/>
      <c r="Y305" s="407"/>
      <c r="Z305" s="408"/>
    </row>
    <row r="306" spans="1:26">
      <c r="A306" s="416"/>
      <c r="B306" s="407"/>
      <c r="C306" s="407"/>
      <c r="D306" s="407"/>
      <c r="E306" s="407"/>
      <c r="F306" s="407"/>
      <c r="G306" s="407"/>
      <c r="H306" s="407"/>
      <c r="I306" s="407"/>
      <c r="J306" s="407"/>
      <c r="K306" s="407"/>
      <c r="L306" s="407"/>
      <c r="M306" s="407"/>
      <c r="N306" s="407"/>
      <c r="O306" s="407"/>
      <c r="P306" s="407"/>
      <c r="Q306" s="407"/>
      <c r="R306" s="407"/>
      <c r="S306" s="407"/>
      <c r="T306" s="407"/>
      <c r="U306" s="407"/>
      <c r="V306" s="407"/>
      <c r="W306" s="407"/>
      <c r="X306" s="407"/>
      <c r="Y306" s="407"/>
      <c r="Z306" s="408"/>
    </row>
    <row r="307" spans="1:26">
      <c r="A307" s="416"/>
      <c r="B307" s="407"/>
      <c r="C307" s="407"/>
      <c r="D307" s="407"/>
      <c r="E307" s="407"/>
      <c r="F307" s="407"/>
      <c r="G307" s="407"/>
      <c r="H307" s="407"/>
      <c r="I307" s="407"/>
      <c r="J307" s="407"/>
      <c r="K307" s="407"/>
      <c r="L307" s="407"/>
      <c r="M307" s="407"/>
      <c r="N307" s="407"/>
      <c r="O307" s="407"/>
      <c r="P307" s="407"/>
      <c r="Q307" s="407"/>
      <c r="R307" s="407"/>
      <c r="S307" s="407"/>
      <c r="T307" s="407"/>
      <c r="U307" s="407"/>
      <c r="V307" s="407"/>
      <c r="W307" s="407"/>
      <c r="X307" s="407"/>
      <c r="Y307" s="407"/>
      <c r="Z307" s="408"/>
    </row>
    <row r="308" spans="1:26">
      <c r="A308" s="416"/>
      <c r="B308" s="407"/>
      <c r="C308" s="407"/>
      <c r="D308" s="407"/>
      <c r="E308" s="407"/>
      <c r="F308" s="407"/>
      <c r="G308" s="407"/>
      <c r="H308" s="407"/>
      <c r="I308" s="407"/>
      <c r="J308" s="407"/>
      <c r="K308" s="407"/>
      <c r="L308" s="407"/>
      <c r="M308" s="407"/>
      <c r="N308" s="407"/>
      <c r="O308" s="407"/>
      <c r="P308" s="407"/>
      <c r="Q308" s="407"/>
      <c r="R308" s="407"/>
      <c r="S308" s="407"/>
      <c r="T308" s="407"/>
      <c r="U308" s="407"/>
      <c r="V308" s="407"/>
      <c r="W308" s="407"/>
      <c r="X308" s="407"/>
      <c r="Y308" s="407"/>
      <c r="Z308" s="408"/>
    </row>
    <row r="309" spans="1:26">
      <c r="A309" s="416"/>
      <c r="B309" s="407"/>
      <c r="C309" s="407"/>
      <c r="D309" s="407"/>
      <c r="E309" s="407"/>
      <c r="F309" s="407"/>
      <c r="G309" s="407"/>
      <c r="H309" s="407"/>
      <c r="I309" s="407"/>
      <c r="J309" s="407"/>
      <c r="K309" s="407"/>
      <c r="L309" s="407"/>
      <c r="M309" s="407"/>
      <c r="N309" s="407"/>
      <c r="O309" s="407"/>
      <c r="P309" s="407"/>
      <c r="Q309" s="407"/>
      <c r="R309" s="407"/>
      <c r="S309" s="407"/>
      <c r="T309" s="407"/>
      <c r="U309" s="407"/>
      <c r="V309" s="407"/>
      <c r="W309" s="407"/>
      <c r="X309" s="407"/>
      <c r="Y309" s="407"/>
      <c r="Z309" s="408"/>
    </row>
    <row r="310" spans="1:26">
      <c r="A310" s="416"/>
      <c r="B310" s="407"/>
      <c r="C310" s="407"/>
      <c r="D310" s="407"/>
      <c r="E310" s="407"/>
      <c r="F310" s="407"/>
      <c r="G310" s="407"/>
      <c r="H310" s="407"/>
      <c r="I310" s="407"/>
      <c r="J310" s="407"/>
      <c r="K310" s="407"/>
      <c r="L310" s="407"/>
      <c r="M310" s="407"/>
      <c r="N310" s="407"/>
      <c r="O310" s="407"/>
      <c r="P310" s="407"/>
      <c r="Q310" s="407"/>
      <c r="R310" s="407"/>
      <c r="S310" s="407"/>
      <c r="T310" s="407"/>
      <c r="U310" s="407"/>
      <c r="V310" s="407"/>
      <c r="W310" s="407"/>
      <c r="X310" s="407"/>
      <c r="Y310" s="407"/>
      <c r="Z310" s="408"/>
    </row>
    <row r="311" spans="1:26">
      <c r="A311" s="416"/>
      <c r="B311" s="407"/>
      <c r="C311" s="407"/>
      <c r="D311" s="407"/>
      <c r="E311" s="407"/>
      <c r="F311" s="407"/>
      <c r="G311" s="407"/>
      <c r="H311" s="407"/>
      <c r="I311" s="407"/>
      <c r="J311" s="407"/>
      <c r="K311" s="407"/>
      <c r="L311" s="407"/>
      <c r="M311" s="407"/>
      <c r="N311" s="407"/>
      <c r="O311" s="407"/>
      <c r="P311" s="407"/>
      <c r="Q311" s="407"/>
      <c r="R311" s="407"/>
      <c r="S311" s="407"/>
      <c r="T311" s="407"/>
      <c r="U311" s="407"/>
      <c r="V311" s="407"/>
      <c r="W311" s="407"/>
      <c r="X311" s="407"/>
      <c r="Y311" s="407"/>
      <c r="Z311" s="408"/>
    </row>
    <row r="312" spans="1:26">
      <c r="A312" s="416"/>
      <c r="B312" s="407"/>
      <c r="C312" s="407"/>
      <c r="D312" s="407"/>
      <c r="E312" s="407"/>
      <c r="F312" s="407"/>
      <c r="G312" s="407"/>
      <c r="H312" s="407"/>
      <c r="I312" s="407"/>
      <c r="J312" s="407"/>
      <c r="K312" s="407"/>
      <c r="L312" s="407"/>
      <c r="M312" s="407"/>
      <c r="N312" s="407"/>
      <c r="O312" s="407"/>
      <c r="P312" s="407"/>
      <c r="Q312" s="407"/>
      <c r="R312" s="407"/>
      <c r="S312" s="407"/>
      <c r="T312" s="407"/>
      <c r="U312" s="407"/>
      <c r="V312" s="407"/>
      <c r="W312" s="407"/>
      <c r="X312" s="407"/>
      <c r="Y312" s="407"/>
      <c r="Z312" s="408"/>
    </row>
    <row r="313" spans="1:26">
      <c r="A313" s="416"/>
      <c r="B313" s="407"/>
      <c r="C313" s="407"/>
      <c r="D313" s="407"/>
      <c r="E313" s="407"/>
      <c r="F313" s="407"/>
      <c r="G313" s="407"/>
      <c r="H313" s="407"/>
      <c r="I313" s="407"/>
      <c r="J313" s="407"/>
      <c r="K313" s="407"/>
      <c r="L313" s="407"/>
      <c r="M313" s="407"/>
      <c r="N313" s="407"/>
      <c r="O313" s="407"/>
      <c r="P313" s="407"/>
      <c r="Q313" s="407"/>
      <c r="R313" s="407"/>
      <c r="S313" s="407"/>
      <c r="T313" s="407"/>
      <c r="U313" s="407"/>
      <c r="V313" s="407"/>
      <c r="W313" s="407"/>
      <c r="X313" s="407"/>
      <c r="Y313" s="407"/>
      <c r="Z313" s="408"/>
    </row>
    <row r="314" spans="1:26">
      <c r="A314" s="416"/>
      <c r="B314" s="407"/>
      <c r="C314" s="407"/>
      <c r="D314" s="407"/>
      <c r="E314" s="407"/>
      <c r="F314" s="407"/>
      <c r="G314" s="407"/>
      <c r="H314" s="407"/>
      <c r="I314" s="407"/>
      <c r="J314" s="407"/>
      <c r="K314" s="407"/>
      <c r="L314" s="407"/>
      <c r="M314" s="407"/>
      <c r="N314" s="407"/>
      <c r="O314" s="407"/>
      <c r="P314" s="407"/>
      <c r="Q314" s="407"/>
      <c r="R314" s="407"/>
      <c r="S314" s="407"/>
      <c r="T314" s="407"/>
      <c r="U314" s="407"/>
      <c r="V314" s="407"/>
      <c r="W314" s="407"/>
      <c r="X314" s="407"/>
      <c r="Y314" s="407"/>
      <c r="Z314" s="408"/>
    </row>
    <row r="315" spans="1:26">
      <c r="A315" s="416"/>
      <c r="B315" s="407"/>
      <c r="C315" s="407"/>
      <c r="D315" s="407"/>
      <c r="E315" s="407"/>
      <c r="F315" s="407"/>
      <c r="G315" s="407"/>
      <c r="H315" s="407"/>
      <c r="I315" s="407"/>
      <c r="J315" s="407"/>
      <c r="K315" s="407"/>
      <c r="L315" s="407"/>
      <c r="M315" s="407"/>
      <c r="N315" s="407"/>
      <c r="O315" s="407"/>
      <c r="P315" s="407"/>
      <c r="Q315" s="407"/>
      <c r="R315" s="407"/>
      <c r="S315" s="407"/>
      <c r="T315" s="407"/>
      <c r="U315" s="407"/>
      <c r="V315" s="407"/>
      <c r="W315" s="407"/>
      <c r="X315" s="407"/>
      <c r="Y315" s="407"/>
      <c r="Z315" s="408"/>
    </row>
    <row r="316" spans="1:26">
      <c r="A316" s="416"/>
      <c r="B316" s="407"/>
      <c r="C316" s="407"/>
      <c r="D316" s="407"/>
      <c r="E316" s="407"/>
      <c r="F316" s="407"/>
      <c r="G316" s="407"/>
      <c r="H316" s="407"/>
      <c r="I316" s="407"/>
      <c r="J316" s="407"/>
      <c r="K316" s="407"/>
      <c r="L316" s="407"/>
      <c r="M316" s="407"/>
      <c r="N316" s="407"/>
      <c r="O316" s="407"/>
      <c r="P316" s="407"/>
      <c r="Q316" s="407"/>
      <c r="R316" s="407"/>
      <c r="S316" s="407"/>
      <c r="T316" s="407"/>
      <c r="U316" s="407"/>
      <c r="V316" s="407"/>
      <c r="W316" s="407"/>
      <c r="X316" s="407"/>
      <c r="Y316" s="407"/>
      <c r="Z316" s="408"/>
    </row>
    <row r="317" spans="1:26">
      <c r="A317" s="416"/>
      <c r="B317" s="407"/>
      <c r="C317" s="407"/>
      <c r="D317" s="407"/>
      <c r="E317" s="407"/>
      <c r="F317" s="407"/>
      <c r="G317" s="407"/>
      <c r="H317" s="407"/>
      <c r="I317" s="407"/>
      <c r="J317" s="407"/>
      <c r="K317" s="407"/>
      <c r="L317" s="407"/>
      <c r="M317" s="407"/>
      <c r="N317" s="407"/>
      <c r="O317" s="407"/>
      <c r="P317" s="407"/>
      <c r="Q317" s="407"/>
      <c r="R317" s="407"/>
      <c r="S317" s="407"/>
      <c r="T317" s="407"/>
      <c r="U317" s="407"/>
      <c r="V317" s="407"/>
      <c r="W317" s="407"/>
      <c r="X317" s="407"/>
      <c r="Y317" s="407"/>
      <c r="Z317" s="408"/>
    </row>
    <row r="318" spans="1:26">
      <c r="A318" s="416"/>
      <c r="B318" s="407"/>
      <c r="C318" s="407"/>
      <c r="D318" s="407"/>
      <c r="E318" s="407"/>
      <c r="F318" s="407"/>
      <c r="G318" s="407"/>
      <c r="H318" s="407"/>
      <c r="I318" s="407"/>
      <c r="J318" s="407"/>
      <c r="K318" s="407"/>
      <c r="L318" s="407"/>
      <c r="M318" s="407"/>
      <c r="N318" s="407"/>
      <c r="O318" s="407"/>
      <c r="P318" s="407"/>
      <c r="Q318" s="407"/>
      <c r="R318" s="407"/>
      <c r="S318" s="407"/>
      <c r="T318" s="407"/>
      <c r="U318" s="407"/>
      <c r="V318" s="407"/>
      <c r="W318" s="407"/>
      <c r="X318" s="407"/>
      <c r="Y318" s="407"/>
      <c r="Z318" s="408"/>
    </row>
    <row r="319" spans="1:26">
      <c r="A319" s="416"/>
      <c r="B319" s="407"/>
      <c r="C319" s="407"/>
      <c r="D319" s="407"/>
      <c r="E319" s="407"/>
      <c r="F319" s="407"/>
      <c r="G319" s="407"/>
      <c r="H319" s="407"/>
      <c r="I319" s="407"/>
      <c r="J319" s="407"/>
      <c r="K319" s="407"/>
      <c r="L319" s="407"/>
      <c r="M319" s="407"/>
      <c r="N319" s="407"/>
      <c r="O319" s="407"/>
      <c r="P319" s="407"/>
      <c r="Q319" s="407"/>
      <c r="R319" s="407"/>
      <c r="S319" s="407"/>
      <c r="T319" s="407"/>
      <c r="U319" s="407"/>
      <c r="V319" s="407"/>
      <c r="W319" s="407"/>
      <c r="X319" s="407"/>
      <c r="Y319" s="407"/>
      <c r="Z319" s="408"/>
    </row>
    <row r="320" spans="1:26">
      <c r="A320" s="416"/>
      <c r="B320" s="407"/>
      <c r="C320" s="407"/>
      <c r="D320" s="407"/>
      <c r="E320" s="407"/>
      <c r="F320" s="407"/>
      <c r="G320" s="407"/>
      <c r="H320" s="407"/>
      <c r="I320" s="407"/>
      <c r="J320" s="407"/>
      <c r="K320" s="407"/>
      <c r="L320" s="407"/>
      <c r="M320" s="407"/>
      <c r="N320" s="407"/>
      <c r="O320" s="407"/>
      <c r="P320" s="407"/>
      <c r="Q320" s="407"/>
      <c r="R320" s="407"/>
      <c r="S320" s="407"/>
      <c r="T320" s="407"/>
      <c r="U320" s="407"/>
      <c r="V320" s="407"/>
      <c r="W320" s="407"/>
      <c r="X320" s="407"/>
      <c r="Y320" s="407"/>
      <c r="Z320" s="408"/>
    </row>
    <row r="321" spans="1:26">
      <c r="A321" s="416"/>
      <c r="B321" s="407"/>
      <c r="C321" s="407"/>
      <c r="D321" s="407"/>
      <c r="E321" s="407"/>
      <c r="F321" s="407"/>
      <c r="G321" s="407"/>
      <c r="H321" s="407"/>
      <c r="I321" s="407"/>
      <c r="J321" s="407"/>
      <c r="K321" s="407"/>
      <c r="L321" s="407"/>
      <c r="M321" s="407"/>
      <c r="N321" s="407"/>
      <c r="O321" s="407"/>
      <c r="P321" s="407"/>
      <c r="Q321" s="407"/>
      <c r="R321" s="407"/>
      <c r="S321" s="407"/>
      <c r="T321" s="407"/>
      <c r="U321" s="407"/>
      <c r="V321" s="407"/>
      <c r="W321" s="407"/>
      <c r="X321" s="407"/>
      <c r="Y321" s="407"/>
      <c r="Z321" s="408"/>
    </row>
    <row r="322" spans="1:26">
      <c r="A322" s="416"/>
      <c r="B322" s="407"/>
      <c r="C322" s="407"/>
      <c r="D322" s="407"/>
      <c r="E322" s="407"/>
      <c r="F322" s="407"/>
      <c r="G322" s="407"/>
      <c r="H322" s="407"/>
      <c r="I322" s="407"/>
      <c r="J322" s="407"/>
      <c r="K322" s="407"/>
      <c r="L322" s="407"/>
      <c r="M322" s="407"/>
      <c r="N322" s="407"/>
      <c r="O322" s="407"/>
      <c r="P322" s="407"/>
      <c r="Q322" s="407"/>
      <c r="R322" s="407"/>
      <c r="S322" s="407"/>
      <c r="T322" s="407"/>
      <c r="U322" s="407"/>
      <c r="V322" s="407"/>
      <c r="W322" s="407"/>
      <c r="X322" s="407"/>
      <c r="Y322" s="407"/>
      <c r="Z322" s="408"/>
    </row>
    <row r="323" spans="1:26">
      <c r="A323" s="416"/>
      <c r="B323" s="407"/>
      <c r="C323" s="407"/>
      <c r="D323" s="407"/>
      <c r="E323" s="407"/>
      <c r="F323" s="407"/>
      <c r="G323" s="407"/>
      <c r="H323" s="407"/>
      <c r="I323" s="407"/>
      <c r="J323" s="407"/>
      <c r="K323" s="407"/>
      <c r="L323" s="407"/>
      <c r="M323" s="407"/>
      <c r="N323" s="407"/>
      <c r="O323" s="407"/>
      <c r="P323" s="407"/>
      <c r="Q323" s="407"/>
      <c r="R323" s="407"/>
      <c r="S323" s="407"/>
      <c r="T323" s="407"/>
      <c r="U323" s="407"/>
      <c r="V323" s="407"/>
      <c r="W323" s="407"/>
      <c r="X323" s="407"/>
      <c r="Y323" s="407"/>
      <c r="Z323" s="408"/>
    </row>
    <row r="324" spans="1:26">
      <c r="A324" s="416"/>
      <c r="B324" s="407"/>
      <c r="C324" s="407"/>
      <c r="D324" s="407"/>
      <c r="E324" s="407"/>
      <c r="F324" s="407"/>
      <c r="G324" s="407"/>
      <c r="H324" s="407"/>
      <c r="I324" s="407"/>
      <c r="J324" s="407"/>
      <c r="K324" s="407"/>
      <c r="L324" s="407"/>
      <c r="M324" s="407"/>
      <c r="N324" s="407"/>
      <c r="O324" s="407"/>
      <c r="P324" s="407"/>
      <c r="Q324" s="407"/>
      <c r="R324" s="407"/>
      <c r="S324" s="407"/>
      <c r="T324" s="407"/>
      <c r="U324" s="407"/>
      <c r="V324" s="407"/>
      <c r="W324" s="407"/>
      <c r="X324" s="407"/>
      <c r="Y324" s="407"/>
      <c r="Z324" s="408"/>
    </row>
    <row r="325" spans="1:26">
      <c r="A325" s="416"/>
      <c r="B325" s="407"/>
      <c r="C325" s="407"/>
      <c r="D325" s="407"/>
      <c r="E325" s="407"/>
      <c r="F325" s="407"/>
      <c r="G325" s="407"/>
      <c r="H325" s="407"/>
      <c r="I325" s="407"/>
      <c r="J325" s="407"/>
      <c r="K325" s="407"/>
      <c r="L325" s="407"/>
      <c r="M325" s="407"/>
      <c r="N325" s="407"/>
      <c r="O325" s="407"/>
      <c r="P325" s="407"/>
      <c r="Q325" s="407"/>
      <c r="R325" s="407"/>
      <c r="S325" s="407"/>
      <c r="T325" s="407"/>
      <c r="U325" s="407"/>
      <c r="V325" s="407"/>
      <c r="W325" s="407"/>
      <c r="X325" s="407"/>
      <c r="Y325" s="407"/>
      <c r="Z325" s="408"/>
    </row>
    <row r="326" spans="1:26">
      <c r="A326" s="416"/>
      <c r="B326" s="407"/>
      <c r="C326" s="407"/>
      <c r="D326" s="407"/>
      <c r="E326" s="407"/>
      <c r="F326" s="407"/>
      <c r="G326" s="407"/>
      <c r="H326" s="407"/>
      <c r="I326" s="407"/>
      <c r="J326" s="407"/>
      <c r="K326" s="407"/>
      <c r="L326" s="407"/>
      <c r="M326" s="407"/>
      <c r="N326" s="407"/>
      <c r="O326" s="407"/>
      <c r="P326" s="407"/>
      <c r="Q326" s="407"/>
      <c r="R326" s="407"/>
      <c r="S326" s="407"/>
      <c r="T326" s="407"/>
      <c r="U326" s="407"/>
      <c r="V326" s="407"/>
      <c r="W326" s="407"/>
      <c r="X326" s="407"/>
      <c r="Y326" s="407"/>
      <c r="Z326" s="408"/>
    </row>
    <row r="327" spans="1:26">
      <c r="A327" s="416"/>
      <c r="B327" s="407"/>
      <c r="C327" s="407"/>
      <c r="D327" s="407"/>
      <c r="E327" s="407"/>
      <c r="F327" s="407"/>
      <c r="G327" s="407"/>
      <c r="H327" s="407"/>
      <c r="I327" s="407"/>
      <c r="J327" s="407"/>
      <c r="K327" s="407"/>
      <c r="L327" s="407"/>
      <c r="M327" s="407"/>
      <c r="N327" s="407"/>
      <c r="O327" s="407"/>
      <c r="P327" s="407"/>
      <c r="Q327" s="407"/>
      <c r="R327" s="407"/>
      <c r="S327" s="407"/>
      <c r="T327" s="407"/>
      <c r="U327" s="407"/>
      <c r="V327" s="407"/>
      <c r="W327" s="407"/>
      <c r="X327" s="407"/>
      <c r="Y327" s="407"/>
      <c r="Z327" s="408"/>
    </row>
    <row r="328" spans="1:26">
      <c r="A328" s="416"/>
      <c r="B328" s="407"/>
      <c r="C328" s="407"/>
      <c r="D328" s="407"/>
      <c r="E328" s="407"/>
      <c r="F328" s="407"/>
      <c r="G328" s="407"/>
      <c r="H328" s="407"/>
      <c r="I328" s="407"/>
      <c r="J328" s="407"/>
      <c r="K328" s="407"/>
      <c r="L328" s="407"/>
      <c r="M328" s="407"/>
      <c r="N328" s="407"/>
      <c r="O328" s="407"/>
      <c r="P328" s="407"/>
      <c r="Q328" s="407"/>
      <c r="R328" s="407"/>
      <c r="S328" s="407"/>
      <c r="T328" s="407"/>
      <c r="U328" s="407"/>
      <c r="V328" s="407"/>
      <c r="W328" s="407"/>
      <c r="X328" s="407"/>
      <c r="Y328" s="407"/>
      <c r="Z328" s="408"/>
    </row>
    <row r="329" spans="1:26">
      <c r="A329" s="416"/>
      <c r="B329" s="407"/>
      <c r="C329" s="407"/>
      <c r="D329" s="407"/>
      <c r="E329" s="407"/>
      <c r="F329" s="407"/>
      <c r="G329" s="407"/>
      <c r="H329" s="407"/>
      <c r="I329" s="407"/>
      <c r="J329" s="407"/>
      <c r="K329" s="407"/>
      <c r="L329" s="407"/>
      <c r="M329" s="407"/>
      <c r="N329" s="407"/>
      <c r="O329" s="407"/>
      <c r="P329" s="407"/>
      <c r="Q329" s="407"/>
      <c r="R329" s="407"/>
      <c r="S329" s="407"/>
      <c r="T329" s="407"/>
      <c r="U329" s="407"/>
      <c r="V329" s="407"/>
      <c r="W329" s="407"/>
      <c r="X329" s="407"/>
      <c r="Y329" s="407"/>
      <c r="Z329" s="408"/>
    </row>
    <row r="330" spans="1:26">
      <c r="A330" s="416"/>
      <c r="B330" s="407"/>
      <c r="C330" s="407"/>
      <c r="D330" s="407"/>
      <c r="E330" s="407"/>
      <c r="F330" s="407"/>
      <c r="G330" s="407"/>
      <c r="H330" s="407"/>
      <c r="I330" s="407"/>
      <c r="J330" s="407"/>
      <c r="K330" s="407"/>
      <c r="L330" s="407"/>
      <c r="M330" s="407"/>
      <c r="N330" s="407"/>
      <c r="O330" s="407"/>
      <c r="P330" s="407"/>
      <c r="Q330" s="407"/>
      <c r="R330" s="407"/>
      <c r="S330" s="407"/>
      <c r="T330" s="407"/>
      <c r="U330" s="407"/>
      <c r="V330" s="407"/>
      <c r="W330" s="407"/>
      <c r="X330" s="407"/>
      <c r="Y330" s="407"/>
      <c r="Z330" s="408"/>
    </row>
    <row r="331" spans="1:26">
      <c r="A331" s="416"/>
      <c r="B331" s="407"/>
      <c r="C331" s="407"/>
      <c r="D331" s="407"/>
      <c r="E331" s="407"/>
      <c r="F331" s="407"/>
      <c r="G331" s="407"/>
      <c r="H331" s="407"/>
      <c r="I331" s="407"/>
      <c r="J331" s="407"/>
      <c r="K331" s="407"/>
      <c r="L331" s="407"/>
      <c r="M331" s="407"/>
      <c r="N331" s="407"/>
      <c r="O331" s="407"/>
      <c r="P331" s="407"/>
      <c r="Q331" s="407"/>
      <c r="R331" s="407"/>
      <c r="S331" s="407"/>
      <c r="T331" s="407"/>
      <c r="U331" s="407"/>
      <c r="V331" s="407"/>
      <c r="W331" s="407"/>
      <c r="X331" s="407"/>
      <c r="Y331" s="407"/>
      <c r="Z331" s="408"/>
    </row>
    <row r="332" spans="1:26">
      <c r="A332" s="416"/>
      <c r="B332" s="407"/>
      <c r="C332" s="407"/>
      <c r="D332" s="407"/>
      <c r="E332" s="407"/>
      <c r="F332" s="407"/>
      <c r="G332" s="407"/>
      <c r="H332" s="407"/>
      <c r="I332" s="407"/>
      <c r="J332" s="407"/>
      <c r="K332" s="407"/>
      <c r="L332" s="407"/>
      <c r="M332" s="407"/>
      <c r="N332" s="407"/>
      <c r="O332" s="407"/>
      <c r="P332" s="407"/>
      <c r="Q332" s="407"/>
      <c r="R332" s="407"/>
      <c r="S332" s="407"/>
      <c r="T332" s="407"/>
      <c r="U332" s="407"/>
      <c r="V332" s="407"/>
      <c r="W332" s="407"/>
      <c r="X332" s="407"/>
      <c r="Y332" s="407"/>
      <c r="Z332" s="408"/>
    </row>
    <row r="333" spans="1:26">
      <c r="A333" s="416"/>
      <c r="B333" s="407"/>
      <c r="C333" s="407"/>
      <c r="D333" s="407"/>
      <c r="E333" s="407"/>
      <c r="F333" s="407"/>
      <c r="G333" s="407"/>
      <c r="H333" s="407"/>
      <c r="I333" s="407"/>
      <c r="J333" s="407"/>
      <c r="K333" s="407"/>
      <c r="L333" s="407"/>
      <c r="M333" s="407"/>
      <c r="N333" s="407"/>
      <c r="O333" s="407"/>
      <c r="P333" s="407"/>
      <c r="Q333" s="407"/>
      <c r="R333" s="407"/>
      <c r="S333" s="407"/>
      <c r="T333" s="407"/>
      <c r="U333" s="407"/>
      <c r="V333" s="407"/>
      <c r="W333" s="407"/>
      <c r="X333" s="407"/>
      <c r="Y333" s="407"/>
      <c r="Z333" s="408"/>
    </row>
    <row r="334" spans="1:26">
      <c r="A334" s="416"/>
      <c r="B334" s="407"/>
      <c r="C334" s="407"/>
      <c r="D334" s="407"/>
      <c r="E334" s="407"/>
      <c r="F334" s="407"/>
      <c r="G334" s="407"/>
      <c r="H334" s="407"/>
      <c r="I334" s="407"/>
      <c r="J334" s="407"/>
      <c r="K334" s="407"/>
      <c r="L334" s="407"/>
      <c r="M334" s="407"/>
      <c r="N334" s="407"/>
      <c r="O334" s="407"/>
      <c r="P334" s="407"/>
      <c r="Q334" s="407"/>
      <c r="R334" s="407"/>
      <c r="S334" s="407"/>
      <c r="T334" s="407"/>
      <c r="U334" s="407"/>
      <c r="V334" s="407"/>
      <c r="W334" s="407"/>
      <c r="X334" s="407"/>
      <c r="Y334" s="407"/>
      <c r="Z334" s="408"/>
    </row>
    <row r="335" spans="1:26">
      <c r="A335" s="416"/>
      <c r="B335" s="407"/>
      <c r="C335" s="407"/>
      <c r="D335" s="407"/>
      <c r="E335" s="407"/>
      <c r="F335" s="407"/>
      <c r="G335" s="407"/>
      <c r="H335" s="407"/>
      <c r="I335" s="407"/>
      <c r="J335" s="407"/>
      <c r="K335" s="407"/>
      <c r="L335" s="407"/>
      <c r="M335" s="407"/>
      <c r="N335" s="407"/>
      <c r="O335" s="407"/>
      <c r="P335" s="407"/>
      <c r="Q335" s="407"/>
      <c r="R335" s="407"/>
      <c r="S335" s="407"/>
      <c r="T335" s="407"/>
      <c r="U335" s="407"/>
      <c r="V335" s="407"/>
      <c r="W335" s="407"/>
      <c r="X335" s="407"/>
      <c r="Y335" s="407"/>
      <c r="Z335" s="408"/>
    </row>
    <row r="336" spans="1:26">
      <c r="A336" s="416"/>
      <c r="B336" s="407"/>
      <c r="C336" s="407"/>
      <c r="D336" s="407"/>
      <c r="E336" s="407"/>
      <c r="F336" s="407"/>
      <c r="G336" s="407"/>
      <c r="H336" s="407"/>
      <c r="I336" s="407"/>
      <c r="J336" s="407"/>
      <c r="K336" s="407"/>
      <c r="L336" s="407"/>
      <c r="M336" s="407"/>
      <c r="N336" s="407"/>
      <c r="O336" s="407"/>
      <c r="P336" s="407"/>
      <c r="Q336" s="407"/>
      <c r="R336" s="407"/>
      <c r="S336" s="407"/>
      <c r="T336" s="407"/>
      <c r="U336" s="407"/>
      <c r="V336" s="407"/>
      <c r="W336" s="407"/>
      <c r="X336" s="407"/>
      <c r="Y336" s="407"/>
      <c r="Z336" s="408"/>
    </row>
    <row r="337" spans="1:26">
      <c r="A337" s="416"/>
      <c r="B337" s="407"/>
      <c r="C337" s="407"/>
      <c r="D337" s="407"/>
      <c r="E337" s="407"/>
      <c r="F337" s="407"/>
      <c r="G337" s="407"/>
      <c r="H337" s="407"/>
      <c r="I337" s="407"/>
      <c r="J337" s="407"/>
      <c r="K337" s="407"/>
      <c r="L337" s="407"/>
      <c r="M337" s="407"/>
      <c r="N337" s="407"/>
      <c r="O337" s="407"/>
      <c r="P337" s="407"/>
      <c r="Q337" s="407"/>
      <c r="R337" s="407"/>
      <c r="S337" s="407"/>
      <c r="T337" s="407"/>
      <c r="U337" s="407"/>
      <c r="V337" s="407"/>
      <c r="W337" s="407"/>
      <c r="X337" s="407"/>
      <c r="Y337" s="407"/>
      <c r="Z337" s="408"/>
    </row>
    <row r="338" spans="1:26">
      <c r="A338" s="416"/>
      <c r="B338" s="407"/>
      <c r="C338" s="407"/>
      <c r="D338" s="407"/>
      <c r="E338" s="407"/>
      <c r="F338" s="407"/>
      <c r="G338" s="407"/>
      <c r="H338" s="407"/>
      <c r="I338" s="407"/>
      <c r="J338" s="407"/>
      <c r="K338" s="407"/>
      <c r="L338" s="407"/>
      <c r="M338" s="407"/>
      <c r="N338" s="407"/>
      <c r="O338" s="407"/>
      <c r="P338" s="407"/>
      <c r="Q338" s="407"/>
      <c r="R338" s="407"/>
      <c r="S338" s="407"/>
      <c r="T338" s="407"/>
      <c r="U338" s="407"/>
      <c r="V338" s="407"/>
      <c r="W338" s="407"/>
      <c r="X338" s="407"/>
      <c r="Y338" s="407"/>
      <c r="Z338" s="408"/>
    </row>
    <row r="339" spans="1:26">
      <c r="A339" s="416"/>
      <c r="B339" s="407"/>
      <c r="C339" s="407"/>
      <c r="D339" s="407"/>
      <c r="E339" s="407"/>
      <c r="F339" s="407"/>
      <c r="G339" s="407"/>
      <c r="H339" s="407"/>
      <c r="I339" s="407"/>
      <c r="J339" s="407"/>
      <c r="K339" s="407"/>
      <c r="L339" s="407"/>
      <c r="M339" s="407"/>
      <c r="N339" s="407"/>
      <c r="O339" s="407"/>
      <c r="P339" s="407"/>
      <c r="Q339" s="407"/>
      <c r="R339" s="407"/>
      <c r="S339" s="407"/>
      <c r="T339" s="407"/>
      <c r="U339" s="407"/>
      <c r="V339" s="407"/>
      <c r="W339" s="407"/>
      <c r="X339" s="407"/>
      <c r="Y339" s="407"/>
      <c r="Z339" s="408"/>
    </row>
    <row r="340" spans="1:26">
      <c r="A340" s="416"/>
      <c r="B340" s="407"/>
      <c r="C340" s="407"/>
      <c r="D340" s="407"/>
      <c r="E340" s="407"/>
      <c r="F340" s="407"/>
      <c r="G340" s="407"/>
      <c r="H340" s="407"/>
      <c r="I340" s="407"/>
      <c r="J340" s="407"/>
      <c r="K340" s="407"/>
      <c r="L340" s="407"/>
      <c r="M340" s="407"/>
      <c r="N340" s="407"/>
      <c r="O340" s="407"/>
      <c r="P340" s="407"/>
      <c r="Q340" s="407"/>
      <c r="R340" s="407"/>
      <c r="S340" s="407"/>
      <c r="T340" s="407"/>
      <c r="U340" s="407"/>
      <c r="V340" s="407"/>
      <c r="W340" s="407"/>
      <c r="X340" s="407"/>
      <c r="Y340" s="407"/>
      <c r="Z340" s="408"/>
    </row>
    <row r="341" spans="1:26">
      <c r="A341" s="416"/>
      <c r="B341" s="407"/>
      <c r="C341" s="407"/>
      <c r="D341" s="407"/>
      <c r="E341" s="407"/>
      <c r="F341" s="407"/>
      <c r="G341" s="407"/>
      <c r="H341" s="407"/>
      <c r="I341" s="407"/>
      <c r="J341" s="407"/>
      <c r="K341" s="407"/>
      <c r="L341" s="407"/>
      <c r="M341" s="407"/>
      <c r="N341" s="407"/>
      <c r="O341" s="407"/>
      <c r="P341" s="407"/>
      <c r="Q341" s="407"/>
      <c r="R341" s="407"/>
      <c r="S341" s="407"/>
      <c r="T341" s="407"/>
      <c r="U341" s="407"/>
      <c r="V341" s="407"/>
      <c r="W341" s="407"/>
      <c r="X341" s="407"/>
      <c r="Y341" s="407"/>
      <c r="Z341" s="408"/>
    </row>
    <row r="342" spans="1:26">
      <c r="A342" s="416"/>
      <c r="B342" s="407"/>
      <c r="C342" s="407"/>
      <c r="D342" s="407"/>
      <c r="E342" s="407"/>
      <c r="F342" s="407"/>
      <c r="G342" s="407"/>
      <c r="H342" s="407"/>
      <c r="I342" s="407"/>
      <c r="J342" s="407"/>
      <c r="K342" s="407"/>
      <c r="L342" s="407"/>
      <c r="M342" s="407"/>
      <c r="N342" s="407"/>
      <c r="O342" s="407"/>
      <c r="P342" s="407"/>
      <c r="Q342" s="407"/>
      <c r="R342" s="407"/>
      <c r="S342" s="407"/>
      <c r="T342" s="407"/>
      <c r="U342" s="407"/>
      <c r="V342" s="407"/>
      <c r="W342" s="407"/>
      <c r="X342" s="407"/>
      <c r="Y342" s="407"/>
      <c r="Z342" s="408"/>
    </row>
    <row r="343" spans="1:26">
      <c r="A343" s="416"/>
      <c r="B343" s="407"/>
      <c r="C343" s="407"/>
      <c r="D343" s="407"/>
      <c r="E343" s="407"/>
      <c r="F343" s="407"/>
      <c r="G343" s="407"/>
      <c r="H343" s="407"/>
      <c r="I343" s="407"/>
      <c r="J343" s="407"/>
      <c r="K343" s="407"/>
      <c r="L343" s="407"/>
      <c r="M343" s="407"/>
      <c r="N343" s="407"/>
      <c r="O343" s="407"/>
      <c r="P343" s="407"/>
      <c r="Q343" s="407"/>
      <c r="R343" s="407"/>
      <c r="S343" s="407"/>
      <c r="T343" s="407"/>
      <c r="U343" s="407"/>
      <c r="V343" s="407"/>
      <c r="W343" s="407"/>
      <c r="X343" s="407"/>
      <c r="Y343" s="407"/>
      <c r="Z343" s="408"/>
    </row>
    <row r="344" spans="1:26">
      <c r="A344" s="416"/>
      <c r="B344" s="407"/>
      <c r="C344" s="407"/>
      <c r="D344" s="407"/>
      <c r="E344" s="407"/>
      <c r="F344" s="407"/>
      <c r="G344" s="407"/>
      <c r="H344" s="407"/>
      <c r="I344" s="407"/>
      <c r="J344" s="407"/>
      <c r="K344" s="407"/>
      <c r="L344" s="407"/>
      <c r="M344" s="407"/>
      <c r="N344" s="407"/>
      <c r="O344" s="407"/>
      <c r="P344" s="407"/>
      <c r="Q344" s="407"/>
      <c r="R344" s="407"/>
      <c r="S344" s="407"/>
      <c r="T344" s="407"/>
      <c r="U344" s="407"/>
      <c r="V344" s="407"/>
      <c r="W344" s="407"/>
      <c r="X344" s="407"/>
      <c r="Y344" s="407"/>
      <c r="Z344" s="408"/>
    </row>
    <row r="345" spans="1:26">
      <c r="A345" s="416"/>
      <c r="B345" s="407"/>
      <c r="C345" s="407"/>
      <c r="D345" s="407"/>
      <c r="E345" s="407"/>
      <c r="F345" s="407"/>
      <c r="G345" s="407"/>
      <c r="H345" s="407"/>
      <c r="I345" s="407"/>
      <c r="J345" s="407"/>
      <c r="K345" s="407"/>
      <c r="L345" s="407"/>
      <c r="M345" s="407"/>
      <c r="N345" s="407"/>
      <c r="O345" s="407"/>
      <c r="P345" s="407"/>
      <c r="Q345" s="407"/>
      <c r="R345" s="407"/>
      <c r="S345" s="407"/>
      <c r="T345" s="407"/>
      <c r="U345" s="407"/>
      <c r="V345" s="407"/>
      <c r="W345" s="407"/>
      <c r="X345" s="407"/>
      <c r="Y345" s="407"/>
      <c r="Z345" s="408"/>
    </row>
    <row r="346" spans="1:26">
      <c r="A346" s="416"/>
      <c r="B346" s="407"/>
      <c r="C346" s="407"/>
      <c r="D346" s="407"/>
      <c r="E346" s="407"/>
      <c r="F346" s="407"/>
      <c r="G346" s="407"/>
      <c r="H346" s="407"/>
      <c r="I346" s="407"/>
      <c r="J346" s="407"/>
      <c r="K346" s="407"/>
      <c r="L346" s="407"/>
      <c r="M346" s="407"/>
      <c r="N346" s="407"/>
      <c r="O346" s="407"/>
      <c r="P346" s="407"/>
      <c r="Q346" s="407"/>
      <c r="R346" s="407"/>
      <c r="S346" s="407"/>
      <c r="T346" s="407"/>
      <c r="U346" s="407"/>
      <c r="V346" s="407"/>
      <c r="W346" s="407"/>
      <c r="X346" s="407"/>
      <c r="Y346" s="407"/>
      <c r="Z346" s="408"/>
    </row>
    <row r="347" spans="1:26">
      <c r="A347" s="416"/>
      <c r="B347" s="407"/>
      <c r="C347" s="407"/>
      <c r="D347" s="407"/>
      <c r="E347" s="407"/>
      <c r="F347" s="407"/>
      <c r="G347" s="407"/>
      <c r="H347" s="407"/>
      <c r="I347" s="407"/>
      <c r="J347" s="407"/>
      <c r="K347" s="407"/>
      <c r="L347" s="407"/>
      <c r="M347" s="407"/>
      <c r="N347" s="407"/>
      <c r="O347" s="407"/>
      <c r="P347" s="407"/>
      <c r="Q347" s="407"/>
      <c r="R347" s="407"/>
      <c r="S347" s="407"/>
      <c r="T347" s="407"/>
      <c r="U347" s="407"/>
      <c r="V347" s="407"/>
      <c r="W347" s="407"/>
      <c r="X347" s="407"/>
      <c r="Y347" s="407"/>
      <c r="Z347" s="408"/>
    </row>
    <row r="348" spans="1:26">
      <c r="A348" s="416"/>
      <c r="B348" s="407"/>
      <c r="C348" s="407"/>
      <c r="D348" s="407"/>
      <c r="E348" s="407"/>
      <c r="F348" s="407"/>
      <c r="G348" s="407"/>
      <c r="H348" s="407"/>
      <c r="I348" s="407"/>
      <c r="J348" s="407"/>
      <c r="K348" s="407"/>
      <c r="L348" s="407"/>
      <c r="M348" s="407"/>
      <c r="N348" s="407"/>
      <c r="O348" s="407"/>
      <c r="P348" s="407"/>
      <c r="Q348" s="407"/>
      <c r="R348" s="407"/>
      <c r="S348" s="407"/>
      <c r="T348" s="407"/>
      <c r="U348" s="407"/>
      <c r="V348" s="407"/>
      <c r="W348" s="407"/>
      <c r="X348" s="407"/>
      <c r="Y348" s="407"/>
      <c r="Z348" s="408"/>
    </row>
    <row r="349" spans="1:26">
      <c r="A349" s="416"/>
      <c r="B349" s="407"/>
      <c r="C349" s="407"/>
      <c r="D349" s="407"/>
      <c r="E349" s="407"/>
      <c r="F349" s="407"/>
      <c r="G349" s="407"/>
      <c r="H349" s="407"/>
      <c r="I349" s="407"/>
      <c r="J349" s="407"/>
      <c r="K349" s="407"/>
      <c r="L349" s="407"/>
      <c r="M349" s="407"/>
      <c r="N349" s="407"/>
      <c r="O349" s="407"/>
      <c r="P349" s="407"/>
      <c r="Q349" s="407"/>
      <c r="R349" s="407"/>
      <c r="S349" s="407"/>
      <c r="T349" s="407"/>
      <c r="U349" s="407"/>
      <c r="V349" s="407"/>
      <c r="W349" s="407"/>
      <c r="X349" s="407"/>
      <c r="Y349" s="407"/>
      <c r="Z349" s="408"/>
    </row>
    <row r="350" spans="1:26">
      <c r="A350" s="416"/>
      <c r="B350" s="407"/>
      <c r="C350" s="407"/>
      <c r="D350" s="407"/>
      <c r="E350" s="407"/>
      <c r="F350" s="407"/>
      <c r="G350" s="407"/>
      <c r="H350" s="407"/>
      <c r="I350" s="407"/>
      <c r="J350" s="407"/>
      <c r="K350" s="407"/>
      <c r="L350" s="407"/>
      <c r="M350" s="407"/>
      <c r="N350" s="407"/>
      <c r="O350" s="407"/>
      <c r="P350" s="407"/>
      <c r="Q350" s="407"/>
      <c r="R350" s="407"/>
      <c r="S350" s="407"/>
      <c r="T350" s="407"/>
      <c r="U350" s="407"/>
      <c r="V350" s="407"/>
      <c r="W350" s="407"/>
      <c r="X350" s="407"/>
      <c r="Y350" s="407"/>
      <c r="Z350" s="408"/>
    </row>
    <row r="351" spans="1:26">
      <c r="A351" s="416"/>
      <c r="B351" s="407"/>
      <c r="C351" s="407"/>
      <c r="D351" s="407"/>
      <c r="E351" s="407"/>
      <c r="F351" s="407"/>
      <c r="G351" s="407"/>
      <c r="H351" s="407"/>
      <c r="I351" s="407"/>
      <c r="J351" s="407"/>
      <c r="K351" s="407"/>
      <c r="L351" s="407"/>
      <c r="M351" s="407"/>
      <c r="N351" s="407"/>
      <c r="O351" s="407"/>
      <c r="P351" s="407"/>
      <c r="Q351" s="407"/>
      <c r="R351" s="407"/>
      <c r="S351" s="407"/>
      <c r="T351" s="407"/>
      <c r="U351" s="407"/>
      <c r="V351" s="407"/>
      <c r="W351" s="407"/>
      <c r="X351" s="407"/>
      <c r="Y351" s="407"/>
      <c r="Z351" s="408"/>
    </row>
    <row r="352" spans="1:26">
      <c r="A352" s="416"/>
      <c r="B352" s="407"/>
      <c r="C352" s="407"/>
      <c r="D352" s="407"/>
      <c r="E352" s="407"/>
      <c r="F352" s="407"/>
      <c r="G352" s="407"/>
      <c r="H352" s="407"/>
      <c r="I352" s="407"/>
      <c r="J352" s="407"/>
      <c r="K352" s="407"/>
      <c r="L352" s="407"/>
      <c r="M352" s="407"/>
      <c r="N352" s="407"/>
      <c r="O352" s="407"/>
      <c r="P352" s="407"/>
      <c r="Q352" s="407"/>
      <c r="R352" s="407"/>
      <c r="S352" s="407"/>
      <c r="T352" s="407"/>
      <c r="U352" s="407"/>
      <c r="V352" s="407"/>
      <c r="W352" s="407"/>
      <c r="X352" s="407"/>
      <c r="Y352" s="407"/>
      <c r="Z352" s="408"/>
    </row>
    <row r="353" spans="1:26">
      <c r="A353" s="416"/>
      <c r="B353" s="407"/>
      <c r="C353" s="407"/>
      <c r="D353" s="407"/>
      <c r="E353" s="407"/>
      <c r="F353" s="407"/>
      <c r="G353" s="407"/>
      <c r="H353" s="407"/>
      <c r="I353" s="407"/>
      <c r="J353" s="407"/>
      <c r="K353" s="407"/>
      <c r="L353" s="407"/>
      <c r="M353" s="407"/>
      <c r="N353" s="407"/>
      <c r="O353" s="407"/>
      <c r="P353" s="407"/>
      <c r="Q353" s="407"/>
      <c r="R353" s="407"/>
      <c r="S353" s="407"/>
      <c r="T353" s="407"/>
      <c r="U353" s="407"/>
      <c r="V353" s="407"/>
      <c r="W353" s="407"/>
      <c r="X353" s="407"/>
      <c r="Y353" s="407"/>
      <c r="Z353" s="408"/>
    </row>
    <row r="354" spans="1:26">
      <c r="A354" s="416"/>
      <c r="B354" s="407"/>
      <c r="C354" s="407"/>
      <c r="D354" s="407"/>
      <c r="E354" s="407"/>
      <c r="F354" s="407"/>
      <c r="G354" s="407"/>
      <c r="H354" s="407"/>
      <c r="I354" s="407"/>
      <c r="J354" s="407"/>
      <c r="K354" s="407"/>
      <c r="L354" s="407"/>
      <c r="M354" s="407"/>
      <c r="N354" s="407"/>
      <c r="O354" s="407"/>
      <c r="P354" s="407"/>
      <c r="Q354" s="407"/>
      <c r="R354" s="407"/>
      <c r="S354" s="407"/>
      <c r="T354" s="407"/>
      <c r="U354" s="407"/>
      <c r="V354" s="407"/>
      <c r="W354" s="407"/>
      <c r="X354" s="407"/>
      <c r="Y354" s="407"/>
      <c r="Z354" s="408"/>
    </row>
    <row r="355" spans="1:26">
      <c r="A355" s="416"/>
      <c r="B355" s="407"/>
      <c r="C355" s="407"/>
      <c r="D355" s="407"/>
      <c r="E355" s="407"/>
      <c r="F355" s="407"/>
      <c r="G355" s="407"/>
      <c r="H355" s="407"/>
      <c r="I355" s="407"/>
      <c r="J355" s="407"/>
      <c r="K355" s="407"/>
      <c r="L355" s="407"/>
      <c r="M355" s="407"/>
      <c r="N355" s="407"/>
      <c r="O355" s="407"/>
      <c r="P355" s="407"/>
      <c r="Q355" s="407"/>
      <c r="R355" s="407"/>
      <c r="S355" s="407"/>
      <c r="T355" s="407"/>
      <c r="U355" s="407"/>
      <c r="V355" s="407"/>
      <c r="W355" s="407"/>
      <c r="X355" s="407"/>
      <c r="Y355" s="407"/>
      <c r="Z355" s="408"/>
    </row>
    <row r="356" spans="1:26">
      <c r="A356" s="416"/>
      <c r="B356" s="407"/>
      <c r="C356" s="407"/>
      <c r="D356" s="407"/>
      <c r="E356" s="407"/>
      <c r="F356" s="407"/>
      <c r="G356" s="407"/>
      <c r="H356" s="407"/>
      <c r="I356" s="407"/>
      <c r="J356" s="407"/>
      <c r="K356" s="407"/>
      <c r="L356" s="407"/>
      <c r="M356" s="407"/>
      <c r="N356" s="407"/>
      <c r="O356" s="407"/>
      <c r="P356" s="407"/>
      <c r="Q356" s="407"/>
      <c r="R356" s="407"/>
      <c r="S356" s="407"/>
      <c r="T356" s="407"/>
      <c r="U356" s="407"/>
      <c r="V356" s="407"/>
      <c r="W356" s="407"/>
      <c r="X356" s="407"/>
      <c r="Y356" s="407"/>
      <c r="Z356" s="408"/>
    </row>
    <row r="357" spans="1:26">
      <c r="A357" s="416"/>
      <c r="B357" s="407"/>
      <c r="C357" s="407"/>
      <c r="D357" s="407"/>
      <c r="E357" s="407"/>
      <c r="F357" s="407"/>
      <c r="G357" s="407"/>
      <c r="H357" s="407"/>
      <c r="I357" s="407"/>
      <c r="J357" s="407"/>
      <c r="K357" s="407"/>
      <c r="L357" s="407"/>
      <c r="M357" s="407"/>
      <c r="N357" s="407"/>
      <c r="O357" s="407"/>
      <c r="P357" s="407"/>
      <c r="Q357" s="407"/>
      <c r="R357" s="407"/>
      <c r="S357" s="407"/>
      <c r="T357" s="407"/>
      <c r="U357" s="407"/>
      <c r="V357" s="407"/>
      <c r="W357" s="407"/>
      <c r="X357" s="407"/>
      <c r="Y357" s="407"/>
      <c r="Z357" s="408"/>
    </row>
    <row r="358" spans="1:26">
      <c r="A358" s="416"/>
      <c r="B358" s="407"/>
      <c r="C358" s="407"/>
      <c r="D358" s="407"/>
      <c r="E358" s="407"/>
      <c r="F358" s="407"/>
      <c r="G358" s="407"/>
      <c r="H358" s="407"/>
      <c r="I358" s="407"/>
      <c r="J358" s="407"/>
      <c r="K358" s="407"/>
      <c r="L358" s="407"/>
      <c r="M358" s="407"/>
      <c r="N358" s="407"/>
      <c r="O358" s="407"/>
      <c r="P358" s="407"/>
      <c r="Q358" s="407"/>
      <c r="R358" s="407"/>
      <c r="S358" s="407"/>
      <c r="T358" s="407"/>
      <c r="U358" s="407"/>
      <c r="V358" s="407"/>
      <c r="W358" s="407"/>
      <c r="X358" s="407"/>
      <c r="Y358" s="407"/>
      <c r="Z358" s="408"/>
    </row>
    <row r="359" spans="1:26">
      <c r="A359" s="416"/>
      <c r="B359" s="407"/>
      <c r="C359" s="407"/>
      <c r="D359" s="407"/>
      <c r="E359" s="407"/>
      <c r="F359" s="407"/>
      <c r="G359" s="407"/>
      <c r="H359" s="407"/>
      <c r="I359" s="407"/>
      <c r="J359" s="407"/>
      <c r="K359" s="407"/>
      <c r="L359" s="407"/>
      <c r="M359" s="407"/>
      <c r="N359" s="407"/>
      <c r="O359" s="407"/>
      <c r="P359" s="407"/>
      <c r="Q359" s="407"/>
      <c r="R359" s="407"/>
      <c r="S359" s="407"/>
      <c r="T359" s="407"/>
      <c r="U359" s="407"/>
      <c r="V359" s="407"/>
      <c r="W359" s="407"/>
      <c r="X359" s="407"/>
      <c r="Y359" s="407"/>
      <c r="Z359" s="408"/>
    </row>
    <row r="360" spans="1:26">
      <c r="A360" s="416"/>
      <c r="B360" s="407"/>
      <c r="C360" s="407"/>
      <c r="D360" s="407"/>
      <c r="E360" s="407"/>
      <c r="F360" s="407"/>
      <c r="G360" s="407"/>
      <c r="H360" s="407"/>
      <c r="I360" s="407"/>
      <c r="J360" s="407"/>
      <c r="K360" s="407"/>
      <c r="L360" s="407"/>
      <c r="M360" s="407"/>
      <c r="N360" s="407"/>
      <c r="O360" s="407"/>
      <c r="P360" s="407"/>
      <c r="Q360" s="407"/>
      <c r="R360" s="407"/>
      <c r="S360" s="407"/>
      <c r="T360" s="407"/>
      <c r="U360" s="407"/>
      <c r="V360" s="407"/>
      <c r="W360" s="407"/>
      <c r="X360" s="407"/>
      <c r="Y360" s="407"/>
      <c r="Z360" s="408"/>
    </row>
    <row r="361" spans="1:26">
      <c r="A361" s="416"/>
      <c r="B361" s="407"/>
      <c r="C361" s="407"/>
      <c r="D361" s="407"/>
      <c r="E361" s="407"/>
      <c r="F361" s="407"/>
      <c r="G361" s="407"/>
      <c r="H361" s="407"/>
      <c r="I361" s="407"/>
      <c r="J361" s="407"/>
      <c r="K361" s="407"/>
      <c r="L361" s="407"/>
      <c r="M361" s="407"/>
      <c r="N361" s="407"/>
      <c r="O361" s="407"/>
      <c r="P361" s="407"/>
      <c r="Q361" s="407"/>
      <c r="R361" s="407"/>
      <c r="S361" s="407"/>
      <c r="T361" s="407"/>
      <c r="U361" s="407"/>
      <c r="V361" s="407"/>
      <c r="W361" s="407"/>
      <c r="X361" s="407"/>
      <c r="Y361" s="407"/>
      <c r="Z361" s="408"/>
    </row>
    <row r="362" spans="1:26">
      <c r="A362" s="416"/>
      <c r="B362" s="407"/>
      <c r="C362" s="407"/>
      <c r="D362" s="407"/>
      <c r="E362" s="407"/>
      <c r="F362" s="407"/>
      <c r="G362" s="407"/>
      <c r="H362" s="407"/>
      <c r="I362" s="407"/>
      <c r="J362" s="407"/>
      <c r="K362" s="407"/>
      <c r="L362" s="407"/>
      <c r="M362" s="407"/>
      <c r="N362" s="407"/>
      <c r="O362" s="407"/>
      <c r="P362" s="407"/>
      <c r="Q362" s="407"/>
      <c r="R362" s="407"/>
      <c r="S362" s="407"/>
      <c r="T362" s="407"/>
      <c r="U362" s="407"/>
      <c r="V362" s="407"/>
      <c r="W362" s="407"/>
      <c r="X362" s="407"/>
      <c r="Y362" s="407"/>
      <c r="Z362" s="408"/>
    </row>
    <row r="363" spans="1:26">
      <c r="A363" s="416"/>
      <c r="B363" s="407"/>
      <c r="C363" s="407"/>
      <c r="D363" s="407"/>
      <c r="E363" s="407"/>
      <c r="F363" s="407"/>
      <c r="G363" s="407"/>
      <c r="H363" s="407"/>
      <c r="I363" s="407"/>
      <c r="J363" s="407"/>
      <c r="K363" s="407"/>
      <c r="L363" s="407"/>
      <c r="M363" s="407"/>
      <c r="N363" s="407"/>
      <c r="O363" s="407"/>
      <c r="P363" s="407"/>
      <c r="Q363" s="407"/>
      <c r="R363" s="407"/>
      <c r="S363" s="407"/>
      <c r="T363" s="407"/>
      <c r="U363" s="407"/>
      <c r="V363" s="407"/>
      <c r="W363" s="407"/>
      <c r="X363" s="407"/>
      <c r="Y363" s="407"/>
      <c r="Z363" s="408"/>
    </row>
    <row r="364" spans="1:26">
      <c r="A364" s="416"/>
      <c r="B364" s="407"/>
      <c r="C364" s="407"/>
      <c r="D364" s="407"/>
      <c r="E364" s="407"/>
      <c r="F364" s="407"/>
      <c r="G364" s="407"/>
      <c r="H364" s="407"/>
      <c r="I364" s="407"/>
      <c r="J364" s="407"/>
      <c r="K364" s="407"/>
      <c r="L364" s="407"/>
      <c r="M364" s="407"/>
      <c r="N364" s="407"/>
      <c r="O364" s="407"/>
      <c r="P364" s="407"/>
      <c r="Q364" s="407"/>
      <c r="R364" s="407"/>
      <c r="S364" s="407"/>
      <c r="T364" s="407"/>
      <c r="U364" s="407"/>
      <c r="V364" s="407"/>
      <c r="W364" s="407"/>
      <c r="X364" s="407"/>
      <c r="Y364" s="407"/>
      <c r="Z364" s="408"/>
    </row>
    <row r="365" spans="1:26">
      <c r="A365" s="416"/>
      <c r="B365" s="407"/>
      <c r="C365" s="407"/>
      <c r="D365" s="407"/>
      <c r="E365" s="407"/>
      <c r="F365" s="407"/>
      <c r="G365" s="407"/>
      <c r="H365" s="407"/>
      <c r="I365" s="407"/>
      <c r="J365" s="407"/>
      <c r="K365" s="407"/>
      <c r="L365" s="407"/>
      <c r="M365" s="407"/>
      <c r="N365" s="407"/>
      <c r="O365" s="407"/>
      <c r="P365" s="407"/>
      <c r="Q365" s="407"/>
      <c r="R365" s="407"/>
      <c r="S365" s="407"/>
      <c r="T365" s="407"/>
      <c r="U365" s="407"/>
      <c r="V365" s="407"/>
      <c r="W365" s="407"/>
      <c r="X365" s="407"/>
      <c r="Y365" s="407"/>
      <c r="Z365" s="408"/>
    </row>
    <row r="366" spans="1:26">
      <c r="A366" s="416"/>
      <c r="B366" s="407"/>
      <c r="C366" s="407"/>
      <c r="D366" s="407"/>
      <c r="E366" s="407"/>
      <c r="F366" s="407"/>
      <c r="G366" s="407"/>
      <c r="H366" s="407"/>
      <c r="I366" s="407"/>
      <c r="J366" s="407"/>
      <c r="K366" s="407"/>
      <c r="L366" s="407"/>
      <c r="M366" s="407"/>
      <c r="N366" s="407"/>
      <c r="O366" s="407"/>
      <c r="P366" s="407"/>
      <c r="Q366" s="407"/>
      <c r="R366" s="407"/>
      <c r="S366" s="407"/>
      <c r="T366" s="407"/>
      <c r="U366" s="407"/>
      <c r="V366" s="407"/>
      <c r="W366" s="407"/>
      <c r="X366" s="407"/>
      <c r="Y366" s="407"/>
      <c r="Z366" s="408"/>
    </row>
    <row r="367" spans="1:26">
      <c r="A367" s="416"/>
      <c r="B367" s="407"/>
      <c r="C367" s="407"/>
      <c r="D367" s="407"/>
      <c r="E367" s="407"/>
      <c r="F367" s="407"/>
      <c r="G367" s="407"/>
      <c r="H367" s="407"/>
      <c r="I367" s="407"/>
      <c r="J367" s="407"/>
      <c r="K367" s="407"/>
      <c r="L367" s="407"/>
      <c r="M367" s="407"/>
      <c r="N367" s="407"/>
      <c r="O367" s="407"/>
      <c r="P367" s="407"/>
      <c r="Q367" s="407"/>
      <c r="R367" s="407"/>
      <c r="S367" s="407"/>
      <c r="T367" s="407"/>
      <c r="U367" s="407"/>
      <c r="V367" s="407"/>
      <c r="W367" s="407"/>
      <c r="X367" s="407"/>
      <c r="Y367" s="407"/>
      <c r="Z367" s="408"/>
    </row>
    <row r="368" spans="1:26">
      <c r="A368" s="416"/>
      <c r="B368" s="407"/>
      <c r="C368" s="407"/>
      <c r="D368" s="407"/>
      <c r="E368" s="407"/>
      <c r="F368" s="407"/>
      <c r="G368" s="407"/>
      <c r="H368" s="407"/>
      <c r="I368" s="407"/>
      <c r="J368" s="407"/>
      <c r="K368" s="407"/>
      <c r="L368" s="407"/>
      <c r="M368" s="407"/>
      <c r="N368" s="407"/>
      <c r="O368" s="407"/>
      <c r="P368" s="407"/>
      <c r="Q368" s="407"/>
      <c r="R368" s="407"/>
      <c r="S368" s="407"/>
      <c r="T368" s="407"/>
      <c r="U368" s="407"/>
      <c r="V368" s="407"/>
      <c r="W368" s="407"/>
      <c r="X368" s="407"/>
      <c r="Y368" s="407"/>
      <c r="Z368" s="408"/>
    </row>
    <row r="369" spans="1:26">
      <c r="A369" s="416"/>
      <c r="B369" s="407"/>
      <c r="C369" s="407"/>
      <c r="D369" s="407"/>
      <c r="E369" s="407"/>
      <c r="F369" s="407"/>
      <c r="G369" s="407"/>
      <c r="H369" s="407"/>
      <c r="I369" s="407"/>
      <c r="J369" s="407"/>
      <c r="K369" s="407"/>
      <c r="L369" s="407"/>
      <c r="M369" s="407"/>
      <c r="N369" s="407"/>
      <c r="O369" s="407"/>
      <c r="P369" s="407"/>
      <c r="Q369" s="407"/>
      <c r="R369" s="407"/>
      <c r="S369" s="407"/>
      <c r="T369" s="407"/>
      <c r="U369" s="407"/>
      <c r="V369" s="407"/>
      <c r="W369" s="407"/>
      <c r="X369" s="407"/>
      <c r="Y369" s="407"/>
      <c r="Z369" s="408"/>
    </row>
    <row r="370" spans="1:26">
      <c r="A370" s="416"/>
      <c r="B370" s="407"/>
      <c r="C370" s="407"/>
      <c r="D370" s="407"/>
      <c r="E370" s="407"/>
      <c r="F370" s="407"/>
      <c r="G370" s="407"/>
      <c r="H370" s="407"/>
      <c r="I370" s="407"/>
      <c r="J370" s="407"/>
      <c r="K370" s="407"/>
      <c r="L370" s="407"/>
      <c r="M370" s="407"/>
      <c r="N370" s="407"/>
      <c r="O370" s="407"/>
      <c r="P370" s="407"/>
      <c r="Q370" s="407"/>
      <c r="R370" s="407"/>
      <c r="S370" s="407"/>
      <c r="T370" s="407"/>
      <c r="U370" s="407"/>
      <c r="V370" s="407"/>
      <c r="W370" s="407"/>
      <c r="X370" s="407"/>
      <c r="Y370" s="407"/>
      <c r="Z370" s="408"/>
    </row>
    <row r="371" spans="1:26">
      <c r="A371" s="416"/>
      <c r="B371" s="407"/>
      <c r="C371" s="407"/>
      <c r="D371" s="407"/>
      <c r="E371" s="407"/>
      <c r="F371" s="407"/>
      <c r="G371" s="407"/>
      <c r="H371" s="407"/>
      <c r="I371" s="407"/>
      <c r="J371" s="407"/>
      <c r="K371" s="407"/>
      <c r="L371" s="407"/>
      <c r="M371" s="407"/>
      <c r="N371" s="407"/>
      <c r="O371" s="407"/>
      <c r="P371" s="407"/>
      <c r="Q371" s="407"/>
      <c r="R371" s="407"/>
      <c r="S371" s="407"/>
      <c r="T371" s="407"/>
      <c r="U371" s="407"/>
      <c r="V371" s="407"/>
      <c r="W371" s="407"/>
      <c r="X371" s="407"/>
      <c r="Y371" s="407"/>
      <c r="Z371" s="408"/>
    </row>
    <row r="372" spans="1:26">
      <c r="A372" s="416"/>
      <c r="B372" s="407"/>
      <c r="C372" s="407"/>
      <c r="D372" s="407"/>
      <c r="E372" s="407"/>
      <c r="F372" s="407"/>
      <c r="G372" s="407"/>
      <c r="H372" s="407"/>
      <c r="I372" s="407"/>
      <c r="J372" s="407"/>
      <c r="K372" s="407"/>
      <c r="L372" s="407"/>
      <c r="M372" s="407"/>
      <c r="N372" s="407"/>
      <c r="O372" s="407"/>
      <c r="P372" s="407"/>
      <c r="Q372" s="407"/>
      <c r="R372" s="407"/>
      <c r="S372" s="407"/>
      <c r="T372" s="407"/>
      <c r="U372" s="407"/>
      <c r="V372" s="407"/>
      <c r="W372" s="407"/>
      <c r="X372" s="407"/>
      <c r="Y372" s="407"/>
      <c r="Z372" s="408"/>
    </row>
    <row r="373" spans="1:26">
      <c r="A373" s="416"/>
      <c r="B373" s="407"/>
      <c r="C373" s="407"/>
      <c r="D373" s="407"/>
      <c r="E373" s="407"/>
      <c r="F373" s="407"/>
      <c r="G373" s="407"/>
      <c r="H373" s="407"/>
      <c r="I373" s="407"/>
      <c r="J373" s="407"/>
      <c r="K373" s="407"/>
      <c r="L373" s="407"/>
      <c r="M373" s="407"/>
      <c r="N373" s="407"/>
      <c r="O373" s="407"/>
      <c r="P373" s="407"/>
      <c r="Q373" s="407"/>
      <c r="R373" s="407"/>
      <c r="S373" s="407"/>
      <c r="T373" s="407"/>
      <c r="U373" s="407"/>
      <c r="V373" s="407"/>
      <c r="W373" s="407"/>
      <c r="X373" s="407"/>
      <c r="Y373" s="407"/>
      <c r="Z373" s="408"/>
    </row>
    <row r="374" spans="1:26">
      <c r="A374" s="416"/>
      <c r="B374" s="407"/>
      <c r="C374" s="407"/>
      <c r="D374" s="407"/>
      <c r="E374" s="407"/>
      <c r="F374" s="407"/>
      <c r="G374" s="407"/>
      <c r="H374" s="407"/>
      <c r="I374" s="407"/>
      <c r="J374" s="407"/>
      <c r="K374" s="407"/>
      <c r="L374" s="407"/>
      <c r="M374" s="407"/>
      <c r="N374" s="407"/>
      <c r="O374" s="407"/>
      <c r="P374" s="407"/>
      <c r="Q374" s="407"/>
      <c r="R374" s="407"/>
      <c r="S374" s="407"/>
      <c r="T374" s="407"/>
      <c r="U374" s="407"/>
      <c r="V374" s="407"/>
      <c r="W374" s="407"/>
      <c r="X374" s="407"/>
      <c r="Y374" s="407"/>
      <c r="Z374" s="408"/>
    </row>
    <row r="375" spans="1:26">
      <c r="A375" s="416"/>
      <c r="B375" s="407"/>
      <c r="C375" s="407"/>
      <c r="D375" s="407"/>
      <c r="E375" s="407"/>
      <c r="F375" s="407"/>
      <c r="G375" s="407"/>
      <c r="H375" s="407"/>
      <c r="I375" s="407"/>
      <c r="J375" s="407"/>
      <c r="K375" s="407"/>
      <c r="L375" s="407"/>
      <c r="M375" s="407"/>
      <c r="N375" s="407"/>
      <c r="O375" s="407"/>
      <c r="P375" s="407"/>
      <c r="Q375" s="407"/>
      <c r="R375" s="407"/>
      <c r="S375" s="407"/>
      <c r="T375" s="407"/>
      <c r="U375" s="407"/>
      <c r="V375" s="407"/>
      <c r="W375" s="407"/>
      <c r="X375" s="407"/>
      <c r="Y375" s="407"/>
      <c r="Z375" s="408"/>
    </row>
    <row r="376" spans="1:26">
      <c r="A376" s="416"/>
      <c r="B376" s="407"/>
      <c r="C376" s="407"/>
      <c r="D376" s="407"/>
      <c r="E376" s="407"/>
      <c r="F376" s="407"/>
      <c r="G376" s="407"/>
      <c r="H376" s="407"/>
      <c r="I376" s="407"/>
      <c r="J376" s="407"/>
      <c r="K376" s="407"/>
      <c r="L376" s="407"/>
      <c r="M376" s="407"/>
      <c r="N376" s="407"/>
      <c r="O376" s="407"/>
      <c r="P376" s="407"/>
      <c r="Q376" s="407"/>
      <c r="R376" s="407"/>
      <c r="S376" s="407"/>
      <c r="T376" s="407"/>
      <c r="U376" s="407"/>
      <c r="V376" s="407"/>
      <c r="W376" s="407"/>
      <c r="X376" s="407"/>
      <c r="Y376" s="407"/>
      <c r="Z376" s="408"/>
    </row>
    <row r="377" spans="1:26">
      <c r="A377" s="416"/>
      <c r="B377" s="407"/>
      <c r="C377" s="407"/>
      <c r="D377" s="407"/>
      <c r="E377" s="407"/>
      <c r="F377" s="407"/>
      <c r="G377" s="407"/>
      <c r="H377" s="407"/>
      <c r="I377" s="407"/>
      <c r="J377" s="407"/>
      <c r="K377" s="407"/>
      <c r="L377" s="407"/>
      <c r="M377" s="407"/>
      <c r="N377" s="407"/>
      <c r="O377" s="407"/>
      <c r="P377" s="407"/>
      <c r="Q377" s="407"/>
      <c r="R377" s="407"/>
      <c r="S377" s="407"/>
      <c r="T377" s="407"/>
      <c r="U377" s="407"/>
      <c r="V377" s="407"/>
      <c r="W377" s="407"/>
      <c r="X377" s="407"/>
      <c r="Y377" s="407"/>
      <c r="Z377" s="408"/>
    </row>
    <row r="378" spans="1:26">
      <c r="A378" s="416"/>
      <c r="B378" s="407"/>
      <c r="C378" s="407"/>
      <c r="D378" s="407"/>
      <c r="E378" s="407"/>
      <c r="F378" s="407"/>
      <c r="G378" s="407"/>
      <c r="H378" s="407"/>
      <c r="I378" s="407"/>
      <c r="J378" s="407"/>
      <c r="K378" s="407"/>
      <c r="L378" s="407"/>
      <c r="M378" s="407"/>
      <c r="N378" s="407"/>
      <c r="O378" s="407"/>
      <c r="P378" s="407"/>
      <c r="Q378" s="407"/>
      <c r="R378" s="407"/>
      <c r="S378" s="407"/>
      <c r="T378" s="407"/>
      <c r="U378" s="407"/>
      <c r="V378" s="407"/>
      <c r="W378" s="407"/>
      <c r="X378" s="407"/>
      <c r="Y378" s="407"/>
      <c r="Z378" s="408"/>
    </row>
    <row r="379" spans="1:26">
      <c r="A379" s="416"/>
      <c r="B379" s="407"/>
      <c r="C379" s="407"/>
      <c r="D379" s="407"/>
      <c r="E379" s="407"/>
      <c r="F379" s="407"/>
      <c r="G379" s="407"/>
      <c r="H379" s="407"/>
      <c r="I379" s="407"/>
      <c r="J379" s="407"/>
      <c r="K379" s="407"/>
      <c r="L379" s="407"/>
      <c r="M379" s="407"/>
      <c r="N379" s="407"/>
      <c r="O379" s="407"/>
      <c r="P379" s="407"/>
      <c r="Q379" s="407"/>
      <c r="R379" s="407"/>
      <c r="S379" s="407"/>
      <c r="T379" s="407"/>
      <c r="U379" s="407"/>
      <c r="V379" s="407"/>
      <c r="W379" s="407"/>
      <c r="X379" s="407"/>
      <c r="Y379" s="407"/>
      <c r="Z379" s="408"/>
    </row>
    <row r="380" spans="1:26">
      <c r="A380" s="416"/>
      <c r="B380" s="407"/>
      <c r="C380" s="407"/>
      <c r="D380" s="407"/>
      <c r="E380" s="407"/>
      <c r="F380" s="407"/>
      <c r="G380" s="407"/>
      <c r="H380" s="407"/>
      <c r="I380" s="407"/>
      <c r="J380" s="407"/>
      <c r="K380" s="407"/>
      <c r="L380" s="407"/>
      <c r="M380" s="407"/>
      <c r="N380" s="407"/>
      <c r="O380" s="407"/>
      <c r="P380" s="407"/>
      <c r="Q380" s="407"/>
      <c r="R380" s="407"/>
      <c r="S380" s="407"/>
      <c r="T380" s="407"/>
      <c r="U380" s="407"/>
      <c r="V380" s="407"/>
      <c r="W380" s="407"/>
      <c r="X380" s="407"/>
      <c r="Y380" s="407"/>
      <c r="Z380" s="408"/>
    </row>
    <row r="381" spans="1:26">
      <c r="A381" s="416"/>
      <c r="B381" s="407"/>
      <c r="C381" s="407"/>
      <c r="D381" s="407"/>
      <c r="E381" s="407"/>
      <c r="F381" s="407"/>
      <c r="G381" s="407"/>
      <c r="H381" s="407"/>
      <c r="I381" s="407"/>
      <c r="J381" s="407"/>
      <c r="K381" s="407"/>
      <c r="L381" s="407"/>
      <c r="M381" s="407"/>
      <c r="N381" s="407"/>
      <c r="O381" s="407"/>
      <c r="P381" s="407"/>
      <c r="Q381" s="407"/>
      <c r="R381" s="407"/>
      <c r="S381" s="407"/>
      <c r="T381" s="407"/>
      <c r="U381" s="407"/>
      <c r="V381" s="407"/>
      <c r="W381" s="407"/>
      <c r="X381" s="407"/>
      <c r="Y381" s="407"/>
      <c r="Z381" s="408"/>
    </row>
    <row r="382" spans="1:26">
      <c r="A382" s="416"/>
      <c r="B382" s="407"/>
      <c r="C382" s="407"/>
      <c r="D382" s="407"/>
      <c r="E382" s="407"/>
      <c r="F382" s="407"/>
      <c r="G382" s="407"/>
      <c r="H382" s="407"/>
      <c r="I382" s="407"/>
      <c r="J382" s="407"/>
      <c r="K382" s="407"/>
      <c r="L382" s="407"/>
      <c r="M382" s="407"/>
      <c r="N382" s="407"/>
      <c r="O382" s="407"/>
      <c r="P382" s="407"/>
      <c r="Q382" s="407"/>
      <c r="R382" s="407"/>
      <c r="S382" s="407"/>
      <c r="T382" s="407"/>
      <c r="U382" s="407"/>
      <c r="V382" s="407"/>
      <c r="W382" s="407"/>
      <c r="X382" s="407"/>
      <c r="Y382" s="407"/>
      <c r="Z382" s="408"/>
    </row>
    <row r="383" spans="1:26">
      <c r="A383" s="416"/>
      <c r="B383" s="407"/>
      <c r="C383" s="407"/>
      <c r="D383" s="407"/>
      <c r="E383" s="407"/>
      <c r="F383" s="407"/>
      <c r="G383" s="407"/>
      <c r="H383" s="407"/>
      <c r="I383" s="407"/>
      <c r="J383" s="407"/>
      <c r="K383" s="407"/>
      <c r="L383" s="407"/>
      <c r="M383" s="407"/>
      <c r="N383" s="407"/>
      <c r="O383" s="407"/>
      <c r="P383" s="407"/>
      <c r="Q383" s="407"/>
      <c r="R383" s="407"/>
      <c r="S383" s="407"/>
      <c r="T383" s="407"/>
      <c r="U383" s="407"/>
      <c r="V383" s="407"/>
      <c r="W383" s="407"/>
      <c r="X383" s="407"/>
      <c r="Y383" s="407"/>
      <c r="Z383" s="408"/>
    </row>
    <row r="384" spans="1:26">
      <c r="A384" s="416"/>
      <c r="B384" s="407"/>
      <c r="C384" s="407"/>
      <c r="D384" s="407"/>
      <c r="E384" s="407"/>
      <c r="F384" s="407"/>
      <c r="G384" s="407"/>
      <c r="H384" s="407"/>
      <c r="I384" s="407"/>
      <c r="J384" s="407"/>
      <c r="K384" s="407"/>
      <c r="L384" s="407"/>
      <c r="M384" s="407"/>
      <c r="N384" s="407"/>
      <c r="O384" s="407"/>
      <c r="P384" s="407"/>
      <c r="Q384" s="407"/>
      <c r="R384" s="407"/>
      <c r="S384" s="407"/>
      <c r="T384" s="407"/>
      <c r="U384" s="407"/>
      <c r="V384" s="407"/>
      <c r="W384" s="407"/>
      <c r="X384" s="407"/>
      <c r="Y384" s="407"/>
      <c r="Z384" s="408"/>
    </row>
    <row r="385" spans="1:26">
      <c r="A385" s="416"/>
      <c r="B385" s="407"/>
      <c r="C385" s="407"/>
      <c r="D385" s="407"/>
      <c r="E385" s="407"/>
      <c r="F385" s="407"/>
      <c r="G385" s="407"/>
      <c r="H385" s="407"/>
      <c r="I385" s="407"/>
      <c r="J385" s="407"/>
      <c r="K385" s="407"/>
      <c r="L385" s="407"/>
      <c r="M385" s="407"/>
      <c r="N385" s="407"/>
      <c r="O385" s="407"/>
      <c r="P385" s="407"/>
      <c r="Q385" s="407"/>
      <c r="R385" s="407"/>
      <c r="S385" s="407"/>
      <c r="T385" s="407"/>
      <c r="U385" s="407"/>
      <c r="V385" s="407"/>
      <c r="W385" s="407"/>
      <c r="X385" s="407"/>
      <c r="Y385" s="407"/>
      <c r="Z385" s="408"/>
    </row>
    <row r="386" spans="1:26">
      <c r="A386" s="416"/>
      <c r="B386" s="407"/>
      <c r="C386" s="407"/>
      <c r="D386" s="407"/>
      <c r="E386" s="407"/>
      <c r="F386" s="407"/>
      <c r="G386" s="407"/>
      <c r="H386" s="407"/>
      <c r="I386" s="407"/>
      <c r="J386" s="407"/>
      <c r="K386" s="407"/>
      <c r="L386" s="407"/>
      <c r="M386" s="407"/>
      <c r="N386" s="407"/>
      <c r="O386" s="407"/>
      <c r="P386" s="407"/>
      <c r="Q386" s="407"/>
      <c r="R386" s="407"/>
      <c r="S386" s="407"/>
      <c r="T386" s="407"/>
      <c r="U386" s="407"/>
      <c r="V386" s="407"/>
      <c r="W386" s="407"/>
      <c r="X386" s="407"/>
      <c r="Y386" s="407"/>
      <c r="Z386" s="408"/>
    </row>
    <row r="387" spans="1:26">
      <c r="A387" s="416"/>
      <c r="B387" s="407"/>
      <c r="C387" s="407"/>
      <c r="D387" s="407"/>
      <c r="E387" s="407"/>
      <c r="F387" s="407"/>
      <c r="G387" s="407"/>
      <c r="H387" s="407"/>
      <c r="I387" s="407"/>
      <c r="J387" s="407"/>
      <c r="K387" s="407"/>
      <c r="L387" s="407"/>
      <c r="M387" s="407"/>
      <c r="N387" s="407"/>
      <c r="O387" s="407"/>
      <c r="P387" s="407"/>
      <c r="Q387" s="407"/>
      <c r="R387" s="407"/>
      <c r="S387" s="407"/>
      <c r="T387" s="407"/>
      <c r="U387" s="407"/>
      <c r="V387" s="407"/>
      <c r="W387" s="407"/>
      <c r="X387" s="407"/>
      <c r="Y387" s="407"/>
      <c r="Z387" s="408"/>
    </row>
    <row r="388" spans="1:26">
      <c r="A388" s="416"/>
      <c r="B388" s="407"/>
      <c r="C388" s="407"/>
      <c r="D388" s="407"/>
      <c r="E388" s="407"/>
      <c r="F388" s="407"/>
      <c r="G388" s="407"/>
      <c r="H388" s="407"/>
      <c r="I388" s="407"/>
      <c r="J388" s="407"/>
      <c r="K388" s="407"/>
      <c r="L388" s="407"/>
      <c r="M388" s="407"/>
      <c r="N388" s="407"/>
      <c r="O388" s="407"/>
      <c r="P388" s="407"/>
      <c r="Q388" s="407"/>
      <c r="R388" s="407"/>
      <c r="S388" s="407"/>
      <c r="T388" s="407"/>
      <c r="U388" s="407"/>
      <c r="V388" s="407"/>
      <c r="W388" s="407"/>
      <c r="X388" s="407"/>
      <c r="Y388" s="407"/>
      <c r="Z388" s="408"/>
    </row>
    <row r="389" spans="1:26">
      <c r="A389" s="416"/>
      <c r="B389" s="407"/>
      <c r="C389" s="407"/>
      <c r="D389" s="407"/>
      <c r="E389" s="407"/>
      <c r="F389" s="407"/>
      <c r="G389" s="407"/>
      <c r="H389" s="407"/>
      <c r="I389" s="407"/>
      <c r="J389" s="407"/>
      <c r="K389" s="407"/>
      <c r="L389" s="407"/>
      <c r="M389" s="407"/>
      <c r="N389" s="407"/>
      <c r="O389" s="407"/>
      <c r="P389" s="407"/>
      <c r="Q389" s="407"/>
      <c r="R389" s="407"/>
      <c r="S389" s="407"/>
      <c r="T389" s="407"/>
      <c r="U389" s="407"/>
      <c r="V389" s="407"/>
      <c r="W389" s="407"/>
      <c r="X389" s="407"/>
      <c r="Y389" s="407"/>
      <c r="Z389" s="408"/>
    </row>
    <row r="390" spans="1:26">
      <c r="A390" s="416"/>
      <c r="B390" s="407"/>
      <c r="C390" s="407"/>
      <c r="D390" s="407"/>
      <c r="E390" s="407"/>
      <c r="F390" s="407"/>
      <c r="G390" s="407"/>
      <c r="H390" s="407"/>
      <c r="I390" s="407"/>
      <c r="J390" s="407"/>
      <c r="K390" s="407"/>
      <c r="L390" s="407"/>
      <c r="M390" s="407"/>
      <c r="N390" s="407"/>
      <c r="O390" s="407"/>
      <c r="P390" s="407"/>
      <c r="Q390" s="407"/>
      <c r="R390" s="407"/>
      <c r="S390" s="407"/>
      <c r="T390" s="407"/>
      <c r="U390" s="407"/>
      <c r="V390" s="407"/>
      <c r="W390" s="407"/>
      <c r="X390" s="407"/>
      <c r="Y390" s="407"/>
      <c r="Z390" s="408"/>
    </row>
    <row r="391" spans="1:26">
      <c r="A391" s="416"/>
      <c r="B391" s="407"/>
      <c r="C391" s="407"/>
      <c r="D391" s="407"/>
      <c r="E391" s="407"/>
      <c r="F391" s="407"/>
      <c r="G391" s="407"/>
      <c r="H391" s="407"/>
      <c r="I391" s="407"/>
      <c r="J391" s="407"/>
      <c r="K391" s="407"/>
      <c r="L391" s="407"/>
      <c r="M391" s="407"/>
      <c r="N391" s="407"/>
      <c r="O391" s="407"/>
      <c r="P391" s="407"/>
      <c r="Q391" s="407"/>
      <c r="R391" s="407"/>
      <c r="S391" s="407"/>
      <c r="T391" s="407"/>
      <c r="U391" s="407"/>
      <c r="V391" s="407"/>
      <c r="W391" s="407"/>
      <c r="X391" s="407"/>
      <c r="Y391" s="407"/>
      <c r="Z391" s="408"/>
    </row>
    <row r="392" spans="1:26">
      <c r="A392" s="416"/>
      <c r="B392" s="407"/>
      <c r="C392" s="407"/>
      <c r="D392" s="407"/>
      <c r="E392" s="407"/>
      <c r="F392" s="407"/>
      <c r="G392" s="407"/>
      <c r="H392" s="407"/>
      <c r="I392" s="407"/>
      <c r="J392" s="407"/>
      <c r="K392" s="407"/>
      <c r="L392" s="407"/>
      <c r="M392" s="407"/>
      <c r="N392" s="407"/>
      <c r="O392" s="407"/>
      <c r="P392" s="407"/>
      <c r="Q392" s="407"/>
      <c r="R392" s="407"/>
      <c r="S392" s="407"/>
      <c r="T392" s="407"/>
      <c r="U392" s="407"/>
      <c r="V392" s="407"/>
      <c r="W392" s="407"/>
      <c r="X392" s="407"/>
      <c r="Y392" s="407"/>
      <c r="Z392" s="408"/>
    </row>
    <row r="393" spans="1:26">
      <c r="A393" s="416"/>
      <c r="B393" s="407"/>
      <c r="C393" s="407"/>
      <c r="D393" s="407"/>
      <c r="E393" s="407"/>
      <c r="F393" s="407"/>
      <c r="G393" s="407"/>
      <c r="H393" s="407"/>
      <c r="I393" s="407"/>
      <c r="J393" s="407"/>
      <c r="K393" s="407"/>
      <c r="L393" s="407"/>
      <c r="M393" s="407"/>
      <c r="N393" s="407"/>
      <c r="O393" s="407"/>
      <c r="P393" s="407"/>
      <c r="Q393" s="407"/>
      <c r="R393" s="407"/>
      <c r="S393" s="407"/>
      <c r="T393" s="407"/>
      <c r="U393" s="407"/>
      <c r="V393" s="407"/>
      <c r="W393" s="407"/>
      <c r="X393" s="407"/>
      <c r="Y393" s="407"/>
      <c r="Z393" s="408"/>
    </row>
    <row r="394" spans="1:26">
      <c r="A394" s="416"/>
      <c r="B394" s="407"/>
      <c r="C394" s="407"/>
      <c r="D394" s="407"/>
      <c r="E394" s="407"/>
      <c r="F394" s="407"/>
      <c r="G394" s="407"/>
      <c r="H394" s="407"/>
      <c r="I394" s="407"/>
      <c r="J394" s="407"/>
      <c r="K394" s="407"/>
      <c r="L394" s="407"/>
      <c r="M394" s="407"/>
      <c r="N394" s="407"/>
      <c r="O394" s="407"/>
      <c r="P394" s="407"/>
      <c r="Q394" s="407"/>
      <c r="R394" s="407"/>
      <c r="S394" s="407"/>
      <c r="T394" s="407"/>
      <c r="U394" s="407"/>
      <c r="V394" s="407"/>
      <c r="W394" s="407"/>
      <c r="X394" s="407"/>
      <c r="Y394" s="407"/>
      <c r="Z394" s="408"/>
    </row>
    <row r="395" spans="1:26">
      <c r="A395" s="416"/>
      <c r="B395" s="407"/>
      <c r="C395" s="407"/>
      <c r="D395" s="407"/>
      <c r="E395" s="407"/>
      <c r="F395" s="407"/>
      <c r="G395" s="407"/>
      <c r="H395" s="407"/>
      <c r="I395" s="407"/>
      <c r="J395" s="407"/>
      <c r="K395" s="407"/>
      <c r="L395" s="407"/>
      <c r="M395" s="407"/>
      <c r="N395" s="407"/>
      <c r="O395" s="407"/>
      <c r="P395" s="407"/>
      <c r="Q395" s="407"/>
      <c r="R395" s="407"/>
      <c r="S395" s="407"/>
      <c r="T395" s="407"/>
      <c r="U395" s="407"/>
      <c r="V395" s="407"/>
      <c r="W395" s="407"/>
      <c r="X395" s="407"/>
      <c r="Y395" s="407"/>
      <c r="Z395" s="408"/>
    </row>
    <row r="396" spans="1:26">
      <c r="A396" s="416"/>
      <c r="B396" s="407"/>
      <c r="C396" s="407"/>
      <c r="D396" s="407"/>
      <c r="E396" s="407"/>
      <c r="F396" s="407"/>
      <c r="G396" s="407"/>
      <c r="H396" s="407"/>
      <c r="I396" s="407"/>
      <c r="J396" s="407"/>
      <c r="K396" s="407"/>
      <c r="L396" s="407"/>
      <c r="M396" s="407"/>
      <c r="N396" s="407"/>
      <c r="O396" s="407"/>
      <c r="P396" s="407"/>
      <c r="Q396" s="407"/>
      <c r="R396" s="407"/>
      <c r="S396" s="407"/>
      <c r="T396" s="407"/>
      <c r="U396" s="407"/>
      <c r="V396" s="407"/>
      <c r="W396" s="407"/>
      <c r="X396" s="407"/>
      <c r="Y396" s="407"/>
      <c r="Z396" s="408"/>
    </row>
    <row r="397" spans="1:26">
      <c r="A397" s="416"/>
      <c r="B397" s="407"/>
      <c r="C397" s="407"/>
      <c r="D397" s="407"/>
      <c r="E397" s="407"/>
      <c r="F397" s="407"/>
      <c r="G397" s="407"/>
      <c r="H397" s="407"/>
      <c r="I397" s="407"/>
      <c r="J397" s="407"/>
      <c r="K397" s="407"/>
      <c r="L397" s="407"/>
      <c r="M397" s="407"/>
      <c r="N397" s="407"/>
      <c r="O397" s="407"/>
      <c r="P397" s="407"/>
      <c r="Q397" s="407"/>
      <c r="R397" s="407"/>
      <c r="S397" s="407"/>
      <c r="T397" s="407"/>
      <c r="U397" s="407"/>
      <c r="V397" s="407"/>
      <c r="W397" s="407"/>
      <c r="X397" s="407"/>
      <c r="Y397" s="407"/>
      <c r="Z397" s="408"/>
    </row>
    <row r="398" spans="1:26">
      <c r="A398" s="416"/>
      <c r="B398" s="407"/>
      <c r="C398" s="407"/>
      <c r="D398" s="407"/>
      <c r="E398" s="407"/>
      <c r="F398" s="407"/>
      <c r="G398" s="407"/>
      <c r="H398" s="407"/>
      <c r="I398" s="407"/>
      <c r="J398" s="407"/>
      <c r="K398" s="407"/>
      <c r="L398" s="407"/>
      <c r="M398" s="407"/>
      <c r="N398" s="407"/>
      <c r="O398" s="407"/>
      <c r="P398" s="407"/>
      <c r="Q398" s="407"/>
      <c r="R398" s="407"/>
      <c r="S398" s="407"/>
      <c r="T398" s="407"/>
      <c r="U398" s="407"/>
      <c r="V398" s="407"/>
      <c r="W398" s="407"/>
      <c r="X398" s="407"/>
      <c r="Y398" s="407"/>
      <c r="Z398" s="408"/>
    </row>
    <row r="399" spans="1:26">
      <c r="A399" s="416"/>
      <c r="B399" s="407"/>
      <c r="C399" s="407"/>
      <c r="D399" s="407"/>
      <c r="E399" s="407"/>
      <c r="F399" s="407"/>
      <c r="G399" s="407"/>
      <c r="H399" s="407"/>
      <c r="I399" s="407"/>
      <c r="J399" s="407"/>
      <c r="K399" s="407"/>
      <c r="L399" s="407"/>
      <c r="M399" s="407"/>
      <c r="N399" s="407"/>
      <c r="O399" s="407"/>
      <c r="P399" s="407"/>
      <c r="Q399" s="407"/>
      <c r="R399" s="407"/>
      <c r="S399" s="407"/>
      <c r="T399" s="407"/>
      <c r="U399" s="407"/>
      <c r="V399" s="407"/>
      <c r="W399" s="407"/>
      <c r="X399" s="407"/>
      <c r="Y399" s="407"/>
      <c r="Z399" s="408"/>
    </row>
    <row r="400" spans="1:26">
      <c r="A400" s="416"/>
      <c r="B400" s="407"/>
      <c r="C400" s="407"/>
      <c r="D400" s="407"/>
      <c r="E400" s="407"/>
      <c r="F400" s="407"/>
      <c r="G400" s="407"/>
      <c r="H400" s="407"/>
      <c r="I400" s="407"/>
      <c r="J400" s="407"/>
      <c r="K400" s="407"/>
      <c r="L400" s="407"/>
      <c r="M400" s="407"/>
      <c r="N400" s="407"/>
      <c r="O400" s="407"/>
      <c r="P400" s="407"/>
      <c r="Q400" s="407"/>
      <c r="R400" s="407"/>
      <c r="S400" s="407"/>
      <c r="T400" s="407"/>
      <c r="U400" s="407"/>
      <c r="V400" s="407"/>
      <c r="W400" s="407"/>
      <c r="X400" s="407"/>
      <c r="Y400" s="407"/>
      <c r="Z400" s="408"/>
    </row>
    <row r="401" spans="1:26">
      <c r="A401" s="416"/>
      <c r="B401" s="407"/>
      <c r="C401" s="407"/>
      <c r="D401" s="407"/>
      <c r="E401" s="407"/>
      <c r="F401" s="407"/>
      <c r="G401" s="407"/>
      <c r="H401" s="407"/>
      <c r="I401" s="407"/>
      <c r="J401" s="407"/>
      <c r="K401" s="407"/>
      <c r="L401" s="407"/>
      <c r="M401" s="407"/>
      <c r="N401" s="407"/>
      <c r="O401" s="407"/>
      <c r="P401" s="407"/>
      <c r="Q401" s="407"/>
      <c r="R401" s="407"/>
      <c r="S401" s="407"/>
      <c r="T401" s="407"/>
      <c r="U401" s="407"/>
      <c r="V401" s="407"/>
      <c r="W401" s="407"/>
      <c r="X401" s="407"/>
      <c r="Y401" s="407"/>
      <c r="Z401" s="408"/>
    </row>
    <row r="402" spans="1:26">
      <c r="A402" s="416"/>
      <c r="B402" s="407"/>
      <c r="C402" s="407"/>
      <c r="D402" s="407"/>
      <c r="E402" s="407"/>
      <c r="F402" s="407"/>
      <c r="G402" s="407"/>
      <c r="H402" s="407"/>
      <c r="I402" s="407"/>
      <c r="J402" s="407"/>
      <c r="K402" s="407"/>
      <c r="L402" s="407"/>
      <c r="M402" s="407"/>
      <c r="N402" s="407"/>
      <c r="O402" s="407"/>
      <c r="P402" s="407"/>
      <c r="Q402" s="407"/>
      <c r="R402" s="407"/>
      <c r="S402" s="407"/>
      <c r="T402" s="407"/>
      <c r="U402" s="407"/>
      <c r="V402" s="407"/>
      <c r="W402" s="407"/>
      <c r="X402" s="407"/>
      <c r="Y402" s="407"/>
      <c r="Z402" s="408"/>
    </row>
    <row r="403" spans="1:26">
      <c r="A403" s="416"/>
      <c r="B403" s="407"/>
      <c r="C403" s="407"/>
      <c r="D403" s="407"/>
      <c r="E403" s="407"/>
      <c r="F403" s="407"/>
      <c r="G403" s="407"/>
      <c r="H403" s="407"/>
      <c r="I403" s="407"/>
      <c r="J403" s="407"/>
      <c r="K403" s="407"/>
      <c r="L403" s="407"/>
      <c r="M403" s="407"/>
      <c r="N403" s="407"/>
      <c r="O403" s="407"/>
      <c r="P403" s="407"/>
      <c r="Q403" s="407"/>
      <c r="R403" s="407"/>
      <c r="S403" s="407"/>
      <c r="T403" s="407"/>
      <c r="U403" s="407"/>
      <c r="V403" s="407"/>
      <c r="W403" s="407"/>
      <c r="X403" s="407"/>
      <c r="Y403" s="407"/>
      <c r="Z403" s="408"/>
    </row>
    <row r="404" spans="1:26">
      <c r="A404" s="416"/>
      <c r="B404" s="407"/>
      <c r="C404" s="407"/>
      <c r="D404" s="407"/>
      <c r="E404" s="407"/>
      <c r="F404" s="407"/>
      <c r="G404" s="407"/>
      <c r="H404" s="407"/>
      <c r="I404" s="407"/>
      <c r="J404" s="407"/>
      <c r="K404" s="407"/>
      <c r="L404" s="407"/>
      <c r="M404" s="407"/>
      <c r="N404" s="407"/>
      <c r="O404" s="407"/>
      <c r="P404" s="407"/>
      <c r="Q404" s="407"/>
      <c r="R404" s="407"/>
      <c r="S404" s="407"/>
      <c r="T404" s="407"/>
      <c r="U404" s="407"/>
      <c r="V404" s="407"/>
      <c r="W404" s="407"/>
      <c r="X404" s="407"/>
      <c r="Y404" s="407"/>
      <c r="Z404" s="408"/>
    </row>
    <row r="405" spans="1:26">
      <c r="A405" s="416"/>
      <c r="B405" s="407"/>
      <c r="C405" s="407"/>
      <c r="D405" s="407"/>
      <c r="E405" s="407"/>
      <c r="F405" s="407"/>
      <c r="G405" s="407"/>
      <c r="H405" s="407"/>
      <c r="I405" s="407"/>
      <c r="J405" s="407"/>
      <c r="K405" s="407"/>
      <c r="L405" s="407"/>
      <c r="M405" s="407"/>
      <c r="N405" s="407"/>
      <c r="O405" s="407"/>
      <c r="P405" s="407"/>
      <c r="Q405" s="407"/>
      <c r="R405" s="407"/>
      <c r="S405" s="407"/>
      <c r="T405" s="407"/>
      <c r="U405" s="407"/>
      <c r="V405" s="407"/>
      <c r="W405" s="407"/>
      <c r="X405" s="407"/>
      <c r="Y405" s="407"/>
      <c r="Z405" s="408"/>
    </row>
    <row r="406" spans="1:26">
      <c r="A406" s="416"/>
      <c r="B406" s="407"/>
      <c r="C406" s="407"/>
      <c r="D406" s="407"/>
      <c r="E406" s="407"/>
      <c r="F406" s="407"/>
      <c r="G406" s="407"/>
      <c r="H406" s="407"/>
      <c r="I406" s="407"/>
      <c r="J406" s="407"/>
      <c r="K406" s="407"/>
      <c r="L406" s="407"/>
      <c r="M406" s="407"/>
      <c r="N406" s="407"/>
      <c r="O406" s="407"/>
      <c r="P406" s="407"/>
      <c r="Q406" s="407"/>
      <c r="R406" s="407"/>
      <c r="S406" s="407"/>
      <c r="T406" s="407"/>
      <c r="U406" s="407"/>
      <c r="V406" s="407"/>
      <c r="W406" s="407"/>
      <c r="X406" s="407"/>
      <c r="Y406" s="407"/>
      <c r="Z406" s="408"/>
    </row>
    <row r="407" spans="1:26">
      <c r="A407" s="416"/>
      <c r="B407" s="407"/>
      <c r="C407" s="407"/>
      <c r="D407" s="407"/>
      <c r="E407" s="407"/>
      <c r="F407" s="407"/>
      <c r="G407" s="407"/>
      <c r="H407" s="407"/>
      <c r="I407" s="407"/>
      <c r="J407" s="407"/>
      <c r="K407" s="407"/>
      <c r="L407" s="407"/>
      <c r="M407" s="407"/>
      <c r="N407" s="407"/>
      <c r="O407" s="407"/>
      <c r="P407" s="407"/>
      <c r="Q407" s="407"/>
      <c r="R407" s="407"/>
      <c r="S407" s="407"/>
      <c r="T407" s="407"/>
      <c r="U407" s="407"/>
      <c r="V407" s="407"/>
      <c r="W407" s="407"/>
      <c r="X407" s="407"/>
      <c r="Y407" s="407"/>
      <c r="Z407" s="408"/>
    </row>
    <row r="408" spans="1:26">
      <c r="A408" s="416"/>
      <c r="B408" s="407"/>
      <c r="C408" s="407"/>
      <c r="D408" s="407"/>
      <c r="E408" s="407"/>
      <c r="F408" s="407"/>
      <c r="G408" s="407"/>
      <c r="H408" s="407"/>
      <c r="I408" s="407"/>
      <c r="J408" s="407"/>
      <c r="K408" s="407"/>
      <c r="L408" s="407"/>
      <c r="M408" s="407"/>
      <c r="N408" s="407"/>
      <c r="O408" s="407"/>
      <c r="P408" s="407"/>
      <c r="Q408" s="407"/>
      <c r="R408" s="407"/>
      <c r="S408" s="407"/>
      <c r="T408" s="407"/>
      <c r="U408" s="407"/>
      <c r="V408" s="407"/>
      <c r="W408" s="407"/>
      <c r="X408" s="407"/>
      <c r="Y408" s="407"/>
      <c r="Z408" s="408"/>
    </row>
    <row r="409" spans="1:26">
      <c r="A409" s="416"/>
      <c r="B409" s="407"/>
      <c r="C409" s="407"/>
      <c r="D409" s="407"/>
      <c r="E409" s="407"/>
      <c r="F409" s="407"/>
      <c r="G409" s="407"/>
      <c r="H409" s="407"/>
      <c r="I409" s="407"/>
      <c r="J409" s="407"/>
      <c r="K409" s="407"/>
      <c r="L409" s="407"/>
      <c r="M409" s="407"/>
      <c r="N409" s="407"/>
      <c r="O409" s="407"/>
      <c r="P409" s="407"/>
      <c r="Q409" s="407"/>
      <c r="R409" s="407"/>
      <c r="S409" s="407"/>
      <c r="T409" s="407"/>
      <c r="U409" s="407"/>
      <c r="V409" s="407"/>
      <c r="W409" s="407"/>
      <c r="X409" s="407"/>
      <c r="Y409" s="407"/>
      <c r="Z409" s="408"/>
    </row>
    <row r="410" spans="1:26">
      <c r="A410" s="416"/>
      <c r="B410" s="407"/>
      <c r="C410" s="407"/>
      <c r="D410" s="407"/>
      <c r="E410" s="407"/>
      <c r="F410" s="407"/>
      <c r="G410" s="407"/>
      <c r="H410" s="407"/>
      <c r="I410" s="407"/>
      <c r="J410" s="407"/>
      <c r="K410" s="407"/>
      <c r="L410" s="407"/>
      <c r="M410" s="407"/>
      <c r="N410" s="407"/>
      <c r="O410" s="407"/>
      <c r="P410" s="407"/>
      <c r="Q410" s="407"/>
      <c r="R410" s="407"/>
      <c r="S410" s="407"/>
      <c r="T410" s="407"/>
      <c r="U410" s="407"/>
      <c r="V410" s="407"/>
      <c r="W410" s="407"/>
      <c r="X410" s="407"/>
      <c r="Y410" s="407"/>
      <c r="Z410" s="408"/>
    </row>
    <row r="411" spans="1:26">
      <c r="A411" s="416"/>
      <c r="B411" s="407"/>
      <c r="C411" s="407"/>
      <c r="D411" s="407"/>
      <c r="E411" s="407"/>
      <c r="F411" s="407"/>
      <c r="G411" s="407"/>
      <c r="H411" s="407"/>
      <c r="I411" s="407"/>
      <c r="J411" s="407"/>
      <c r="K411" s="407"/>
      <c r="L411" s="407"/>
      <c r="M411" s="407"/>
      <c r="N411" s="407"/>
      <c r="O411" s="407"/>
      <c r="P411" s="407"/>
      <c r="Q411" s="407"/>
      <c r="R411" s="407"/>
      <c r="S411" s="407"/>
      <c r="T411" s="407"/>
      <c r="U411" s="407"/>
      <c r="V411" s="407"/>
      <c r="W411" s="407"/>
      <c r="X411" s="407"/>
      <c r="Y411" s="407"/>
      <c r="Z411" s="408"/>
    </row>
    <row r="412" spans="1:26">
      <c r="A412" s="416"/>
      <c r="B412" s="407"/>
      <c r="C412" s="407"/>
      <c r="D412" s="407"/>
      <c r="E412" s="407"/>
      <c r="F412" s="407"/>
      <c r="G412" s="407"/>
      <c r="H412" s="407"/>
      <c r="I412" s="407"/>
      <c r="J412" s="407"/>
      <c r="K412" s="407"/>
      <c r="L412" s="407"/>
      <c r="M412" s="407"/>
      <c r="N412" s="407"/>
      <c r="O412" s="407"/>
      <c r="P412" s="407"/>
      <c r="Q412" s="407"/>
      <c r="R412" s="407"/>
      <c r="S412" s="407"/>
      <c r="T412" s="407"/>
      <c r="U412" s="407"/>
      <c r="V412" s="407"/>
      <c r="W412" s="407"/>
      <c r="X412" s="407"/>
      <c r="Y412" s="407"/>
      <c r="Z412" s="408"/>
    </row>
    <row r="413" spans="1:26">
      <c r="A413" s="416"/>
      <c r="B413" s="407"/>
      <c r="C413" s="407"/>
      <c r="D413" s="407"/>
      <c r="E413" s="407"/>
      <c r="F413" s="407"/>
      <c r="G413" s="407"/>
      <c r="H413" s="407"/>
      <c r="I413" s="407"/>
      <c r="J413" s="407"/>
      <c r="K413" s="407"/>
      <c r="L413" s="407"/>
      <c r="M413" s="407"/>
      <c r="N413" s="407"/>
      <c r="O413" s="407"/>
      <c r="P413" s="407"/>
      <c r="Q413" s="407"/>
      <c r="R413" s="407"/>
      <c r="S413" s="407"/>
      <c r="T413" s="407"/>
      <c r="U413" s="407"/>
      <c r="V413" s="407"/>
      <c r="W413" s="407"/>
      <c r="X413" s="407"/>
      <c r="Y413" s="407"/>
      <c r="Z413" s="408"/>
    </row>
    <row r="414" spans="1:26">
      <c r="A414" s="416"/>
      <c r="B414" s="407"/>
      <c r="C414" s="407"/>
      <c r="D414" s="407"/>
      <c r="E414" s="407"/>
      <c r="F414" s="407"/>
      <c r="G414" s="407"/>
      <c r="H414" s="407"/>
      <c r="I414" s="407"/>
      <c r="J414" s="407"/>
      <c r="K414" s="407"/>
      <c r="L414" s="407"/>
      <c r="M414" s="407"/>
      <c r="N414" s="407"/>
      <c r="O414" s="407"/>
      <c r="P414" s="407"/>
      <c r="Q414" s="407"/>
      <c r="R414" s="407"/>
      <c r="S414" s="407"/>
      <c r="T414" s="407"/>
      <c r="U414" s="407"/>
      <c r="V414" s="407"/>
      <c r="W414" s="407"/>
      <c r="X414" s="407"/>
      <c r="Y414" s="407"/>
      <c r="Z414" s="408"/>
    </row>
    <row r="415" spans="1:26">
      <c r="A415" s="416"/>
      <c r="B415" s="407"/>
      <c r="C415" s="407"/>
      <c r="D415" s="407"/>
      <c r="E415" s="407"/>
      <c r="F415" s="407"/>
      <c r="G415" s="407"/>
      <c r="H415" s="407"/>
      <c r="I415" s="407"/>
      <c r="J415" s="407"/>
      <c r="K415" s="407"/>
      <c r="L415" s="407"/>
      <c r="M415" s="407"/>
      <c r="N415" s="407"/>
      <c r="O415" s="407"/>
      <c r="P415" s="407"/>
      <c r="Q415" s="407"/>
      <c r="R415" s="407"/>
      <c r="S415" s="407"/>
      <c r="T415" s="407"/>
      <c r="U415" s="407"/>
      <c r="V415" s="407"/>
      <c r="W415" s="407"/>
      <c r="X415" s="407"/>
      <c r="Y415" s="407"/>
      <c r="Z415" s="408"/>
    </row>
    <row r="416" spans="1:26">
      <c r="A416" s="416"/>
      <c r="B416" s="407"/>
      <c r="C416" s="407"/>
      <c r="D416" s="407"/>
      <c r="E416" s="407"/>
      <c r="F416" s="407"/>
      <c r="G416" s="407"/>
      <c r="H416" s="407"/>
      <c r="I416" s="407"/>
      <c r="J416" s="407"/>
      <c r="K416" s="407"/>
      <c r="L416" s="407"/>
      <c r="M416" s="407"/>
      <c r="N416" s="407"/>
      <c r="O416" s="407"/>
      <c r="P416" s="407"/>
      <c r="Q416" s="407"/>
      <c r="R416" s="407"/>
      <c r="S416" s="407"/>
      <c r="T416" s="407"/>
      <c r="U416" s="407"/>
      <c r="V416" s="407"/>
      <c r="W416" s="407"/>
      <c r="X416" s="407"/>
      <c r="Y416" s="407"/>
      <c r="Z416" s="408"/>
    </row>
    <row r="417" spans="1:26">
      <c r="A417" s="416"/>
      <c r="B417" s="407"/>
      <c r="C417" s="407"/>
      <c r="D417" s="407"/>
      <c r="E417" s="407"/>
      <c r="F417" s="407"/>
      <c r="G417" s="407"/>
      <c r="H417" s="407"/>
      <c r="I417" s="407"/>
      <c r="J417" s="407"/>
      <c r="K417" s="407"/>
      <c r="L417" s="407"/>
      <c r="M417" s="407"/>
      <c r="N417" s="407"/>
      <c r="O417" s="407"/>
      <c r="P417" s="407"/>
      <c r="Q417" s="407"/>
      <c r="R417" s="407"/>
      <c r="S417" s="407"/>
      <c r="T417" s="407"/>
      <c r="U417" s="407"/>
      <c r="V417" s="407"/>
      <c r="W417" s="407"/>
      <c r="X417" s="407"/>
      <c r="Y417" s="407"/>
      <c r="Z417" s="408"/>
    </row>
    <row r="418" spans="1:26">
      <c r="A418" s="416"/>
      <c r="B418" s="407"/>
      <c r="C418" s="407"/>
      <c r="D418" s="407"/>
      <c r="E418" s="407"/>
      <c r="F418" s="407"/>
      <c r="G418" s="407"/>
      <c r="H418" s="407"/>
      <c r="I418" s="407"/>
      <c r="J418" s="407"/>
      <c r="K418" s="407"/>
      <c r="L418" s="407"/>
      <c r="M418" s="407"/>
      <c r="N418" s="407"/>
      <c r="O418" s="407"/>
      <c r="P418" s="407"/>
      <c r="Q418" s="407"/>
      <c r="R418" s="407"/>
      <c r="S418" s="407"/>
      <c r="T418" s="407"/>
      <c r="U418" s="407"/>
      <c r="V418" s="407"/>
      <c r="W418" s="407"/>
      <c r="X418" s="407"/>
      <c r="Y418" s="407"/>
      <c r="Z418" s="408"/>
    </row>
    <row r="419" spans="1:26">
      <c r="A419" s="416"/>
      <c r="B419" s="407"/>
      <c r="C419" s="407"/>
      <c r="D419" s="407"/>
      <c r="E419" s="407"/>
      <c r="F419" s="407"/>
      <c r="G419" s="407"/>
      <c r="H419" s="407"/>
      <c r="I419" s="407"/>
      <c r="J419" s="407"/>
      <c r="K419" s="407"/>
      <c r="L419" s="407"/>
      <c r="M419" s="407"/>
      <c r="N419" s="407"/>
      <c r="O419" s="407"/>
      <c r="P419" s="407"/>
      <c r="Q419" s="407"/>
      <c r="R419" s="407"/>
      <c r="S419" s="407"/>
      <c r="T419" s="407"/>
      <c r="U419" s="407"/>
      <c r="V419" s="407"/>
      <c r="W419" s="407"/>
      <c r="X419" s="407"/>
      <c r="Y419" s="407"/>
      <c r="Z419" s="408"/>
    </row>
    <row r="420" spans="1:26">
      <c r="A420" s="416"/>
      <c r="B420" s="407"/>
      <c r="C420" s="407"/>
      <c r="D420" s="407"/>
      <c r="E420" s="407"/>
      <c r="F420" s="407"/>
      <c r="G420" s="407"/>
      <c r="H420" s="407"/>
      <c r="I420" s="407"/>
      <c r="J420" s="407"/>
      <c r="K420" s="407"/>
      <c r="L420" s="407"/>
      <c r="M420" s="407"/>
      <c r="N420" s="407"/>
      <c r="O420" s="407"/>
      <c r="P420" s="407"/>
      <c r="Q420" s="407"/>
      <c r="R420" s="407"/>
      <c r="S420" s="407"/>
      <c r="T420" s="407"/>
      <c r="U420" s="407"/>
      <c r="V420" s="407"/>
      <c r="W420" s="407"/>
      <c r="X420" s="407"/>
      <c r="Y420" s="407"/>
      <c r="Z420" s="408"/>
    </row>
    <row r="421" spans="1:26">
      <c r="A421" s="416"/>
      <c r="B421" s="407"/>
      <c r="C421" s="407"/>
      <c r="D421" s="407"/>
      <c r="E421" s="407"/>
      <c r="F421" s="407"/>
      <c r="G421" s="407"/>
      <c r="H421" s="407"/>
      <c r="I421" s="407"/>
      <c r="J421" s="407"/>
      <c r="K421" s="407"/>
      <c r="L421" s="407"/>
      <c r="M421" s="407"/>
      <c r="N421" s="407"/>
      <c r="O421" s="407"/>
      <c r="P421" s="407"/>
      <c r="Q421" s="407"/>
      <c r="R421" s="407"/>
      <c r="S421" s="407"/>
      <c r="T421" s="407"/>
      <c r="U421" s="407"/>
      <c r="V421" s="407"/>
      <c r="W421" s="407"/>
      <c r="X421" s="407"/>
      <c r="Y421" s="407"/>
      <c r="Z421" s="408"/>
    </row>
    <row r="422" spans="1:26">
      <c r="A422" s="416"/>
      <c r="B422" s="407"/>
      <c r="C422" s="407"/>
      <c r="D422" s="407"/>
      <c r="E422" s="407"/>
      <c r="F422" s="407"/>
      <c r="G422" s="407"/>
      <c r="H422" s="407"/>
      <c r="I422" s="407"/>
      <c r="J422" s="407"/>
      <c r="K422" s="407"/>
      <c r="L422" s="407"/>
      <c r="M422" s="407"/>
      <c r="N422" s="407"/>
      <c r="O422" s="407"/>
      <c r="P422" s="407"/>
      <c r="Q422" s="407"/>
      <c r="R422" s="407"/>
      <c r="S422" s="407"/>
      <c r="T422" s="407"/>
      <c r="U422" s="407"/>
      <c r="V422" s="407"/>
      <c r="W422" s="407"/>
      <c r="X422" s="407"/>
      <c r="Y422" s="407"/>
      <c r="Z422" s="408"/>
    </row>
    <row r="423" spans="1:26">
      <c r="A423" s="416"/>
      <c r="B423" s="407"/>
      <c r="C423" s="407"/>
      <c r="D423" s="407"/>
      <c r="E423" s="407"/>
      <c r="F423" s="407"/>
      <c r="G423" s="407"/>
      <c r="H423" s="407"/>
      <c r="I423" s="407"/>
      <c r="J423" s="407"/>
      <c r="K423" s="407"/>
      <c r="L423" s="407"/>
      <c r="M423" s="407"/>
      <c r="N423" s="407"/>
      <c r="O423" s="407"/>
      <c r="P423" s="407"/>
      <c r="Q423" s="407"/>
      <c r="R423" s="407"/>
      <c r="S423" s="407"/>
      <c r="T423" s="407"/>
      <c r="U423" s="407"/>
      <c r="V423" s="407"/>
      <c r="W423" s="407"/>
      <c r="X423" s="407"/>
      <c r="Y423" s="407"/>
      <c r="Z423" s="408"/>
    </row>
    <row r="424" spans="1:26">
      <c r="A424" s="416"/>
      <c r="B424" s="407"/>
      <c r="C424" s="407"/>
      <c r="D424" s="407"/>
      <c r="E424" s="407"/>
      <c r="F424" s="407"/>
      <c r="G424" s="407"/>
      <c r="H424" s="407"/>
      <c r="I424" s="407"/>
      <c r="J424" s="407"/>
      <c r="K424" s="407"/>
      <c r="L424" s="407"/>
      <c r="M424" s="407"/>
      <c r="N424" s="407"/>
      <c r="O424" s="407"/>
      <c r="P424" s="407"/>
      <c r="Q424" s="407"/>
      <c r="R424" s="407"/>
      <c r="S424" s="407"/>
      <c r="T424" s="407"/>
      <c r="U424" s="407"/>
      <c r="V424" s="407"/>
      <c r="W424" s="407"/>
      <c r="X424" s="407"/>
      <c r="Y424" s="407"/>
      <c r="Z424" s="408"/>
    </row>
    <row r="425" spans="1:26">
      <c r="A425" s="416"/>
      <c r="B425" s="407"/>
      <c r="C425" s="407"/>
      <c r="D425" s="407"/>
      <c r="E425" s="407"/>
      <c r="F425" s="407"/>
      <c r="G425" s="407"/>
      <c r="H425" s="407"/>
      <c r="I425" s="407"/>
      <c r="J425" s="407"/>
      <c r="K425" s="407"/>
      <c r="L425" s="407"/>
      <c r="M425" s="407"/>
      <c r="N425" s="407"/>
      <c r="O425" s="407"/>
      <c r="P425" s="407"/>
      <c r="Q425" s="407"/>
      <c r="R425" s="407"/>
      <c r="S425" s="407"/>
      <c r="T425" s="407"/>
      <c r="U425" s="407"/>
      <c r="V425" s="407"/>
      <c r="W425" s="407"/>
      <c r="X425" s="407"/>
      <c r="Y425" s="407"/>
      <c r="Z425" s="408"/>
    </row>
    <row r="426" spans="1:26">
      <c r="A426" s="416"/>
      <c r="B426" s="407"/>
      <c r="C426" s="407"/>
      <c r="D426" s="407"/>
      <c r="E426" s="407"/>
      <c r="F426" s="407"/>
      <c r="G426" s="407"/>
      <c r="H426" s="407"/>
      <c r="I426" s="407"/>
      <c r="J426" s="407"/>
      <c r="K426" s="407"/>
      <c r="L426" s="407"/>
      <c r="M426" s="407"/>
      <c r="N426" s="407"/>
      <c r="O426" s="407"/>
      <c r="P426" s="407"/>
      <c r="Q426" s="407"/>
      <c r="R426" s="407"/>
      <c r="S426" s="407"/>
      <c r="T426" s="407"/>
      <c r="U426" s="407"/>
      <c r="V426" s="407"/>
      <c r="W426" s="407"/>
      <c r="X426" s="407"/>
      <c r="Y426" s="407"/>
      <c r="Z426" s="408"/>
    </row>
    <row r="427" spans="1:26">
      <c r="A427" s="416"/>
      <c r="B427" s="407"/>
      <c r="C427" s="407"/>
      <c r="D427" s="407"/>
      <c r="E427" s="407"/>
      <c r="F427" s="407"/>
      <c r="G427" s="407"/>
      <c r="H427" s="407"/>
      <c r="I427" s="407"/>
      <c r="J427" s="407"/>
      <c r="K427" s="407"/>
      <c r="L427" s="407"/>
      <c r="M427" s="407"/>
      <c r="N427" s="407"/>
      <c r="O427" s="407"/>
      <c r="P427" s="407"/>
      <c r="Q427" s="407"/>
      <c r="R427" s="407"/>
      <c r="S427" s="407"/>
      <c r="T427" s="407"/>
      <c r="U427" s="407"/>
      <c r="V427" s="407"/>
      <c r="W427" s="407"/>
      <c r="X427" s="407"/>
      <c r="Y427" s="407"/>
      <c r="Z427" s="408"/>
    </row>
    <row r="428" spans="1:26">
      <c r="A428" s="416"/>
      <c r="B428" s="407"/>
      <c r="C428" s="407"/>
      <c r="D428" s="407"/>
      <c r="E428" s="407"/>
      <c r="F428" s="407"/>
      <c r="G428" s="407"/>
      <c r="H428" s="407"/>
      <c r="I428" s="407"/>
      <c r="J428" s="407"/>
      <c r="K428" s="407"/>
      <c r="L428" s="407"/>
      <c r="M428" s="407"/>
      <c r="N428" s="407"/>
      <c r="O428" s="407"/>
      <c r="P428" s="407"/>
      <c r="Q428" s="407"/>
      <c r="R428" s="407"/>
      <c r="S428" s="407"/>
      <c r="T428" s="407"/>
      <c r="U428" s="407"/>
      <c r="V428" s="407"/>
      <c r="W428" s="407"/>
      <c r="X428" s="407"/>
      <c r="Y428" s="407"/>
      <c r="Z428" s="408"/>
    </row>
    <row r="429" spans="1:26">
      <c r="A429" s="416"/>
      <c r="B429" s="407"/>
      <c r="C429" s="407"/>
      <c r="D429" s="407"/>
      <c r="E429" s="407"/>
      <c r="F429" s="407"/>
      <c r="G429" s="407"/>
      <c r="H429" s="407"/>
      <c r="I429" s="407"/>
      <c r="J429" s="407"/>
      <c r="K429" s="407"/>
      <c r="L429" s="407"/>
      <c r="M429" s="407"/>
      <c r="N429" s="407"/>
      <c r="O429" s="407"/>
      <c r="P429" s="407"/>
      <c r="Q429" s="407"/>
      <c r="R429" s="407"/>
      <c r="S429" s="407"/>
      <c r="T429" s="407"/>
      <c r="U429" s="407"/>
      <c r="V429" s="407"/>
      <c r="W429" s="407"/>
      <c r="X429" s="407"/>
      <c r="Y429" s="407"/>
      <c r="Z429" s="408"/>
    </row>
    <row r="430" spans="1:26">
      <c r="A430" s="416"/>
      <c r="B430" s="407"/>
      <c r="C430" s="407"/>
      <c r="D430" s="407"/>
      <c r="E430" s="407"/>
      <c r="F430" s="407"/>
      <c r="G430" s="407"/>
      <c r="H430" s="407"/>
      <c r="I430" s="407"/>
      <c r="J430" s="407"/>
      <c r="K430" s="407"/>
      <c r="L430" s="407"/>
      <c r="M430" s="407"/>
      <c r="N430" s="407"/>
      <c r="O430" s="407"/>
      <c r="P430" s="407"/>
      <c r="Q430" s="407"/>
      <c r="R430" s="407"/>
      <c r="S430" s="407"/>
      <c r="T430" s="407"/>
      <c r="U430" s="407"/>
      <c r="V430" s="407"/>
      <c r="W430" s="407"/>
      <c r="X430" s="407"/>
      <c r="Y430" s="407"/>
      <c r="Z430" s="408"/>
    </row>
    <row r="431" spans="1:26">
      <c r="A431" s="416"/>
      <c r="B431" s="407"/>
      <c r="C431" s="407"/>
      <c r="D431" s="407"/>
      <c r="E431" s="407"/>
      <c r="F431" s="407"/>
      <c r="G431" s="407"/>
      <c r="H431" s="407"/>
      <c r="I431" s="407"/>
      <c r="J431" s="407"/>
      <c r="K431" s="407"/>
      <c r="L431" s="407"/>
      <c r="M431" s="407"/>
      <c r="N431" s="407"/>
      <c r="O431" s="407"/>
      <c r="P431" s="407"/>
      <c r="Q431" s="407"/>
      <c r="R431" s="407"/>
      <c r="S431" s="407"/>
      <c r="T431" s="407"/>
      <c r="U431" s="407"/>
      <c r="V431" s="407"/>
      <c r="W431" s="407"/>
      <c r="X431" s="407"/>
      <c r="Y431" s="407"/>
      <c r="Z431" s="408"/>
    </row>
    <row r="432" spans="1:26">
      <c r="A432" s="416"/>
      <c r="B432" s="407"/>
      <c r="C432" s="407"/>
      <c r="D432" s="407"/>
      <c r="E432" s="407"/>
      <c r="F432" s="407"/>
      <c r="G432" s="407"/>
      <c r="H432" s="407"/>
      <c r="I432" s="407"/>
      <c r="J432" s="407"/>
      <c r="K432" s="407"/>
      <c r="L432" s="407"/>
      <c r="M432" s="407"/>
      <c r="N432" s="407"/>
      <c r="O432" s="407"/>
      <c r="P432" s="407"/>
      <c r="Q432" s="407"/>
      <c r="R432" s="407"/>
      <c r="S432" s="407"/>
      <c r="T432" s="407"/>
      <c r="U432" s="407"/>
      <c r="V432" s="407"/>
      <c r="W432" s="407"/>
      <c r="X432" s="407"/>
      <c r="Y432" s="407"/>
      <c r="Z432" s="408"/>
    </row>
    <row r="433" spans="1:26">
      <c r="A433" s="416"/>
      <c r="B433" s="407"/>
      <c r="C433" s="407"/>
      <c r="D433" s="407"/>
      <c r="E433" s="407"/>
      <c r="F433" s="407"/>
      <c r="G433" s="407"/>
      <c r="H433" s="407"/>
      <c r="I433" s="407"/>
      <c r="J433" s="407"/>
      <c r="K433" s="407"/>
      <c r="L433" s="407"/>
      <c r="M433" s="407"/>
      <c r="N433" s="407"/>
      <c r="O433" s="407"/>
      <c r="P433" s="407"/>
      <c r="Q433" s="407"/>
      <c r="R433" s="407"/>
      <c r="S433" s="407"/>
      <c r="T433" s="407"/>
      <c r="U433" s="407"/>
      <c r="V433" s="407"/>
      <c r="W433" s="407"/>
      <c r="X433" s="407"/>
      <c r="Y433" s="407"/>
      <c r="Z433" s="408"/>
    </row>
    <row r="434" spans="1:26">
      <c r="A434" s="416"/>
      <c r="B434" s="407"/>
      <c r="C434" s="407"/>
      <c r="D434" s="407"/>
      <c r="E434" s="407"/>
      <c r="F434" s="407"/>
      <c r="G434" s="407"/>
      <c r="H434" s="407"/>
      <c r="I434" s="407"/>
      <c r="J434" s="407"/>
      <c r="K434" s="407"/>
      <c r="L434" s="407"/>
      <c r="M434" s="407"/>
      <c r="N434" s="407"/>
      <c r="O434" s="407"/>
      <c r="P434" s="407"/>
      <c r="Q434" s="407"/>
      <c r="R434" s="407"/>
      <c r="S434" s="407"/>
      <c r="T434" s="407"/>
      <c r="U434" s="407"/>
      <c r="V434" s="407"/>
      <c r="W434" s="407"/>
      <c r="X434" s="407"/>
      <c r="Y434" s="407"/>
      <c r="Z434" s="408"/>
    </row>
    <row r="435" spans="1:26">
      <c r="A435" s="416"/>
      <c r="B435" s="407"/>
      <c r="C435" s="407"/>
      <c r="D435" s="407"/>
      <c r="E435" s="407"/>
      <c r="F435" s="407"/>
      <c r="G435" s="407"/>
      <c r="H435" s="407"/>
      <c r="I435" s="407"/>
      <c r="J435" s="407"/>
      <c r="K435" s="407"/>
      <c r="L435" s="407"/>
      <c r="M435" s="407"/>
      <c r="N435" s="407"/>
      <c r="O435" s="407"/>
      <c r="P435" s="407"/>
      <c r="Q435" s="407"/>
      <c r="R435" s="407"/>
      <c r="S435" s="407"/>
      <c r="T435" s="407"/>
      <c r="U435" s="407"/>
      <c r="V435" s="407"/>
      <c r="W435" s="407"/>
      <c r="X435" s="407"/>
      <c r="Y435" s="407"/>
      <c r="Z435" s="408"/>
    </row>
    <row r="436" spans="1:26">
      <c r="A436" s="416"/>
      <c r="B436" s="407"/>
      <c r="C436" s="407"/>
      <c r="D436" s="407"/>
      <c r="E436" s="407"/>
      <c r="F436" s="407"/>
      <c r="G436" s="407"/>
      <c r="H436" s="407"/>
      <c r="I436" s="407"/>
      <c r="J436" s="407"/>
      <c r="K436" s="407"/>
      <c r="L436" s="407"/>
      <c r="M436" s="407"/>
      <c r="N436" s="407"/>
      <c r="O436" s="407"/>
      <c r="P436" s="407"/>
      <c r="Q436" s="407"/>
      <c r="R436" s="407"/>
      <c r="S436" s="407"/>
      <c r="T436" s="407"/>
      <c r="U436" s="407"/>
      <c r="V436" s="407"/>
      <c r="W436" s="407"/>
      <c r="X436" s="407"/>
      <c r="Y436" s="407"/>
      <c r="Z436" s="408"/>
    </row>
    <row r="437" spans="1:26">
      <c r="A437" s="416"/>
      <c r="B437" s="407"/>
      <c r="C437" s="407"/>
      <c r="D437" s="407"/>
      <c r="E437" s="407"/>
      <c r="F437" s="407"/>
      <c r="G437" s="407"/>
      <c r="H437" s="407"/>
      <c r="I437" s="407"/>
      <c r="J437" s="407"/>
      <c r="K437" s="407"/>
      <c r="L437" s="407"/>
      <c r="M437" s="407"/>
      <c r="N437" s="407"/>
      <c r="O437" s="407"/>
      <c r="P437" s="407"/>
      <c r="Q437" s="407"/>
      <c r="R437" s="407"/>
      <c r="S437" s="407"/>
      <c r="T437" s="407"/>
      <c r="U437" s="407"/>
      <c r="V437" s="407"/>
      <c r="W437" s="407"/>
      <c r="X437" s="407"/>
      <c r="Y437" s="407"/>
      <c r="Z437" s="408"/>
    </row>
    <row r="438" spans="1:26">
      <c r="A438" s="416"/>
      <c r="B438" s="407"/>
      <c r="C438" s="407"/>
      <c r="D438" s="407"/>
      <c r="E438" s="407"/>
      <c r="F438" s="407"/>
      <c r="G438" s="407"/>
      <c r="H438" s="407"/>
      <c r="I438" s="407"/>
      <c r="J438" s="407"/>
      <c r="K438" s="407"/>
      <c r="L438" s="407"/>
      <c r="M438" s="407"/>
      <c r="N438" s="407"/>
      <c r="O438" s="407"/>
      <c r="P438" s="407"/>
      <c r="Q438" s="407"/>
      <c r="R438" s="407"/>
      <c r="S438" s="407"/>
      <c r="T438" s="407"/>
      <c r="U438" s="407"/>
      <c r="V438" s="407"/>
      <c r="W438" s="407"/>
      <c r="X438" s="407"/>
      <c r="Y438" s="407"/>
      <c r="Z438" s="408"/>
    </row>
    <row r="439" spans="1:26">
      <c r="A439" s="416"/>
      <c r="B439" s="407"/>
      <c r="C439" s="407"/>
      <c r="D439" s="407"/>
      <c r="E439" s="407"/>
      <c r="F439" s="407"/>
      <c r="G439" s="407"/>
      <c r="H439" s="407"/>
      <c r="I439" s="407"/>
      <c r="J439" s="407"/>
      <c r="K439" s="407"/>
      <c r="L439" s="407"/>
      <c r="M439" s="407"/>
      <c r="N439" s="407"/>
      <c r="O439" s="407"/>
      <c r="P439" s="407"/>
      <c r="Q439" s="407"/>
      <c r="R439" s="407"/>
      <c r="S439" s="407"/>
      <c r="T439" s="407"/>
      <c r="U439" s="407"/>
      <c r="V439" s="407"/>
      <c r="W439" s="407"/>
      <c r="X439" s="407"/>
      <c r="Y439" s="407"/>
      <c r="Z439" s="408"/>
    </row>
    <row r="440" spans="1:26">
      <c r="A440" s="416"/>
      <c r="B440" s="407"/>
      <c r="C440" s="407"/>
      <c r="D440" s="407"/>
      <c r="E440" s="407"/>
      <c r="F440" s="407"/>
      <c r="G440" s="407"/>
      <c r="H440" s="407"/>
      <c r="I440" s="407"/>
      <c r="J440" s="407"/>
      <c r="K440" s="407"/>
      <c r="L440" s="407"/>
      <c r="M440" s="407"/>
      <c r="N440" s="407"/>
      <c r="O440" s="407"/>
      <c r="P440" s="407"/>
      <c r="Q440" s="407"/>
      <c r="R440" s="407"/>
      <c r="S440" s="407"/>
      <c r="T440" s="407"/>
      <c r="U440" s="407"/>
      <c r="V440" s="407"/>
      <c r="W440" s="407"/>
      <c r="X440" s="407"/>
      <c r="Y440" s="407"/>
      <c r="Z440" s="408"/>
    </row>
    <row r="441" spans="1:26">
      <c r="A441" s="416"/>
      <c r="B441" s="407"/>
      <c r="C441" s="407"/>
      <c r="D441" s="407"/>
      <c r="E441" s="407"/>
      <c r="F441" s="407"/>
      <c r="G441" s="407"/>
      <c r="H441" s="407"/>
      <c r="I441" s="407"/>
      <c r="J441" s="407"/>
      <c r="K441" s="407"/>
      <c r="L441" s="407"/>
      <c r="M441" s="407"/>
      <c r="N441" s="407"/>
      <c r="O441" s="407"/>
      <c r="P441" s="407"/>
      <c r="Q441" s="407"/>
      <c r="R441" s="407"/>
      <c r="S441" s="407"/>
      <c r="T441" s="407"/>
      <c r="U441" s="407"/>
      <c r="V441" s="407"/>
      <c r="W441" s="407"/>
      <c r="X441" s="407"/>
      <c r="Y441" s="407"/>
      <c r="Z441" s="408"/>
    </row>
    <row r="442" spans="1:26">
      <c r="A442" s="416"/>
      <c r="B442" s="407"/>
      <c r="C442" s="407"/>
      <c r="D442" s="407"/>
      <c r="E442" s="407"/>
      <c r="F442" s="407"/>
      <c r="G442" s="407"/>
      <c r="H442" s="407"/>
      <c r="I442" s="407"/>
      <c r="J442" s="407"/>
      <c r="K442" s="407"/>
      <c r="L442" s="407"/>
      <c r="M442" s="407"/>
      <c r="N442" s="407"/>
      <c r="O442" s="407"/>
      <c r="P442" s="407"/>
      <c r="Q442" s="407"/>
      <c r="R442" s="407"/>
      <c r="S442" s="407"/>
      <c r="T442" s="407"/>
      <c r="U442" s="407"/>
      <c r="V442" s="407"/>
      <c r="W442" s="407"/>
      <c r="X442" s="407"/>
      <c r="Y442" s="407"/>
      <c r="Z442" s="408"/>
    </row>
    <row r="443" spans="1:26">
      <c r="A443" s="416"/>
      <c r="B443" s="407"/>
      <c r="C443" s="407"/>
      <c r="D443" s="407"/>
      <c r="E443" s="407"/>
      <c r="F443" s="407"/>
      <c r="G443" s="407"/>
      <c r="H443" s="407"/>
      <c r="I443" s="407"/>
      <c r="J443" s="407"/>
      <c r="K443" s="407"/>
      <c r="L443" s="407"/>
      <c r="M443" s="407"/>
      <c r="N443" s="407"/>
      <c r="O443" s="407"/>
      <c r="P443" s="407"/>
      <c r="Q443" s="407"/>
      <c r="R443" s="407"/>
      <c r="S443" s="407"/>
      <c r="T443" s="407"/>
      <c r="U443" s="407"/>
      <c r="V443" s="407"/>
      <c r="W443" s="407"/>
      <c r="X443" s="407"/>
      <c r="Y443" s="407"/>
      <c r="Z443" s="408"/>
    </row>
    <row r="444" spans="1:26">
      <c r="A444" s="416"/>
      <c r="B444" s="407"/>
      <c r="C444" s="407"/>
      <c r="D444" s="407"/>
      <c r="E444" s="407"/>
      <c r="F444" s="407"/>
      <c r="G444" s="407"/>
      <c r="H444" s="407"/>
      <c r="I444" s="407"/>
      <c r="J444" s="407"/>
      <c r="K444" s="407"/>
      <c r="L444" s="407"/>
      <c r="M444" s="407"/>
      <c r="N444" s="407"/>
      <c r="O444" s="407"/>
      <c r="P444" s="407"/>
      <c r="Q444" s="407"/>
      <c r="R444" s="407"/>
      <c r="S444" s="407"/>
      <c r="T444" s="407"/>
      <c r="U444" s="407"/>
      <c r="V444" s="407"/>
      <c r="W444" s="407"/>
      <c r="X444" s="407"/>
      <c r="Y444" s="407"/>
      <c r="Z444" s="408"/>
    </row>
    <row r="445" spans="1:26">
      <c r="A445" s="416"/>
      <c r="B445" s="407"/>
      <c r="C445" s="407"/>
      <c r="D445" s="407"/>
      <c r="E445" s="407"/>
      <c r="F445" s="407"/>
      <c r="G445" s="407"/>
      <c r="H445" s="407"/>
      <c r="I445" s="407"/>
      <c r="J445" s="407"/>
      <c r="K445" s="407"/>
      <c r="L445" s="407"/>
      <c r="M445" s="407"/>
      <c r="N445" s="407"/>
      <c r="O445" s="407"/>
      <c r="P445" s="407"/>
      <c r="Q445" s="407"/>
      <c r="R445" s="407"/>
      <c r="S445" s="407"/>
      <c r="T445" s="407"/>
      <c r="U445" s="407"/>
      <c r="V445" s="407"/>
      <c r="W445" s="407"/>
      <c r="X445" s="407"/>
      <c r="Y445" s="407"/>
      <c r="Z445" s="408"/>
    </row>
    <row r="446" spans="1:26">
      <c r="A446" s="416"/>
      <c r="B446" s="407"/>
      <c r="C446" s="407"/>
      <c r="D446" s="407"/>
      <c r="E446" s="407"/>
      <c r="F446" s="407"/>
      <c r="G446" s="407"/>
      <c r="H446" s="407"/>
      <c r="I446" s="407"/>
      <c r="J446" s="407"/>
      <c r="K446" s="407"/>
      <c r="L446" s="407"/>
      <c r="M446" s="407"/>
      <c r="N446" s="407"/>
      <c r="O446" s="407"/>
      <c r="P446" s="407"/>
      <c r="Q446" s="407"/>
      <c r="R446" s="407"/>
      <c r="S446" s="407"/>
      <c r="T446" s="407"/>
      <c r="U446" s="407"/>
      <c r="V446" s="407"/>
      <c r="W446" s="407"/>
      <c r="X446" s="407"/>
      <c r="Y446" s="407"/>
      <c r="Z446" s="408"/>
    </row>
    <row r="447" spans="1:26">
      <c r="A447" s="416"/>
      <c r="B447" s="407"/>
      <c r="C447" s="407"/>
      <c r="D447" s="407"/>
      <c r="E447" s="407"/>
      <c r="F447" s="407"/>
      <c r="G447" s="407"/>
      <c r="H447" s="407"/>
      <c r="I447" s="407"/>
      <c r="J447" s="407"/>
      <c r="K447" s="407"/>
      <c r="L447" s="407"/>
      <c r="M447" s="407"/>
      <c r="N447" s="407"/>
      <c r="O447" s="407"/>
      <c r="P447" s="407"/>
      <c r="Q447" s="407"/>
      <c r="R447" s="407"/>
      <c r="S447" s="407"/>
      <c r="T447" s="407"/>
      <c r="U447" s="407"/>
      <c r="V447" s="407"/>
      <c r="W447" s="407"/>
      <c r="X447" s="407"/>
      <c r="Y447" s="407"/>
      <c r="Z447" s="408"/>
    </row>
    <row r="448" spans="1:26">
      <c r="A448" s="416"/>
      <c r="B448" s="407"/>
      <c r="C448" s="407"/>
      <c r="D448" s="407"/>
      <c r="E448" s="407"/>
      <c r="F448" s="407"/>
      <c r="G448" s="407"/>
      <c r="H448" s="407"/>
      <c r="I448" s="407"/>
      <c r="J448" s="407"/>
      <c r="K448" s="407"/>
      <c r="L448" s="407"/>
      <c r="M448" s="407"/>
      <c r="N448" s="407"/>
      <c r="O448" s="407"/>
      <c r="P448" s="407"/>
      <c r="Q448" s="407"/>
      <c r="R448" s="407"/>
      <c r="S448" s="407"/>
      <c r="T448" s="407"/>
      <c r="U448" s="407"/>
      <c r="V448" s="407"/>
      <c r="W448" s="407"/>
      <c r="X448" s="407"/>
      <c r="Y448" s="407"/>
      <c r="Z448" s="408"/>
    </row>
    <row r="449" spans="1:26">
      <c r="A449" s="416"/>
      <c r="B449" s="407"/>
      <c r="C449" s="407"/>
      <c r="D449" s="407"/>
      <c r="E449" s="407"/>
      <c r="F449" s="407"/>
      <c r="G449" s="407"/>
      <c r="H449" s="407"/>
      <c r="I449" s="407"/>
      <c r="J449" s="407"/>
      <c r="K449" s="407"/>
      <c r="L449" s="407"/>
      <c r="M449" s="407"/>
      <c r="N449" s="407"/>
      <c r="O449" s="407"/>
      <c r="P449" s="407"/>
      <c r="Q449" s="407"/>
      <c r="R449" s="407"/>
      <c r="S449" s="407"/>
      <c r="T449" s="407"/>
      <c r="U449" s="407"/>
      <c r="V449" s="407"/>
      <c r="W449" s="407"/>
      <c r="X449" s="407"/>
      <c r="Y449" s="407"/>
      <c r="Z449" s="408"/>
    </row>
    <row r="450" spans="1:26">
      <c r="A450" s="416"/>
      <c r="B450" s="407"/>
      <c r="C450" s="407"/>
      <c r="D450" s="407"/>
      <c r="E450" s="407"/>
      <c r="F450" s="407"/>
      <c r="G450" s="407"/>
      <c r="H450" s="407"/>
      <c r="I450" s="407"/>
      <c r="J450" s="407"/>
      <c r="K450" s="407"/>
      <c r="L450" s="407"/>
      <c r="M450" s="407"/>
      <c r="N450" s="407"/>
      <c r="O450" s="407"/>
      <c r="P450" s="407"/>
      <c r="Q450" s="407"/>
      <c r="R450" s="407"/>
      <c r="S450" s="407"/>
      <c r="T450" s="407"/>
      <c r="U450" s="407"/>
      <c r="V450" s="407"/>
      <c r="W450" s="407"/>
      <c r="X450" s="407"/>
      <c r="Y450" s="407"/>
      <c r="Z450" s="408"/>
    </row>
    <row r="451" spans="1:26">
      <c r="A451" s="416"/>
      <c r="B451" s="407"/>
      <c r="C451" s="407"/>
      <c r="D451" s="407"/>
      <c r="E451" s="407"/>
      <c r="F451" s="407"/>
      <c r="G451" s="407"/>
      <c r="H451" s="407"/>
      <c r="I451" s="407"/>
      <c r="J451" s="407"/>
      <c r="K451" s="407"/>
      <c r="L451" s="407"/>
      <c r="M451" s="407"/>
      <c r="N451" s="407"/>
      <c r="O451" s="407"/>
      <c r="P451" s="407"/>
      <c r="Q451" s="407"/>
      <c r="R451" s="407"/>
      <c r="S451" s="407"/>
      <c r="T451" s="407"/>
      <c r="U451" s="407"/>
      <c r="V451" s="407"/>
      <c r="W451" s="407"/>
      <c r="X451" s="407"/>
      <c r="Y451" s="407"/>
      <c r="Z451" s="408"/>
    </row>
    <row r="452" spans="1:26">
      <c r="A452" s="416"/>
      <c r="B452" s="407"/>
      <c r="C452" s="407"/>
      <c r="D452" s="407"/>
      <c r="E452" s="407"/>
      <c r="F452" s="407"/>
      <c r="G452" s="407"/>
      <c r="H452" s="407"/>
      <c r="I452" s="407"/>
      <c r="J452" s="407"/>
      <c r="K452" s="407"/>
      <c r="L452" s="407"/>
      <c r="M452" s="407"/>
      <c r="N452" s="407"/>
      <c r="O452" s="407"/>
      <c r="P452" s="407"/>
      <c r="Q452" s="407"/>
      <c r="R452" s="407"/>
      <c r="S452" s="407"/>
      <c r="T452" s="407"/>
      <c r="U452" s="407"/>
      <c r="V452" s="407"/>
      <c r="W452" s="407"/>
      <c r="X452" s="407"/>
      <c r="Y452" s="407"/>
      <c r="Z452" s="408"/>
    </row>
    <row r="453" spans="1:26">
      <c r="A453" s="416"/>
      <c r="B453" s="407"/>
      <c r="C453" s="407"/>
      <c r="D453" s="407"/>
      <c r="E453" s="407"/>
      <c r="F453" s="407"/>
      <c r="G453" s="407"/>
      <c r="H453" s="407"/>
      <c r="I453" s="407"/>
      <c r="J453" s="407"/>
      <c r="K453" s="407"/>
      <c r="L453" s="407"/>
      <c r="M453" s="407"/>
      <c r="N453" s="407"/>
      <c r="O453" s="407"/>
      <c r="P453" s="407"/>
      <c r="Q453" s="407"/>
      <c r="R453" s="407"/>
      <c r="S453" s="407"/>
      <c r="T453" s="407"/>
      <c r="U453" s="407"/>
      <c r="V453" s="407"/>
      <c r="W453" s="407"/>
      <c r="X453" s="407"/>
      <c r="Y453" s="407"/>
      <c r="Z453" s="408"/>
    </row>
    <row r="454" spans="1:26">
      <c r="A454" s="416"/>
      <c r="B454" s="407"/>
      <c r="C454" s="407"/>
      <c r="D454" s="407"/>
      <c r="E454" s="407"/>
      <c r="F454" s="407"/>
      <c r="G454" s="407"/>
      <c r="H454" s="407"/>
      <c r="I454" s="407"/>
      <c r="J454" s="407"/>
      <c r="K454" s="407"/>
      <c r="L454" s="407"/>
      <c r="M454" s="407"/>
      <c r="N454" s="407"/>
      <c r="O454" s="407"/>
      <c r="P454" s="407"/>
      <c r="Q454" s="407"/>
      <c r="R454" s="407"/>
      <c r="S454" s="407"/>
      <c r="T454" s="407"/>
      <c r="U454" s="407"/>
      <c r="V454" s="407"/>
      <c r="W454" s="407"/>
      <c r="X454" s="407"/>
      <c r="Y454" s="407"/>
      <c r="Z454" s="408"/>
    </row>
    <row r="455" spans="1:26">
      <c r="A455" s="416"/>
      <c r="B455" s="407"/>
      <c r="C455" s="407"/>
      <c r="D455" s="407"/>
      <c r="E455" s="407"/>
      <c r="F455" s="407"/>
      <c r="G455" s="407"/>
      <c r="H455" s="407"/>
      <c r="I455" s="407"/>
      <c r="J455" s="407"/>
      <c r="K455" s="407"/>
      <c r="L455" s="407"/>
      <c r="M455" s="407"/>
      <c r="N455" s="407"/>
      <c r="O455" s="407"/>
      <c r="P455" s="407"/>
      <c r="Q455" s="407"/>
      <c r="R455" s="407"/>
      <c r="S455" s="407"/>
      <c r="T455" s="407"/>
      <c r="U455" s="407"/>
      <c r="V455" s="407"/>
      <c r="W455" s="407"/>
      <c r="X455" s="407"/>
      <c r="Y455" s="407"/>
      <c r="Z455" s="408"/>
    </row>
    <row r="456" spans="1:26">
      <c r="A456" s="416"/>
      <c r="B456" s="407"/>
      <c r="C456" s="407"/>
      <c r="D456" s="407"/>
      <c r="E456" s="407"/>
      <c r="F456" s="407"/>
      <c r="G456" s="407"/>
      <c r="H456" s="407"/>
      <c r="I456" s="407"/>
      <c r="J456" s="407"/>
      <c r="K456" s="407"/>
      <c r="L456" s="407"/>
      <c r="M456" s="407"/>
      <c r="N456" s="407"/>
      <c r="O456" s="407"/>
      <c r="P456" s="407"/>
      <c r="Q456" s="407"/>
      <c r="R456" s="407"/>
      <c r="S456" s="407"/>
      <c r="T456" s="407"/>
      <c r="U456" s="407"/>
      <c r="V456" s="407"/>
      <c r="W456" s="407"/>
      <c r="X456" s="407"/>
      <c r="Y456" s="407"/>
      <c r="Z456" s="408"/>
    </row>
    <row r="457" spans="1:26">
      <c r="A457" s="416"/>
      <c r="B457" s="407"/>
      <c r="C457" s="407"/>
      <c r="D457" s="407"/>
      <c r="E457" s="407"/>
      <c r="F457" s="407"/>
      <c r="G457" s="407"/>
      <c r="H457" s="407"/>
      <c r="I457" s="407"/>
      <c r="J457" s="407"/>
      <c r="K457" s="407"/>
      <c r="L457" s="407"/>
      <c r="M457" s="407"/>
      <c r="N457" s="407"/>
      <c r="O457" s="407"/>
      <c r="P457" s="407"/>
      <c r="Q457" s="407"/>
      <c r="R457" s="407"/>
      <c r="S457" s="407"/>
      <c r="T457" s="407"/>
      <c r="U457" s="407"/>
      <c r="V457" s="407"/>
      <c r="W457" s="407"/>
      <c r="X457" s="407"/>
      <c r="Y457" s="407"/>
      <c r="Z457" s="408"/>
    </row>
    <row r="458" spans="1:26">
      <c r="A458" s="416"/>
      <c r="B458" s="407"/>
      <c r="C458" s="407"/>
      <c r="D458" s="407"/>
      <c r="E458" s="407"/>
      <c r="F458" s="407"/>
      <c r="G458" s="407"/>
      <c r="H458" s="407"/>
      <c r="I458" s="407"/>
      <c r="J458" s="407"/>
      <c r="K458" s="407"/>
      <c r="L458" s="407"/>
      <c r="M458" s="407"/>
      <c r="N458" s="407"/>
      <c r="O458" s="407"/>
      <c r="P458" s="407"/>
      <c r="Q458" s="407"/>
      <c r="R458" s="407"/>
      <c r="S458" s="407"/>
      <c r="T458" s="407"/>
      <c r="U458" s="407"/>
      <c r="V458" s="407"/>
      <c r="W458" s="407"/>
      <c r="X458" s="407"/>
      <c r="Y458" s="407"/>
      <c r="Z458" s="408"/>
    </row>
    <row r="459" spans="1:26">
      <c r="A459" s="416"/>
      <c r="B459" s="407"/>
      <c r="C459" s="407"/>
      <c r="D459" s="407"/>
      <c r="E459" s="407"/>
      <c r="F459" s="407"/>
      <c r="G459" s="407"/>
      <c r="H459" s="407"/>
      <c r="I459" s="407"/>
      <c r="J459" s="407"/>
      <c r="K459" s="407"/>
      <c r="L459" s="407"/>
      <c r="M459" s="407"/>
      <c r="N459" s="407"/>
      <c r="O459" s="407"/>
      <c r="P459" s="407"/>
      <c r="Q459" s="407"/>
      <c r="R459" s="407"/>
      <c r="S459" s="407"/>
      <c r="T459" s="407"/>
      <c r="U459" s="407"/>
      <c r="V459" s="407"/>
      <c r="W459" s="407"/>
      <c r="X459" s="407"/>
      <c r="Y459" s="407"/>
      <c r="Z459" s="408"/>
    </row>
    <row r="460" spans="1:26">
      <c r="A460" s="416"/>
      <c r="B460" s="407"/>
      <c r="C460" s="407"/>
      <c r="D460" s="407"/>
      <c r="E460" s="407"/>
      <c r="F460" s="407"/>
      <c r="G460" s="407"/>
      <c r="H460" s="407"/>
      <c r="I460" s="407"/>
      <c r="J460" s="407"/>
      <c r="K460" s="407"/>
      <c r="L460" s="407"/>
      <c r="M460" s="407"/>
      <c r="N460" s="407"/>
      <c r="O460" s="407"/>
      <c r="P460" s="407"/>
      <c r="Q460" s="407"/>
      <c r="R460" s="407"/>
      <c r="S460" s="407"/>
      <c r="T460" s="407"/>
      <c r="U460" s="407"/>
      <c r="V460" s="407"/>
      <c r="W460" s="407"/>
      <c r="X460" s="407"/>
      <c r="Y460" s="407"/>
      <c r="Z460" s="408"/>
    </row>
    <row r="461" spans="1:26">
      <c r="A461" s="416"/>
      <c r="B461" s="407"/>
      <c r="C461" s="407"/>
      <c r="D461" s="407"/>
      <c r="E461" s="407"/>
      <c r="F461" s="407"/>
      <c r="G461" s="407"/>
      <c r="H461" s="407"/>
      <c r="I461" s="407"/>
      <c r="J461" s="407"/>
      <c r="K461" s="407"/>
      <c r="L461" s="407"/>
      <c r="M461" s="407"/>
      <c r="N461" s="407"/>
      <c r="O461" s="407"/>
      <c r="P461" s="407"/>
      <c r="Q461" s="407"/>
      <c r="R461" s="407"/>
      <c r="S461" s="407"/>
      <c r="T461" s="407"/>
      <c r="U461" s="407"/>
      <c r="V461" s="407"/>
      <c r="W461" s="407"/>
      <c r="X461" s="407"/>
      <c r="Y461" s="407"/>
      <c r="Z461" s="408"/>
    </row>
    <row r="462" spans="1:26">
      <c r="A462" s="416"/>
      <c r="B462" s="407"/>
      <c r="C462" s="407"/>
      <c r="D462" s="407"/>
      <c r="E462" s="407"/>
      <c r="F462" s="407"/>
      <c r="G462" s="407"/>
      <c r="H462" s="407"/>
      <c r="I462" s="407"/>
      <c r="J462" s="407"/>
      <c r="K462" s="407"/>
      <c r="L462" s="407"/>
      <c r="M462" s="407"/>
      <c r="N462" s="407"/>
      <c r="O462" s="407"/>
      <c r="P462" s="407"/>
      <c r="Q462" s="407"/>
      <c r="R462" s="407"/>
      <c r="S462" s="407"/>
      <c r="T462" s="407"/>
      <c r="U462" s="407"/>
      <c r="V462" s="407"/>
      <c r="W462" s="407"/>
      <c r="X462" s="407"/>
      <c r="Y462" s="407"/>
      <c r="Z462" s="408"/>
    </row>
    <row r="463" spans="1:26">
      <c r="A463" s="416"/>
      <c r="B463" s="407"/>
      <c r="C463" s="407"/>
      <c r="D463" s="407"/>
      <c r="E463" s="407"/>
      <c r="F463" s="407"/>
      <c r="G463" s="407"/>
      <c r="H463" s="407"/>
      <c r="I463" s="407"/>
      <c r="J463" s="407"/>
      <c r="K463" s="407"/>
      <c r="L463" s="407"/>
      <c r="M463" s="407"/>
      <c r="N463" s="407"/>
      <c r="O463" s="407"/>
      <c r="P463" s="407"/>
      <c r="Q463" s="407"/>
      <c r="R463" s="407"/>
      <c r="S463" s="407"/>
      <c r="T463" s="407"/>
      <c r="U463" s="407"/>
      <c r="V463" s="407"/>
      <c r="W463" s="407"/>
      <c r="X463" s="407"/>
      <c r="Y463" s="407"/>
      <c r="Z463" s="408"/>
    </row>
    <row r="464" spans="1:26">
      <c r="A464" s="416"/>
      <c r="B464" s="407"/>
      <c r="C464" s="407"/>
      <c r="D464" s="407"/>
      <c r="E464" s="407"/>
      <c r="F464" s="407"/>
      <c r="G464" s="407"/>
      <c r="H464" s="407"/>
      <c r="I464" s="407"/>
      <c r="J464" s="407"/>
      <c r="K464" s="407"/>
      <c r="L464" s="407"/>
      <c r="M464" s="407"/>
      <c r="N464" s="407"/>
      <c r="O464" s="407"/>
      <c r="P464" s="407"/>
      <c r="Q464" s="407"/>
      <c r="R464" s="407"/>
      <c r="S464" s="407"/>
      <c r="T464" s="407"/>
      <c r="U464" s="407"/>
      <c r="V464" s="407"/>
      <c r="W464" s="407"/>
      <c r="X464" s="407"/>
      <c r="Y464" s="407"/>
      <c r="Z464" s="408"/>
    </row>
    <row r="465" spans="1:26">
      <c r="A465" s="416"/>
      <c r="B465" s="407"/>
      <c r="C465" s="407"/>
      <c r="D465" s="407"/>
      <c r="E465" s="407"/>
      <c r="F465" s="407"/>
      <c r="G465" s="407"/>
      <c r="H465" s="407"/>
      <c r="I465" s="407"/>
      <c r="J465" s="407"/>
      <c r="K465" s="407"/>
      <c r="L465" s="407"/>
      <c r="M465" s="407"/>
      <c r="N465" s="407"/>
      <c r="O465" s="407"/>
      <c r="P465" s="407"/>
      <c r="Q465" s="407"/>
      <c r="R465" s="407"/>
      <c r="S465" s="407"/>
      <c r="T465" s="407"/>
      <c r="U465" s="407"/>
      <c r="V465" s="407"/>
      <c r="W465" s="407"/>
      <c r="X465" s="407"/>
      <c r="Y465" s="407"/>
      <c r="Z465" s="408"/>
    </row>
    <row r="466" spans="1:26">
      <c r="A466" s="416"/>
      <c r="B466" s="407"/>
      <c r="C466" s="407"/>
      <c r="D466" s="407"/>
      <c r="E466" s="407"/>
      <c r="F466" s="407"/>
      <c r="G466" s="407"/>
      <c r="H466" s="407"/>
      <c r="I466" s="407"/>
      <c r="J466" s="407"/>
      <c r="K466" s="407"/>
      <c r="L466" s="407"/>
      <c r="M466" s="407"/>
      <c r="N466" s="407"/>
      <c r="O466" s="407"/>
      <c r="P466" s="407"/>
      <c r="Q466" s="407"/>
      <c r="R466" s="407"/>
      <c r="S466" s="407"/>
      <c r="T466" s="407"/>
      <c r="U466" s="407"/>
      <c r="V466" s="407"/>
      <c r="W466" s="407"/>
      <c r="X466" s="407"/>
      <c r="Y466" s="407"/>
      <c r="Z466" s="408"/>
    </row>
    <row r="467" spans="1:26">
      <c r="A467" s="416"/>
      <c r="B467" s="407"/>
      <c r="C467" s="407"/>
      <c r="D467" s="407"/>
      <c r="E467" s="407"/>
      <c r="F467" s="407"/>
      <c r="G467" s="407"/>
      <c r="H467" s="407"/>
      <c r="I467" s="407"/>
      <c r="J467" s="407"/>
      <c r="K467" s="407"/>
      <c r="L467" s="407"/>
      <c r="M467" s="407"/>
      <c r="N467" s="407"/>
      <c r="O467" s="407"/>
      <c r="P467" s="407"/>
      <c r="Q467" s="407"/>
      <c r="R467" s="407"/>
      <c r="S467" s="407"/>
      <c r="T467" s="407"/>
      <c r="U467" s="407"/>
      <c r="V467" s="407"/>
      <c r="W467" s="407"/>
      <c r="X467" s="407"/>
      <c r="Y467" s="407"/>
      <c r="Z467" s="408"/>
    </row>
    <row r="468" spans="1:26">
      <c r="A468" s="416"/>
      <c r="B468" s="407"/>
      <c r="C468" s="407"/>
      <c r="D468" s="407"/>
      <c r="E468" s="407"/>
      <c r="F468" s="407"/>
      <c r="G468" s="407"/>
      <c r="H468" s="407"/>
      <c r="I468" s="407"/>
      <c r="J468" s="407"/>
      <c r="K468" s="407"/>
      <c r="L468" s="407"/>
      <c r="M468" s="407"/>
      <c r="N468" s="407"/>
      <c r="O468" s="407"/>
      <c r="P468" s="407"/>
      <c r="Q468" s="407"/>
      <c r="R468" s="407"/>
      <c r="S468" s="407"/>
      <c r="T468" s="407"/>
      <c r="U468" s="407"/>
      <c r="V468" s="407"/>
      <c r="W468" s="407"/>
      <c r="X468" s="407"/>
      <c r="Y468" s="407"/>
      <c r="Z468" s="408"/>
    </row>
    <row r="469" spans="1:26">
      <c r="A469" s="416"/>
      <c r="B469" s="407"/>
      <c r="C469" s="407"/>
      <c r="D469" s="407"/>
      <c r="E469" s="407"/>
      <c r="F469" s="407"/>
      <c r="G469" s="407"/>
      <c r="H469" s="407"/>
      <c r="I469" s="407"/>
      <c r="J469" s="407"/>
      <c r="K469" s="407"/>
      <c r="L469" s="407"/>
      <c r="M469" s="407"/>
      <c r="N469" s="407"/>
      <c r="O469" s="407"/>
      <c r="P469" s="407"/>
      <c r="Q469" s="407"/>
      <c r="R469" s="407"/>
      <c r="S469" s="407"/>
      <c r="T469" s="407"/>
      <c r="U469" s="407"/>
      <c r="V469" s="407"/>
      <c r="W469" s="407"/>
      <c r="X469" s="407"/>
      <c r="Y469" s="407"/>
      <c r="Z469" s="408"/>
    </row>
    <row r="470" spans="1:26">
      <c r="A470" s="416"/>
      <c r="B470" s="407"/>
      <c r="C470" s="407"/>
      <c r="D470" s="407"/>
      <c r="E470" s="407"/>
      <c r="F470" s="407"/>
      <c r="G470" s="407"/>
      <c r="H470" s="407"/>
      <c r="I470" s="407"/>
      <c r="J470" s="407"/>
      <c r="K470" s="407"/>
      <c r="L470" s="407"/>
      <c r="M470" s="407"/>
      <c r="N470" s="407"/>
      <c r="O470" s="407"/>
      <c r="P470" s="407"/>
      <c r="Q470" s="407"/>
      <c r="R470" s="407"/>
      <c r="S470" s="407"/>
      <c r="T470" s="407"/>
      <c r="U470" s="407"/>
      <c r="V470" s="407"/>
      <c r="W470" s="407"/>
      <c r="X470" s="407"/>
      <c r="Y470" s="407"/>
      <c r="Z470" s="408"/>
    </row>
    <row r="471" spans="1:26">
      <c r="A471" s="416"/>
      <c r="B471" s="407"/>
      <c r="C471" s="407"/>
      <c r="D471" s="407"/>
      <c r="E471" s="407"/>
      <c r="F471" s="407"/>
      <c r="G471" s="407"/>
      <c r="H471" s="407"/>
      <c r="I471" s="407"/>
      <c r="J471" s="407"/>
      <c r="K471" s="407"/>
      <c r="L471" s="407"/>
      <c r="M471" s="407"/>
      <c r="N471" s="407"/>
      <c r="O471" s="407"/>
      <c r="P471" s="407"/>
      <c r="Q471" s="407"/>
      <c r="R471" s="407"/>
      <c r="S471" s="407"/>
      <c r="T471" s="407"/>
      <c r="U471" s="407"/>
      <c r="V471" s="407"/>
      <c r="W471" s="407"/>
      <c r="X471" s="407"/>
      <c r="Y471" s="407"/>
      <c r="Z471" s="408"/>
    </row>
    <row r="472" spans="1:26">
      <c r="A472" s="416"/>
      <c r="B472" s="407"/>
      <c r="C472" s="407"/>
      <c r="D472" s="407"/>
      <c r="E472" s="407"/>
      <c r="F472" s="407"/>
      <c r="G472" s="407"/>
      <c r="H472" s="407"/>
      <c r="I472" s="407"/>
      <c r="J472" s="407"/>
      <c r="K472" s="407"/>
      <c r="L472" s="407"/>
      <c r="M472" s="407"/>
      <c r="N472" s="407"/>
      <c r="O472" s="407"/>
      <c r="P472" s="407"/>
      <c r="Q472" s="407"/>
      <c r="R472" s="407"/>
      <c r="S472" s="407"/>
      <c r="T472" s="407"/>
      <c r="U472" s="407"/>
      <c r="V472" s="407"/>
      <c r="W472" s="407"/>
      <c r="X472" s="407"/>
      <c r="Y472" s="407"/>
      <c r="Z472" s="408"/>
    </row>
    <row r="473" spans="1:26">
      <c r="A473" s="416"/>
      <c r="B473" s="407"/>
      <c r="C473" s="407"/>
      <c r="D473" s="407"/>
      <c r="E473" s="407"/>
      <c r="F473" s="407"/>
      <c r="G473" s="407"/>
      <c r="H473" s="407"/>
      <c r="I473" s="407"/>
      <c r="J473" s="407"/>
      <c r="K473" s="407"/>
      <c r="L473" s="407"/>
      <c r="M473" s="407"/>
      <c r="N473" s="407"/>
      <c r="O473" s="407"/>
      <c r="P473" s="407"/>
      <c r="Q473" s="407"/>
      <c r="R473" s="407"/>
      <c r="S473" s="407"/>
      <c r="T473" s="407"/>
      <c r="U473" s="407"/>
      <c r="V473" s="407"/>
      <c r="W473" s="407"/>
      <c r="X473" s="407"/>
      <c r="Y473" s="407"/>
      <c r="Z473" s="408"/>
    </row>
    <row r="474" spans="1:26">
      <c r="A474" s="416"/>
      <c r="B474" s="407"/>
      <c r="C474" s="407"/>
      <c r="D474" s="407"/>
      <c r="E474" s="407"/>
      <c r="F474" s="407"/>
      <c r="G474" s="407"/>
      <c r="H474" s="407"/>
      <c r="I474" s="407"/>
      <c r="J474" s="407"/>
      <c r="K474" s="407"/>
      <c r="L474" s="407"/>
      <c r="M474" s="407"/>
      <c r="N474" s="407"/>
      <c r="O474" s="407"/>
      <c r="P474" s="407"/>
      <c r="Q474" s="407"/>
      <c r="R474" s="407"/>
      <c r="S474" s="407"/>
      <c r="T474" s="407"/>
      <c r="U474" s="407"/>
      <c r="V474" s="407"/>
      <c r="W474" s="407"/>
      <c r="X474" s="407"/>
      <c r="Y474" s="407"/>
      <c r="Z474" s="408"/>
    </row>
    <row r="475" spans="1:26">
      <c r="A475" s="416"/>
      <c r="B475" s="407"/>
      <c r="C475" s="407"/>
      <c r="D475" s="407"/>
      <c r="E475" s="407"/>
      <c r="F475" s="407"/>
      <c r="G475" s="407"/>
      <c r="H475" s="407"/>
      <c r="I475" s="407"/>
      <c r="J475" s="407"/>
      <c r="K475" s="407"/>
      <c r="L475" s="407"/>
      <c r="M475" s="407"/>
      <c r="N475" s="407"/>
      <c r="O475" s="407"/>
      <c r="P475" s="407"/>
      <c r="Q475" s="407"/>
      <c r="R475" s="407"/>
      <c r="S475" s="407"/>
      <c r="T475" s="407"/>
      <c r="U475" s="407"/>
      <c r="V475" s="407"/>
      <c r="W475" s="407"/>
      <c r="X475" s="407"/>
      <c r="Y475" s="407"/>
      <c r="Z475" s="408"/>
    </row>
    <row r="476" spans="1:26">
      <c r="A476" s="416"/>
      <c r="B476" s="407"/>
      <c r="C476" s="407"/>
      <c r="D476" s="407"/>
      <c r="E476" s="407"/>
      <c r="F476" s="407"/>
      <c r="G476" s="407"/>
      <c r="H476" s="407"/>
      <c r="I476" s="407"/>
      <c r="J476" s="407"/>
      <c r="K476" s="407"/>
      <c r="L476" s="407"/>
      <c r="M476" s="407"/>
      <c r="N476" s="407"/>
      <c r="O476" s="407"/>
      <c r="P476" s="407"/>
      <c r="Q476" s="407"/>
      <c r="R476" s="407"/>
      <c r="S476" s="407"/>
      <c r="T476" s="407"/>
      <c r="U476" s="407"/>
      <c r="V476" s="407"/>
      <c r="W476" s="407"/>
      <c r="X476" s="407"/>
      <c r="Y476" s="407"/>
      <c r="Z476" s="408"/>
    </row>
    <row r="477" spans="1:26">
      <c r="A477" s="416"/>
      <c r="B477" s="407"/>
      <c r="C477" s="407"/>
      <c r="D477" s="407"/>
      <c r="E477" s="407"/>
      <c r="F477" s="407"/>
      <c r="G477" s="407"/>
      <c r="H477" s="407"/>
      <c r="I477" s="407"/>
      <c r="J477" s="407"/>
      <c r="K477" s="407"/>
      <c r="L477" s="407"/>
      <c r="M477" s="407"/>
      <c r="N477" s="407"/>
      <c r="O477" s="407"/>
      <c r="P477" s="407"/>
      <c r="Q477" s="407"/>
      <c r="R477" s="407"/>
      <c r="S477" s="407"/>
      <c r="T477" s="407"/>
      <c r="U477" s="407"/>
      <c r="V477" s="407"/>
      <c r="W477" s="407"/>
      <c r="X477" s="407"/>
      <c r="Y477" s="407"/>
      <c r="Z477" s="408"/>
    </row>
    <row r="478" spans="1:26">
      <c r="A478" s="416"/>
      <c r="B478" s="407"/>
      <c r="C478" s="407"/>
      <c r="D478" s="407"/>
      <c r="E478" s="407"/>
      <c r="F478" s="407"/>
      <c r="G478" s="407"/>
      <c r="H478" s="407"/>
      <c r="I478" s="407"/>
      <c r="J478" s="407"/>
      <c r="K478" s="407"/>
      <c r="L478" s="407"/>
      <c r="M478" s="407"/>
      <c r="N478" s="407"/>
      <c r="O478" s="407"/>
      <c r="P478" s="407"/>
      <c r="Q478" s="407"/>
      <c r="R478" s="407"/>
      <c r="S478" s="407"/>
      <c r="T478" s="407"/>
      <c r="U478" s="407"/>
      <c r="V478" s="407"/>
      <c r="W478" s="407"/>
      <c r="X478" s="407"/>
      <c r="Y478" s="407"/>
      <c r="Z478" s="408"/>
    </row>
    <row r="479" spans="1:26">
      <c r="A479" s="416"/>
      <c r="B479" s="407"/>
      <c r="C479" s="407"/>
      <c r="D479" s="407"/>
      <c r="E479" s="407"/>
      <c r="F479" s="407"/>
      <c r="G479" s="407"/>
      <c r="H479" s="407"/>
      <c r="I479" s="407"/>
      <c r="J479" s="407"/>
      <c r="K479" s="407"/>
      <c r="L479" s="407"/>
      <c r="M479" s="407"/>
      <c r="N479" s="407"/>
      <c r="O479" s="407"/>
      <c r="P479" s="407"/>
      <c r="Q479" s="407"/>
      <c r="R479" s="407"/>
      <c r="S479" s="407"/>
      <c r="T479" s="407"/>
      <c r="U479" s="407"/>
      <c r="V479" s="407"/>
      <c r="W479" s="407"/>
      <c r="X479" s="407"/>
      <c r="Y479" s="407"/>
      <c r="Z479" s="408"/>
    </row>
    <row r="480" spans="1:26">
      <c r="A480" s="416"/>
      <c r="B480" s="407"/>
      <c r="C480" s="407"/>
      <c r="D480" s="407"/>
      <c r="E480" s="407"/>
      <c r="F480" s="407"/>
      <c r="G480" s="407"/>
      <c r="H480" s="407"/>
      <c r="I480" s="407"/>
      <c r="J480" s="407"/>
      <c r="K480" s="407"/>
      <c r="L480" s="407"/>
      <c r="M480" s="407"/>
      <c r="N480" s="407"/>
      <c r="O480" s="407"/>
      <c r="P480" s="407"/>
      <c r="Q480" s="407"/>
      <c r="R480" s="407"/>
      <c r="S480" s="407"/>
      <c r="T480" s="407"/>
      <c r="U480" s="407"/>
      <c r="V480" s="407"/>
      <c r="W480" s="407"/>
      <c r="X480" s="407"/>
      <c r="Y480" s="407"/>
      <c r="Z480" s="408"/>
    </row>
    <row r="481" spans="1:26">
      <c r="A481" s="416"/>
      <c r="B481" s="407"/>
      <c r="C481" s="407"/>
      <c r="D481" s="407"/>
      <c r="E481" s="407"/>
      <c r="F481" s="407"/>
      <c r="G481" s="407"/>
      <c r="H481" s="407"/>
      <c r="I481" s="407"/>
      <c r="J481" s="407"/>
      <c r="K481" s="407"/>
      <c r="L481" s="407"/>
      <c r="M481" s="407"/>
      <c r="N481" s="407"/>
      <c r="O481" s="407"/>
      <c r="P481" s="407"/>
      <c r="Q481" s="407"/>
      <c r="R481" s="407"/>
      <c r="S481" s="407"/>
      <c r="T481" s="407"/>
      <c r="U481" s="407"/>
      <c r="V481" s="407"/>
      <c r="W481" s="407"/>
      <c r="X481" s="407"/>
      <c r="Y481" s="407"/>
      <c r="Z481" s="408"/>
    </row>
    <row r="482" spans="1:26">
      <c r="A482" s="416"/>
      <c r="B482" s="407"/>
      <c r="C482" s="407"/>
      <c r="D482" s="407"/>
      <c r="E482" s="407"/>
      <c r="F482" s="407"/>
      <c r="G482" s="407"/>
      <c r="H482" s="407"/>
      <c r="I482" s="407"/>
      <c r="J482" s="407"/>
      <c r="K482" s="407"/>
      <c r="L482" s="407"/>
      <c r="M482" s="407"/>
      <c r="N482" s="407"/>
      <c r="O482" s="407"/>
      <c r="P482" s="407"/>
      <c r="Q482" s="407"/>
      <c r="R482" s="407"/>
      <c r="S482" s="407"/>
      <c r="T482" s="407"/>
      <c r="U482" s="407"/>
      <c r="V482" s="407"/>
      <c r="W482" s="407"/>
      <c r="X482" s="407"/>
      <c r="Y482" s="407"/>
      <c r="Z482" s="408"/>
    </row>
    <row r="483" spans="1:26">
      <c r="A483" s="416"/>
      <c r="B483" s="407"/>
      <c r="C483" s="407"/>
      <c r="D483" s="407"/>
      <c r="E483" s="407"/>
      <c r="F483" s="407"/>
      <c r="G483" s="407"/>
      <c r="H483" s="407"/>
      <c r="I483" s="407"/>
      <c r="J483" s="407"/>
      <c r="K483" s="407"/>
      <c r="L483" s="407"/>
      <c r="M483" s="407"/>
      <c r="N483" s="407"/>
      <c r="O483" s="407"/>
      <c r="P483" s="407"/>
      <c r="Q483" s="407"/>
      <c r="R483" s="407"/>
      <c r="S483" s="407"/>
      <c r="T483" s="407"/>
      <c r="U483" s="407"/>
      <c r="V483" s="407"/>
      <c r="W483" s="407"/>
      <c r="X483" s="407"/>
      <c r="Y483" s="407"/>
      <c r="Z483" s="408"/>
    </row>
    <row r="484" spans="1:26">
      <c r="A484" s="416"/>
      <c r="B484" s="407"/>
      <c r="C484" s="407"/>
      <c r="D484" s="407"/>
      <c r="E484" s="407"/>
      <c r="F484" s="407"/>
      <c r="G484" s="407"/>
      <c r="H484" s="407"/>
      <c r="I484" s="407"/>
      <c r="J484" s="407"/>
      <c r="K484" s="407"/>
      <c r="L484" s="407"/>
      <c r="M484" s="407"/>
      <c r="N484" s="407"/>
      <c r="O484" s="407"/>
      <c r="P484" s="407"/>
      <c r="Q484" s="407"/>
      <c r="R484" s="407"/>
      <c r="S484" s="407"/>
      <c r="T484" s="407"/>
      <c r="U484" s="407"/>
      <c r="V484" s="407"/>
      <c r="W484" s="407"/>
      <c r="X484" s="407"/>
      <c r="Y484" s="407"/>
      <c r="Z484" s="408"/>
    </row>
    <row r="485" spans="1:26">
      <c r="A485" s="416"/>
      <c r="B485" s="407"/>
      <c r="C485" s="407"/>
      <c r="D485" s="407"/>
      <c r="E485" s="407"/>
      <c r="F485" s="407"/>
      <c r="G485" s="407"/>
      <c r="H485" s="407"/>
      <c r="I485" s="407"/>
      <c r="J485" s="407"/>
      <c r="K485" s="407"/>
      <c r="L485" s="407"/>
      <c r="M485" s="407"/>
      <c r="N485" s="407"/>
      <c r="O485" s="407"/>
      <c r="P485" s="407"/>
      <c r="Q485" s="407"/>
      <c r="R485" s="407"/>
      <c r="S485" s="407"/>
      <c r="T485" s="407"/>
      <c r="U485" s="407"/>
      <c r="V485" s="407"/>
      <c r="W485" s="407"/>
      <c r="X485" s="407"/>
      <c r="Y485" s="407"/>
      <c r="Z485" s="408"/>
    </row>
    <row r="486" spans="1:26">
      <c r="A486" s="416"/>
      <c r="B486" s="407"/>
      <c r="C486" s="407"/>
      <c r="D486" s="407"/>
      <c r="E486" s="407"/>
      <c r="F486" s="407"/>
      <c r="G486" s="407"/>
      <c r="H486" s="407"/>
      <c r="I486" s="407"/>
      <c r="J486" s="407"/>
      <c r="K486" s="407"/>
      <c r="L486" s="407"/>
      <c r="M486" s="407"/>
      <c r="N486" s="407"/>
      <c r="O486" s="407"/>
      <c r="P486" s="407"/>
      <c r="Q486" s="407"/>
      <c r="R486" s="407"/>
      <c r="S486" s="407"/>
      <c r="T486" s="407"/>
      <c r="U486" s="407"/>
      <c r="V486" s="407"/>
      <c r="W486" s="407"/>
      <c r="X486" s="407"/>
      <c r="Y486" s="407"/>
      <c r="Z486" s="408"/>
    </row>
    <row r="487" spans="1:26">
      <c r="A487" s="416"/>
      <c r="B487" s="407"/>
      <c r="C487" s="407"/>
      <c r="D487" s="407"/>
      <c r="E487" s="407"/>
      <c r="F487" s="407"/>
      <c r="G487" s="407"/>
      <c r="H487" s="407"/>
      <c r="I487" s="407"/>
      <c r="J487" s="407"/>
      <c r="K487" s="407"/>
      <c r="L487" s="407"/>
      <c r="M487" s="407"/>
      <c r="N487" s="407"/>
      <c r="O487" s="407"/>
      <c r="P487" s="407"/>
      <c r="Q487" s="407"/>
      <c r="R487" s="407"/>
      <c r="S487" s="407"/>
      <c r="T487" s="407"/>
      <c r="U487" s="407"/>
      <c r="V487" s="407"/>
      <c r="W487" s="407"/>
      <c r="X487" s="407"/>
      <c r="Y487" s="407"/>
      <c r="Z487" s="408"/>
    </row>
    <row r="488" spans="1:26">
      <c r="A488" s="416"/>
      <c r="B488" s="407"/>
      <c r="C488" s="407"/>
      <c r="D488" s="407"/>
      <c r="E488" s="407"/>
      <c r="F488" s="407"/>
      <c r="G488" s="407"/>
      <c r="H488" s="407"/>
      <c r="I488" s="407"/>
      <c r="J488" s="407"/>
      <c r="K488" s="407"/>
      <c r="L488" s="407"/>
      <c r="M488" s="407"/>
      <c r="N488" s="407"/>
      <c r="O488" s="407"/>
      <c r="P488" s="407"/>
      <c r="Q488" s="407"/>
      <c r="R488" s="407"/>
      <c r="S488" s="407"/>
      <c r="T488" s="407"/>
      <c r="U488" s="407"/>
      <c r="V488" s="407"/>
      <c r="W488" s="407"/>
      <c r="X488" s="407"/>
      <c r="Y488" s="407"/>
      <c r="Z488" s="408"/>
    </row>
    <row r="489" spans="1:26">
      <c r="A489" s="416"/>
      <c r="B489" s="407"/>
      <c r="C489" s="407"/>
      <c r="D489" s="407"/>
      <c r="E489" s="407"/>
      <c r="F489" s="407"/>
      <c r="G489" s="407"/>
      <c r="H489" s="407"/>
      <c r="I489" s="407"/>
      <c r="J489" s="407"/>
      <c r="K489" s="407"/>
      <c r="L489" s="407"/>
      <c r="M489" s="407"/>
      <c r="N489" s="407"/>
      <c r="O489" s="407"/>
      <c r="P489" s="407"/>
      <c r="Q489" s="407"/>
      <c r="R489" s="407"/>
      <c r="S489" s="407"/>
      <c r="T489" s="407"/>
      <c r="U489" s="407"/>
      <c r="V489" s="407"/>
      <c r="W489" s="407"/>
      <c r="X489" s="407"/>
      <c r="Y489" s="407"/>
      <c r="Z489" s="408"/>
    </row>
    <row r="490" spans="1:26">
      <c r="A490" s="416"/>
      <c r="B490" s="407"/>
      <c r="C490" s="407"/>
      <c r="D490" s="407"/>
      <c r="E490" s="407"/>
      <c r="F490" s="407"/>
      <c r="G490" s="407"/>
      <c r="H490" s="407"/>
      <c r="I490" s="407"/>
      <c r="J490" s="407"/>
      <c r="K490" s="407"/>
      <c r="L490" s="407"/>
      <c r="M490" s="407"/>
      <c r="N490" s="407"/>
      <c r="O490" s="407"/>
      <c r="P490" s="407"/>
      <c r="Q490" s="407"/>
      <c r="R490" s="407"/>
      <c r="S490" s="407"/>
      <c r="T490" s="407"/>
      <c r="U490" s="407"/>
      <c r="V490" s="407"/>
      <c r="W490" s="407"/>
      <c r="X490" s="407"/>
      <c r="Y490" s="407"/>
      <c r="Z490" s="408"/>
    </row>
    <row r="491" spans="1:26">
      <c r="A491" s="416"/>
      <c r="B491" s="407"/>
      <c r="C491" s="407"/>
      <c r="D491" s="407"/>
      <c r="E491" s="407"/>
      <c r="F491" s="407"/>
      <c r="G491" s="407"/>
      <c r="H491" s="407"/>
      <c r="I491" s="407"/>
      <c r="J491" s="407"/>
      <c r="K491" s="407"/>
      <c r="L491" s="407"/>
      <c r="M491" s="407"/>
      <c r="N491" s="407"/>
      <c r="O491" s="407"/>
      <c r="P491" s="407"/>
      <c r="Q491" s="407"/>
      <c r="R491" s="407"/>
      <c r="S491" s="407"/>
      <c r="T491" s="407"/>
      <c r="U491" s="407"/>
      <c r="V491" s="407"/>
      <c r="W491" s="407"/>
      <c r="X491" s="407"/>
      <c r="Y491" s="407"/>
      <c r="Z491" s="408"/>
    </row>
    <row r="492" spans="1:26">
      <c r="A492" s="416"/>
      <c r="B492" s="407"/>
      <c r="C492" s="407"/>
      <c r="D492" s="407"/>
      <c r="E492" s="407"/>
      <c r="F492" s="407"/>
      <c r="G492" s="407"/>
      <c r="H492" s="407"/>
      <c r="I492" s="407"/>
      <c r="J492" s="407"/>
      <c r="K492" s="407"/>
      <c r="L492" s="407"/>
      <c r="M492" s="407"/>
      <c r="N492" s="407"/>
      <c r="O492" s="407"/>
      <c r="P492" s="407"/>
      <c r="Q492" s="407"/>
      <c r="R492" s="407"/>
      <c r="S492" s="407"/>
      <c r="T492" s="407"/>
      <c r="U492" s="407"/>
      <c r="V492" s="407"/>
      <c r="W492" s="407"/>
      <c r="X492" s="407"/>
      <c r="Y492" s="407"/>
      <c r="Z492" s="408"/>
    </row>
    <row r="493" spans="1:26">
      <c r="A493" s="416"/>
      <c r="B493" s="407"/>
      <c r="C493" s="407"/>
      <c r="D493" s="407"/>
      <c r="E493" s="407"/>
      <c r="F493" s="407"/>
      <c r="G493" s="407"/>
      <c r="H493" s="407"/>
      <c r="I493" s="407"/>
      <c r="J493" s="407"/>
      <c r="K493" s="407"/>
      <c r="L493" s="407"/>
      <c r="M493" s="407"/>
      <c r="N493" s="407"/>
      <c r="O493" s="407"/>
      <c r="P493" s="407"/>
      <c r="Q493" s="407"/>
      <c r="R493" s="407"/>
      <c r="S493" s="407"/>
      <c r="T493" s="407"/>
      <c r="U493" s="407"/>
      <c r="V493" s="407"/>
      <c r="W493" s="407"/>
      <c r="X493" s="407"/>
      <c r="Y493" s="407"/>
      <c r="Z493" s="408"/>
    </row>
    <row r="494" spans="1:26">
      <c r="A494" s="416"/>
      <c r="B494" s="407"/>
      <c r="C494" s="407"/>
      <c r="D494" s="407"/>
      <c r="E494" s="407"/>
      <c r="F494" s="407"/>
      <c r="G494" s="407"/>
      <c r="H494" s="407"/>
      <c r="I494" s="407"/>
      <c r="J494" s="407"/>
      <c r="K494" s="407"/>
      <c r="L494" s="407"/>
      <c r="M494" s="407"/>
      <c r="N494" s="407"/>
      <c r="O494" s="407"/>
      <c r="P494" s="407"/>
      <c r="Q494" s="407"/>
      <c r="R494" s="407"/>
      <c r="S494" s="407"/>
      <c r="T494" s="407"/>
      <c r="U494" s="407"/>
      <c r="V494" s="407"/>
      <c r="W494" s="407"/>
      <c r="X494" s="407"/>
      <c r="Y494" s="407"/>
      <c r="Z494" s="408"/>
    </row>
    <row r="495" spans="1:26">
      <c r="A495" s="416"/>
      <c r="B495" s="407"/>
      <c r="C495" s="407"/>
      <c r="D495" s="407"/>
      <c r="E495" s="407"/>
      <c r="F495" s="407"/>
      <c r="G495" s="407"/>
      <c r="H495" s="407"/>
      <c r="I495" s="407"/>
      <c r="J495" s="407"/>
      <c r="K495" s="407"/>
      <c r="L495" s="407"/>
      <c r="M495" s="407"/>
      <c r="N495" s="407"/>
      <c r="O495" s="407"/>
      <c r="P495" s="407"/>
      <c r="Q495" s="407"/>
      <c r="R495" s="407"/>
      <c r="S495" s="407"/>
      <c r="T495" s="407"/>
      <c r="U495" s="407"/>
      <c r="V495" s="407"/>
      <c r="W495" s="407"/>
      <c r="X495" s="407"/>
      <c r="Y495" s="407"/>
      <c r="Z495" s="408"/>
    </row>
    <row r="496" spans="1:26">
      <c r="A496" s="416"/>
      <c r="B496" s="407"/>
      <c r="C496" s="407"/>
      <c r="D496" s="407"/>
      <c r="E496" s="407"/>
      <c r="F496" s="407"/>
      <c r="G496" s="407"/>
      <c r="H496" s="407"/>
      <c r="I496" s="407"/>
      <c r="J496" s="407"/>
      <c r="K496" s="407"/>
      <c r="L496" s="407"/>
      <c r="M496" s="407"/>
      <c r="N496" s="407"/>
      <c r="O496" s="407"/>
      <c r="P496" s="407"/>
      <c r="Q496" s="407"/>
      <c r="R496" s="407"/>
      <c r="S496" s="407"/>
      <c r="T496" s="407"/>
      <c r="U496" s="407"/>
      <c r="V496" s="407"/>
      <c r="W496" s="407"/>
      <c r="X496" s="407"/>
      <c r="Y496" s="407"/>
      <c r="Z496" s="408"/>
    </row>
    <row r="497" spans="1:26">
      <c r="A497" s="416"/>
      <c r="B497" s="407"/>
      <c r="C497" s="407"/>
      <c r="D497" s="407"/>
      <c r="E497" s="407"/>
      <c r="F497" s="407"/>
      <c r="G497" s="407"/>
      <c r="H497" s="407"/>
      <c r="I497" s="407"/>
      <c r="J497" s="407"/>
      <c r="K497" s="407"/>
      <c r="L497" s="407"/>
      <c r="M497" s="407"/>
      <c r="N497" s="407"/>
      <c r="O497" s="407"/>
      <c r="P497" s="407"/>
      <c r="Q497" s="407"/>
      <c r="R497" s="407"/>
      <c r="S497" s="407"/>
      <c r="T497" s="407"/>
      <c r="U497" s="407"/>
      <c r="V497" s="407"/>
      <c r="W497" s="407"/>
      <c r="X497" s="407"/>
      <c r="Y497" s="407"/>
      <c r="Z497" s="408"/>
    </row>
    <row r="498" spans="1:26">
      <c r="A498" s="416"/>
      <c r="B498" s="407"/>
      <c r="C498" s="407"/>
      <c r="D498" s="407"/>
      <c r="E498" s="407"/>
      <c r="F498" s="407"/>
      <c r="G498" s="407"/>
      <c r="H498" s="407"/>
      <c r="I498" s="407"/>
      <c r="J498" s="407"/>
      <c r="K498" s="407"/>
      <c r="L498" s="407"/>
      <c r="M498" s="407"/>
      <c r="N498" s="407"/>
      <c r="O498" s="407"/>
      <c r="P498" s="407"/>
      <c r="Q498" s="407"/>
      <c r="R498" s="407"/>
      <c r="S498" s="407"/>
      <c r="T498" s="407"/>
      <c r="U498" s="407"/>
      <c r="V498" s="407"/>
      <c r="W498" s="407"/>
      <c r="X498" s="407"/>
      <c r="Y498" s="407"/>
      <c r="Z498" s="408"/>
    </row>
    <row r="499" spans="1:26">
      <c r="A499" s="416"/>
      <c r="B499" s="407"/>
      <c r="C499" s="407"/>
      <c r="D499" s="407"/>
      <c r="E499" s="407"/>
      <c r="F499" s="407"/>
      <c r="G499" s="407"/>
      <c r="H499" s="407"/>
      <c r="I499" s="407"/>
      <c r="J499" s="407"/>
      <c r="K499" s="407"/>
      <c r="L499" s="407"/>
      <c r="M499" s="407"/>
      <c r="N499" s="407"/>
      <c r="O499" s="407"/>
      <c r="P499" s="407"/>
      <c r="Q499" s="407"/>
      <c r="R499" s="407"/>
      <c r="S499" s="407"/>
      <c r="T499" s="407"/>
      <c r="U499" s="407"/>
      <c r="V499" s="407"/>
      <c r="W499" s="407"/>
      <c r="X499" s="407"/>
      <c r="Y499" s="407"/>
      <c r="Z499" s="408"/>
    </row>
    <row r="500" spans="1:26">
      <c r="A500" s="416"/>
      <c r="B500" s="407"/>
      <c r="C500" s="407"/>
      <c r="D500" s="407"/>
      <c r="E500" s="407"/>
      <c r="F500" s="407"/>
      <c r="G500" s="407"/>
      <c r="H500" s="407"/>
      <c r="I500" s="407"/>
      <c r="J500" s="407"/>
      <c r="K500" s="407"/>
      <c r="L500" s="407"/>
      <c r="M500" s="407"/>
      <c r="N500" s="407"/>
      <c r="O500" s="407"/>
      <c r="P500" s="407"/>
      <c r="Q500" s="407"/>
      <c r="R500" s="407"/>
      <c r="S500" s="407"/>
      <c r="T500" s="407"/>
      <c r="U500" s="407"/>
      <c r="V500" s="407"/>
      <c r="W500" s="407"/>
      <c r="X500" s="407"/>
      <c r="Y500" s="407"/>
      <c r="Z500" s="408"/>
    </row>
    <row r="501" spans="1:26">
      <c r="A501" s="416"/>
      <c r="B501" s="407"/>
      <c r="C501" s="407"/>
      <c r="D501" s="407"/>
      <c r="E501" s="407"/>
      <c r="F501" s="407"/>
      <c r="G501" s="407"/>
      <c r="H501" s="407"/>
      <c r="I501" s="407"/>
      <c r="J501" s="407"/>
      <c r="K501" s="407"/>
      <c r="L501" s="407"/>
      <c r="M501" s="407"/>
      <c r="N501" s="407"/>
      <c r="O501" s="407"/>
      <c r="P501" s="407"/>
      <c r="Q501" s="407"/>
      <c r="R501" s="407"/>
      <c r="S501" s="407"/>
      <c r="T501" s="407"/>
      <c r="U501" s="407"/>
      <c r="V501" s="407"/>
      <c r="W501" s="407"/>
      <c r="X501" s="407"/>
      <c r="Y501" s="407"/>
      <c r="Z501" s="408"/>
    </row>
    <row r="502" spans="1:26">
      <c r="A502" s="416"/>
      <c r="B502" s="407"/>
      <c r="C502" s="407"/>
      <c r="D502" s="407"/>
      <c r="E502" s="407"/>
      <c r="F502" s="407"/>
      <c r="G502" s="407"/>
      <c r="H502" s="407"/>
      <c r="I502" s="407"/>
      <c r="J502" s="407"/>
      <c r="K502" s="407"/>
      <c r="L502" s="407"/>
      <c r="M502" s="407"/>
      <c r="N502" s="407"/>
      <c r="O502" s="407"/>
      <c r="P502" s="407"/>
      <c r="Q502" s="407"/>
      <c r="R502" s="407"/>
      <c r="S502" s="407"/>
      <c r="T502" s="407"/>
      <c r="U502" s="407"/>
      <c r="V502" s="407"/>
      <c r="W502" s="407"/>
      <c r="X502" s="407"/>
      <c r="Y502" s="407"/>
      <c r="Z502" s="408"/>
    </row>
    <row r="503" spans="1:26">
      <c r="A503" s="416"/>
      <c r="B503" s="407"/>
      <c r="C503" s="407"/>
      <c r="D503" s="407"/>
      <c r="E503" s="407"/>
      <c r="F503" s="407"/>
      <c r="G503" s="407"/>
      <c r="H503" s="407"/>
      <c r="I503" s="407"/>
      <c r="J503" s="407"/>
      <c r="K503" s="407"/>
      <c r="L503" s="407"/>
      <c r="M503" s="407"/>
      <c r="N503" s="407"/>
      <c r="O503" s="407"/>
      <c r="P503" s="407"/>
      <c r="Q503" s="407"/>
      <c r="R503" s="407"/>
      <c r="S503" s="407"/>
      <c r="T503" s="407"/>
      <c r="U503" s="407"/>
      <c r="V503" s="407"/>
      <c r="W503" s="407"/>
      <c r="X503" s="407"/>
      <c r="Y503" s="407"/>
      <c r="Z503" s="408"/>
    </row>
    <row r="504" spans="1:26">
      <c r="A504" s="416"/>
      <c r="B504" s="407"/>
      <c r="C504" s="407"/>
      <c r="D504" s="407"/>
      <c r="E504" s="407"/>
      <c r="F504" s="407"/>
      <c r="G504" s="407"/>
      <c r="H504" s="407"/>
      <c r="I504" s="407"/>
      <c r="J504" s="407"/>
      <c r="K504" s="407"/>
      <c r="L504" s="407"/>
      <c r="M504" s="407"/>
      <c r="N504" s="407"/>
      <c r="O504" s="407"/>
      <c r="P504" s="407"/>
      <c r="Q504" s="407"/>
      <c r="R504" s="407"/>
      <c r="S504" s="407"/>
      <c r="T504" s="407"/>
      <c r="U504" s="407"/>
      <c r="V504" s="407"/>
      <c r="W504" s="407"/>
      <c r="X504" s="407"/>
      <c r="Y504" s="407"/>
      <c r="Z504" s="408"/>
    </row>
    <row r="505" spans="1:26">
      <c r="A505" s="416"/>
      <c r="B505" s="407"/>
      <c r="C505" s="407"/>
      <c r="D505" s="407"/>
      <c r="E505" s="407"/>
      <c r="F505" s="407"/>
      <c r="G505" s="407"/>
      <c r="H505" s="407"/>
      <c r="I505" s="407"/>
      <c r="J505" s="407"/>
      <c r="K505" s="407"/>
      <c r="L505" s="407"/>
      <c r="M505" s="407"/>
      <c r="N505" s="407"/>
      <c r="O505" s="407"/>
      <c r="P505" s="407"/>
      <c r="Q505" s="407"/>
      <c r="R505" s="407"/>
      <c r="S505" s="407"/>
      <c r="T505" s="407"/>
      <c r="U505" s="407"/>
      <c r="V505" s="407"/>
      <c r="W505" s="407"/>
      <c r="X505" s="407"/>
      <c r="Y505" s="407"/>
      <c r="Z505" s="408"/>
    </row>
    <row r="506" spans="1:26">
      <c r="A506" s="416"/>
      <c r="B506" s="407"/>
      <c r="C506" s="407"/>
      <c r="D506" s="407"/>
      <c r="E506" s="407"/>
      <c r="F506" s="407"/>
      <c r="G506" s="407"/>
      <c r="H506" s="407"/>
      <c r="I506" s="407"/>
      <c r="J506" s="407"/>
      <c r="K506" s="407"/>
      <c r="L506" s="407"/>
      <c r="M506" s="407"/>
      <c r="N506" s="407"/>
      <c r="O506" s="407"/>
      <c r="P506" s="407"/>
      <c r="Q506" s="407"/>
      <c r="R506" s="407"/>
      <c r="S506" s="407"/>
      <c r="T506" s="407"/>
      <c r="U506" s="407"/>
      <c r="V506" s="407"/>
      <c r="W506" s="407"/>
      <c r="X506" s="407"/>
      <c r="Y506" s="407"/>
      <c r="Z506" s="408"/>
    </row>
    <row r="507" spans="1:26">
      <c r="A507" s="416"/>
      <c r="B507" s="407"/>
      <c r="C507" s="407"/>
      <c r="D507" s="407"/>
      <c r="E507" s="407"/>
      <c r="F507" s="407"/>
      <c r="G507" s="407"/>
      <c r="H507" s="407"/>
      <c r="I507" s="407"/>
      <c r="J507" s="407"/>
      <c r="K507" s="407"/>
      <c r="L507" s="407"/>
      <c r="M507" s="407"/>
      <c r="N507" s="407"/>
      <c r="O507" s="407"/>
      <c r="P507" s="407"/>
      <c r="Q507" s="407"/>
      <c r="R507" s="407"/>
      <c r="S507" s="407"/>
      <c r="T507" s="407"/>
      <c r="U507" s="407"/>
      <c r="V507" s="407"/>
      <c r="W507" s="407"/>
      <c r="X507" s="407"/>
      <c r="Y507" s="407"/>
      <c r="Z507" s="408"/>
    </row>
    <row r="508" spans="1:26">
      <c r="A508" s="416"/>
      <c r="B508" s="407"/>
      <c r="C508" s="407"/>
      <c r="D508" s="407"/>
      <c r="E508" s="407"/>
      <c r="F508" s="407"/>
      <c r="G508" s="407"/>
      <c r="H508" s="407"/>
      <c r="I508" s="407"/>
      <c r="J508" s="407"/>
      <c r="K508" s="407"/>
      <c r="L508" s="407"/>
      <c r="M508" s="407"/>
      <c r="N508" s="407"/>
      <c r="O508" s="407"/>
      <c r="P508" s="407"/>
      <c r="Q508" s="407"/>
      <c r="R508" s="407"/>
      <c r="S508" s="407"/>
      <c r="T508" s="407"/>
      <c r="U508" s="407"/>
      <c r="V508" s="407"/>
      <c r="W508" s="407"/>
      <c r="X508" s="407"/>
      <c r="Y508" s="407"/>
      <c r="Z508" s="408"/>
    </row>
    <row r="509" spans="1:26">
      <c r="A509" s="416"/>
      <c r="B509" s="407"/>
      <c r="C509" s="407"/>
      <c r="D509" s="407"/>
      <c r="E509" s="407"/>
      <c r="F509" s="407"/>
      <c r="G509" s="407"/>
      <c r="H509" s="407"/>
      <c r="I509" s="407"/>
      <c r="J509" s="407"/>
      <c r="K509" s="407"/>
      <c r="L509" s="407"/>
      <c r="M509" s="407"/>
      <c r="N509" s="407"/>
      <c r="O509" s="407"/>
      <c r="P509" s="407"/>
      <c r="Q509" s="407"/>
      <c r="R509" s="407"/>
      <c r="S509" s="407"/>
      <c r="T509" s="407"/>
      <c r="U509" s="407"/>
      <c r="V509" s="407"/>
      <c r="W509" s="407"/>
      <c r="X509" s="407"/>
      <c r="Y509" s="407"/>
      <c r="Z509" s="408"/>
    </row>
    <row r="510" spans="1:26">
      <c r="A510" s="416"/>
      <c r="B510" s="407"/>
      <c r="C510" s="407"/>
      <c r="D510" s="407"/>
      <c r="E510" s="407"/>
      <c r="F510" s="407"/>
      <c r="G510" s="407"/>
      <c r="H510" s="407"/>
      <c r="I510" s="407"/>
      <c r="J510" s="407"/>
      <c r="K510" s="407"/>
      <c r="L510" s="407"/>
      <c r="M510" s="407"/>
      <c r="N510" s="407"/>
      <c r="O510" s="407"/>
      <c r="P510" s="407"/>
      <c r="Q510" s="407"/>
      <c r="R510" s="407"/>
      <c r="S510" s="407"/>
      <c r="T510" s="407"/>
      <c r="U510" s="407"/>
      <c r="V510" s="407"/>
      <c r="W510" s="407"/>
      <c r="X510" s="407"/>
      <c r="Y510" s="407"/>
      <c r="Z510" s="408"/>
    </row>
    <row r="511" spans="1:26">
      <c r="A511" s="416"/>
      <c r="B511" s="407"/>
      <c r="C511" s="407"/>
      <c r="D511" s="407"/>
      <c r="E511" s="407"/>
      <c r="F511" s="407"/>
      <c r="G511" s="407"/>
      <c r="H511" s="407"/>
      <c r="I511" s="407"/>
      <c r="J511" s="407"/>
      <c r="K511" s="407"/>
      <c r="L511" s="407"/>
      <c r="M511" s="407"/>
      <c r="N511" s="407"/>
      <c r="O511" s="407"/>
      <c r="P511" s="407"/>
      <c r="Q511" s="407"/>
      <c r="R511" s="407"/>
      <c r="S511" s="407"/>
      <c r="T511" s="407"/>
      <c r="U511" s="407"/>
      <c r="V511" s="407"/>
      <c r="W511" s="407"/>
      <c r="X511" s="407"/>
      <c r="Y511" s="407"/>
      <c r="Z511" s="408"/>
    </row>
    <row r="512" spans="1:26">
      <c r="A512" s="416"/>
      <c r="B512" s="407"/>
      <c r="C512" s="407"/>
      <c r="D512" s="407"/>
      <c r="E512" s="407"/>
      <c r="F512" s="407"/>
      <c r="G512" s="407"/>
      <c r="H512" s="407"/>
      <c r="I512" s="407"/>
      <c r="J512" s="407"/>
      <c r="K512" s="407"/>
      <c r="L512" s="407"/>
      <c r="M512" s="407"/>
      <c r="N512" s="407"/>
      <c r="O512" s="407"/>
      <c r="P512" s="407"/>
      <c r="Q512" s="407"/>
      <c r="R512" s="407"/>
      <c r="S512" s="407"/>
      <c r="T512" s="407"/>
      <c r="U512" s="407"/>
      <c r="V512" s="407"/>
      <c r="W512" s="407"/>
      <c r="X512" s="407"/>
      <c r="Y512" s="407"/>
      <c r="Z512" s="408"/>
    </row>
    <row r="513" spans="1:26">
      <c r="A513" s="416"/>
      <c r="B513" s="407"/>
      <c r="C513" s="407"/>
      <c r="D513" s="407"/>
      <c r="E513" s="407"/>
      <c r="F513" s="407"/>
      <c r="G513" s="407"/>
      <c r="H513" s="407"/>
      <c r="I513" s="407"/>
      <c r="J513" s="407"/>
      <c r="K513" s="407"/>
      <c r="L513" s="407"/>
      <c r="M513" s="407"/>
      <c r="N513" s="407"/>
      <c r="O513" s="407"/>
      <c r="P513" s="407"/>
      <c r="Q513" s="407"/>
      <c r="R513" s="407"/>
      <c r="S513" s="407"/>
      <c r="T513" s="407"/>
      <c r="U513" s="407"/>
      <c r="V513" s="407"/>
      <c r="W513" s="407"/>
      <c r="X513" s="407"/>
      <c r="Y513" s="407"/>
      <c r="Z513" s="408"/>
    </row>
    <row r="514" spans="1:26">
      <c r="A514" s="416"/>
      <c r="B514" s="407"/>
      <c r="C514" s="407"/>
      <c r="D514" s="407"/>
      <c r="E514" s="407"/>
      <c r="F514" s="407"/>
      <c r="G514" s="407"/>
      <c r="H514" s="407"/>
      <c r="I514" s="407"/>
      <c r="J514" s="407"/>
      <c r="K514" s="407"/>
      <c r="L514" s="407"/>
      <c r="M514" s="407"/>
      <c r="N514" s="407"/>
      <c r="O514" s="407"/>
      <c r="P514" s="407"/>
      <c r="Q514" s="407"/>
      <c r="R514" s="407"/>
      <c r="S514" s="407"/>
      <c r="T514" s="407"/>
      <c r="U514" s="407"/>
      <c r="V514" s="407"/>
      <c r="W514" s="407"/>
      <c r="X514" s="407"/>
      <c r="Y514" s="407"/>
      <c r="Z514" s="408"/>
    </row>
    <row r="515" spans="1:26">
      <c r="A515" s="416"/>
      <c r="B515" s="407"/>
      <c r="C515" s="407"/>
      <c r="D515" s="407"/>
      <c r="E515" s="407"/>
      <c r="F515" s="407"/>
      <c r="G515" s="407"/>
      <c r="H515" s="407"/>
      <c r="I515" s="407"/>
      <c r="J515" s="407"/>
      <c r="K515" s="407"/>
      <c r="L515" s="407"/>
      <c r="M515" s="407"/>
      <c r="N515" s="407"/>
      <c r="O515" s="407"/>
      <c r="P515" s="407"/>
      <c r="Q515" s="407"/>
      <c r="R515" s="407"/>
      <c r="S515" s="407"/>
      <c r="T515" s="407"/>
      <c r="U515" s="407"/>
      <c r="V515" s="407"/>
      <c r="W515" s="407"/>
      <c r="X515" s="407"/>
      <c r="Y515" s="407"/>
      <c r="Z515" s="408"/>
    </row>
    <row r="516" spans="1:26">
      <c r="A516" s="416"/>
      <c r="B516" s="407"/>
      <c r="C516" s="407"/>
      <c r="D516" s="407"/>
      <c r="E516" s="407"/>
      <c r="F516" s="407"/>
      <c r="G516" s="407"/>
      <c r="H516" s="407"/>
      <c r="I516" s="407"/>
      <c r="J516" s="407"/>
      <c r="K516" s="407"/>
      <c r="L516" s="407"/>
      <c r="M516" s="407"/>
      <c r="N516" s="407"/>
      <c r="O516" s="407"/>
      <c r="P516" s="407"/>
      <c r="Q516" s="407"/>
      <c r="R516" s="407"/>
      <c r="S516" s="407"/>
      <c r="T516" s="407"/>
      <c r="U516" s="407"/>
      <c r="V516" s="407"/>
      <c r="W516" s="407"/>
      <c r="X516" s="407"/>
      <c r="Y516" s="407"/>
      <c r="Z516" s="408"/>
    </row>
    <row r="517" spans="1:26">
      <c r="A517" s="416"/>
      <c r="B517" s="407"/>
      <c r="C517" s="407"/>
      <c r="D517" s="407"/>
      <c r="E517" s="407"/>
      <c r="F517" s="407"/>
      <c r="G517" s="407"/>
      <c r="H517" s="407"/>
      <c r="I517" s="407"/>
      <c r="J517" s="407"/>
      <c r="K517" s="407"/>
      <c r="L517" s="407"/>
      <c r="M517" s="407"/>
      <c r="N517" s="407"/>
      <c r="O517" s="407"/>
      <c r="P517" s="407"/>
      <c r="Q517" s="407"/>
      <c r="R517" s="407"/>
      <c r="S517" s="407"/>
      <c r="T517" s="407"/>
      <c r="U517" s="407"/>
      <c r="V517" s="407"/>
      <c r="W517" s="407"/>
      <c r="X517" s="407"/>
      <c r="Y517" s="407"/>
      <c r="Z517" s="408"/>
    </row>
    <row r="518" spans="1:26">
      <c r="A518" s="416"/>
      <c r="B518" s="407"/>
      <c r="C518" s="407"/>
      <c r="D518" s="407"/>
      <c r="E518" s="407"/>
      <c r="F518" s="407"/>
      <c r="G518" s="407"/>
      <c r="H518" s="407"/>
      <c r="I518" s="407"/>
      <c r="J518" s="407"/>
      <c r="K518" s="407"/>
      <c r="L518" s="407"/>
      <c r="M518" s="407"/>
      <c r="N518" s="407"/>
      <c r="O518" s="407"/>
      <c r="P518" s="407"/>
      <c r="Q518" s="407"/>
      <c r="R518" s="407"/>
      <c r="S518" s="407"/>
      <c r="T518" s="407"/>
      <c r="U518" s="407"/>
      <c r="V518" s="407"/>
      <c r="W518" s="407"/>
      <c r="X518" s="407"/>
      <c r="Y518" s="407"/>
      <c r="Z518" s="408"/>
    </row>
    <row r="519" spans="1:26">
      <c r="A519" s="416"/>
      <c r="B519" s="407"/>
      <c r="C519" s="407"/>
      <c r="D519" s="407"/>
      <c r="E519" s="407"/>
      <c r="F519" s="407"/>
      <c r="G519" s="407"/>
      <c r="H519" s="407"/>
      <c r="I519" s="407"/>
      <c r="J519" s="407"/>
      <c r="K519" s="407"/>
      <c r="L519" s="407"/>
      <c r="M519" s="407"/>
      <c r="N519" s="407"/>
      <c r="O519" s="407"/>
      <c r="P519" s="407"/>
      <c r="Q519" s="407"/>
      <c r="R519" s="407"/>
      <c r="S519" s="407"/>
      <c r="T519" s="407"/>
      <c r="U519" s="407"/>
      <c r="V519" s="407"/>
      <c r="W519" s="407"/>
      <c r="X519" s="407"/>
      <c r="Y519" s="407"/>
      <c r="Z519" s="408"/>
    </row>
    <row r="520" spans="1:26">
      <c r="A520" s="416"/>
      <c r="B520" s="407"/>
      <c r="C520" s="407"/>
      <c r="D520" s="407"/>
      <c r="E520" s="407"/>
      <c r="F520" s="407"/>
      <c r="G520" s="407"/>
      <c r="H520" s="407"/>
      <c r="I520" s="407"/>
      <c r="J520" s="407"/>
      <c r="K520" s="407"/>
      <c r="L520" s="407"/>
      <c r="M520" s="407"/>
      <c r="N520" s="407"/>
      <c r="O520" s="407"/>
      <c r="P520" s="407"/>
      <c r="Q520" s="407"/>
      <c r="R520" s="407"/>
      <c r="S520" s="407"/>
      <c r="T520" s="407"/>
      <c r="U520" s="407"/>
      <c r="V520" s="407"/>
      <c r="W520" s="407"/>
      <c r="X520" s="407"/>
      <c r="Y520" s="407"/>
      <c r="Z520" s="408"/>
    </row>
    <row r="521" spans="1:26">
      <c r="A521" s="416"/>
      <c r="B521" s="407"/>
      <c r="C521" s="407"/>
      <c r="D521" s="407"/>
      <c r="E521" s="407"/>
      <c r="F521" s="407"/>
      <c r="G521" s="407"/>
      <c r="H521" s="407"/>
      <c r="I521" s="407"/>
      <c r="J521" s="407"/>
      <c r="K521" s="407"/>
      <c r="L521" s="407"/>
      <c r="M521" s="407"/>
      <c r="N521" s="407"/>
      <c r="O521" s="407"/>
      <c r="P521" s="407"/>
      <c r="Q521" s="407"/>
      <c r="R521" s="407"/>
      <c r="S521" s="407"/>
      <c r="T521" s="407"/>
      <c r="U521" s="407"/>
      <c r="V521" s="407"/>
      <c r="W521" s="407"/>
      <c r="X521" s="407"/>
      <c r="Y521" s="407"/>
      <c r="Z521" s="408"/>
    </row>
    <row r="522" spans="1:26">
      <c r="A522" s="416"/>
      <c r="B522" s="407"/>
      <c r="C522" s="407"/>
      <c r="D522" s="407"/>
      <c r="E522" s="407"/>
      <c r="F522" s="407"/>
      <c r="G522" s="407"/>
      <c r="H522" s="407"/>
      <c r="I522" s="407"/>
      <c r="J522" s="407"/>
      <c r="K522" s="407"/>
      <c r="L522" s="407"/>
      <c r="M522" s="407"/>
      <c r="N522" s="407"/>
      <c r="O522" s="407"/>
      <c r="P522" s="407"/>
      <c r="Q522" s="407"/>
      <c r="R522" s="407"/>
      <c r="S522" s="407"/>
      <c r="T522" s="407"/>
      <c r="U522" s="407"/>
      <c r="V522" s="407"/>
      <c r="W522" s="407"/>
      <c r="X522" s="407"/>
      <c r="Y522" s="407"/>
      <c r="Z522" s="408"/>
    </row>
    <row r="523" spans="1:26">
      <c r="A523" s="416"/>
      <c r="B523" s="407"/>
      <c r="C523" s="407"/>
      <c r="D523" s="407"/>
      <c r="E523" s="407"/>
      <c r="F523" s="407"/>
      <c r="G523" s="407"/>
      <c r="H523" s="407"/>
      <c r="I523" s="407"/>
      <c r="J523" s="407"/>
      <c r="K523" s="407"/>
      <c r="L523" s="407"/>
      <c r="M523" s="407"/>
      <c r="N523" s="407"/>
      <c r="O523" s="407"/>
      <c r="P523" s="407"/>
      <c r="Q523" s="407"/>
      <c r="R523" s="407"/>
      <c r="S523" s="407"/>
      <c r="T523" s="407"/>
      <c r="U523" s="407"/>
      <c r="V523" s="407"/>
      <c r="W523" s="407"/>
      <c r="X523" s="407"/>
      <c r="Y523" s="407"/>
      <c r="Z523" s="408"/>
    </row>
    <row r="524" spans="1:26">
      <c r="A524" s="416"/>
      <c r="B524" s="407"/>
      <c r="C524" s="407"/>
      <c r="D524" s="407"/>
      <c r="E524" s="407"/>
      <c r="F524" s="407"/>
      <c r="G524" s="407"/>
      <c r="H524" s="407"/>
      <c r="I524" s="407"/>
      <c r="J524" s="407"/>
      <c r="K524" s="407"/>
      <c r="L524" s="407"/>
      <c r="M524" s="407"/>
      <c r="N524" s="407"/>
      <c r="O524" s="407"/>
      <c r="P524" s="407"/>
      <c r="Q524" s="407"/>
      <c r="R524" s="407"/>
      <c r="S524" s="407"/>
      <c r="T524" s="407"/>
      <c r="U524" s="407"/>
      <c r="V524" s="407"/>
      <c r="W524" s="407"/>
      <c r="X524" s="407"/>
      <c r="Y524" s="407"/>
      <c r="Z524" s="408"/>
    </row>
    <row r="525" spans="1:26">
      <c r="A525" s="416"/>
      <c r="B525" s="407"/>
      <c r="C525" s="407"/>
      <c r="D525" s="407"/>
      <c r="E525" s="407"/>
      <c r="F525" s="407"/>
      <c r="G525" s="407"/>
      <c r="H525" s="407"/>
      <c r="I525" s="407"/>
      <c r="J525" s="407"/>
      <c r="K525" s="407"/>
      <c r="L525" s="407"/>
      <c r="M525" s="407"/>
      <c r="N525" s="407"/>
      <c r="O525" s="407"/>
      <c r="P525" s="407"/>
      <c r="Q525" s="407"/>
      <c r="R525" s="407"/>
      <c r="S525" s="407"/>
      <c r="T525" s="407"/>
      <c r="U525" s="407"/>
      <c r="V525" s="407"/>
      <c r="W525" s="407"/>
      <c r="X525" s="407"/>
      <c r="Y525" s="407"/>
      <c r="Z525" s="408"/>
    </row>
    <row r="526" spans="1:26">
      <c r="A526" s="416"/>
      <c r="B526" s="407"/>
      <c r="C526" s="407"/>
      <c r="D526" s="407"/>
      <c r="E526" s="407"/>
      <c r="F526" s="407"/>
      <c r="G526" s="407"/>
      <c r="H526" s="407"/>
      <c r="I526" s="407"/>
      <c r="J526" s="407"/>
      <c r="K526" s="407"/>
      <c r="L526" s="407"/>
      <c r="M526" s="407"/>
      <c r="N526" s="407"/>
      <c r="O526" s="407"/>
      <c r="P526" s="407"/>
      <c r="Q526" s="407"/>
      <c r="R526" s="407"/>
      <c r="S526" s="407"/>
      <c r="T526" s="407"/>
      <c r="U526" s="407"/>
      <c r="V526" s="407"/>
      <c r="W526" s="407"/>
      <c r="X526" s="407"/>
      <c r="Y526" s="407"/>
      <c r="Z526" s="408"/>
    </row>
    <row r="527" spans="1:26">
      <c r="A527" s="416"/>
      <c r="B527" s="407"/>
      <c r="C527" s="407"/>
      <c r="D527" s="407"/>
      <c r="E527" s="407"/>
      <c r="F527" s="407"/>
      <c r="G527" s="407"/>
      <c r="H527" s="407"/>
      <c r="I527" s="407"/>
      <c r="J527" s="407"/>
      <c r="K527" s="407"/>
      <c r="L527" s="407"/>
      <c r="M527" s="407"/>
      <c r="N527" s="407"/>
      <c r="O527" s="407"/>
      <c r="P527" s="407"/>
      <c r="Q527" s="407"/>
      <c r="R527" s="407"/>
      <c r="S527" s="407"/>
      <c r="T527" s="407"/>
      <c r="U527" s="407"/>
      <c r="V527" s="407"/>
      <c r="W527" s="407"/>
      <c r="X527" s="407"/>
      <c r="Y527" s="407"/>
      <c r="Z527" s="408"/>
    </row>
    <row r="528" spans="1:26">
      <c r="A528" s="416"/>
      <c r="B528" s="407"/>
      <c r="C528" s="407"/>
      <c r="D528" s="407"/>
      <c r="E528" s="407"/>
      <c r="F528" s="407"/>
      <c r="G528" s="407"/>
      <c r="H528" s="407"/>
      <c r="I528" s="407"/>
      <c r="J528" s="407"/>
      <c r="K528" s="407"/>
      <c r="L528" s="407"/>
      <c r="M528" s="407"/>
      <c r="N528" s="407"/>
      <c r="O528" s="407"/>
      <c r="P528" s="407"/>
      <c r="Q528" s="407"/>
      <c r="R528" s="407"/>
      <c r="S528" s="407"/>
      <c r="T528" s="407"/>
      <c r="U528" s="407"/>
      <c r="V528" s="407"/>
      <c r="W528" s="407"/>
      <c r="X528" s="407"/>
      <c r="Y528" s="407"/>
      <c r="Z528" s="408"/>
    </row>
    <row r="529" spans="1:26">
      <c r="A529" s="416"/>
      <c r="B529" s="407"/>
      <c r="C529" s="407"/>
      <c r="D529" s="407"/>
      <c r="E529" s="407"/>
      <c r="F529" s="407"/>
      <c r="G529" s="407"/>
      <c r="H529" s="407"/>
      <c r="I529" s="407"/>
      <c r="J529" s="407"/>
      <c r="K529" s="407"/>
      <c r="L529" s="407"/>
      <c r="M529" s="407"/>
      <c r="N529" s="407"/>
      <c r="O529" s="407"/>
      <c r="P529" s="407"/>
      <c r="Q529" s="407"/>
      <c r="R529" s="407"/>
      <c r="S529" s="407"/>
      <c r="T529" s="407"/>
      <c r="U529" s="407"/>
      <c r="V529" s="407"/>
      <c r="W529" s="407"/>
      <c r="X529" s="407"/>
      <c r="Y529" s="407"/>
      <c r="Z529" s="408"/>
    </row>
    <row r="530" spans="1:26">
      <c r="A530" s="416"/>
      <c r="B530" s="407"/>
      <c r="C530" s="407"/>
      <c r="D530" s="407"/>
      <c r="E530" s="407"/>
      <c r="F530" s="407"/>
      <c r="G530" s="407"/>
      <c r="H530" s="407"/>
      <c r="I530" s="407"/>
      <c r="J530" s="407"/>
      <c r="K530" s="407"/>
      <c r="L530" s="407"/>
      <c r="M530" s="407"/>
      <c r="N530" s="407"/>
      <c r="O530" s="407"/>
      <c r="P530" s="407"/>
      <c r="Q530" s="407"/>
      <c r="R530" s="407"/>
      <c r="S530" s="407"/>
      <c r="T530" s="407"/>
      <c r="U530" s="407"/>
      <c r="V530" s="407"/>
      <c r="W530" s="407"/>
      <c r="X530" s="407"/>
      <c r="Y530" s="407"/>
      <c r="Z530" s="408"/>
    </row>
    <row r="531" spans="1:26">
      <c r="A531" s="416"/>
      <c r="B531" s="407"/>
      <c r="C531" s="407"/>
      <c r="D531" s="407"/>
      <c r="E531" s="407"/>
      <c r="F531" s="407"/>
      <c r="G531" s="407"/>
      <c r="H531" s="407"/>
      <c r="I531" s="407"/>
      <c r="J531" s="407"/>
      <c r="K531" s="407"/>
      <c r="L531" s="407"/>
      <c r="M531" s="407"/>
      <c r="N531" s="407"/>
      <c r="O531" s="407"/>
      <c r="P531" s="407"/>
      <c r="Q531" s="407"/>
      <c r="R531" s="407"/>
      <c r="S531" s="407"/>
      <c r="T531" s="407"/>
      <c r="U531" s="407"/>
      <c r="V531" s="407"/>
      <c r="W531" s="407"/>
      <c r="X531" s="407"/>
      <c r="Y531" s="407"/>
      <c r="Z531" s="408"/>
    </row>
    <row r="532" spans="1:26">
      <c r="A532" s="416"/>
      <c r="B532" s="407"/>
      <c r="C532" s="407"/>
      <c r="D532" s="407"/>
      <c r="E532" s="407"/>
      <c r="F532" s="407"/>
      <c r="G532" s="407"/>
      <c r="H532" s="407"/>
      <c r="I532" s="407"/>
      <c r="J532" s="407"/>
      <c r="K532" s="407"/>
      <c r="L532" s="407"/>
      <c r="M532" s="407"/>
      <c r="N532" s="407"/>
      <c r="O532" s="407"/>
      <c r="P532" s="407"/>
      <c r="Q532" s="407"/>
      <c r="R532" s="407"/>
      <c r="S532" s="407"/>
      <c r="T532" s="407"/>
      <c r="U532" s="407"/>
      <c r="V532" s="407"/>
      <c r="W532" s="407"/>
      <c r="X532" s="407"/>
      <c r="Y532" s="407"/>
      <c r="Z532" s="408"/>
    </row>
    <row r="533" spans="1:26">
      <c r="A533" s="416"/>
      <c r="B533" s="407"/>
      <c r="C533" s="407"/>
      <c r="D533" s="407"/>
      <c r="E533" s="407"/>
      <c r="F533" s="407"/>
      <c r="G533" s="407"/>
      <c r="H533" s="407"/>
      <c r="I533" s="407"/>
      <c r="J533" s="407"/>
      <c r="K533" s="407"/>
      <c r="L533" s="407"/>
      <c r="M533" s="407"/>
      <c r="N533" s="407"/>
      <c r="O533" s="407"/>
      <c r="P533" s="407"/>
      <c r="Q533" s="407"/>
      <c r="R533" s="407"/>
      <c r="S533" s="407"/>
      <c r="T533" s="407"/>
      <c r="U533" s="407"/>
      <c r="V533" s="407"/>
      <c r="W533" s="407"/>
      <c r="X533" s="407"/>
      <c r="Y533" s="407"/>
      <c r="Z533" s="408"/>
    </row>
    <row r="534" spans="1:26">
      <c r="A534" s="416"/>
      <c r="B534" s="407"/>
      <c r="C534" s="407"/>
      <c r="D534" s="407"/>
      <c r="E534" s="407"/>
      <c r="F534" s="407"/>
      <c r="G534" s="407"/>
      <c r="H534" s="407"/>
      <c r="I534" s="407"/>
      <c r="J534" s="407"/>
      <c r="K534" s="407"/>
      <c r="L534" s="407"/>
      <c r="M534" s="407"/>
      <c r="N534" s="407"/>
      <c r="O534" s="407"/>
      <c r="P534" s="407"/>
      <c r="Q534" s="407"/>
      <c r="R534" s="407"/>
      <c r="S534" s="407"/>
      <c r="T534" s="407"/>
      <c r="U534" s="407"/>
      <c r="V534" s="407"/>
      <c r="W534" s="407"/>
      <c r="X534" s="407"/>
      <c r="Y534" s="407"/>
      <c r="Z534" s="408"/>
    </row>
    <row r="535" spans="1:26">
      <c r="A535" s="416"/>
      <c r="B535" s="407"/>
      <c r="C535" s="407"/>
      <c r="D535" s="407"/>
      <c r="E535" s="407"/>
      <c r="F535" s="407"/>
      <c r="G535" s="407"/>
      <c r="H535" s="407"/>
      <c r="I535" s="407"/>
      <c r="J535" s="407"/>
      <c r="K535" s="407"/>
      <c r="L535" s="407"/>
      <c r="M535" s="407"/>
      <c r="N535" s="407"/>
      <c r="O535" s="407"/>
      <c r="P535" s="407"/>
      <c r="Q535" s="407"/>
      <c r="R535" s="407"/>
      <c r="S535" s="407"/>
      <c r="T535" s="407"/>
      <c r="U535" s="407"/>
      <c r="V535" s="407"/>
      <c r="W535" s="407"/>
      <c r="X535" s="407"/>
      <c r="Y535" s="407"/>
      <c r="Z535" s="408"/>
    </row>
    <row r="536" spans="1:26">
      <c r="A536" s="416"/>
      <c r="B536" s="407"/>
      <c r="C536" s="407"/>
      <c r="D536" s="407"/>
      <c r="E536" s="407"/>
      <c r="F536" s="407"/>
      <c r="G536" s="407"/>
      <c r="H536" s="407"/>
      <c r="I536" s="407"/>
      <c r="J536" s="407"/>
      <c r="K536" s="407"/>
      <c r="L536" s="407"/>
      <c r="M536" s="407"/>
      <c r="N536" s="407"/>
      <c r="O536" s="407"/>
      <c r="P536" s="407"/>
      <c r="Q536" s="407"/>
      <c r="R536" s="407"/>
      <c r="S536" s="407"/>
      <c r="T536" s="407"/>
      <c r="U536" s="407"/>
      <c r="V536" s="407"/>
      <c r="W536" s="407"/>
      <c r="X536" s="407"/>
      <c r="Y536" s="407"/>
      <c r="Z536" s="408"/>
    </row>
    <row r="537" spans="1:26">
      <c r="A537" s="416"/>
      <c r="B537" s="407"/>
      <c r="C537" s="407"/>
      <c r="D537" s="407"/>
      <c r="E537" s="407"/>
      <c r="F537" s="407"/>
      <c r="G537" s="407"/>
      <c r="H537" s="407"/>
      <c r="I537" s="407"/>
      <c r="J537" s="407"/>
      <c r="K537" s="407"/>
      <c r="L537" s="407"/>
      <c r="M537" s="407"/>
      <c r="N537" s="407"/>
      <c r="O537" s="407"/>
      <c r="P537" s="407"/>
      <c r="Q537" s="407"/>
      <c r="R537" s="407"/>
      <c r="S537" s="407"/>
      <c r="T537" s="407"/>
      <c r="U537" s="407"/>
      <c r="V537" s="407"/>
      <c r="W537" s="407"/>
      <c r="X537" s="407"/>
      <c r="Y537" s="407"/>
      <c r="Z537" s="408"/>
    </row>
    <row r="538" spans="1:26">
      <c r="A538" s="416"/>
      <c r="B538" s="407"/>
      <c r="C538" s="407"/>
      <c r="D538" s="407"/>
      <c r="E538" s="407"/>
      <c r="F538" s="407"/>
      <c r="G538" s="407"/>
      <c r="H538" s="407"/>
      <c r="I538" s="407"/>
      <c r="J538" s="407"/>
      <c r="K538" s="407"/>
      <c r="L538" s="407"/>
      <c r="M538" s="407"/>
      <c r="N538" s="407"/>
      <c r="O538" s="407"/>
      <c r="P538" s="407"/>
      <c r="Q538" s="407"/>
      <c r="R538" s="407"/>
      <c r="S538" s="407"/>
      <c r="T538" s="407"/>
      <c r="U538" s="407"/>
      <c r="V538" s="407"/>
      <c r="W538" s="407"/>
      <c r="X538" s="407"/>
      <c r="Y538" s="407"/>
      <c r="Z538" s="408"/>
    </row>
    <row r="539" spans="1:26">
      <c r="A539" s="416"/>
      <c r="B539" s="407"/>
      <c r="C539" s="407"/>
      <c r="D539" s="407"/>
      <c r="E539" s="407"/>
      <c r="F539" s="407"/>
      <c r="G539" s="407"/>
      <c r="H539" s="407"/>
      <c r="I539" s="407"/>
      <c r="J539" s="407"/>
      <c r="K539" s="407"/>
      <c r="L539" s="407"/>
      <c r="M539" s="407"/>
      <c r="N539" s="407"/>
      <c r="O539" s="407"/>
      <c r="P539" s="407"/>
      <c r="Q539" s="407"/>
      <c r="R539" s="407"/>
      <c r="S539" s="407"/>
      <c r="T539" s="407"/>
      <c r="U539" s="407"/>
      <c r="V539" s="407"/>
      <c r="W539" s="407"/>
      <c r="X539" s="407"/>
      <c r="Y539" s="407"/>
      <c r="Z539" s="408"/>
    </row>
    <row r="540" spans="1:26">
      <c r="A540" s="416"/>
      <c r="B540" s="407"/>
      <c r="C540" s="407"/>
      <c r="D540" s="407"/>
      <c r="E540" s="407"/>
      <c r="F540" s="407"/>
      <c r="G540" s="407"/>
      <c r="H540" s="407"/>
      <c r="I540" s="407"/>
      <c r="J540" s="407"/>
      <c r="K540" s="407"/>
      <c r="L540" s="407"/>
      <c r="M540" s="407"/>
      <c r="N540" s="407"/>
      <c r="O540" s="407"/>
      <c r="P540" s="407"/>
      <c r="Q540" s="407"/>
      <c r="R540" s="407"/>
      <c r="S540" s="407"/>
      <c r="T540" s="407"/>
      <c r="U540" s="407"/>
      <c r="V540" s="407"/>
      <c r="W540" s="407"/>
      <c r="X540" s="407"/>
      <c r="Y540" s="407"/>
      <c r="Z540" s="408"/>
    </row>
    <row r="541" spans="1:26">
      <c r="A541" s="416"/>
      <c r="B541" s="407"/>
      <c r="C541" s="407"/>
      <c r="D541" s="407"/>
      <c r="E541" s="407"/>
      <c r="F541" s="407"/>
      <c r="G541" s="407"/>
      <c r="H541" s="407"/>
      <c r="I541" s="407"/>
      <c r="J541" s="407"/>
      <c r="K541" s="407"/>
      <c r="L541" s="407"/>
      <c r="M541" s="407"/>
      <c r="N541" s="407"/>
      <c r="O541" s="407"/>
      <c r="P541" s="407"/>
      <c r="Q541" s="407"/>
      <c r="R541" s="407"/>
      <c r="S541" s="407"/>
      <c r="T541" s="407"/>
      <c r="U541" s="407"/>
      <c r="V541" s="407"/>
      <c r="W541" s="407"/>
      <c r="X541" s="407"/>
      <c r="Y541" s="407"/>
      <c r="Z541" s="408"/>
    </row>
    <row r="542" spans="1:26">
      <c r="A542" s="416"/>
      <c r="B542" s="407"/>
      <c r="C542" s="407"/>
      <c r="D542" s="407"/>
      <c r="E542" s="407"/>
      <c r="F542" s="407"/>
      <c r="G542" s="407"/>
      <c r="H542" s="407"/>
      <c r="I542" s="407"/>
      <c r="J542" s="407"/>
      <c r="K542" s="407"/>
      <c r="L542" s="407"/>
      <c r="M542" s="407"/>
      <c r="N542" s="407"/>
      <c r="O542" s="407"/>
      <c r="P542" s="407"/>
      <c r="Q542" s="407"/>
      <c r="R542" s="407"/>
      <c r="S542" s="407"/>
      <c r="T542" s="407"/>
      <c r="U542" s="407"/>
      <c r="V542" s="407"/>
      <c r="W542" s="407"/>
      <c r="X542" s="407"/>
      <c r="Y542" s="407"/>
      <c r="Z542" s="408"/>
    </row>
    <row r="543" spans="1:26">
      <c r="A543" s="416"/>
      <c r="B543" s="407"/>
      <c r="C543" s="407"/>
      <c r="D543" s="407"/>
      <c r="E543" s="407"/>
      <c r="F543" s="407"/>
      <c r="G543" s="407"/>
      <c r="H543" s="407"/>
      <c r="I543" s="407"/>
      <c r="J543" s="407"/>
      <c r="K543" s="407"/>
      <c r="L543" s="407"/>
      <c r="M543" s="407"/>
      <c r="N543" s="407"/>
      <c r="O543" s="407"/>
      <c r="P543" s="407"/>
      <c r="Q543" s="407"/>
      <c r="R543" s="407"/>
      <c r="S543" s="407"/>
      <c r="T543" s="407"/>
      <c r="U543" s="407"/>
      <c r="V543" s="407"/>
      <c r="W543" s="407"/>
      <c r="X543" s="407"/>
      <c r="Y543" s="407"/>
      <c r="Z543" s="408"/>
    </row>
    <row r="544" spans="1:26">
      <c r="A544" s="416"/>
      <c r="B544" s="407"/>
      <c r="C544" s="407"/>
      <c r="D544" s="407"/>
      <c r="E544" s="407"/>
      <c r="F544" s="407"/>
      <c r="G544" s="407"/>
      <c r="H544" s="407"/>
      <c r="I544" s="407"/>
      <c r="J544" s="407"/>
      <c r="K544" s="407"/>
      <c r="L544" s="407"/>
      <c r="M544" s="407"/>
      <c r="N544" s="407"/>
      <c r="O544" s="407"/>
      <c r="P544" s="407"/>
      <c r="Q544" s="407"/>
      <c r="R544" s="407"/>
      <c r="S544" s="407"/>
      <c r="T544" s="407"/>
      <c r="U544" s="407"/>
      <c r="V544" s="407"/>
      <c r="W544" s="407"/>
      <c r="X544" s="407"/>
      <c r="Y544" s="407"/>
      <c r="Z544" s="408"/>
    </row>
    <row r="545" spans="1:26">
      <c r="A545" s="416"/>
      <c r="B545" s="407"/>
      <c r="C545" s="407"/>
      <c r="D545" s="407"/>
      <c r="E545" s="407"/>
      <c r="F545" s="407"/>
      <c r="G545" s="407"/>
      <c r="H545" s="407"/>
      <c r="I545" s="407"/>
      <c r="J545" s="407"/>
      <c r="K545" s="407"/>
      <c r="L545" s="407"/>
      <c r="M545" s="407"/>
      <c r="N545" s="407"/>
      <c r="O545" s="407"/>
      <c r="P545" s="407"/>
      <c r="Q545" s="407"/>
      <c r="R545" s="407"/>
      <c r="S545" s="407"/>
      <c r="T545" s="407"/>
      <c r="U545" s="407"/>
      <c r="V545" s="407"/>
      <c r="W545" s="407"/>
      <c r="X545" s="407"/>
      <c r="Y545" s="407"/>
      <c r="Z545" s="408"/>
    </row>
    <row r="546" spans="1:26">
      <c r="A546" s="416"/>
      <c r="B546" s="407"/>
      <c r="C546" s="407"/>
      <c r="D546" s="407"/>
      <c r="E546" s="407"/>
      <c r="F546" s="407"/>
      <c r="G546" s="407"/>
      <c r="H546" s="407"/>
      <c r="I546" s="407"/>
      <c r="J546" s="407"/>
      <c r="K546" s="407"/>
      <c r="L546" s="407"/>
      <c r="M546" s="407"/>
      <c r="N546" s="407"/>
      <c r="O546" s="407"/>
      <c r="P546" s="407"/>
      <c r="Q546" s="407"/>
      <c r="R546" s="407"/>
      <c r="S546" s="407"/>
      <c r="T546" s="407"/>
      <c r="U546" s="407"/>
      <c r="V546" s="407"/>
      <c r="W546" s="407"/>
      <c r="X546" s="407"/>
      <c r="Y546" s="407"/>
      <c r="Z546" s="408"/>
    </row>
    <row r="547" spans="1:26">
      <c r="A547" s="416"/>
      <c r="B547" s="407"/>
      <c r="C547" s="407"/>
      <c r="D547" s="407"/>
      <c r="E547" s="407"/>
      <c r="F547" s="407"/>
      <c r="G547" s="407"/>
      <c r="H547" s="407"/>
      <c r="I547" s="407"/>
      <c r="J547" s="407"/>
      <c r="K547" s="407"/>
      <c r="L547" s="407"/>
      <c r="M547" s="407"/>
      <c r="N547" s="407"/>
      <c r="O547" s="407"/>
      <c r="P547" s="407"/>
      <c r="Q547" s="407"/>
      <c r="R547" s="407"/>
      <c r="S547" s="407"/>
      <c r="T547" s="407"/>
      <c r="U547" s="407"/>
      <c r="V547" s="407"/>
      <c r="W547" s="407"/>
      <c r="X547" s="407"/>
      <c r="Y547" s="407"/>
      <c r="Z547" s="408"/>
    </row>
    <row r="548" spans="1:26">
      <c r="A548" s="416"/>
      <c r="B548" s="407"/>
      <c r="C548" s="407"/>
      <c r="D548" s="407"/>
      <c r="E548" s="407"/>
      <c r="F548" s="407"/>
      <c r="G548" s="407"/>
      <c r="H548" s="407"/>
      <c r="I548" s="407"/>
      <c r="J548" s="407"/>
      <c r="K548" s="407"/>
      <c r="L548" s="407"/>
      <c r="M548" s="407"/>
      <c r="N548" s="407"/>
      <c r="O548" s="407"/>
      <c r="P548" s="407"/>
      <c r="Q548" s="407"/>
      <c r="R548" s="407"/>
      <c r="S548" s="407"/>
      <c r="T548" s="407"/>
      <c r="U548" s="407"/>
      <c r="V548" s="407"/>
      <c r="W548" s="407"/>
      <c r="X548" s="407"/>
      <c r="Y548" s="407"/>
      <c r="Z548" s="408"/>
    </row>
    <row r="549" spans="1:26">
      <c r="A549" s="416"/>
      <c r="B549" s="407"/>
      <c r="C549" s="407"/>
      <c r="D549" s="407"/>
      <c r="E549" s="407"/>
      <c r="F549" s="407"/>
      <c r="G549" s="407"/>
      <c r="H549" s="407"/>
      <c r="I549" s="407"/>
      <c r="J549" s="407"/>
      <c r="K549" s="407"/>
      <c r="L549" s="407"/>
      <c r="M549" s="407"/>
      <c r="N549" s="407"/>
      <c r="O549" s="407"/>
      <c r="P549" s="407"/>
      <c r="Q549" s="407"/>
      <c r="R549" s="407"/>
      <c r="S549" s="407"/>
      <c r="T549" s="407"/>
      <c r="U549" s="407"/>
      <c r="V549" s="407"/>
      <c r="W549" s="407"/>
      <c r="X549" s="407"/>
      <c r="Y549" s="407"/>
      <c r="Z549" s="408"/>
    </row>
    <row r="550" spans="1:26">
      <c r="A550" s="416"/>
      <c r="B550" s="407"/>
      <c r="C550" s="407"/>
      <c r="D550" s="407"/>
      <c r="E550" s="407"/>
      <c r="F550" s="407"/>
      <c r="G550" s="407"/>
      <c r="H550" s="407"/>
      <c r="I550" s="407"/>
      <c r="J550" s="407"/>
      <c r="K550" s="407"/>
      <c r="L550" s="407"/>
      <c r="M550" s="407"/>
      <c r="N550" s="407"/>
      <c r="O550" s="407"/>
      <c r="P550" s="407"/>
      <c r="Q550" s="407"/>
      <c r="R550" s="407"/>
      <c r="S550" s="407"/>
      <c r="T550" s="407"/>
      <c r="U550" s="407"/>
      <c r="V550" s="407"/>
      <c r="W550" s="407"/>
      <c r="X550" s="407"/>
      <c r="Y550" s="407"/>
      <c r="Z550" s="408"/>
    </row>
    <row r="551" spans="1:26">
      <c r="A551" s="416"/>
      <c r="B551" s="407"/>
      <c r="C551" s="407"/>
      <c r="D551" s="407"/>
      <c r="E551" s="407"/>
      <c r="F551" s="407"/>
      <c r="G551" s="407"/>
      <c r="H551" s="407"/>
      <c r="I551" s="407"/>
      <c r="J551" s="407"/>
      <c r="K551" s="407"/>
      <c r="L551" s="407"/>
      <c r="M551" s="407"/>
      <c r="N551" s="407"/>
      <c r="O551" s="407"/>
      <c r="P551" s="407"/>
      <c r="Q551" s="407"/>
      <c r="R551" s="407"/>
      <c r="S551" s="407"/>
      <c r="T551" s="407"/>
      <c r="U551" s="407"/>
      <c r="V551" s="407"/>
      <c r="W551" s="407"/>
      <c r="X551" s="407"/>
      <c r="Y551" s="407"/>
      <c r="Z551" s="408"/>
    </row>
    <row r="552" spans="1:26">
      <c r="A552" s="416"/>
      <c r="B552" s="407"/>
      <c r="C552" s="407"/>
      <c r="D552" s="407"/>
      <c r="E552" s="407"/>
      <c r="F552" s="407"/>
      <c r="G552" s="407"/>
      <c r="H552" s="407"/>
      <c r="I552" s="407"/>
      <c r="J552" s="407"/>
      <c r="K552" s="407"/>
      <c r="L552" s="407"/>
      <c r="M552" s="407"/>
      <c r="N552" s="407"/>
      <c r="O552" s="407"/>
      <c r="P552" s="407"/>
      <c r="Q552" s="407"/>
      <c r="R552" s="407"/>
      <c r="S552" s="407"/>
      <c r="T552" s="407"/>
      <c r="U552" s="407"/>
      <c r="V552" s="407"/>
      <c r="W552" s="407"/>
      <c r="X552" s="407"/>
      <c r="Y552" s="407"/>
      <c r="Z552" s="408"/>
    </row>
    <row r="553" spans="1:26">
      <c r="A553" s="416"/>
      <c r="B553" s="407"/>
      <c r="C553" s="407"/>
      <c r="D553" s="407"/>
      <c r="E553" s="407"/>
      <c r="F553" s="407"/>
      <c r="G553" s="407"/>
      <c r="H553" s="407"/>
      <c r="I553" s="407"/>
      <c r="J553" s="407"/>
      <c r="K553" s="407"/>
      <c r="L553" s="407"/>
      <c r="M553" s="407"/>
      <c r="N553" s="407"/>
      <c r="O553" s="407"/>
      <c r="P553" s="407"/>
      <c r="Q553" s="407"/>
      <c r="R553" s="407"/>
      <c r="S553" s="407"/>
      <c r="T553" s="407"/>
      <c r="U553" s="407"/>
      <c r="V553" s="407"/>
      <c r="W553" s="407"/>
      <c r="X553" s="407"/>
      <c r="Y553" s="407"/>
      <c r="Z553" s="408"/>
    </row>
    <row r="554" spans="1:26">
      <c r="A554" s="416"/>
      <c r="B554" s="407"/>
      <c r="C554" s="407"/>
      <c r="D554" s="407"/>
      <c r="E554" s="407"/>
      <c r="F554" s="407"/>
      <c r="G554" s="407"/>
      <c r="H554" s="407"/>
      <c r="I554" s="407"/>
      <c r="J554" s="407"/>
      <c r="K554" s="407"/>
      <c r="L554" s="407"/>
      <c r="M554" s="407"/>
      <c r="N554" s="407"/>
      <c r="O554" s="407"/>
      <c r="P554" s="407"/>
      <c r="Q554" s="407"/>
      <c r="R554" s="407"/>
      <c r="S554" s="407"/>
      <c r="T554" s="407"/>
      <c r="U554" s="407"/>
      <c r="V554" s="407"/>
      <c r="W554" s="407"/>
      <c r="X554" s="407"/>
      <c r="Y554" s="407"/>
      <c r="Z554" s="408"/>
    </row>
    <row r="555" spans="1:26">
      <c r="A555" s="416"/>
      <c r="B555" s="407"/>
      <c r="C555" s="407"/>
      <c r="D555" s="407"/>
      <c r="E555" s="407"/>
      <c r="F555" s="407"/>
      <c r="G555" s="407"/>
      <c r="H555" s="407"/>
      <c r="I555" s="407"/>
      <c r="J555" s="407"/>
      <c r="K555" s="407"/>
      <c r="L555" s="407"/>
      <c r="M555" s="407"/>
      <c r="N555" s="407"/>
      <c r="O555" s="407"/>
      <c r="P555" s="407"/>
      <c r="Q555" s="407"/>
      <c r="R555" s="407"/>
      <c r="S555" s="407"/>
      <c r="T555" s="407"/>
      <c r="U555" s="407"/>
      <c r="V555" s="407"/>
      <c r="W555" s="407"/>
      <c r="X555" s="407"/>
      <c r="Y555" s="407"/>
      <c r="Z555" s="408"/>
    </row>
    <row r="556" spans="1:26">
      <c r="A556" s="416"/>
      <c r="B556" s="407"/>
      <c r="C556" s="407"/>
      <c r="D556" s="407"/>
      <c r="E556" s="407"/>
      <c r="F556" s="407"/>
      <c r="G556" s="407"/>
      <c r="H556" s="407"/>
      <c r="I556" s="407"/>
      <c r="J556" s="407"/>
      <c r="K556" s="407"/>
      <c r="L556" s="407"/>
      <c r="M556" s="407"/>
      <c r="N556" s="407"/>
      <c r="O556" s="407"/>
      <c r="P556" s="407"/>
      <c r="Q556" s="407"/>
      <c r="R556" s="407"/>
      <c r="S556" s="407"/>
      <c r="T556" s="407"/>
      <c r="U556" s="407"/>
      <c r="V556" s="407"/>
      <c r="W556" s="407"/>
      <c r="X556" s="407"/>
      <c r="Y556" s="407"/>
      <c r="Z556" s="408"/>
    </row>
    <row r="557" spans="1:26">
      <c r="A557" s="416"/>
      <c r="B557" s="407"/>
      <c r="C557" s="407"/>
      <c r="D557" s="407"/>
      <c r="E557" s="407"/>
      <c r="F557" s="407"/>
      <c r="G557" s="407"/>
      <c r="H557" s="407"/>
      <c r="I557" s="407"/>
      <c r="J557" s="407"/>
      <c r="K557" s="407"/>
      <c r="L557" s="407"/>
      <c r="M557" s="407"/>
      <c r="N557" s="407"/>
      <c r="O557" s="407"/>
      <c r="P557" s="407"/>
      <c r="Q557" s="407"/>
      <c r="R557" s="407"/>
      <c r="S557" s="407"/>
      <c r="T557" s="407"/>
      <c r="U557" s="407"/>
      <c r="V557" s="407"/>
      <c r="W557" s="407"/>
      <c r="X557" s="407"/>
      <c r="Y557" s="407"/>
      <c r="Z557" s="408"/>
    </row>
    <row r="558" spans="1:26">
      <c r="A558" s="416"/>
      <c r="B558" s="407"/>
      <c r="C558" s="407"/>
      <c r="D558" s="407"/>
      <c r="E558" s="407"/>
      <c r="F558" s="407"/>
      <c r="G558" s="407"/>
      <c r="H558" s="407"/>
      <c r="I558" s="407"/>
      <c r="J558" s="407"/>
      <c r="K558" s="407"/>
      <c r="L558" s="407"/>
      <c r="M558" s="407"/>
      <c r="N558" s="407"/>
      <c r="O558" s="407"/>
      <c r="P558" s="407"/>
      <c r="Q558" s="407"/>
      <c r="R558" s="407"/>
      <c r="S558" s="407"/>
      <c r="T558" s="407"/>
      <c r="U558" s="407"/>
      <c r="V558" s="407"/>
      <c r="W558" s="407"/>
      <c r="X558" s="407"/>
      <c r="Y558" s="407"/>
      <c r="Z558" s="408"/>
    </row>
    <row r="559" spans="1:26">
      <c r="A559" s="416"/>
      <c r="B559" s="407"/>
      <c r="C559" s="407"/>
      <c r="D559" s="407"/>
      <c r="E559" s="407"/>
      <c r="F559" s="407"/>
      <c r="G559" s="407"/>
      <c r="H559" s="407"/>
      <c r="I559" s="407"/>
      <c r="J559" s="407"/>
      <c r="K559" s="407"/>
      <c r="L559" s="407"/>
      <c r="M559" s="407"/>
      <c r="N559" s="407"/>
      <c r="O559" s="407"/>
      <c r="P559" s="407"/>
      <c r="Q559" s="407"/>
      <c r="R559" s="407"/>
      <c r="S559" s="407"/>
      <c r="T559" s="407"/>
      <c r="U559" s="407"/>
      <c r="V559" s="407"/>
      <c r="W559" s="407"/>
      <c r="X559" s="407"/>
      <c r="Y559" s="407"/>
      <c r="Z559" s="408"/>
    </row>
    <row r="560" spans="1:26">
      <c r="A560" s="416"/>
      <c r="B560" s="407"/>
      <c r="C560" s="407"/>
      <c r="D560" s="407"/>
      <c r="E560" s="407"/>
      <c r="F560" s="407"/>
      <c r="G560" s="407"/>
      <c r="H560" s="407"/>
      <c r="I560" s="407"/>
      <c r="J560" s="407"/>
      <c r="K560" s="407"/>
      <c r="L560" s="407"/>
      <c r="M560" s="407"/>
      <c r="N560" s="407"/>
      <c r="O560" s="407"/>
      <c r="P560" s="407"/>
      <c r="Q560" s="407"/>
      <c r="R560" s="407"/>
      <c r="S560" s="407"/>
      <c r="T560" s="407"/>
      <c r="U560" s="407"/>
      <c r="V560" s="407"/>
      <c r="W560" s="407"/>
      <c r="X560" s="407"/>
      <c r="Y560" s="407"/>
      <c r="Z560" s="408"/>
    </row>
    <row r="561" spans="1:26">
      <c r="A561" s="416"/>
      <c r="B561" s="407"/>
      <c r="C561" s="407"/>
      <c r="D561" s="407"/>
      <c r="E561" s="407"/>
      <c r="F561" s="407"/>
      <c r="G561" s="407"/>
      <c r="H561" s="407"/>
      <c r="I561" s="407"/>
      <c r="J561" s="407"/>
      <c r="K561" s="407"/>
      <c r="L561" s="407"/>
      <c r="M561" s="407"/>
      <c r="N561" s="407"/>
      <c r="O561" s="407"/>
      <c r="P561" s="407"/>
      <c r="Q561" s="407"/>
      <c r="R561" s="407"/>
      <c r="S561" s="407"/>
      <c r="T561" s="407"/>
      <c r="U561" s="407"/>
      <c r="V561" s="407"/>
      <c r="W561" s="407"/>
      <c r="X561" s="407"/>
      <c r="Y561" s="407"/>
      <c r="Z561" s="408"/>
    </row>
    <row r="562" spans="1:26">
      <c r="A562" s="416"/>
      <c r="B562" s="407"/>
      <c r="C562" s="407"/>
      <c r="D562" s="407"/>
      <c r="E562" s="407"/>
      <c r="F562" s="407"/>
      <c r="G562" s="407"/>
      <c r="H562" s="407"/>
      <c r="I562" s="407"/>
      <c r="J562" s="407"/>
      <c r="K562" s="407"/>
      <c r="L562" s="407"/>
      <c r="M562" s="407"/>
      <c r="N562" s="407"/>
      <c r="O562" s="407"/>
      <c r="P562" s="407"/>
      <c r="Q562" s="407"/>
      <c r="R562" s="407"/>
      <c r="S562" s="407"/>
      <c r="T562" s="407"/>
      <c r="U562" s="407"/>
      <c r="V562" s="407"/>
      <c r="W562" s="407"/>
      <c r="X562" s="407"/>
      <c r="Y562" s="407"/>
      <c r="Z562" s="408"/>
    </row>
    <row r="563" spans="1:26">
      <c r="A563" s="416"/>
      <c r="B563" s="407"/>
      <c r="C563" s="407"/>
      <c r="D563" s="407"/>
      <c r="E563" s="407"/>
      <c r="F563" s="407"/>
      <c r="G563" s="407"/>
      <c r="H563" s="407"/>
      <c r="I563" s="407"/>
      <c r="J563" s="407"/>
      <c r="K563" s="407"/>
      <c r="L563" s="407"/>
      <c r="M563" s="407"/>
      <c r="N563" s="407"/>
      <c r="O563" s="407"/>
      <c r="P563" s="407"/>
      <c r="Q563" s="407"/>
      <c r="R563" s="407"/>
      <c r="S563" s="407"/>
      <c r="T563" s="407"/>
      <c r="U563" s="407"/>
      <c r="V563" s="407"/>
      <c r="W563" s="407"/>
      <c r="X563" s="407"/>
      <c r="Y563" s="407"/>
      <c r="Z563" s="408"/>
    </row>
    <row r="564" spans="1:26">
      <c r="A564" s="416"/>
      <c r="B564" s="407"/>
      <c r="C564" s="407"/>
      <c r="D564" s="407"/>
      <c r="E564" s="407"/>
      <c r="F564" s="407"/>
      <c r="G564" s="407"/>
      <c r="H564" s="407"/>
      <c r="I564" s="407"/>
      <c r="J564" s="407"/>
      <c r="K564" s="407"/>
      <c r="L564" s="407"/>
      <c r="M564" s="407"/>
      <c r="N564" s="407"/>
      <c r="O564" s="407"/>
      <c r="P564" s="407"/>
      <c r="Q564" s="407"/>
      <c r="R564" s="407"/>
      <c r="S564" s="407"/>
      <c r="T564" s="407"/>
      <c r="U564" s="407"/>
      <c r="V564" s="407"/>
      <c r="W564" s="407"/>
      <c r="X564" s="407"/>
      <c r="Y564" s="407"/>
      <c r="Z564" s="408"/>
    </row>
    <row r="565" spans="1:26">
      <c r="A565" s="416"/>
      <c r="B565" s="407"/>
      <c r="C565" s="407"/>
      <c r="D565" s="407"/>
      <c r="E565" s="407"/>
      <c r="F565" s="407"/>
      <c r="G565" s="407"/>
      <c r="H565" s="407"/>
      <c r="I565" s="407"/>
      <c r="J565" s="407"/>
      <c r="K565" s="407"/>
      <c r="L565" s="407"/>
      <c r="M565" s="407"/>
      <c r="N565" s="407"/>
      <c r="O565" s="407"/>
      <c r="P565" s="407"/>
      <c r="Q565" s="407"/>
      <c r="R565" s="407"/>
      <c r="S565" s="407"/>
      <c r="T565" s="407"/>
      <c r="U565" s="407"/>
      <c r="V565" s="407"/>
      <c r="W565" s="407"/>
      <c r="X565" s="407"/>
      <c r="Y565" s="407"/>
      <c r="Z565" s="408"/>
    </row>
    <row r="566" spans="1:26">
      <c r="A566" s="416"/>
      <c r="B566" s="407"/>
      <c r="C566" s="407"/>
      <c r="D566" s="407"/>
      <c r="E566" s="407"/>
      <c r="F566" s="407"/>
      <c r="G566" s="407"/>
      <c r="H566" s="407"/>
      <c r="I566" s="407"/>
      <c r="J566" s="407"/>
      <c r="K566" s="407"/>
      <c r="L566" s="407"/>
      <c r="M566" s="407"/>
      <c r="N566" s="407"/>
      <c r="O566" s="407"/>
      <c r="P566" s="407"/>
      <c r="Q566" s="407"/>
      <c r="R566" s="407"/>
      <c r="S566" s="407"/>
      <c r="T566" s="407"/>
      <c r="U566" s="407"/>
      <c r="V566" s="407"/>
      <c r="W566" s="407"/>
      <c r="X566" s="407"/>
      <c r="Y566" s="407"/>
      <c r="Z566" s="408"/>
    </row>
    <row r="567" spans="1:26">
      <c r="A567" s="416"/>
      <c r="B567" s="407"/>
      <c r="C567" s="407"/>
      <c r="D567" s="407"/>
      <c r="E567" s="407"/>
      <c r="F567" s="407"/>
      <c r="G567" s="407"/>
      <c r="H567" s="407"/>
      <c r="I567" s="407"/>
      <c r="J567" s="407"/>
      <c r="K567" s="407"/>
      <c r="L567" s="407"/>
      <c r="M567" s="407"/>
      <c r="N567" s="407"/>
      <c r="O567" s="407"/>
      <c r="P567" s="407"/>
      <c r="Q567" s="407"/>
      <c r="R567" s="407"/>
      <c r="S567" s="407"/>
      <c r="T567" s="407"/>
      <c r="U567" s="407"/>
      <c r="V567" s="407"/>
      <c r="W567" s="407"/>
      <c r="X567" s="407"/>
      <c r="Y567" s="407"/>
      <c r="Z567" s="408"/>
    </row>
    <row r="568" spans="1:26">
      <c r="A568" s="416"/>
      <c r="B568" s="407"/>
      <c r="C568" s="407"/>
      <c r="D568" s="407"/>
      <c r="E568" s="407"/>
      <c r="F568" s="407"/>
      <c r="G568" s="407"/>
      <c r="H568" s="407"/>
      <c r="I568" s="407"/>
      <c r="J568" s="407"/>
      <c r="K568" s="407"/>
      <c r="L568" s="407"/>
      <c r="M568" s="407"/>
      <c r="N568" s="407"/>
      <c r="O568" s="407"/>
      <c r="P568" s="407"/>
      <c r="Q568" s="407"/>
      <c r="R568" s="407"/>
      <c r="S568" s="407"/>
      <c r="T568" s="407"/>
      <c r="U568" s="407"/>
      <c r="V568" s="407"/>
      <c r="W568" s="407"/>
      <c r="X568" s="407"/>
      <c r="Y568" s="407"/>
      <c r="Z568" s="408"/>
    </row>
    <row r="569" spans="1:26">
      <c r="A569" s="416"/>
      <c r="B569" s="407"/>
      <c r="C569" s="407"/>
      <c r="D569" s="407"/>
      <c r="E569" s="407"/>
      <c r="F569" s="407"/>
      <c r="G569" s="407"/>
      <c r="H569" s="407"/>
      <c r="I569" s="407"/>
      <c r="J569" s="407"/>
      <c r="K569" s="407"/>
      <c r="L569" s="407"/>
      <c r="M569" s="407"/>
      <c r="N569" s="407"/>
      <c r="O569" s="407"/>
      <c r="P569" s="407"/>
      <c r="Q569" s="407"/>
      <c r="R569" s="407"/>
      <c r="S569" s="407"/>
      <c r="T569" s="407"/>
      <c r="U569" s="407"/>
      <c r="V569" s="407"/>
      <c r="W569" s="407"/>
      <c r="X569" s="407"/>
      <c r="Y569" s="407"/>
      <c r="Z569" s="408"/>
    </row>
    <row r="570" spans="1:26">
      <c r="A570" s="416"/>
      <c r="B570" s="407"/>
      <c r="C570" s="407"/>
      <c r="D570" s="407"/>
      <c r="E570" s="407"/>
      <c r="F570" s="407"/>
      <c r="G570" s="407"/>
      <c r="H570" s="407"/>
      <c r="I570" s="407"/>
      <c r="J570" s="407"/>
      <c r="K570" s="407"/>
      <c r="L570" s="407"/>
      <c r="M570" s="407"/>
      <c r="N570" s="407"/>
      <c r="O570" s="407"/>
      <c r="P570" s="407"/>
      <c r="Q570" s="407"/>
      <c r="R570" s="407"/>
      <c r="S570" s="407"/>
      <c r="T570" s="407"/>
      <c r="U570" s="407"/>
      <c r="V570" s="407"/>
      <c r="W570" s="407"/>
      <c r="X570" s="407"/>
      <c r="Y570" s="407"/>
      <c r="Z570" s="408"/>
    </row>
    <row r="571" spans="1:26">
      <c r="A571" s="416"/>
      <c r="B571" s="407"/>
      <c r="C571" s="407"/>
      <c r="D571" s="407"/>
      <c r="E571" s="407"/>
      <c r="F571" s="407"/>
      <c r="G571" s="407"/>
      <c r="H571" s="407"/>
      <c r="I571" s="407"/>
      <c r="J571" s="407"/>
      <c r="K571" s="407"/>
      <c r="L571" s="407"/>
      <c r="M571" s="407"/>
      <c r="N571" s="407"/>
      <c r="O571" s="407"/>
      <c r="P571" s="407"/>
      <c r="Q571" s="407"/>
      <c r="R571" s="407"/>
      <c r="S571" s="407"/>
      <c r="T571" s="407"/>
      <c r="U571" s="407"/>
      <c r="V571" s="407"/>
      <c r="W571" s="407"/>
      <c r="X571" s="407"/>
      <c r="Y571" s="407"/>
      <c r="Z571" s="408"/>
    </row>
    <row r="572" spans="1:26">
      <c r="A572" s="416"/>
      <c r="B572" s="407"/>
      <c r="C572" s="407"/>
      <c r="D572" s="407"/>
      <c r="E572" s="407"/>
      <c r="F572" s="407"/>
      <c r="G572" s="407"/>
      <c r="H572" s="407"/>
      <c r="I572" s="407"/>
      <c r="J572" s="407"/>
      <c r="K572" s="407"/>
      <c r="L572" s="407"/>
      <c r="M572" s="407"/>
      <c r="N572" s="407"/>
      <c r="O572" s="407"/>
      <c r="P572" s="407"/>
      <c r="Q572" s="407"/>
      <c r="R572" s="407"/>
      <c r="S572" s="407"/>
      <c r="T572" s="407"/>
      <c r="U572" s="407"/>
      <c r="V572" s="407"/>
      <c r="W572" s="407"/>
      <c r="X572" s="407"/>
      <c r="Y572" s="407"/>
      <c r="Z572" s="408"/>
    </row>
    <row r="573" spans="1:26">
      <c r="A573" s="416"/>
      <c r="B573" s="407"/>
      <c r="C573" s="407"/>
      <c r="D573" s="407"/>
      <c r="E573" s="407"/>
      <c r="F573" s="407"/>
      <c r="G573" s="407"/>
      <c r="H573" s="407"/>
      <c r="I573" s="407"/>
      <c r="J573" s="407"/>
      <c r="K573" s="407"/>
      <c r="L573" s="407"/>
      <c r="M573" s="407"/>
      <c r="N573" s="407"/>
      <c r="O573" s="407"/>
      <c r="P573" s="407"/>
      <c r="Q573" s="407"/>
      <c r="R573" s="407"/>
      <c r="S573" s="407"/>
      <c r="T573" s="407"/>
      <c r="U573" s="407"/>
      <c r="V573" s="407"/>
      <c r="W573" s="407"/>
      <c r="X573" s="407"/>
      <c r="Y573" s="407"/>
      <c r="Z573" s="408"/>
    </row>
    <row r="574" spans="1:26">
      <c r="A574" s="416"/>
      <c r="B574" s="407"/>
      <c r="C574" s="407"/>
      <c r="D574" s="407"/>
      <c r="E574" s="407"/>
      <c r="F574" s="407"/>
      <c r="G574" s="407"/>
      <c r="H574" s="407"/>
      <c r="I574" s="407"/>
      <c r="J574" s="407"/>
      <c r="K574" s="407"/>
      <c r="L574" s="407"/>
      <c r="M574" s="407"/>
      <c r="N574" s="407"/>
      <c r="O574" s="407"/>
      <c r="P574" s="407"/>
      <c r="Q574" s="407"/>
      <c r="R574" s="407"/>
      <c r="S574" s="407"/>
      <c r="T574" s="407"/>
      <c r="U574" s="407"/>
      <c r="V574" s="407"/>
      <c r="W574" s="407"/>
      <c r="X574" s="407"/>
      <c r="Y574" s="407"/>
      <c r="Z574" s="408"/>
    </row>
    <row r="575" spans="1:26">
      <c r="A575" s="416"/>
      <c r="B575" s="407"/>
      <c r="C575" s="407"/>
      <c r="D575" s="407"/>
      <c r="E575" s="407"/>
      <c r="F575" s="407"/>
      <c r="G575" s="407"/>
      <c r="H575" s="407"/>
      <c r="I575" s="407"/>
      <c r="J575" s="407"/>
      <c r="K575" s="407"/>
      <c r="L575" s="407"/>
      <c r="M575" s="407"/>
      <c r="N575" s="407"/>
      <c r="O575" s="407"/>
      <c r="P575" s="407"/>
      <c r="Q575" s="407"/>
      <c r="R575" s="407"/>
      <c r="S575" s="407"/>
      <c r="T575" s="407"/>
      <c r="U575" s="407"/>
      <c r="V575" s="407"/>
      <c r="W575" s="407"/>
      <c r="X575" s="407"/>
      <c r="Y575" s="407"/>
      <c r="Z575" s="408"/>
    </row>
    <row r="576" spans="1:26">
      <c r="A576" s="416"/>
      <c r="B576" s="407"/>
      <c r="C576" s="407"/>
      <c r="D576" s="407"/>
      <c r="E576" s="407"/>
      <c r="F576" s="407"/>
      <c r="G576" s="407"/>
      <c r="H576" s="407"/>
      <c r="I576" s="407"/>
      <c r="J576" s="407"/>
      <c r="K576" s="407"/>
      <c r="L576" s="407"/>
      <c r="M576" s="407"/>
      <c r="N576" s="407"/>
      <c r="O576" s="407"/>
      <c r="P576" s="407"/>
      <c r="Q576" s="407"/>
      <c r="R576" s="407"/>
      <c r="S576" s="407"/>
      <c r="T576" s="407"/>
      <c r="U576" s="407"/>
      <c r="V576" s="407"/>
      <c r="W576" s="407"/>
      <c r="X576" s="407"/>
      <c r="Y576" s="407"/>
      <c r="Z576" s="408"/>
    </row>
    <row r="577" spans="1:26">
      <c r="A577" s="416"/>
      <c r="B577" s="407"/>
      <c r="C577" s="407"/>
      <c r="D577" s="407"/>
      <c r="E577" s="407"/>
      <c r="F577" s="407"/>
      <c r="G577" s="407"/>
      <c r="H577" s="407"/>
      <c r="I577" s="407"/>
      <c r="J577" s="407"/>
      <c r="K577" s="407"/>
      <c r="L577" s="407"/>
      <c r="M577" s="407"/>
      <c r="N577" s="407"/>
      <c r="O577" s="407"/>
      <c r="P577" s="407"/>
      <c r="Q577" s="407"/>
      <c r="R577" s="407"/>
      <c r="S577" s="407"/>
      <c r="T577" s="407"/>
      <c r="U577" s="407"/>
      <c r="V577" s="407"/>
      <c r="W577" s="407"/>
      <c r="X577" s="407"/>
      <c r="Y577" s="407"/>
      <c r="Z577" s="408"/>
    </row>
    <row r="578" spans="1:26">
      <c r="A578" s="416"/>
      <c r="B578" s="407"/>
      <c r="C578" s="407"/>
      <c r="D578" s="407"/>
      <c r="E578" s="407"/>
      <c r="F578" s="407"/>
      <c r="G578" s="407"/>
      <c r="H578" s="407"/>
      <c r="I578" s="407"/>
      <c r="J578" s="407"/>
      <c r="K578" s="407"/>
      <c r="L578" s="407"/>
      <c r="M578" s="407"/>
      <c r="N578" s="407"/>
      <c r="O578" s="407"/>
      <c r="P578" s="407"/>
      <c r="Q578" s="407"/>
      <c r="R578" s="407"/>
      <c r="S578" s="407"/>
      <c r="T578" s="407"/>
      <c r="U578" s="407"/>
      <c r="V578" s="407"/>
      <c r="W578" s="407"/>
      <c r="X578" s="407"/>
      <c r="Y578" s="407"/>
      <c r="Z578" s="408"/>
    </row>
    <row r="579" spans="1:26">
      <c r="A579" s="416"/>
      <c r="B579" s="407"/>
      <c r="C579" s="407"/>
      <c r="D579" s="407"/>
      <c r="E579" s="407"/>
      <c r="F579" s="407"/>
      <c r="G579" s="407"/>
      <c r="H579" s="407"/>
      <c r="I579" s="407"/>
      <c r="J579" s="407"/>
      <c r="K579" s="407"/>
      <c r="L579" s="407"/>
      <c r="M579" s="407"/>
      <c r="N579" s="407"/>
      <c r="O579" s="407"/>
      <c r="P579" s="407"/>
      <c r="Q579" s="407"/>
      <c r="R579" s="407"/>
      <c r="S579" s="407"/>
      <c r="T579" s="407"/>
      <c r="U579" s="407"/>
      <c r="V579" s="407"/>
      <c r="W579" s="407"/>
      <c r="X579" s="407"/>
      <c r="Y579" s="407"/>
      <c r="Z579" s="408"/>
    </row>
    <row r="580" spans="1:26">
      <c r="A580" s="416"/>
      <c r="B580" s="407"/>
      <c r="C580" s="407"/>
      <c r="D580" s="407"/>
      <c r="E580" s="407"/>
      <c r="F580" s="407"/>
      <c r="G580" s="407"/>
      <c r="H580" s="407"/>
      <c r="I580" s="407"/>
      <c r="J580" s="407"/>
      <c r="K580" s="407"/>
      <c r="L580" s="407"/>
      <c r="M580" s="407"/>
      <c r="N580" s="407"/>
      <c r="O580" s="407"/>
      <c r="P580" s="407"/>
      <c r="Q580" s="407"/>
      <c r="R580" s="407"/>
      <c r="S580" s="407"/>
      <c r="T580" s="407"/>
      <c r="U580" s="407"/>
      <c r="V580" s="407"/>
      <c r="W580" s="407"/>
      <c r="X580" s="407"/>
      <c r="Y580" s="407"/>
      <c r="Z580" s="408"/>
    </row>
    <row r="581" spans="1:26">
      <c r="A581" s="416"/>
      <c r="B581" s="407"/>
      <c r="C581" s="407"/>
      <c r="D581" s="407"/>
      <c r="E581" s="407"/>
      <c r="F581" s="407"/>
      <c r="G581" s="407"/>
      <c r="H581" s="407"/>
      <c r="I581" s="407"/>
      <c r="J581" s="407"/>
      <c r="K581" s="407"/>
      <c r="L581" s="407"/>
      <c r="M581" s="407"/>
      <c r="N581" s="407"/>
      <c r="O581" s="407"/>
      <c r="P581" s="407"/>
      <c r="Q581" s="407"/>
      <c r="R581" s="407"/>
      <c r="S581" s="407"/>
      <c r="T581" s="407"/>
      <c r="U581" s="407"/>
      <c r="V581" s="407"/>
      <c r="W581" s="407"/>
      <c r="X581" s="407"/>
      <c r="Y581" s="407"/>
      <c r="Z581" s="408"/>
    </row>
    <row r="582" spans="1:26">
      <c r="A582" s="416"/>
      <c r="B582" s="407"/>
      <c r="C582" s="407"/>
      <c r="D582" s="407"/>
      <c r="E582" s="407"/>
      <c r="F582" s="407"/>
      <c r="G582" s="407"/>
      <c r="H582" s="407"/>
      <c r="I582" s="407"/>
      <c r="J582" s="407"/>
      <c r="K582" s="407"/>
      <c r="L582" s="407"/>
      <c r="M582" s="407"/>
      <c r="N582" s="407"/>
      <c r="O582" s="407"/>
      <c r="P582" s="407"/>
      <c r="Q582" s="407"/>
      <c r="R582" s="407"/>
      <c r="S582" s="407"/>
      <c r="T582" s="407"/>
      <c r="U582" s="407"/>
      <c r="V582" s="407"/>
      <c r="W582" s="407"/>
      <c r="X582" s="407"/>
      <c r="Y582" s="407"/>
      <c r="Z582" s="408"/>
    </row>
    <row r="583" spans="1:26">
      <c r="A583" s="416"/>
      <c r="B583" s="407"/>
      <c r="C583" s="407"/>
      <c r="D583" s="407"/>
      <c r="E583" s="407"/>
      <c r="F583" s="407"/>
      <c r="G583" s="407"/>
      <c r="H583" s="407"/>
      <c r="I583" s="407"/>
      <c r="J583" s="407"/>
      <c r="K583" s="407"/>
      <c r="L583" s="407"/>
      <c r="M583" s="407"/>
      <c r="N583" s="407"/>
      <c r="O583" s="407"/>
      <c r="P583" s="407"/>
      <c r="Q583" s="407"/>
      <c r="R583" s="407"/>
      <c r="S583" s="407"/>
      <c r="T583" s="407"/>
      <c r="U583" s="407"/>
      <c r="V583" s="407"/>
      <c r="W583" s="407"/>
      <c r="X583" s="407"/>
      <c r="Y583" s="407"/>
      <c r="Z583" s="408"/>
    </row>
    <row r="584" spans="1:26">
      <c r="A584" s="416"/>
      <c r="B584" s="407"/>
      <c r="C584" s="407"/>
      <c r="D584" s="407"/>
      <c r="E584" s="407"/>
      <c r="F584" s="407"/>
      <c r="G584" s="407"/>
      <c r="H584" s="407"/>
      <c r="I584" s="407"/>
      <c r="J584" s="407"/>
      <c r="K584" s="407"/>
      <c r="L584" s="407"/>
      <c r="M584" s="407"/>
      <c r="N584" s="407"/>
      <c r="O584" s="407"/>
      <c r="P584" s="407"/>
      <c r="Q584" s="407"/>
      <c r="R584" s="407"/>
      <c r="S584" s="407"/>
      <c r="T584" s="407"/>
      <c r="U584" s="407"/>
      <c r="V584" s="407"/>
      <c r="W584" s="407"/>
      <c r="X584" s="407"/>
      <c r="Y584" s="407"/>
      <c r="Z584" s="408"/>
    </row>
    <row r="585" spans="1:26">
      <c r="A585" s="416"/>
      <c r="B585" s="407"/>
      <c r="C585" s="407"/>
      <c r="D585" s="407"/>
      <c r="E585" s="407"/>
      <c r="F585" s="407"/>
      <c r="G585" s="407"/>
      <c r="H585" s="407"/>
      <c r="I585" s="407"/>
      <c r="J585" s="407"/>
      <c r="K585" s="407"/>
      <c r="L585" s="407"/>
      <c r="M585" s="407"/>
      <c r="N585" s="407"/>
      <c r="O585" s="407"/>
      <c r="P585" s="407"/>
      <c r="Q585" s="407"/>
      <c r="R585" s="407"/>
      <c r="S585" s="407"/>
      <c r="T585" s="407"/>
      <c r="U585" s="407"/>
      <c r="V585" s="407"/>
      <c r="W585" s="407"/>
      <c r="X585" s="407"/>
      <c r="Y585" s="407"/>
      <c r="Z585" s="408"/>
    </row>
    <row r="586" spans="1:26">
      <c r="A586" s="416"/>
      <c r="B586" s="407"/>
      <c r="C586" s="407"/>
      <c r="D586" s="407"/>
      <c r="E586" s="407"/>
      <c r="F586" s="407"/>
      <c r="G586" s="407"/>
      <c r="H586" s="407"/>
      <c r="I586" s="407"/>
      <c r="J586" s="407"/>
      <c r="K586" s="407"/>
      <c r="L586" s="407"/>
      <c r="M586" s="407"/>
      <c r="N586" s="407"/>
      <c r="O586" s="407"/>
      <c r="P586" s="407"/>
      <c r="Q586" s="407"/>
      <c r="R586" s="407"/>
      <c r="S586" s="407"/>
      <c r="T586" s="407"/>
      <c r="U586" s="407"/>
      <c r="V586" s="407"/>
      <c r="W586" s="407"/>
      <c r="X586" s="407"/>
      <c r="Y586" s="407"/>
      <c r="Z586" s="408"/>
    </row>
    <row r="587" spans="1:26">
      <c r="A587" s="416"/>
      <c r="B587" s="407"/>
      <c r="C587" s="407"/>
      <c r="D587" s="407"/>
      <c r="E587" s="407"/>
      <c r="F587" s="407"/>
      <c r="G587" s="407"/>
      <c r="H587" s="407"/>
      <c r="I587" s="407"/>
      <c r="J587" s="407"/>
      <c r="K587" s="407"/>
      <c r="L587" s="407"/>
      <c r="M587" s="407"/>
      <c r="N587" s="407"/>
      <c r="O587" s="407"/>
      <c r="P587" s="407"/>
      <c r="Q587" s="407"/>
      <c r="R587" s="407"/>
      <c r="S587" s="407"/>
      <c r="T587" s="407"/>
      <c r="U587" s="407"/>
      <c r="V587" s="407"/>
      <c r="W587" s="407"/>
      <c r="X587" s="407"/>
      <c r="Y587" s="407"/>
      <c r="Z587" s="408"/>
    </row>
    <row r="588" spans="1:26">
      <c r="A588" s="416"/>
      <c r="B588" s="407"/>
      <c r="C588" s="407"/>
      <c r="D588" s="407"/>
      <c r="E588" s="407"/>
      <c r="F588" s="407"/>
      <c r="G588" s="407"/>
      <c r="H588" s="407"/>
      <c r="I588" s="407"/>
      <c r="J588" s="407"/>
      <c r="K588" s="407"/>
      <c r="L588" s="407"/>
      <c r="M588" s="407"/>
      <c r="N588" s="407"/>
      <c r="O588" s="407"/>
      <c r="P588" s="407"/>
      <c r="Q588" s="407"/>
      <c r="R588" s="407"/>
      <c r="S588" s="407"/>
      <c r="T588" s="407"/>
      <c r="U588" s="407"/>
      <c r="V588" s="407"/>
      <c r="W588" s="407"/>
      <c r="X588" s="407"/>
      <c r="Y588" s="407"/>
      <c r="Z588" s="408"/>
    </row>
    <row r="589" spans="1:26">
      <c r="A589" s="416"/>
      <c r="B589" s="407"/>
      <c r="C589" s="407"/>
      <c r="D589" s="407"/>
      <c r="E589" s="407"/>
      <c r="F589" s="407"/>
      <c r="G589" s="407"/>
      <c r="H589" s="407"/>
      <c r="I589" s="407"/>
      <c r="J589" s="407"/>
      <c r="K589" s="407"/>
      <c r="L589" s="407"/>
      <c r="M589" s="407"/>
      <c r="N589" s="407"/>
      <c r="O589" s="407"/>
      <c r="P589" s="407"/>
      <c r="Q589" s="407"/>
      <c r="R589" s="407"/>
      <c r="S589" s="407"/>
      <c r="T589" s="407"/>
      <c r="U589" s="407"/>
      <c r="V589" s="407"/>
      <c r="W589" s="407"/>
      <c r="X589" s="407"/>
      <c r="Y589" s="407"/>
      <c r="Z589" s="408"/>
    </row>
    <row r="590" spans="1:26">
      <c r="A590" s="416"/>
      <c r="B590" s="407"/>
      <c r="C590" s="407"/>
      <c r="D590" s="407"/>
      <c r="E590" s="407"/>
      <c r="F590" s="407"/>
      <c r="G590" s="407"/>
      <c r="H590" s="407"/>
      <c r="I590" s="407"/>
      <c r="J590" s="407"/>
      <c r="K590" s="407"/>
      <c r="L590" s="407"/>
      <c r="M590" s="407"/>
      <c r="N590" s="407"/>
      <c r="O590" s="407"/>
      <c r="P590" s="407"/>
      <c r="Q590" s="407"/>
      <c r="R590" s="407"/>
      <c r="S590" s="407"/>
      <c r="T590" s="407"/>
      <c r="U590" s="407"/>
      <c r="V590" s="407"/>
      <c r="W590" s="407"/>
      <c r="X590" s="407"/>
      <c r="Y590" s="407"/>
      <c r="Z590" s="408"/>
    </row>
    <row r="591" spans="1:26">
      <c r="A591" s="416"/>
      <c r="B591" s="407"/>
      <c r="C591" s="407"/>
      <c r="D591" s="407"/>
      <c r="E591" s="407"/>
      <c r="F591" s="407"/>
      <c r="G591" s="407"/>
      <c r="H591" s="407"/>
      <c r="I591" s="407"/>
      <c r="J591" s="407"/>
      <c r="K591" s="407"/>
      <c r="L591" s="407"/>
      <c r="M591" s="407"/>
      <c r="N591" s="407"/>
      <c r="O591" s="407"/>
      <c r="P591" s="407"/>
      <c r="Q591" s="407"/>
      <c r="R591" s="407"/>
      <c r="S591" s="407"/>
      <c r="T591" s="407"/>
      <c r="U591" s="407"/>
      <c r="V591" s="407"/>
      <c r="W591" s="407"/>
      <c r="X591" s="407"/>
      <c r="Y591" s="407"/>
      <c r="Z591" s="408"/>
    </row>
    <row r="592" spans="1:26">
      <c r="A592" s="416"/>
      <c r="B592" s="407"/>
      <c r="C592" s="407"/>
      <c r="D592" s="407"/>
      <c r="E592" s="407"/>
      <c r="F592" s="407"/>
      <c r="G592" s="407"/>
      <c r="H592" s="407"/>
      <c r="I592" s="407"/>
      <c r="J592" s="407"/>
      <c r="K592" s="407"/>
      <c r="L592" s="407"/>
      <c r="M592" s="407"/>
      <c r="N592" s="407"/>
      <c r="O592" s="407"/>
      <c r="P592" s="407"/>
      <c r="Q592" s="407"/>
      <c r="R592" s="407"/>
      <c r="S592" s="407"/>
      <c r="T592" s="407"/>
      <c r="U592" s="407"/>
      <c r="V592" s="407"/>
      <c r="W592" s="407"/>
      <c r="X592" s="407"/>
      <c r="Y592" s="407"/>
      <c r="Z592" s="408"/>
    </row>
    <row r="593" spans="1:26">
      <c r="A593" s="416"/>
      <c r="B593" s="407"/>
      <c r="C593" s="407"/>
      <c r="D593" s="407"/>
      <c r="E593" s="407"/>
      <c r="F593" s="407"/>
      <c r="G593" s="407"/>
      <c r="H593" s="407"/>
      <c r="I593" s="407"/>
      <c r="J593" s="407"/>
      <c r="K593" s="407"/>
      <c r="L593" s="407"/>
      <c r="M593" s="407"/>
      <c r="N593" s="407"/>
      <c r="O593" s="407"/>
      <c r="P593" s="407"/>
      <c r="Q593" s="407"/>
      <c r="R593" s="407"/>
      <c r="S593" s="407"/>
      <c r="T593" s="407"/>
      <c r="U593" s="407"/>
      <c r="V593" s="407"/>
      <c r="W593" s="407"/>
      <c r="X593" s="407"/>
      <c r="Y593" s="407"/>
      <c r="Z593" s="408"/>
    </row>
    <row r="594" spans="1:26">
      <c r="A594" s="416"/>
      <c r="B594" s="407"/>
      <c r="C594" s="407"/>
      <c r="D594" s="407"/>
      <c r="E594" s="407"/>
      <c r="F594" s="407"/>
      <c r="G594" s="407"/>
      <c r="H594" s="407"/>
      <c r="I594" s="407"/>
      <c r="J594" s="407"/>
      <c r="K594" s="407"/>
      <c r="L594" s="407"/>
      <c r="M594" s="407"/>
      <c r="N594" s="407"/>
      <c r="O594" s="407"/>
      <c r="P594" s="407"/>
      <c r="Q594" s="407"/>
      <c r="R594" s="407"/>
      <c r="S594" s="407"/>
      <c r="T594" s="407"/>
      <c r="U594" s="407"/>
      <c r="V594" s="407"/>
      <c r="W594" s="407"/>
      <c r="X594" s="407"/>
      <c r="Y594" s="407"/>
      <c r="Z594" s="408"/>
    </row>
    <row r="595" spans="1:26">
      <c r="A595" s="416"/>
      <c r="B595" s="407"/>
      <c r="C595" s="407"/>
      <c r="D595" s="407"/>
      <c r="E595" s="407"/>
      <c r="F595" s="407"/>
      <c r="G595" s="407"/>
      <c r="H595" s="407"/>
      <c r="I595" s="407"/>
      <c r="J595" s="407"/>
      <c r="K595" s="407"/>
      <c r="L595" s="407"/>
      <c r="M595" s="407"/>
      <c r="N595" s="407"/>
      <c r="O595" s="407"/>
      <c r="P595" s="407"/>
      <c r="Q595" s="407"/>
      <c r="R595" s="407"/>
      <c r="S595" s="407"/>
      <c r="T595" s="407"/>
      <c r="U595" s="407"/>
      <c r="V595" s="407"/>
      <c r="W595" s="407"/>
      <c r="X595" s="407"/>
      <c r="Y595" s="407"/>
      <c r="Z595" s="408"/>
    </row>
    <row r="596" spans="1:26">
      <c r="A596" s="416"/>
      <c r="B596" s="407"/>
      <c r="C596" s="407"/>
      <c r="D596" s="407"/>
      <c r="E596" s="407"/>
      <c r="F596" s="407"/>
      <c r="G596" s="407"/>
      <c r="H596" s="407"/>
      <c r="I596" s="407"/>
      <c r="J596" s="407"/>
      <c r="K596" s="407"/>
      <c r="L596" s="407"/>
      <c r="M596" s="407"/>
      <c r="N596" s="407"/>
      <c r="O596" s="407"/>
      <c r="P596" s="407"/>
      <c r="Q596" s="407"/>
      <c r="R596" s="407"/>
      <c r="S596" s="407"/>
      <c r="T596" s="407"/>
      <c r="U596" s="407"/>
      <c r="V596" s="407"/>
      <c r="W596" s="407"/>
      <c r="X596" s="407"/>
      <c r="Y596" s="407"/>
      <c r="Z596" s="408"/>
    </row>
    <row r="597" spans="1:26">
      <c r="A597" s="416"/>
      <c r="B597" s="407"/>
      <c r="C597" s="407"/>
      <c r="D597" s="407"/>
      <c r="E597" s="407"/>
      <c r="F597" s="407"/>
      <c r="G597" s="407"/>
      <c r="H597" s="407"/>
      <c r="I597" s="407"/>
      <c r="J597" s="407"/>
      <c r="K597" s="407"/>
      <c r="L597" s="407"/>
      <c r="M597" s="407"/>
      <c r="N597" s="407"/>
      <c r="O597" s="407"/>
      <c r="P597" s="407"/>
      <c r="Q597" s="407"/>
      <c r="R597" s="407"/>
      <c r="S597" s="407"/>
      <c r="T597" s="407"/>
      <c r="U597" s="407"/>
      <c r="V597" s="407"/>
      <c r="W597" s="407"/>
      <c r="X597" s="407"/>
      <c r="Y597" s="407"/>
      <c r="Z597" s="408"/>
    </row>
    <row r="598" spans="1:26">
      <c r="A598" s="416"/>
      <c r="B598" s="407"/>
      <c r="C598" s="407"/>
      <c r="D598" s="407"/>
      <c r="E598" s="407"/>
      <c r="F598" s="407"/>
      <c r="G598" s="407"/>
      <c r="H598" s="407"/>
      <c r="I598" s="407"/>
      <c r="J598" s="407"/>
      <c r="K598" s="407"/>
      <c r="L598" s="407"/>
      <c r="M598" s="407"/>
      <c r="N598" s="407"/>
      <c r="O598" s="407"/>
      <c r="P598" s="407"/>
      <c r="Q598" s="407"/>
      <c r="R598" s="407"/>
      <c r="S598" s="407"/>
      <c r="T598" s="407"/>
      <c r="U598" s="407"/>
      <c r="V598" s="407"/>
      <c r="W598" s="407"/>
      <c r="X598" s="407"/>
      <c r="Y598" s="407"/>
      <c r="Z598" s="408"/>
    </row>
    <row r="599" spans="1:26">
      <c r="A599" s="416"/>
      <c r="B599" s="407"/>
      <c r="C599" s="407"/>
      <c r="D599" s="407"/>
      <c r="E599" s="407"/>
      <c r="F599" s="407"/>
      <c r="G599" s="407"/>
      <c r="H599" s="407"/>
      <c r="I599" s="407"/>
      <c r="J599" s="407"/>
      <c r="K599" s="407"/>
      <c r="L599" s="407"/>
      <c r="M599" s="407"/>
      <c r="N599" s="407"/>
      <c r="O599" s="407"/>
      <c r="P599" s="407"/>
      <c r="Q599" s="407"/>
      <c r="R599" s="407"/>
      <c r="S599" s="407"/>
      <c r="T599" s="407"/>
      <c r="U599" s="407"/>
      <c r="V599" s="407"/>
      <c r="W599" s="407"/>
      <c r="X599" s="407"/>
      <c r="Y599" s="407"/>
      <c r="Z599" s="408"/>
    </row>
    <row r="600" spans="1:26">
      <c r="A600" s="416"/>
      <c r="B600" s="407"/>
      <c r="C600" s="407"/>
      <c r="D600" s="407"/>
      <c r="E600" s="407"/>
      <c r="F600" s="407"/>
      <c r="G600" s="407"/>
      <c r="H600" s="407"/>
      <c r="I600" s="407"/>
      <c r="J600" s="407"/>
      <c r="K600" s="407"/>
      <c r="L600" s="407"/>
      <c r="M600" s="407"/>
      <c r="N600" s="407"/>
      <c r="O600" s="407"/>
      <c r="P600" s="407"/>
      <c r="Q600" s="407"/>
      <c r="R600" s="407"/>
      <c r="S600" s="407"/>
      <c r="T600" s="407"/>
      <c r="U600" s="407"/>
      <c r="V600" s="407"/>
      <c r="W600" s="407"/>
      <c r="X600" s="407"/>
      <c r="Y600" s="407"/>
      <c r="Z600" s="408"/>
    </row>
    <row r="601" spans="1:26">
      <c r="A601" s="416"/>
      <c r="B601" s="407"/>
      <c r="C601" s="407"/>
      <c r="D601" s="407"/>
      <c r="E601" s="407"/>
      <c r="F601" s="407"/>
      <c r="G601" s="407"/>
      <c r="H601" s="407"/>
      <c r="I601" s="407"/>
      <c r="J601" s="407"/>
      <c r="K601" s="407"/>
      <c r="L601" s="407"/>
      <c r="M601" s="407"/>
      <c r="N601" s="407"/>
      <c r="O601" s="407"/>
      <c r="P601" s="407"/>
      <c r="Q601" s="407"/>
      <c r="R601" s="407"/>
      <c r="S601" s="407"/>
      <c r="T601" s="407"/>
      <c r="U601" s="407"/>
      <c r="V601" s="407"/>
      <c r="W601" s="407"/>
      <c r="X601" s="407"/>
      <c r="Y601" s="407"/>
      <c r="Z601" s="408"/>
    </row>
    <row r="602" spans="1:26">
      <c r="A602" s="416"/>
      <c r="B602" s="407"/>
      <c r="C602" s="407"/>
      <c r="D602" s="407"/>
      <c r="E602" s="407"/>
      <c r="F602" s="407"/>
      <c r="G602" s="407"/>
      <c r="H602" s="407"/>
      <c r="I602" s="407"/>
      <c r="J602" s="407"/>
      <c r="K602" s="407"/>
      <c r="L602" s="407"/>
      <c r="M602" s="407"/>
      <c r="N602" s="407"/>
      <c r="O602" s="407"/>
      <c r="P602" s="407"/>
      <c r="Q602" s="407"/>
      <c r="R602" s="407"/>
      <c r="S602" s="407"/>
      <c r="T602" s="407"/>
      <c r="U602" s="407"/>
      <c r="V602" s="407"/>
      <c r="W602" s="407"/>
      <c r="X602" s="407"/>
      <c r="Y602" s="407"/>
      <c r="Z602" s="408"/>
    </row>
    <row r="603" spans="1:26">
      <c r="A603" s="416"/>
      <c r="B603" s="407"/>
      <c r="C603" s="407"/>
      <c r="D603" s="407"/>
      <c r="E603" s="407"/>
      <c r="F603" s="407"/>
      <c r="G603" s="407"/>
      <c r="H603" s="407"/>
      <c r="I603" s="407"/>
      <c r="J603" s="407"/>
      <c r="K603" s="407"/>
      <c r="L603" s="407"/>
      <c r="M603" s="407"/>
      <c r="N603" s="407"/>
      <c r="O603" s="407"/>
      <c r="P603" s="407"/>
      <c r="Q603" s="407"/>
      <c r="R603" s="407"/>
      <c r="S603" s="407"/>
      <c r="T603" s="407"/>
      <c r="U603" s="407"/>
      <c r="V603" s="407"/>
      <c r="W603" s="407"/>
      <c r="X603" s="407"/>
      <c r="Y603" s="407"/>
      <c r="Z603" s="408"/>
    </row>
    <row r="604" spans="1:26">
      <c r="A604" s="416"/>
      <c r="B604" s="407"/>
      <c r="C604" s="407"/>
      <c r="D604" s="407"/>
      <c r="E604" s="407"/>
      <c r="F604" s="407"/>
      <c r="G604" s="407"/>
      <c r="H604" s="407"/>
      <c r="I604" s="407"/>
      <c r="J604" s="407"/>
      <c r="K604" s="407"/>
      <c r="L604" s="407"/>
      <c r="M604" s="407"/>
      <c r="N604" s="407"/>
      <c r="O604" s="407"/>
      <c r="P604" s="407"/>
      <c r="Q604" s="407"/>
      <c r="R604" s="407"/>
      <c r="S604" s="407"/>
      <c r="T604" s="407"/>
      <c r="U604" s="407"/>
      <c r="V604" s="407"/>
      <c r="W604" s="407"/>
      <c r="X604" s="407"/>
      <c r="Y604" s="407"/>
      <c r="Z604" s="408"/>
    </row>
    <row r="605" spans="1:26">
      <c r="A605" s="416"/>
      <c r="B605" s="407"/>
      <c r="C605" s="407"/>
      <c r="D605" s="407"/>
      <c r="E605" s="407"/>
      <c r="F605" s="407"/>
      <c r="G605" s="407"/>
      <c r="H605" s="407"/>
      <c r="I605" s="407"/>
      <c r="J605" s="407"/>
      <c r="K605" s="407"/>
      <c r="L605" s="407"/>
      <c r="M605" s="407"/>
      <c r="N605" s="407"/>
      <c r="O605" s="407"/>
      <c r="P605" s="407"/>
      <c r="Q605" s="407"/>
      <c r="R605" s="407"/>
      <c r="S605" s="407"/>
      <c r="T605" s="407"/>
      <c r="U605" s="407"/>
      <c r="V605" s="407"/>
      <c r="W605" s="407"/>
      <c r="X605" s="407"/>
      <c r="Y605" s="407"/>
      <c r="Z605" s="408"/>
    </row>
    <row r="606" spans="1:26">
      <c r="A606" s="416"/>
      <c r="B606" s="407"/>
      <c r="C606" s="407"/>
      <c r="D606" s="407"/>
      <c r="E606" s="407"/>
      <c r="F606" s="407"/>
      <c r="G606" s="407"/>
      <c r="H606" s="407"/>
      <c r="I606" s="407"/>
      <c r="J606" s="407"/>
      <c r="K606" s="407"/>
      <c r="L606" s="407"/>
      <c r="M606" s="407"/>
      <c r="N606" s="407"/>
      <c r="O606" s="407"/>
      <c r="P606" s="407"/>
      <c r="Q606" s="407"/>
      <c r="R606" s="407"/>
      <c r="S606" s="407"/>
      <c r="T606" s="407"/>
      <c r="U606" s="407"/>
      <c r="V606" s="407"/>
      <c r="W606" s="407"/>
      <c r="X606" s="407"/>
      <c r="Y606" s="407"/>
      <c r="Z606" s="408"/>
    </row>
    <row r="607" spans="1:26">
      <c r="A607" s="416"/>
      <c r="B607" s="407"/>
      <c r="C607" s="407"/>
      <c r="D607" s="407"/>
      <c r="E607" s="407"/>
      <c r="F607" s="407"/>
      <c r="G607" s="407"/>
      <c r="H607" s="407"/>
      <c r="I607" s="407"/>
      <c r="J607" s="407"/>
      <c r="K607" s="407"/>
      <c r="L607" s="407"/>
      <c r="M607" s="407"/>
      <c r="N607" s="407"/>
      <c r="O607" s="407"/>
      <c r="P607" s="407"/>
      <c r="Q607" s="407"/>
      <c r="R607" s="407"/>
      <c r="S607" s="407"/>
      <c r="T607" s="407"/>
      <c r="U607" s="407"/>
      <c r="V607" s="407"/>
      <c r="W607" s="407"/>
      <c r="X607" s="407"/>
      <c r="Y607" s="407"/>
      <c r="Z607" s="408"/>
    </row>
    <row r="608" spans="1:26">
      <c r="A608" s="416"/>
      <c r="B608" s="407"/>
      <c r="C608" s="407"/>
      <c r="D608" s="407"/>
      <c r="E608" s="407"/>
      <c r="F608" s="407"/>
      <c r="G608" s="407"/>
      <c r="H608" s="407"/>
      <c r="I608" s="407"/>
      <c r="J608" s="407"/>
      <c r="K608" s="407"/>
      <c r="L608" s="407"/>
      <c r="M608" s="407"/>
      <c r="N608" s="407"/>
      <c r="O608" s="407"/>
      <c r="P608" s="407"/>
      <c r="Q608" s="407"/>
      <c r="R608" s="407"/>
      <c r="S608" s="407"/>
      <c r="T608" s="407"/>
      <c r="U608" s="407"/>
      <c r="V608" s="407"/>
      <c r="W608" s="407"/>
      <c r="X608" s="407"/>
      <c r="Y608" s="407"/>
      <c r="Z608" s="408"/>
    </row>
    <row r="609" spans="1:26">
      <c r="A609" s="416"/>
      <c r="B609" s="407"/>
      <c r="C609" s="407"/>
      <c r="D609" s="407"/>
      <c r="E609" s="407"/>
      <c r="F609" s="407"/>
      <c r="G609" s="407"/>
      <c r="H609" s="407"/>
      <c r="I609" s="407"/>
      <c r="J609" s="407"/>
      <c r="K609" s="407"/>
      <c r="L609" s="407"/>
      <c r="M609" s="407"/>
      <c r="N609" s="407"/>
      <c r="O609" s="407"/>
      <c r="P609" s="407"/>
      <c r="Q609" s="407"/>
      <c r="R609" s="407"/>
      <c r="S609" s="407"/>
      <c r="T609" s="407"/>
      <c r="U609" s="407"/>
      <c r="V609" s="407"/>
      <c r="W609" s="407"/>
      <c r="X609" s="407"/>
      <c r="Y609" s="407"/>
      <c r="Z609" s="408"/>
    </row>
    <row r="610" spans="1:26">
      <c r="A610" s="416"/>
      <c r="B610" s="407"/>
      <c r="C610" s="407"/>
      <c r="D610" s="407"/>
      <c r="E610" s="407"/>
      <c r="F610" s="407"/>
      <c r="G610" s="407"/>
      <c r="H610" s="407"/>
      <c r="I610" s="407"/>
      <c r="J610" s="407"/>
      <c r="K610" s="407"/>
      <c r="L610" s="407"/>
      <c r="M610" s="407"/>
      <c r="N610" s="407"/>
      <c r="O610" s="407"/>
      <c r="P610" s="407"/>
      <c r="Q610" s="407"/>
      <c r="R610" s="407"/>
      <c r="S610" s="407"/>
      <c r="T610" s="407"/>
      <c r="U610" s="407"/>
      <c r="V610" s="407"/>
      <c r="W610" s="407"/>
      <c r="X610" s="407"/>
      <c r="Y610" s="407"/>
      <c r="Z610" s="408"/>
    </row>
    <row r="611" spans="1:26">
      <c r="A611" s="416"/>
      <c r="B611" s="407"/>
      <c r="C611" s="407"/>
      <c r="D611" s="407"/>
      <c r="E611" s="407"/>
      <c r="F611" s="407"/>
      <c r="G611" s="407"/>
      <c r="H611" s="407"/>
      <c r="I611" s="407"/>
      <c r="J611" s="407"/>
      <c r="K611" s="407"/>
      <c r="L611" s="407"/>
      <c r="M611" s="407"/>
      <c r="N611" s="407"/>
      <c r="O611" s="407"/>
      <c r="P611" s="407"/>
      <c r="Q611" s="407"/>
      <c r="R611" s="407"/>
      <c r="S611" s="407"/>
      <c r="T611" s="407"/>
      <c r="U611" s="407"/>
      <c r="V611" s="407"/>
      <c r="W611" s="407"/>
      <c r="X611" s="407"/>
      <c r="Y611" s="407"/>
      <c r="Z611" s="408"/>
    </row>
    <row r="612" spans="1:26">
      <c r="A612" s="416"/>
      <c r="B612" s="407"/>
      <c r="C612" s="407"/>
      <c r="D612" s="407"/>
      <c r="E612" s="407"/>
      <c r="F612" s="407"/>
      <c r="G612" s="407"/>
      <c r="H612" s="407"/>
      <c r="I612" s="407"/>
      <c r="J612" s="407"/>
      <c r="K612" s="407"/>
      <c r="L612" s="407"/>
      <c r="M612" s="407"/>
      <c r="N612" s="407"/>
      <c r="O612" s="407"/>
      <c r="P612" s="407"/>
      <c r="Q612" s="407"/>
      <c r="R612" s="407"/>
      <c r="S612" s="407"/>
      <c r="T612" s="407"/>
      <c r="U612" s="407"/>
      <c r="V612" s="407"/>
      <c r="W612" s="407"/>
      <c r="X612" s="407"/>
      <c r="Y612" s="407"/>
      <c r="Z612" s="408"/>
    </row>
    <row r="613" spans="1:26">
      <c r="A613" s="416"/>
      <c r="B613" s="407"/>
      <c r="C613" s="407"/>
      <c r="D613" s="407"/>
      <c r="E613" s="407"/>
      <c r="F613" s="407"/>
      <c r="G613" s="407"/>
      <c r="H613" s="407"/>
      <c r="I613" s="407"/>
      <c r="J613" s="407"/>
      <c r="K613" s="407"/>
      <c r="L613" s="407"/>
      <c r="M613" s="407"/>
      <c r="N613" s="407"/>
      <c r="O613" s="407"/>
      <c r="P613" s="407"/>
      <c r="Q613" s="407"/>
      <c r="R613" s="407"/>
      <c r="S613" s="407"/>
      <c r="T613" s="407"/>
      <c r="U613" s="407"/>
      <c r="V613" s="407"/>
      <c r="W613" s="407"/>
      <c r="X613" s="407"/>
      <c r="Y613" s="407"/>
      <c r="Z613" s="408"/>
    </row>
    <row r="614" spans="1:26">
      <c r="A614" s="416"/>
      <c r="B614" s="407"/>
      <c r="C614" s="407"/>
      <c r="D614" s="407"/>
      <c r="E614" s="407"/>
      <c r="F614" s="407"/>
      <c r="G614" s="407"/>
      <c r="H614" s="407"/>
      <c r="I614" s="407"/>
      <c r="J614" s="407"/>
      <c r="K614" s="407"/>
      <c r="L614" s="407"/>
      <c r="M614" s="407"/>
      <c r="N614" s="407"/>
      <c r="O614" s="407"/>
      <c r="P614" s="407"/>
      <c r="Q614" s="407"/>
      <c r="R614" s="407"/>
      <c r="S614" s="407"/>
      <c r="T614" s="407"/>
      <c r="U614" s="407"/>
      <c r="V614" s="407"/>
      <c r="W614" s="407"/>
      <c r="X614" s="407"/>
      <c r="Y614" s="407"/>
      <c r="Z614" s="408"/>
    </row>
    <row r="615" spans="1:26">
      <c r="A615" s="416"/>
      <c r="B615" s="407"/>
      <c r="C615" s="407"/>
      <c r="D615" s="407"/>
      <c r="E615" s="407"/>
      <c r="F615" s="407"/>
      <c r="G615" s="407"/>
      <c r="H615" s="407"/>
      <c r="I615" s="407"/>
      <c r="J615" s="407"/>
      <c r="K615" s="407"/>
      <c r="L615" s="407"/>
      <c r="M615" s="407"/>
      <c r="N615" s="407"/>
      <c r="O615" s="407"/>
      <c r="P615" s="407"/>
      <c r="Q615" s="407"/>
      <c r="R615" s="407"/>
      <c r="S615" s="407"/>
      <c r="T615" s="407"/>
      <c r="U615" s="407"/>
      <c r="V615" s="407"/>
      <c r="W615" s="407"/>
      <c r="X615" s="407"/>
      <c r="Y615" s="407"/>
      <c r="Z615" s="408"/>
    </row>
    <row r="616" spans="1:26">
      <c r="A616" s="416"/>
      <c r="B616" s="407"/>
      <c r="C616" s="407"/>
      <c r="D616" s="407"/>
      <c r="E616" s="407"/>
      <c r="F616" s="407"/>
      <c r="G616" s="407"/>
      <c r="H616" s="407"/>
      <c r="I616" s="407"/>
      <c r="J616" s="407"/>
      <c r="K616" s="407"/>
      <c r="L616" s="407"/>
      <c r="M616" s="407"/>
      <c r="N616" s="407"/>
      <c r="O616" s="407"/>
      <c r="P616" s="407"/>
      <c r="Q616" s="407"/>
      <c r="R616" s="407"/>
      <c r="S616" s="407"/>
      <c r="T616" s="407"/>
      <c r="U616" s="407"/>
      <c r="V616" s="407"/>
      <c r="W616" s="407"/>
      <c r="X616" s="407"/>
      <c r="Y616" s="407"/>
      <c r="Z616" s="408"/>
    </row>
    <row r="617" spans="1:26">
      <c r="A617" s="416"/>
      <c r="B617" s="407"/>
      <c r="C617" s="407"/>
      <c r="D617" s="407"/>
      <c r="E617" s="407"/>
      <c r="F617" s="407"/>
      <c r="G617" s="407"/>
      <c r="H617" s="407"/>
      <c r="I617" s="407"/>
      <c r="J617" s="407"/>
      <c r="K617" s="407"/>
      <c r="L617" s="407"/>
      <c r="M617" s="407"/>
      <c r="N617" s="407"/>
      <c r="O617" s="407"/>
      <c r="P617" s="407"/>
      <c r="Q617" s="407"/>
      <c r="R617" s="407"/>
      <c r="S617" s="407"/>
      <c r="T617" s="407"/>
      <c r="U617" s="407"/>
      <c r="V617" s="407"/>
      <c r="W617" s="407"/>
      <c r="X617" s="407"/>
      <c r="Y617" s="407"/>
      <c r="Z617" s="408"/>
    </row>
    <row r="618" spans="1:26">
      <c r="A618" s="416"/>
      <c r="B618" s="407"/>
      <c r="C618" s="407"/>
      <c r="D618" s="407"/>
      <c r="E618" s="407"/>
      <c r="F618" s="407"/>
      <c r="G618" s="407"/>
      <c r="H618" s="407"/>
      <c r="I618" s="407"/>
      <c r="J618" s="407"/>
      <c r="K618" s="407"/>
      <c r="L618" s="407"/>
      <c r="M618" s="407"/>
      <c r="N618" s="407"/>
      <c r="O618" s="407"/>
      <c r="P618" s="407"/>
      <c r="Q618" s="407"/>
      <c r="R618" s="407"/>
      <c r="S618" s="407"/>
      <c r="T618" s="407"/>
      <c r="U618" s="407"/>
      <c r="V618" s="407"/>
      <c r="W618" s="407"/>
      <c r="X618" s="407"/>
      <c r="Y618" s="407"/>
      <c r="Z618" s="408"/>
    </row>
    <row r="619" spans="1:26">
      <c r="A619" s="416"/>
      <c r="B619" s="407"/>
      <c r="C619" s="407"/>
      <c r="D619" s="407"/>
      <c r="E619" s="407"/>
      <c r="F619" s="407"/>
      <c r="G619" s="407"/>
      <c r="H619" s="407"/>
      <c r="I619" s="407"/>
      <c r="J619" s="407"/>
      <c r="K619" s="407"/>
      <c r="L619" s="407"/>
      <c r="M619" s="407"/>
      <c r="N619" s="407"/>
      <c r="O619" s="407"/>
      <c r="P619" s="407"/>
      <c r="Q619" s="407"/>
      <c r="R619" s="407"/>
      <c r="S619" s="407"/>
      <c r="T619" s="407"/>
      <c r="U619" s="407"/>
      <c r="V619" s="407"/>
      <c r="W619" s="407"/>
      <c r="X619" s="407"/>
      <c r="Y619" s="407"/>
      <c r="Z619" s="408"/>
    </row>
    <row r="620" spans="1:26">
      <c r="A620" s="416"/>
      <c r="B620" s="407"/>
      <c r="C620" s="407"/>
      <c r="D620" s="407"/>
      <c r="E620" s="407"/>
      <c r="F620" s="407"/>
      <c r="G620" s="407"/>
      <c r="H620" s="407"/>
      <c r="I620" s="407"/>
      <c r="J620" s="407"/>
      <c r="K620" s="407"/>
      <c r="L620" s="407"/>
      <c r="M620" s="407"/>
      <c r="N620" s="407"/>
      <c r="O620" s="407"/>
      <c r="P620" s="407"/>
      <c r="Q620" s="407"/>
      <c r="R620" s="407"/>
      <c r="S620" s="407"/>
      <c r="T620" s="407"/>
      <c r="U620" s="407"/>
      <c r="V620" s="407"/>
      <c r="W620" s="407"/>
      <c r="X620" s="407"/>
      <c r="Y620" s="407"/>
      <c r="Z620" s="408"/>
    </row>
    <row r="621" spans="1:26">
      <c r="A621" s="416"/>
      <c r="B621" s="407"/>
      <c r="C621" s="407"/>
      <c r="D621" s="407"/>
      <c r="E621" s="407"/>
      <c r="F621" s="407"/>
      <c r="G621" s="407"/>
      <c r="H621" s="407"/>
      <c r="I621" s="407"/>
      <c r="J621" s="407"/>
      <c r="K621" s="407"/>
      <c r="L621" s="407"/>
      <c r="M621" s="407"/>
      <c r="N621" s="407"/>
      <c r="O621" s="407"/>
      <c r="P621" s="407"/>
      <c r="Q621" s="407"/>
      <c r="R621" s="407"/>
      <c r="S621" s="407"/>
      <c r="T621" s="407"/>
      <c r="U621" s="407"/>
      <c r="V621" s="407"/>
      <c r="W621" s="407"/>
      <c r="X621" s="407"/>
      <c r="Y621" s="407"/>
      <c r="Z621" s="408"/>
    </row>
    <row r="622" spans="1:26">
      <c r="A622" s="416"/>
      <c r="B622" s="407"/>
      <c r="C622" s="407"/>
      <c r="D622" s="407"/>
      <c r="E622" s="407"/>
      <c r="F622" s="407"/>
      <c r="G622" s="407"/>
      <c r="H622" s="407"/>
      <c r="I622" s="407"/>
      <c r="J622" s="407"/>
      <c r="K622" s="407"/>
      <c r="L622" s="407"/>
      <c r="M622" s="407"/>
      <c r="N622" s="407"/>
      <c r="O622" s="407"/>
      <c r="P622" s="407"/>
      <c r="Q622" s="407"/>
      <c r="R622" s="407"/>
      <c r="S622" s="407"/>
      <c r="T622" s="407"/>
      <c r="U622" s="407"/>
      <c r="V622" s="407"/>
      <c r="W622" s="407"/>
      <c r="X622" s="407"/>
      <c r="Y622" s="407"/>
      <c r="Z622" s="408"/>
    </row>
    <row r="623" spans="1:26">
      <c r="A623" s="416"/>
      <c r="B623" s="407"/>
      <c r="C623" s="407"/>
      <c r="D623" s="407"/>
      <c r="E623" s="407"/>
      <c r="F623" s="407"/>
      <c r="G623" s="407"/>
      <c r="H623" s="407"/>
      <c r="I623" s="407"/>
      <c r="J623" s="407"/>
      <c r="K623" s="407"/>
      <c r="L623" s="407"/>
      <c r="M623" s="407"/>
      <c r="N623" s="407"/>
      <c r="O623" s="407"/>
      <c r="P623" s="407"/>
      <c r="Q623" s="407"/>
      <c r="R623" s="407"/>
      <c r="S623" s="407"/>
      <c r="T623" s="407"/>
      <c r="U623" s="407"/>
      <c r="V623" s="407"/>
      <c r="W623" s="407"/>
      <c r="X623" s="407"/>
      <c r="Y623" s="407"/>
      <c r="Z623" s="408"/>
    </row>
    <row r="624" spans="1:26">
      <c r="A624" s="416"/>
      <c r="B624" s="407"/>
      <c r="C624" s="407"/>
      <c r="D624" s="407"/>
      <c r="E624" s="407"/>
      <c r="F624" s="407"/>
      <c r="G624" s="407"/>
      <c r="H624" s="407"/>
      <c r="I624" s="407"/>
      <c r="J624" s="407"/>
      <c r="K624" s="407"/>
      <c r="L624" s="407"/>
      <c r="M624" s="407"/>
      <c r="N624" s="407"/>
      <c r="O624" s="407"/>
      <c r="P624" s="407"/>
      <c r="Q624" s="407"/>
      <c r="R624" s="407"/>
      <c r="S624" s="407"/>
      <c r="T624" s="407"/>
      <c r="U624" s="407"/>
      <c r="V624" s="407"/>
      <c r="W624" s="407"/>
      <c r="X624" s="407"/>
      <c r="Y624" s="407"/>
      <c r="Z624" s="408"/>
    </row>
    <row r="625" spans="1:26">
      <c r="A625" s="416"/>
      <c r="B625" s="407"/>
      <c r="C625" s="407"/>
      <c r="D625" s="407"/>
      <c r="E625" s="407"/>
      <c r="F625" s="407"/>
      <c r="G625" s="407"/>
      <c r="H625" s="407"/>
      <c r="I625" s="407"/>
      <c r="J625" s="407"/>
      <c r="K625" s="407"/>
      <c r="L625" s="407"/>
      <c r="M625" s="407"/>
      <c r="N625" s="407"/>
      <c r="O625" s="407"/>
      <c r="P625" s="407"/>
      <c r="Q625" s="407"/>
      <c r="R625" s="407"/>
      <c r="S625" s="407"/>
      <c r="T625" s="407"/>
      <c r="U625" s="407"/>
      <c r="V625" s="407"/>
      <c r="W625" s="407"/>
      <c r="X625" s="407"/>
      <c r="Y625" s="407"/>
      <c r="Z625" s="408"/>
    </row>
    <row r="626" spans="1:26">
      <c r="A626" s="416"/>
      <c r="B626" s="407"/>
      <c r="C626" s="407"/>
      <c r="D626" s="407"/>
      <c r="E626" s="407"/>
      <c r="F626" s="407"/>
      <c r="G626" s="407"/>
      <c r="H626" s="407"/>
      <c r="I626" s="407"/>
      <c r="J626" s="407"/>
      <c r="K626" s="407"/>
      <c r="L626" s="407"/>
      <c r="M626" s="407"/>
      <c r="N626" s="407"/>
      <c r="O626" s="407"/>
      <c r="P626" s="407"/>
      <c r="Q626" s="407"/>
      <c r="R626" s="407"/>
      <c r="S626" s="407"/>
      <c r="T626" s="407"/>
      <c r="U626" s="407"/>
      <c r="V626" s="407"/>
      <c r="W626" s="407"/>
      <c r="X626" s="407"/>
      <c r="Y626" s="407"/>
      <c r="Z626" s="408"/>
    </row>
    <row r="627" spans="1:26">
      <c r="A627" s="416"/>
      <c r="B627" s="407"/>
      <c r="C627" s="407"/>
      <c r="D627" s="407"/>
      <c r="E627" s="407"/>
      <c r="F627" s="407"/>
      <c r="G627" s="407"/>
      <c r="H627" s="407"/>
      <c r="I627" s="407"/>
      <c r="J627" s="407"/>
      <c r="K627" s="407"/>
      <c r="L627" s="407"/>
      <c r="M627" s="407"/>
      <c r="N627" s="407"/>
      <c r="O627" s="407"/>
      <c r="P627" s="407"/>
      <c r="Q627" s="407"/>
      <c r="R627" s="407"/>
      <c r="S627" s="407"/>
      <c r="T627" s="407"/>
      <c r="U627" s="407"/>
      <c r="V627" s="407"/>
      <c r="W627" s="407"/>
      <c r="X627" s="407"/>
      <c r="Y627" s="407"/>
      <c r="Z627" s="408"/>
    </row>
    <row r="628" spans="1:26">
      <c r="A628" s="416"/>
      <c r="B628" s="407"/>
      <c r="C628" s="407"/>
      <c r="D628" s="407"/>
      <c r="E628" s="407"/>
      <c r="F628" s="407"/>
      <c r="G628" s="407"/>
      <c r="H628" s="407"/>
      <c r="I628" s="407"/>
      <c r="J628" s="407"/>
      <c r="K628" s="407"/>
      <c r="L628" s="407"/>
      <c r="M628" s="407"/>
      <c r="N628" s="407"/>
      <c r="O628" s="407"/>
      <c r="P628" s="407"/>
      <c r="Q628" s="407"/>
      <c r="R628" s="407"/>
      <c r="S628" s="407"/>
      <c r="T628" s="407"/>
      <c r="U628" s="407"/>
      <c r="V628" s="407"/>
      <c r="W628" s="407"/>
      <c r="X628" s="407"/>
      <c r="Y628" s="407"/>
      <c r="Z628" s="408"/>
    </row>
    <row r="629" spans="1:26">
      <c r="A629" s="416"/>
      <c r="B629" s="407"/>
      <c r="C629" s="407"/>
      <c r="D629" s="407"/>
      <c r="E629" s="407"/>
      <c r="F629" s="407"/>
      <c r="G629" s="407"/>
      <c r="H629" s="407"/>
      <c r="I629" s="407"/>
      <c r="J629" s="407"/>
      <c r="K629" s="407"/>
      <c r="L629" s="407"/>
      <c r="M629" s="407"/>
      <c r="N629" s="407"/>
      <c r="O629" s="407"/>
      <c r="P629" s="407"/>
      <c r="Q629" s="407"/>
      <c r="R629" s="407"/>
      <c r="S629" s="407"/>
      <c r="T629" s="407"/>
      <c r="U629" s="407"/>
      <c r="V629" s="407"/>
      <c r="W629" s="407"/>
      <c r="X629" s="407"/>
      <c r="Y629" s="407"/>
      <c r="Z629" s="408"/>
    </row>
    <row r="630" spans="1:26">
      <c r="A630" s="416"/>
      <c r="B630" s="407"/>
      <c r="C630" s="407"/>
      <c r="D630" s="407"/>
      <c r="E630" s="407"/>
      <c r="F630" s="407"/>
      <c r="G630" s="407"/>
      <c r="H630" s="407"/>
      <c r="I630" s="407"/>
      <c r="J630" s="407"/>
      <c r="K630" s="407"/>
      <c r="L630" s="407"/>
      <c r="M630" s="407"/>
      <c r="N630" s="407"/>
      <c r="O630" s="407"/>
      <c r="P630" s="407"/>
      <c r="Q630" s="407"/>
      <c r="R630" s="407"/>
      <c r="S630" s="407"/>
      <c r="T630" s="407"/>
      <c r="U630" s="407"/>
      <c r="V630" s="407"/>
      <c r="W630" s="407"/>
      <c r="X630" s="407"/>
      <c r="Y630" s="407"/>
      <c r="Z630" s="408"/>
    </row>
    <row r="631" spans="1:26">
      <c r="A631" s="416"/>
      <c r="B631" s="407"/>
      <c r="C631" s="407"/>
      <c r="D631" s="407"/>
      <c r="E631" s="407"/>
      <c r="F631" s="407"/>
      <c r="G631" s="407"/>
      <c r="H631" s="407"/>
      <c r="I631" s="407"/>
      <c r="J631" s="407"/>
      <c r="K631" s="407"/>
      <c r="L631" s="407"/>
      <c r="M631" s="407"/>
      <c r="N631" s="407"/>
      <c r="O631" s="407"/>
      <c r="P631" s="407"/>
      <c r="Q631" s="407"/>
      <c r="R631" s="407"/>
      <c r="S631" s="407"/>
      <c r="T631" s="407"/>
      <c r="U631" s="407"/>
      <c r="V631" s="407"/>
      <c r="W631" s="407"/>
      <c r="X631" s="407"/>
      <c r="Y631" s="407"/>
      <c r="Z631" s="408"/>
    </row>
    <row r="632" spans="1:26">
      <c r="A632" s="416"/>
      <c r="B632" s="407"/>
      <c r="C632" s="407"/>
      <c r="D632" s="407"/>
      <c r="E632" s="407"/>
      <c r="F632" s="407"/>
      <c r="G632" s="407"/>
      <c r="H632" s="407"/>
      <c r="I632" s="407"/>
      <c r="J632" s="407"/>
      <c r="K632" s="407"/>
      <c r="L632" s="407"/>
      <c r="M632" s="407"/>
      <c r="N632" s="407"/>
      <c r="O632" s="407"/>
      <c r="P632" s="407"/>
      <c r="Q632" s="407"/>
      <c r="R632" s="407"/>
      <c r="S632" s="407"/>
      <c r="T632" s="407"/>
      <c r="U632" s="407"/>
      <c r="V632" s="407"/>
      <c r="W632" s="407"/>
      <c r="X632" s="407"/>
      <c r="Y632" s="407"/>
      <c r="Z632" s="408"/>
    </row>
    <row r="633" spans="1:26">
      <c r="A633" s="416"/>
      <c r="B633" s="407"/>
      <c r="C633" s="407"/>
      <c r="D633" s="407"/>
      <c r="E633" s="407"/>
      <c r="F633" s="407"/>
      <c r="G633" s="407"/>
      <c r="H633" s="407"/>
      <c r="I633" s="407"/>
      <c r="J633" s="407"/>
      <c r="K633" s="407"/>
      <c r="L633" s="407"/>
      <c r="M633" s="407"/>
      <c r="N633" s="407"/>
      <c r="O633" s="407"/>
      <c r="P633" s="407"/>
      <c r="Q633" s="407"/>
      <c r="R633" s="407"/>
      <c r="S633" s="407"/>
      <c r="T633" s="407"/>
      <c r="U633" s="407"/>
      <c r="V633" s="407"/>
      <c r="W633" s="407"/>
      <c r="X633" s="407"/>
      <c r="Y633" s="407"/>
      <c r="Z633" s="408"/>
    </row>
    <row r="634" spans="1:26">
      <c r="A634" s="416"/>
      <c r="B634" s="407"/>
      <c r="C634" s="407"/>
      <c r="D634" s="407"/>
      <c r="E634" s="407"/>
      <c r="F634" s="407"/>
      <c r="G634" s="407"/>
      <c r="H634" s="407"/>
      <c r="I634" s="407"/>
      <c r="J634" s="407"/>
      <c r="K634" s="407"/>
      <c r="L634" s="407"/>
      <c r="M634" s="407"/>
      <c r="N634" s="407"/>
      <c r="O634" s="407"/>
      <c r="P634" s="407"/>
      <c r="Q634" s="407"/>
      <c r="R634" s="407"/>
      <c r="S634" s="407"/>
      <c r="T634" s="407"/>
      <c r="U634" s="407"/>
      <c r="V634" s="407"/>
      <c r="W634" s="407"/>
      <c r="X634" s="407"/>
      <c r="Y634" s="407"/>
      <c r="Z634" s="408"/>
    </row>
    <row r="635" spans="1:26">
      <c r="A635" s="416"/>
      <c r="B635" s="407"/>
      <c r="C635" s="407"/>
      <c r="D635" s="407"/>
      <c r="E635" s="407"/>
      <c r="F635" s="407"/>
      <c r="G635" s="407"/>
      <c r="H635" s="407"/>
      <c r="I635" s="407"/>
      <c r="J635" s="407"/>
      <c r="K635" s="407"/>
      <c r="L635" s="407"/>
      <c r="M635" s="407"/>
      <c r="N635" s="407"/>
      <c r="O635" s="407"/>
      <c r="P635" s="407"/>
      <c r="Q635" s="407"/>
      <c r="R635" s="407"/>
      <c r="S635" s="407"/>
      <c r="T635" s="407"/>
      <c r="U635" s="407"/>
      <c r="V635" s="407"/>
      <c r="W635" s="407"/>
      <c r="X635" s="407"/>
      <c r="Y635" s="407"/>
      <c r="Z635" s="408"/>
    </row>
    <row r="636" spans="1:26">
      <c r="A636" s="416"/>
      <c r="B636" s="407"/>
      <c r="C636" s="407"/>
      <c r="D636" s="407"/>
      <c r="E636" s="407"/>
      <c r="F636" s="407"/>
      <c r="G636" s="407"/>
      <c r="H636" s="407"/>
      <c r="I636" s="407"/>
      <c r="J636" s="407"/>
      <c r="K636" s="407"/>
      <c r="L636" s="407"/>
      <c r="M636" s="407"/>
      <c r="N636" s="407"/>
      <c r="O636" s="407"/>
      <c r="P636" s="407"/>
      <c r="Q636" s="407"/>
      <c r="R636" s="407"/>
      <c r="S636" s="407"/>
      <c r="T636" s="407"/>
      <c r="U636" s="407"/>
      <c r="V636" s="407"/>
      <c r="W636" s="407"/>
      <c r="X636" s="407"/>
      <c r="Y636" s="407"/>
      <c r="Z636" s="408"/>
    </row>
    <row r="637" spans="1:26">
      <c r="A637" s="416"/>
      <c r="B637" s="407"/>
      <c r="C637" s="407"/>
      <c r="D637" s="407"/>
      <c r="E637" s="407"/>
      <c r="F637" s="407"/>
      <c r="G637" s="407"/>
      <c r="H637" s="407"/>
      <c r="I637" s="407"/>
      <c r="J637" s="407"/>
      <c r="K637" s="407"/>
      <c r="L637" s="407"/>
      <c r="M637" s="407"/>
      <c r="N637" s="407"/>
      <c r="O637" s="407"/>
      <c r="P637" s="407"/>
      <c r="Q637" s="407"/>
      <c r="R637" s="407"/>
      <c r="S637" s="407"/>
      <c r="T637" s="407"/>
      <c r="U637" s="407"/>
      <c r="V637" s="407"/>
      <c r="W637" s="407"/>
      <c r="X637" s="407"/>
      <c r="Y637" s="407"/>
      <c r="Z637" s="408"/>
    </row>
    <row r="638" spans="1:26">
      <c r="A638" s="416"/>
      <c r="B638" s="407"/>
      <c r="C638" s="407"/>
      <c r="D638" s="407"/>
      <c r="E638" s="407"/>
      <c r="F638" s="407"/>
      <c r="G638" s="407"/>
      <c r="H638" s="407"/>
      <c r="I638" s="407"/>
      <c r="J638" s="407"/>
      <c r="K638" s="407"/>
      <c r="L638" s="407"/>
      <c r="M638" s="407"/>
      <c r="N638" s="407"/>
      <c r="O638" s="407"/>
      <c r="P638" s="407"/>
      <c r="Q638" s="407"/>
      <c r="R638" s="407"/>
      <c r="S638" s="407"/>
      <c r="T638" s="407"/>
      <c r="U638" s="407"/>
      <c r="V638" s="407"/>
      <c r="W638" s="407"/>
      <c r="X638" s="407"/>
      <c r="Y638" s="407"/>
      <c r="Z638" s="408"/>
    </row>
    <row r="639" spans="1:26">
      <c r="A639" s="416"/>
      <c r="B639" s="407"/>
      <c r="C639" s="407"/>
      <c r="D639" s="407"/>
      <c r="E639" s="407"/>
      <c r="F639" s="407"/>
      <c r="G639" s="407"/>
      <c r="H639" s="407"/>
      <c r="I639" s="407"/>
      <c r="J639" s="407"/>
      <c r="K639" s="407"/>
      <c r="L639" s="407"/>
      <c r="M639" s="407"/>
      <c r="N639" s="407"/>
      <c r="O639" s="407"/>
      <c r="P639" s="407"/>
      <c r="Q639" s="407"/>
      <c r="R639" s="407"/>
      <c r="S639" s="407"/>
      <c r="T639" s="407"/>
      <c r="U639" s="407"/>
      <c r="V639" s="407"/>
      <c r="W639" s="407"/>
      <c r="X639" s="407"/>
      <c r="Y639" s="407"/>
      <c r="Z639" s="408"/>
    </row>
    <row r="640" spans="1:26">
      <c r="A640" s="416"/>
      <c r="B640" s="407"/>
      <c r="C640" s="407"/>
      <c r="D640" s="407"/>
      <c r="E640" s="407"/>
      <c r="F640" s="407"/>
      <c r="G640" s="407"/>
      <c r="H640" s="407"/>
      <c r="I640" s="407"/>
      <c r="J640" s="407"/>
      <c r="K640" s="407"/>
      <c r="L640" s="407"/>
      <c r="M640" s="407"/>
      <c r="N640" s="407"/>
      <c r="O640" s="407"/>
      <c r="P640" s="407"/>
      <c r="Q640" s="407"/>
      <c r="R640" s="407"/>
      <c r="S640" s="407"/>
      <c r="T640" s="407"/>
      <c r="U640" s="407"/>
      <c r="V640" s="407"/>
      <c r="W640" s="407"/>
      <c r="X640" s="407"/>
      <c r="Y640" s="407"/>
      <c r="Z640" s="408"/>
    </row>
    <row r="641" spans="1:26">
      <c r="A641" s="416"/>
      <c r="B641" s="407"/>
      <c r="C641" s="407"/>
      <c r="D641" s="407"/>
      <c r="E641" s="407"/>
      <c r="F641" s="407"/>
      <c r="G641" s="407"/>
      <c r="H641" s="407"/>
      <c r="I641" s="407"/>
      <c r="J641" s="407"/>
      <c r="K641" s="407"/>
      <c r="L641" s="407"/>
      <c r="M641" s="407"/>
      <c r="N641" s="407"/>
      <c r="O641" s="407"/>
      <c r="P641" s="407"/>
      <c r="Q641" s="407"/>
      <c r="R641" s="407"/>
      <c r="S641" s="407"/>
      <c r="T641" s="407"/>
      <c r="U641" s="407"/>
      <c r="V641" s="407"/>
      <c r="W641" s="407"/>
      <c r="X641" s="407"/>
      <c r="Y641" s="407"/>
      <c r="Z641" s="408"/>
    </row>
    <row r="642" spans="1:26">
      <c r="A642" s="416"/>
      <c r="B642" s="407"/>
      <c r="C642" s="407"/>
      <c r="D642" s="407"/>
      <c r="E642" s="407"/>
      <c r="F642" s="407"/>
      <c r="G642" s="407"/>
      <c r="H642" s="407"/>
      <c r="I642" s="407"/>
      <c r="J642" s="407"/>
      <c r="K642" s="407"/>
      <c r="L642" s="407"/>
      <c r="M642" s="407"/>
      <c r="N642" s="407"/>
      <c r="O642" s="407"/>
      <c r="P642" s="407"/>
      <c r="Q642" s="407"/>
      <c r="R642" s="407"/>
      <c r="S642" s="407"/>
      <c r="T642" s="407"/>
      <c r="U642" s="407"/>
      <c r="V642" s="407"/>
      <c r="W642" s="407"/>
      <c r="X642" s="407"/>
      <c r="Y642" s="407"/>
      <c r="Z642" s="408"/>
    </row>
    <row r="643" spans="1:26">
      <c r="A643" s="416"/>
      <c r="B643" s="407"/>
      <c r="C643" s="407"/>
      <c r="D643" s="407"/>
      <c r="E643" s="407"/>
      <c r="F643" s="407"/>
      <c r="G643" s="407"/>
      <c r="H643" s="407"/>
      <c r="I643" s="407"/>
      <c r="J643" s="407"/>
      <c r="K643" s="407"/>
      <c r="L643" s="407"/>
      <c r="M643" s="407"/>
      <c r="N643" s="407"/>
      <c r="O643" s="407"/>
      <c r="P643" s="407"/>
      <c r="Q643" s="407"/>
      <c r="R643" s="407"/>
      <c r="S643" s="407"/>
      <c r="T643" s="407"/>
      <c r="U643" s="407"/>
      <c r="V643" s="407"/>
      <c r="W643" s="407"/>
      <c r="X643" s="407"/>
      <c r="Y643" s="407"/>
      <c r="Z643" s="408"/>
    </row>
    <row r="644" spans="1:26">
      <c r="A644" s="416"/>
      <c r="B644" s="407"/>
      <c r="C644" s="407"/>
      <c r="D644" s="407"/>
      <c r="E644" s="407"/>
      <c r="F644" s="407"/>
      <c r="G644" s="407"/>
      <c r="H644" s="407"/>
      <c r="I644" s="407"/>
      <c r="J644" s="407"/>
      <c r="K644" s="407"/>
      <c r="L644" s="407"/>
      <c r="M644" s="407"/>
      <c r="N644" s="407"/>
      <c r="O644" s="407"/>
      <c r="P644" s="407"/>
      <c r="Q644" s="407"/>
      <c r="R644" s="407"/>
      <c r="S644" s="407"/>
      <c r="T644" s="407"/>
      <c r="U644" s="407"/>
      <c r="V644" s="407"/>
      <c r="W644" s="407"/>
      <c r="X644" s="407"/>
      <c r="Y644" s="407"/>
      <c r="Z644" s="408"/>
    </row>
    <row r="645" spans="1:26">
      <c r="A645" s="416"/>
      <c r="B645" s="407"/>
      <c r="C645" s="407"/>
      <c r="D645" s="407"/>
      <c r="E645" s="407"/>
      <c r="F645" s="407"/>
      <c r="G645" s="407"/>
      <c r="H645" s="407"/>
      <c r="I645" s="407"/>
      <c r="J645" s="407"/>
      <c r="K645" s="407"/>
      <c r="L645" s="407"/>
      <c r="M645" s="407"/>
      <c r="N645" s="407"/>
      <c r="O645" s="407"/>
      <c r="P645" s="407"/>
      <c r="Q645" s="407"/>
      <c r="R645" s="407"/>
      <c r="S645" s="407"/>
      <c r="T645" s="407"/>
      <c r="U645" s="407"/>
      <c r="V645" s="407"/>
      <c r="W645" s="407"/>
      <c r="X645" s="407"/>
      <c r="Y645" s="407"/>
      <c r="Z645" s="408"/>
    </row>
    <row r="646" spans="1:26">
      <c r="A646" s="416"/>
      <c r="B646" s="407"/>
      <c r="C646" s="407"/>
      <c r="D646" s="407"/>
      <c r="E646" s="407"/>
      <c r="F646" s="407"/>
      <c r="G646" s="407"/>
      <c r="H646" s="407"/>
      <c r="I646" s="407"/>
      <c r="J646" s="407"/>
      <c r="K646" s="407"/>
      <c r="L646" s="407"/>
      <c r="M646" s="407"/>
      <c r="N646" s="407"/>
      <c r="O646" s="407"/>
      <c r="P646" s="407"/>
      <c r="Q646" s="407"/>
      <c r="R646" s="407"/>
      <c r="S646" s="407"/>
      <c r="T646" s="407"/>
      <c r="U646" s="407"/>
      <c r="V646" s="407"/>
      <c r="W646" s="407"/>
      <c r="X646" s="407"/>
      <c r="Y646" s="407"/>
      <c r="Z646" s="408"/>
    </row>
    <row r="647" spans="1:26">
      <c r="A647" s="416"/>
      <c r="B647" s="407"/>
      <c r="C647" s="407"/>
      <c r="D647" s="407"/>
      <c r="E647" s="407"/>
      <c r="F647" s="407"/>
      <c r="G647" s="407"/>
      <c r="H647" s="407"/>
      <c r="I647" s="407"/>
      <c r="J647" s="407"/>
      <c r="K647" s="407"/>
      <c r="L647" s="407"/>
      <c r="M647" s="407"/>
      <c r="N647" s="407"/>
      <c r="O647" s="407"/>
      <c r="P647" s="407"/>
      <c r="Q647" s="407"/>
      <c r="R647" s="407"/>
      <c r="S647" s="407"/>
      <c r="T647" s="407"/>
      <c r="U647" s="407"/>
      <c r="V647" s="407"/>
      <c r="W647" s="407"/>
      <c r="X647" s="407"/>
      <c r="Y647" s="407"/>
      <c r="Z647" s="408"/>
    </row>
    <row r="648" spans="1:26">
      <c r="A648" s="416"/>
      <c r="B648" s="407"/>
      <c r="C648" s="407"/>
      <c r="D648" s="407"/>
      <c r="E648" s="407"/>
      <c r="F648" s="407"/>
      <c r="G648" s="407"/>
      <c r="H648" s="407"/>
      <c r="I648" s="407"/>
      <c r="J648" s="407"/>
      <c r="K648" s="407"/>
      <c r="L648" s="407"/>
      <c r="M648" s="407"/>
      <c r="N648" s="407"/>
      <c r="O648" s="407"/>
      <c r="P648" s="407"/>
      <c r="Q648" s="407"/>
      <c r="R648" s="407"/>
      <c r="S648" s="407"/>
      <c r="T648" s="407"/>
      <c r="U648" s="407"/>
      <c r="V648" s="407"/>
      <c r="W648" s="407"/>
      <c r="X648" s="407"/>
      <c r="Y648" s="407"/>
      <c r="Z648" s="408"/>
    </row>
    <row r="649" spans="1:26">
      <c r="A649" s="416"/>
      <c r="B649" s="407"/>
      <c r="C649" s="407"/>
      <c r="D649" s="407"/>
      <c r="E649" s="407"/>
      <c r="F649" s="407"/>
      <c r="G649" s="407"/>
      <c r="H649" s="407"/>
      <c r="I649" s="407"/>
      <c r="J649" s="407"/>
      <c r="K649" s="407"/>
      <c r="L649" s="407"/>
      <c r="M649" s="407"/>
      <c r="N649" s="407"/>
      <c r="O649" s="407"/>
      <c r="P649" s="407"/>
      <c r="Q649" s="407"/>
      <c r="R649" s="407"/>
      <c r="S649" s="407"/>
      <c r="T649" s="407"/>
      <c r="U649" s="407"/>
      <c r="V649" s="407"/>
      <c r="W649" s="407"/>
      <c r="X649" s="407"/>
      <c r="Y649" s="407"/>
      <c r="Z649" s="408"/>
    </row>
    <row r="650" spans="1:26">
      <c r="A650" s="416"/>
      <c r="B650" s="407"/>
      <c r="C650" s="407"/>
      <c r="D650" s="407"/>
      <c r="E650" s="407"/>
      <c r="F650" s="407"/>
      <c r="G650" s="407"/>
      <c r="H650" s="407"/>
      <c r="I650" s="407"/>
      <c r="J650" s="407"/>
      <c r="K650" s="407"/>
      <c r="L650" s="407"/>
      <c r="M650" s="407"/>
      <c r="N650" s="407"/>
      <c r="O650" s="407"/>
      <c r="P650" s="407"/>
      <c r="Q650" s="407"/>
      <c r="R650" s="407"/>
      <c r="S650" s="407"/>
      <c r="T650" s="407"/>
      <c r="U650" s="407"/>
      <c r="V650" s="407"/>
      <c r="W650" s="407"/>
      <c r="X650" s="407"/>
      <c r="Y650" s="407"/>
      <c r="Z650" s="408"/>
    </row>
    <row r="651" spans="1:26">
      <c r="A651" s="416"/>
      <c r="B651" s="407"/>
      <c r="C651" s="407"/>
      <c r="D651" s="407"/>
      <c r="E651" s="407"/>
      <c r="F651" s="407"/>
      <c r="G651" s="407"/>
      <c r="H651" s="407"/>
      <c r="I651" s="407"/>
      <c r="J651" s="407"/>
      <c r="K651" s="407"/>
      <c r="L651" s="407"/>
      <c r="M651" s="407"/>
      <c r="N651" s="407"/>
      <c r="O651" s="407"/>
      <c r="P651" s="407"/>
      <c r="Q651" s="407"/>
      <c r="R651" s="407"/>
      <c r="S651" s="407"/>
      <c r="T651" s="407"/>
      <c r="U651" s="407"/>
      <c r="V651" s="407"/>
      <c r="W651" s="407"/>
      <c r="X651" s="407"/>
      <c r="Y651" s="407"/>
      <c r="Z651" s="408"/>
    </row>
    <row r="652" spans="1:26">
      <c r="A652" s="416"/>
      <c r="B652" s="407"/>
      <c r="C652" s="407"/>
      <c r="D652" s="407"/>
      <c r="E652" s="407"/>
      <c r="F652" s="407"/>
      <c r="G652" s="407"/>
      <c r="H652" s="407"/>
      <c r="I652" s="407"/>
      <c r="J652" s="407"/>
      <c r="K652" s="407"/>
      <c r="L652" s="407"/>
      <c r="M652" s="407"/>
      <c r="N652" s="407"/>
      <c r="O652" s="407"/>
      <c r="P652" s="407"/>
      <c r="Q652" s="407"/>
      <c r="R652" s="407"/>
      <c r="S652" s="407"/>
      <c r="T652" s="407"/>
      <c r="U652" s="407"/>
      <c r="V652" s="407"/>
      <c r="W652" s="407"/>
      <c r="X652" s="407"/>
      <c r="Y652" s="407"/>
      <c r="Z652" s="408"/>
    </row>
    <row r="653" spans="1:26">
      <c r="A653" s="416"/>
      <c r="B653" s="407"/>
      <c r="C653" s="407"/>
      <c r="D653" s="407"/>
      <c r="E653" s="407"/>
      <c r="F653" s="407"/>
      <c r="G653" s="407"/>
      <c r="H653" s="407"/>
      <c r="I653" s="407"/>
      <c r="J653" s="407"/>
      <c r="K653" s="407"/>
      <c r="L653" s="407"/>
      <c r="M653" s="407"/>
      <c r="N653" s="407"/>
      <c r="O653" s="407"/>
      <c r="P653" s="407"/>
      <c r="Q653" s="407"/>
      <c r="R653" s="407"/>
      <c r="S653" s="407"/>
      <c r="T653" s="407"/>
      <c r="U653" s="407"/>
      <c r="V653" s="407"/>
      <c r="W653" s="407"/>
      <c r="X653" s="407"/>
      <c r="Y653" s="407"/>
      <c r="Z653" s="408"/>
    </row>
    <row r="654" spans="1:26">
      <c r="A654" s="416"/>
      <c r="B654" s="407"/>
      <c r="C654" s="407"/>
      <c r="D654" s="407"/>
      <c r="E654" s="407"/>
      <c r="F654" s="407"/>
      <c r="G654" s="407"/>
      <c r="H654" s="407"/>
      <c r="I654" s="407"/>
      <c r="J654" s="407"/>
      <c r="K654" s="407"/>
      <c r="L654" s="407"/>
      <c r="M654" s="407"/>
      <c r="N654" s="407"/>
      <c r="O654" s="407"/>
      <c r="P654" s="407"/>
      <c r="Q654" s="407"/>
      <c r="R654" s="407"/>
      <c r="S654" s="407"/>
      <c r="T654" s="407"/>
      <c r="U654" s="407"/>
      <c r="V654" s="407"/>
      <c r="W654" s="407"/>
      <c r="X654" s="407"/>
      <c r="Y654" s="407"/>
      <c r="Z654" s="408"/>
    </row>
    <row r="655" spans="1:26">
      <c r="A655" s="416"/>
      <c r="B655" s="407"/>
      <c r="C655" s="407"/>
      <c r="D655" s="407"/>
      <c r="E655" s="407"/>
      <c r="F655" s="407"/>
      <c r="G655" s="407"/>
      <c r="H655" s="407"/>
      <c r="I655" s="407"/>
      <c r="J655" s="407"/>
      <c r="K655" s="407"/>
      <c r="L655" s="407"/>
      <c r="M655" s="407"/>
      <c r="N655" s="407"/>
      <c r="O655" s="407"/>
      <c r="P655" s="407"/>
      <c r="Q655" s="407"/>
      <c r="R655" s="407"/>
      <c r="S655" s="407"/>
      <c r="T655" s="407"/>
      <c r="U655" s="407"/>
      <c r="V655" s="407"/>
      <c r="W655" s="407"/>
      <c r="X655" s="407"/>
      <c r="Y655" s="407"/>
      <c r="Z655" s="408"/>
    </row>
    <row r="656" spans="1:26">
      <c r="A656" s="416"/>
      <c r="B656" s="407"/>
      <c r="C656" s="407"/>
      <c r="D656" s="407"/>
      <c r="E656" s="407"/>
      <c r="F656" s="407"/>
      <c r="G656" s="407"/>
      <c r="H656" s="407"/>
      <c r="I656" s="407"/>
      <c r="J656" s="407"/>
      <c r="K656" s="407"/>
      <c r="L656" s="407"/>
      <c r="M656" s="407"/>
      <c r="N656" s="407"/>
      <c r="O656" s="407"/>
      <c r="P656" s="407"/>
      <c r="Q656" s="407"/>
      <c r="R656" s="407"/>
      <c r="S656" s="407"/>
      <c r="T656" s="407"/>
      <c r="U656" s="407"/>
      <c r="V656" s="407"/>
      <c r="W656" s="407"/>
      <c r="X656" s="407"/>
      <c r="Y656" s="407"/>
      <c r="Z656" s="408"/>
    </row>
    <row r="657" spans="1:26">
      <c r="A657" s="416"/>
      <c r="B657" s="407"/>
      <c r="C657" s="407"/>
      <c r="D657" s="407"/>
      <c r="E657" s="407"/>
      <c r="F657" s="407"/>
      <c r="G657" s="407"/>
      <c r="H657" s="407"/>
      <c r="I657" s="407"/>
      <c r="J657" s="407"/>
      <c r="K657" s="407"/>
      <c r="L657" s="407"/>
      <c r="M657" s="407"/>
      <c r="N657" s="407"/>
      <c r="O657" s="407"/>
      <c r="P657" s="407"/>
      <c r="Q657" s="407"/>
      <c r="R657" s="407"/>
      <c r="S657" s="407"/>
      <c r="T657" s="407"/>
      <c r="U657" s="407"/>
      <c r="V657" s="407"/>
      <c r="W657" s="407"/>
      <c r="X657" s="407"/>
      <c r="Y657" s="407"/>
      <c r="Z657" s="408"/>
    </row>
    <row r="658" spans="1:26">
      <c r="A658" s="416"/>
      <c r="B658" s="407"/>
      <c r="C658" s="407"/>
      <c r="D658" s="407"/>
      <c r="E658" s="407"/>
      <c r="F658" s="407"/>
      <c r="G658" s="407"/>
      <c r="H658" s="407"/>
      <c r="I658" s="407"/>
      <c r="J658" s="407"/>
      <c r="K658" s="407"/>
      <c r="L658" s="407"/>
      <c r="M658" s="407"/>
      <c r="N658" s="407"/>
      <c r="O658" s="407"/>
      <c r="P658" s="407"/>
      <c r="Q658" s="407"/>
      <c r="R658" s="407"/>
      <c r="S658" s="407"/>
      <c r="T658" s="407"/>
      <c r="U658" s="407"/>
      <c r="V658" s="407"/>
      <c r="W658" s="407"/>
      <c r="X658" s="407"/>
      <c r="Y658" s="407"/>
      <c r="Z658" s="408"/>
    </row>
    <row r="659" spans="1:26">
      <c r="A659" s="416"/>
      <c r="B659" s="407"/>
      <c r="C659" s="407"/>
      <c r="D659" s="407"/>
      <c r="E659" s="407"/>
      <c r="F659" s="407"/>
      <c r="G659" s="407"/>
      <c r="H659" s="407"/>
      <c r="I659" s="407"/>
      <c r="J659" s="407"/>
      <c r="K659" s="407"/>
      <c r="L659" s="407"/>
      <c r="M659" s="407"/>
      <c r="N659" s="407"/>
      <c r="O659" s="407"/>
      <c r="P659" s="407"/>
      <c r="Q659" s="407"/>
      <c r="R659" s="407"/>
      <c r="S659" s="407"/>
      <c r="T659" s="407"/>
      <c r="U659" s="407"/>
      <c r="V659" s="407"/>
      <c r="W659" s="407"/>
      <c r="X659" s="407"/>
      <c r="Y659" s="407"/>
      <c r="Z659" s="408"/>
    </row>
    <row r="660" spans="1:26">
      <c r="A660" s="416"/>
      <c r="B660" s="407"/>
      <c r="C660" s="407"/>
      <c r="D660" s="407"/>
      <c r="E660" s="407"/>
      <c r="F660" s="407"/>
      <c r="G660" s="407"/>
      <c r="H660" s="407"/>
      <c r="I660" s="407"/>
      <c r="J660" s="407"/>
      <c r="K660" s="407"/>
      <c r="L660" s="407"/>
      <c r="M660" s="407"/>
      <c r="N660" s="407"/>
      <c r="O660" s="407"/>
      <c r="P660" s="407"/>
      <c r="Q660" s="407"/>
      <c r="R660" s="407"/>
      <c r="S660" s="407"/>
      <c r="T660" s="407"/>
      <c r="U660" s="407"/>
      <c r="V660" s="407"/>
      <c r="W660" s="407"/>
      <c r="X660" s="407"/>
      <c r="Y660" s="407"/>
      <c r="Z660" s="408"/>
    </row>
    <row r="661" spans="1:26">
      <c r="A661" s="416"/>
      <c r="B661" s="407"/>
      <c r="C661" s="407"/>
      <c r="D661" s="407"/>
      <c r="E661" s="407"/>
      <c r="F661" s="407"/>
      <c r="G661" s="407"/>
      <c r="H661" s="407"/>
      <c r="I661" s="407"/>
      <c r="J661" s="407"/>
      <c r="K661" s="407"/>
      <c r="L661" s="407"/>
      <c r="M661" s="407"/>
      <c r="N661" s="407"/>
      <c r="O661" s="407"/>
      <c r="P661" s="407"/>
      <c r="Q661" s="407"/>
      <c r="R661" s="407"/>
      <c r="S661" s="407"/>
      <c r="T661" s="407"/>
      <c r="U661" s="407"/>
      <c r="V661" s="407"/>
      <c r="W661" s="407"/>
      <c r="X661" s="407"/>
      <c r="Y661" s="407"/>
      <c r="Z661" s="408"/>
    </row>
    <row r="662" spans="1:26">
      <c r="A662" s="416"/>
      <c r="B662" s="407"/>
      <c r="C662" s="407"/>
      <c r="D662" s="407"/>
      <c r="E662" s="407"/>
      <c r="F662" s="407"/>
      <c r="G662" s="407"/>
      <c r="H662" s="407"/>
      <c r="I662" s="407"/>
      <c r="J662" s="407"/>
      <c r="K662" s="407"/>
      <c r="L662" s="407"/>
      <c r="M662" s="407"/>
      <c r="N662" s="407"/>
      <c r="O662" s="407"/>
      <c r="P662" s="407"/>
      <c r="Q662" s="407"/>
      <c r="R662" s="407"/>
      <c r="S662" s="407"/>
      <c r="T662" s="407"/>
      <c r="U662" s="407"/>
      <c r="V662" s="407"/>
      <c r="W662" s="407"/>
      <c r="X662" s="407"/>
      <c r="Y662" s="407"/>
      <c r="Z662" s="408"/>
    </row>
    <row r="663" spans="1:26">
      <c r="A663" s="416"/>
      <c r="B663" s="407"/>
      <c r="C663" s="407"/>
      <c r="D663" s="407"/>
      <c r="E663" s="407"/>
      <c r="F663" s="407"/>
      <c r="G663" s="407"/>
      <c r="H663" s="407"/>
      <c r="I663" s="407"/>
      <c r="J663" s="407"/>
      <c r="K663" s="407"/>
      <c r="L663" s="407"/>
      <c r="M663" s="407"/>
      <c r="N663" s="407"/>
      <c r="O663" s="407"/>
      <c r="P663" s="407"/>
      <c r="Q663" s="407"/>
      <c r="R663" s="407"/>
      <c r="S663" s="407"/>
      <c r="T663" s="407"/>
      <c r="U663" s="407"/>
      <c r="V663" s="407"/>
      <c r="W663" s="407"/>
      <c r="X663" s="407"/>
      <c r="Y663" s="407"/>
      <c r="Z663" s="408"/>
    </row>
    <row r="664" spans="1:26">
      <c r="A664" s="416"/>
      <c r="B664" s="407"/>
      <c r="C664" s="407"/>
      <c r="D664" s="407"/>
      <c r="E664" s="407"/>
      <c r="F664" s="407"/>
      <c r="G664" s="407"/>
      <c r="H664" s="407"/>
      <c r="I664" s="407"/>
      <c r="J664" s="407"/>
      <c r="K664" s="407"/>
      <c r="L664" s="407"/>
      <c r="M664" s="407"/>
      <c r="N664" s="407"/>
      <c r="O664" s="407"/>
      <c r="P664" s="407"/>
      <c r="Q664" s="407"/>
      <c r="R664" s="407"/>
      <c r="S664" s="407"/>
      <c r="T664" s="407"/>
      <c r="U664" s="407"/>
      <c r="V664" s="407"/>
      <c r="W664" s="407"/>
      <c r="X664" s="407"/>
      <c r="Y664" s="407"/>
      <c r="Z664" s="408"/>
    </row>
    <row r="665" spans="1:26">
      <c r="A665" s="416"/>
      <c r="B665" s="407"/>
      <c r="C665" s="407"/>
      <c r="D665" s="407"/>
      <c r="E665" s="407"/>
      <c r="F665" s="407"/>
      <c r="G665" s="407"/>
      <c r="H665" s="407"/>
      <c r="I665" s="407"/>
      <c r="J665" s="407"/>
      <c r="K665" s="407"/>
      <c r="L665" s="407"/>
      <c r="M665" s="407"/>
      <c r="N665" s="407"/>
      <c r="O665" s="407"/>
      <c r="P665" s="407"/>
      <c r="Q665" s="407"/>
      <c r="R665" s="407"/>
      <c r="S665" s="407"/>
      <c r="T665" s="407"/>
      <c r="U665" s="407"/>
      <c r="V665" s="407"/>
      <c r="W665" s="407"/>
      <c r="X665" s="407"/>
      <c r="Y665" s="407"/>
      <c r="Z665" s="408"/>
    </row>
    <row r="666" spans="1:26">
      <c r="A666" s="416"/>
      <c r="B666" s="407"/>
      <c r="C666" s="407"/>
      <c r="D666" s="407"/>
      <c r="E666" s="407"/>
      <c r="F666" s="407"/>
      <c r="G666" s="407"/>
      <c r="H666" s="407"/>
      <c r="I666" s="407"/>
      <c r="J666" s="407"/>
      <c r="K666" s="407"/>
      <c r="L666" s="407"/>
      <c r="M666" s="407"/>
      <c r="N666" s="407"/>
      <c r="O666" s="407"/>
      <c r="P666" s="407"/>
      <c r="Q666" s="407"/>
      <c r="R666" s="407"/>
      <c r="S666" s="407"/>
      <c r="T666" s="407"/>
      <c r="U666" s="407"/>
      <c r="V666" s="407"/>
      <c r="W666" s="407"/>
      <c r="X666" s="407"/>
      <c r="Y666" s="407"/>
      <c r="Z666" s="408"/>
    </row>
    <row r="667" spans="1:26">
      <c r="A667" s="416"/>
      <c r="B667" s="407"/>
      <c r="C667" s="407"/>
      <c r="D667" s="407"/>
      <c r="E667" s="407"/>
      <c r="F667" s="407"/>
      <c r="G667" s="407"/>
      <c r="H667" s="407"/>
      <c r="I667" s="407"/>
      <c r="J667" s="407"/>
      <c r="K667" s="407"/>
      <c r="L667" s="407"/>
      <c r="M667" s="407"/>
      <c r="N667" s="407"/>
      <c r="O667" s="407"/>
      <c r="P667" s="407"/>
      <c r="Q667" s="407"/>
      <c r="R667" s="407"/>
      <c r="S667" s="407"/>
      <c r="T667" s="407"/>
      <c r="U667" s="407"/>
      <c r="V667" s="407"/>
      <c r="W667" s="407"/>
      <c r="X667" s="407"/>
      <c r="Y667" s="407"/>
      <c r="Z667" s="408"/>
    </row>
    <row r="668" spans="1:26">
      <c r="A668" s="416"/>
      <c r="B668" s="407"/>
      <c r="C668" s="407"/>
      <c r="D668" s="407"/>
      <c r="E668" s="407"/>
      <c r="F668" s="407"/>
      <c r="G668" s="407"/>
      <c r="H668" s="407"/>
      <c r="I668" s="407"/>
      <c r="J668" s="407"/>
      <c r="K668" s="407"/>
      <c r="L668" s="407"/>
      <c r="M668" s="407"/>
      <c r="N668" s="407"/>
      <c r="O668" s="407"/>
      <c r="P668" s="407"/>
      <c r="Q668" s="407"/>
      <c r="R668" s="407"/>
      <c r="S668" s="407"/>
      <c r="T668" s="407"/>
      <c r="U668" s="407"/>
      <c r="V668" s="407"/>
      <c r="W668" s="407"/>
      <c r="X668" s="407"/>
      <c r="Y668" s="407"/>
      <c r="Z668" s="408"/>
    </row>
    <row r="669" spans="1:26">
      <c r="A669" s="416"/>
      <c r="B669" s="407"/>
      <c r="C669" s="407"/>
      <c r="D669" s="407"/>
      <c r="E669" s="407"/>
      <c r="F669" s="407"/>
      <c r="G669" s="407"/>
      <c r="H669" s="407"/>
      <c r="I669" s="407"/>
      <c r="J669" s="407"/>
      <c r="K669" s="407"/>
      <c r="L669" s="407"/>
      <c r="M669" s="407"/>
      <c r="N669" s="407"/>
      <c r="O669" s="407"/>
      <c r="P669" s="407"/>
      <c r="Q669" s="407"/>
      <c r="R669" s="407"/>
      <c r="S669" s="407"/>
      <c r="T669" s="407"/>
      <c r="U669" s="407"/>
      <c r="V669" s="407"/>
      <c r="W669" s="407"/>
      <c r="X669" s="407"/>
      <c r="Y669" s="407"/>
      <c r="Z669" s="408"/>
    </row>
    <row r="670" spans="1:26">
      <c r="A670" s="416"/>
      <c r="B670" s="407"/>
      <c r="C670" s="407"/>
      <c r="D670" s="407"/>
      <c r="E670" s="407"/>
      <c r="F670" s="407"/>
      <c r="G670" s="407"/>
      <c r="H670" s="407"/>
      <c r="I670" s="407"/>
      <c r="J670" s="407"/>
      <c r="K670" s="407"/>
      <c r="L670" s="407"/>
      <c r="M670" s="407"/>
      <c r="N670" s="407"/>
      <c r="O670" s="407"/>
      <c r="P670" s="407"/>
      <c r="Q670" s="407"/>
      <c r="R670" s="407"/>
      <c r="S670" s="407"/>
      <c r="T670" s="407"/>
      <c r="U670" s="407"/>
      <c r="V670" s="407"/>
      <c r="W670" s="407"/>
      <c r="X670" s="407"/>
      <c r="Y670" s="407"/>
      <c r="Z670" s="408"/>
    </row>
    <row r="671" spans="1:26">
      <c r="A671" s="416"/>
      <c r="B671" s="407"/>
      <c r="C671" s="407"/>
      <c r="D671" s="407"/>
      <c r="E671" s="407"/>
      <c r="F671" s="407"/>
      <c r="G671" s="407"/>
      <c r="H671" s="407"/>
      <c r="I671" s="407"/>
      <c r="J671" s="407"/>
      <c r="K671" s="407"/>
      <c r="L671" s="407"/>
      <c r="M671" s="407"/>
      <c r="N671" s="407"/>
      <c r="O671" s="407"/>
      <c r="P671" s="407"/>
      <c r="Q671" s="407"/>
      <c r="R671" s="407"/>
      <c r="S671" s="407"/>
      <c r="T671" s="407"/>
      <c r="U671" s="407"/>
      <c r="V671" s="407"/>
      <c r="W671" s="407"/>
      <c r="X671" s="407"/>
      <c r="Y671" s="407"/>
      <c r="Z671" s="408"/>
    </row>
    <row r="672" spans="1:26">
      <c r="A672" s="416"/>
      <c r="B672" s="407"/>
      <c r="C672" s="407"/>
      <c r="D672" s="407"/>
      <c r="E672" s="407"/>
      <c r="F672" s="407"/>
      <c r="G672" s="407"/>
      <c r="H672" s="407"/>
      <c r="I672" s="407"/>
      <c r="J672" s="407"/>
      <c r="K672" s="407"/>
      <c r="L672" s="407"/>
      <c r="M672" s="407"/>
      <c r="N672" s="407"/>
      <c r="O672" s="407"/>
      <c r="P672" s="407"/>
      <c r="Q672" s="407"/>
      <c r="R672" s="407"/>
      <c r="S672" s="407"/>
      <c r="T672" s="407"/>
      <c r="U672" s="407"/>
      <c r="V672" s="407"/>
      <c r="W672" s="407"/>
      <c r="X672" s="407"/>
      <c r="Y672" s="407"/>
      <c r="Z672" s="408"/>
    </row>
    <row r="673" spans="1:26">
      <c r="A673" s="416"/>
      <c r="B673" s="407"/>
      <c r="C673" s="407"/>
      <c r="D673" s="407"/>
      <c r="E673" s="407"/>
      <c r="F673" s="407"/>
      <c r="G673" s="407"/>
      <c r="H673" s="407"/>
      <c r="I673" s="407"/>
      <c r="J673" s="407"/>
      <c r="K673" s="407"/>
      <c r="L673" s="407"/>
      <c r="M673" s="407"/>
      <c r="N673" s="407"/>
      <c r="O673" s="407"/>
      <c r="P673" s="407"/>
      <c r="Q673" s="407"/>
      <c r="R673" s="407"/>
      <c r="S673" s="407"/>
      <c r="T673" s="407"/>
      <c r="U673" s="407"/>
      <c r="V673" s="407"/>
      <c r="W673" s="407"/>
      <c r="X673" s="407"/>
      <c r="Y673" s="407"/>
      <c r="Z673" s="408"/>
    </row>
    <row r="674" spans="1:26">
      <c r="A674" s="416"/>
      <c r="B674" s="407"/>
      <c r="C674" s="407"/>
      <c r="D674" s="407"/>
      <c r="E674" s="407"/>
      <c r="F674" s="407"/>
      <c r="G674" s="407"/>
      <c r="H674" s="407"/>
      <c r="I674" s="407"/>
      <c r="J674" s="407"/>
      <c r="K674" s="407"/>
      <c r="L674" s="407"/>
      <c r="M674" s="407"/>
      <c r="N674" s="407"/>
      <c r="O674" s="407"/>
      <c r="P674" s="407"/>
      <c r="Q674" s="407"/>
      <c r="R674" s="407"/>
      <c r="S674" s="407"/>
      <c r="T674" s="407"/>
      <c r="U674" s="407"/>
      <c r="V674" s="407"/>
      <c r="W674" s="407"/>
      <c r="X674" s="407"/>
      <c r="Y674" s="407"/>
      <c r="Z674" s="408"/>
    </row>
    <row r="675" spans="1:26">
      <c r="A675" s="416"/>
      <c r="B675" s="407"/>
      <c r="C675" s="407"/>
      <c r="D675" s="407"/>
      <c r="E675" s="407"/>
      <c r="F675" s="407"/>
      <c r="G675" s="407"/>
      <c r="H675" s="407"/>
      <c r="I675" s="407"/>
      <c r="J675" s="407"/>
      <c r="K675" s="407"/>
      <c r="L675" s="407"/>
      <c r="M675" s="407"/>
      <c r="N675" s="407"/>
      <c r="O675" s="407"/>
      <c r="P675" s="407"/>
      <c r="Q675" s="407"/>
      <c r="R675" s="407"/>
      <c r="S675" s="407"/>
      <c r="T675" s="407"/>
      <c r="U675" s="407"/>
      <c r="V675" s="407"/>
      <c r="W675" s="407"/>
      <c r="X675" s="407"/>
      <c r="Y675" s="407"/>
      <c r="Z675" s="408"/>
    </row>
    <row r="676" spans="1:26">
      <c r="A676" s="416"/>
      <c r="B676" s="407"/>
      <c r="C676" s="407"/>
      <c r="D676" s="407"/>
      <c r="E676" s="407"/>
      <c r="F676" s="407"/>
      <c r="G676" s="407"/>
      <c r="H676" s="407"/>
      <c r="I676" s="407"/>
      <c r="J676" s="407"/>
      <c r="K676" s="407"/>
      <c r="L676" s="407"/>
      <c r="M676" s="407"/>
      <c r="N676" s="407"/>
      <c r="O676" s="407"/>
      <c r="P676" s="407"/>
      <c r="Q676" s="407"/>
      <c r="R676" s="407"/>
      <c r="S676" s="407"/>
      <c r="T676" s="407"/>
      <c r="U676" s="407"/>
      <c r="V676" s="407"/>
      <c r="W676" s="407"/>
      <c r="X676" s="407"/>
      <c r="Y676" s="407"/>
      <c r="Z676" s="408"/>
    </row>
    <row r="677" spans="1:26">
      <c r="A677" s="416"/>
      <c r="B677" s="407"/>
      <c r="C677" s="407"/>
      <c r="D677" s="407"/>
      <c r="E677" s="407"/>
      <c r="F677" s="407"/>
      <c r="G677" s="407"/>
      <c r="H677" s="407"/>
      <c r="I677" s="407"/>
      <c r="J677" s="407"/>
      <c r="K677" s="407"/>
      <c r="L677" s="407"/>
      <c r="M677" s="407"/>
      <c r="N677" s="407"/>
      <c r="O677" s="407"/>
      <c r="P677" s="407"/>
      <c r="Q677" s="407"/>
      <c r="R677" s="407"/>
      <c r="S677" s="407"/>
      <c r="T677" s="407"/>
      <c r="U677" s="407"/>
      <c r="V677" s="407"/>
      <c r="W677" s="407"/>
      <c r="X677" s="407"/>
      <c r="Y677" s="407"/>
      <c r="Z677" s="408"/>
    </row>
    <row r="678" spans="1:26">
      <c r="A678" s="416"/>
      <c r="B678" s="407"/>
      <c r="C678" s="407"/>
      <c r="D678" s="407"/>
      <c r="E678" s="407"/>
      <c r="F678" s="407"/>
      <c r="G678" s="407"/>
      <c r="H678" s="407"/>
      <c r="I678" s="407"/>
      <c r="J678" s="407"/>
      <c r="K678" s="407"/>
      <c r="L678" s="407"/>
      <c r="M678" s="407"/>
      <c r="N678" s="407"/>
      <c r="O678" s="407"/>
      <c r="P678" s="407"/>
      <c r="Q678" s="407"/>
      <c r="R678" s="407"/>
      <c r="S678" s="407"/>
      <c r="T678" s="407"/>
      <c r="U678" s="407"/>
      <c r="V678" s="407"/>
      <c r="W678" s="407"/>
      <c r="X678" s="407"/>
      <c r="Y678" s="407"/>
      <c r="Z678" s="408"/>
    </row>
    <row r="679" spans="1:26">
      <c r="A679" s="416"/>
      <c r="B679" s="407"/>
      <c r="C679" s="407"/>
      <c r="D679" s="407"/>
      <c r="E679" s="407"/>
      <c r="F679" s="407"/>
      <c r="G679" s="407"/>
      <c r="H679" s="407"/>
      <c r="I679" s="407"/>
      <c r="J679" s="407"/>
      <c r="K679" s="407"/>
      <c r="L679" s="407"/>
      <c r="M679" s="407"/>
      <c r="N679" s="407"/>
      <c r="O679" s="407"/>
      <c r="P679" s="407"/>
      <c r="Q679" s="407"/>
      <c r="R679" s="407"/>
      <c r="S679" s="407"/>
      <c r="T679" s="407"/>
      <c r="U679" s="407"/>
      <c r="V679" s="407"/>
      <c r="W679" s="407"/>
      <c r="X679" s="407"/>
      <c r="Y679" s="407"/>
      <c r="Z679" s="408"/>
    </row>
    <row r="680" spans="1:26">
      <c r="A680" s="416"/>
      <c r="B680" s="407"/>
      <c r="C680" s="407"/>
      <c r="D680" s="407"/>
      <c r="E680" s="407"/>
      <c r="F680" s="407"/>
      <c r="G680" s="407"/>
      <c r="H680" s="407"/>
      <c r="I680" s="407"/>
      <c r="J680" s="407"/>
      <c r="K680" s="407"/>
      <c r="L680" s="407"/>
      <c r="M680" s="407"/>
      <c r="N680" s="407"/>
      <c r="O680" s="407"/>
      <c r="P680" s="407"/>
      <c r="Q680" s="407"/>
      <c r="R680" s="407"/>
      <c r="S680" s="407"/>
      <c r="T680" s="407"/>
      <c r="U680" s="407"/>
      <c r="V680" s="407"/>
      <c r="W680" s="407"/>
      <c r="X680" s="407"/>
      <c r="Y680" s="407"/>
      <c r="Z680" s="408"/>
    </row>
    <row r="681" spans="1:26">
      <c r="A681" s="416"/>
      <c r="B681" s="407"/>
      <c r="C681" s="407"/>
      <c r="D681" s="407"/>
      <c r="E681" s="407"/>
      <c r="F681" s="407"/>
      <c r="G681" s="407"/>
      <c r="H681" s="407"/>
      <c r="I681" s="407"/>
      <c r="J681" s="407"/>
      <c r="K681" s="407"/>
      <c r="L681" s="407"/>
      <c r="M681" s="407"/>
      <c r="N681" s="407"/>
      <c r="O681" s="407"/>
      <c r="P681" s="407"/>
      <c r="Q681" s="407"/>
      <c r="R681" s="407"/>
      <c r="S681" s="407"/>
      <c r="T681" s="407"/>
      <c r="U681" s="407"/>
      <c r="V681" s="407"/>
      <c r="W681" s="407"/>
      <c r="X681" s="407"/>
      <c r="Y681" s="407"/>
      <c r="Z681" s="408"/>
    </row>
    <row r="682" spans="1:26">
      <c r="A682" s="416"/>
      <c r="B682" s="407"/>
      <c r="C682" s="407"/>
      <c r="D682" s="407"/>
      <c r="E682" s="407"/>
      <c r="F682" s="407"/>
      <c r="G682" s="407"/>
      <c r="H682" s="407"/>
      <c r="I682" s="407"/>
      <c r="J682" s="407"/>
      <c r="K682" s="407"/>
      <c r="L682" s="407"/>
      <c r="M682" s="407"/>
      <c r="N682" s="407"/>
      <c r="O682" s="407"/>
      <c r="P682" s="407"/>
      <c r="Q682" s="407"/>
      <c r="R682" s="407"/>
      <c r="S682" s="407"/>
      <c r="T682" s="407"/>
      <c r="U682" s="407"/>
      <c r="V682" s="407"/>
      <c r="W682" s="407"/>
      <c r="X682" s="407"/>
      <c r="Y682" s="407"/>
      <c r="Z682" s="408"/>
    </row>
    <row r="683" spans="1:26">
      <c r="A683" s="416"/>
      <c r="B683" s="407"/>
      <c r="C683" s="407"/>
      <c r="D683" s="407"/>
      <c r="E683" s="407"/>
      <c r="F683" s="407"/>
      <c r="G683" s="407"/>
      <c r="H683" s="407"/>
      <c r="I683" s="407"/>
      <c r="J683" s="407"/>
      <c r="K683" s="407"/>
      <c r="L683" s="407"/>
      <c r="M683" s="407"/>
      <c r="N683" s="407"/>
      <c r="O683" s="407"/>
      <c r="P683" s="407"/>
      <c r="Q683" s="407"/>
      <c r="R683" s="407"/>
      <c r="S683" s="407"/>
      <c r="T683" s="407"/>
      <c r="U683" s="407"/>
      <c r="V683" s="407"/>
      <c r="W683" s="407"/>
      <c r="X683" s="407"/>
      <c r="Y683" s="407"/>
      <c r="Z683" s="408"/>
    </row>
    <row r="684" spans="1:26">
      <c r="A684" s="416"/>
      <c r="B684" s="407"/>
      <c r="C684" s="407"/>
      <c r="D684" s="407"/>
      <c r="E684" s="407"/>
      <c r="F684" s="407"/>
      <c r="G684" s="407"/>
      <c r="H684" s="407"/>
      <c r="I684" s="407"/>
      <c r="J684" s="407"/>
      <c r="K684" s="407"/>
      <c r="L684" s="407"/>
      <c r="M684" s="407"/>
      <c r="N684" s="407"/>
      <c r="O684" s="407"/>
      <c r="P684" s="407"/>
      <c r="Q684" s="407"/>
      <c r="R684" s="407"/>
      <c r="S684" s="407"/>
      <c r="T684" s="407"/>
      <c r="U684" s="407"/>
      <c r="V684" s="407"/>
      <c r="W684" s="407"/>
      <c r="X684" s="407"/>
      <c r="Y684" s="407"/>
      <c r="Z684" s="408"/>
    </row>
    <row r="685" spans="1:26">
      <c r="A685" s="416"/>
      <c r="B685" s="407"/>
      <c r="C685" s="407"/>
      <c r="D685" s="407"/>
      <c r="E685" s="407"/>
      <c r="F685" s="407"/>
      <c r="G685" s="407"/>
      <c r="H685" s="407"/>
      <c r="I685" s="407"/>
      <c r="J685" s="407"/>
      <c r="K685" s="407"/>
      <c r="L685" s="407"/>
      <c r="M685" s="407"/>
      <c r="N685" s="407"/>
      <c r="O685" s="407"/>
      <c r="P685" s="407"/>
      <c r="Q685" s="407"/>
      <c r="R685" s="407"/>
      <c r="S685" s="407"/>
      <c r="T685" s="407"/>
      <c r="U685" s="407"/>
      <c r="V685" s="407"/>
      <c r="W685" s="407"/>
      <c r="X685" s="407"/>
      <c r="Y685" s="407"/>
      <c r="Z685" s="408"/>
    </row>
    <row r="686" spans="1:26">
      <c r="A686" s="416"/>
      <c r="B686" s="407"/>
      <c r="C686" s="407"/>
      <c r="D686" s="407"/>
      <c r="E686" s="407"/>
      <c r="F686" s="407"/>
      <c r="G686" s="407"/>
      <c r="H686" s="407"/>
      <c r="I686" s="407"/>
      <c r="J686" s="407"/>
      <c r="K686" s="407"/>
      <c r="L686" s="407"/>
      <c r="M686" s="407"/>
      <c r="N686" s="407"/>
      <c r="O686" s="407"/>
      <c r="P686" s="407"/>
      <c r="Q686" s="407"/>
      <c r="R686" s="407"/>
      <c r="S686" s="407"/>
      <c r="T686" s="407"/>
      <c r="U686" s="407"/>
      <c r="V686" s="407"/>
      <c r="W686" s="407"/>
      <c r="X686" s="407"/>
      <c r="Y686" s="407"/>
      <c r="Z686" s="408"/>
    </row>
    <row r="687" spans="1:26">
      <c r="A687" s="416"/>
      <c r="B687" s="407"/>
      <c r="C687" s="407"/>
      <c r="D687" s="407"/>
      <c r="E687" s="407"/>
      <c r="F687" s="407"/>
      <c r="G687" s="407"/>
      <c r="H687" s="407"/>
      <c r="I687" s="407"/>
      <c r="J687" s="407"/>
      <c r="K687" s="407"/>
      <c r="L687" s="407"/>
      <c r="M687" s="407"/>
      <c r="N687" s="407"/>
      <c r="O687" s="407"/>
      <c r="P687" s="407"/>
      <c r="Q687" s="407"/>
      <c r="R687" s="407"/>
      <c r="S687" s="407"/>
      <c r="T687" s="407"/>
      <c r="U687" s="407"/>
      <c r="V687" s="407"/>
      <c r="W687" s="407"/>
      <c r="X687" s="407"/>
      <c r="Y687" s="407"/>
      <c r="Z687" s="408"/>
    </row>
    <row r="688" spans="1:26">
      <c r="A688" s="416"/>
      <c r="B688" s="407"/>
      <c r="C688" s="407"/>
      <c r="D688" s="407"/>
      <c r="E688" s="407"/>
      <c r="F688" s="407"/>
      <c r="G688" s="407"/>
      <c r="H688" s="407"/>
      <c r="I688" s="407"/>
      <c r="J688" s="407"/>
      <c r="K688" s="407"/>
      <c r="L688" s="407"/>
      <c r="M688" s="407"/>
      <c r="N688" s="407"/>
      <c r="O688" s="407"/>
      <c r="P688" s="407"/>
      <c r="Q688" s="407"/>
      <c r="R688" s="407"/>
      <c r="S688" s="407"/>
      <c r="T688" s="407"/>
      <c r="U688" s="407"/>
      <c r="V688" s="407"/>
      <c r="W688" s="407"/>
      <c r="X688" s="407"/>
      <c r="Y688" s="407"/>
      <c r="Z688" s="408"/>
    </row>
    <row r="689" spans="1:26">
      <c r="A689" s="416"/>
      <c r="B689" s="407"/>
      <c r="C689" s="407"/>
      <c r="D689" s="407"/>
      <c r="E689" s="407"/>
      <c r="F689" s="407"/>
      <c r="G689" s="407"/>
      <c r="H689" s="407"/>
      <c r="I689" s="407"/>
      <c r="J689" s="407"/>
      <c r="K689" s="407"/>
      <c r="L689" s="407"/>
      <c r="M689" s="407"/>
      <c r="N689" s="407"/>
      <c r="O689" s="407"/>
      <c r="P689" s="407"/>
      <c r="Q689" s="407"/>
      <c r="R689" s="407"/>
      <c r="S689" s="407"/>
      <c r="T689" s="407"/>
      <c r="U689" s="407"/>
      <c r="V689" s="407"/>
      <c r="W689" s="407"/>
      <c r="X689" s="407"/>
      <c r="Y689" s="407"/>
      <c r="Z689" s="408"/>
    </row>
    <row r="690" spans="1:26">
      <c r="A690" s="416"/>
      <c r="B690" s="407"/>
      <c r="C690" s="407"/>
      <c r="D690" s="407"/>
      <c r="E690" s="407"/>
      <c r="F690" s="407"/>
      <c r="G690" s="407"/>
      <c r="H690" s="407"/>
      <c r="I690" s="407"/>
      <c r="J690" s="407"/>
      <c r="K690" s="407"/>
      <c r="L690" s="407"/>
      <c r="M690" s="407"/>
      <c r="N690" s="407"/>
      <c r="O690" s="407"/>
      <c r="P690" s="407"/>
      <c r="Q690" s="407"/>
      <c r="R690" s="407"/>
      <c r="S690" s="407"/>
      <c r="T690" s="407"/>
      <c r="U690" s="407"/>
      <c r="V690" s="407"/>
      <c r="W690" s="407"/>
      <c r="X690" s="407"/>
      <c r="Y690" s="407"/>
      <c r="Z690" s="408"/>
    </row>
    <row r="691" spans="1:26">
      <c r="A691" s="416"/>
      <c r="B691" s="407"/>
      <c r="C691" s="407"/>
      <c r="D691" s="407"/>
      <c r="E691" s="407"/>
      <c r="F691" s="407"/>
      <c r="G691" s="407"/>
      <c r="H691" s="407"/>
      <c r="I691" s="407"/>
      <c r="J691" s="407"/>
      <c r="K691" s="407"/>
      <c r="L691" s="407"/>
      <c r="M691" s="407"/>
      <c r="N691" s="407"/>
      <c r="O691" s="407"/>
      <c r="P691" s="407"/>
      <c r="Q691" s="407"/>
      <c r="R691" s="407"/>
      <c r="S691" s="407"/>
      <c r="T691" s="407"/>
      <c r="U691" s="407"/>
      <c r="V691" s="407"/>
      <c r="W691" s="407"/>
      <c r="X691" s="407"/>
      <c r="Y691" s="407"/>
      <c r="Z691" s="408"/>
    </row>
    <row r="692" spans="1:26">
      <c r="A692" s="416"/>
      <c r="B692" s="407"/>
      <c r="C692" s="407"/>
      <c r="D692" s="407"/>
      <c r="E692" s="407"/>
      <c r="F692" s="407"/>
      <c r="G692" s="407"/>
      <c r="H692" s="407"/>
      <c r="I692" s="407"/>
      <c r="J692" s="407"/>
      <c r="K692" s="407"/>
      <c r="L692" s="407"/>
      <c r="M692" s="407"/>
      <c r="N692" s="407"/>
      <c r="O692" s="407"/>
      <c r="P692" s="407"/>
      <c r="Q692" s="407"/>
      <c r="R692" s="407"/>
      <c r="S692" s="407"/>
      <c r="T692" s="407"/>
      <c r="U692" s="407"/>
      <c r="V692" s="407"/>
      <c r="W692" s="407"/>
      <c r="X692" s="407"/>
      <c r="Y692" s="407"/>
      <c r="Z692" s="408"/>
    </row>
    <row r="693" spans="1:26">
      <c r="A693" s="416"/>
      <c r="B693" s="407"/>
      <c r="C693" s="407"/>
      <c r="D693" s="407"/>
      <c r="E693" s="407"/>
      <c r="F693" s="407"/>
      <c r="G693" s="407"/>
      <c r="H693" s="407"/>
      <c r="I693" s="407"/>
      <c r="J693" s="407"/>
      <c r="K693" s="407"/>
      <c r="L693" s="407"/>
      <c r="M693" s="407"/>
      <c r="N693" s="407"/>
      <c r="O693" s="407"/>
      <c r="P693" s="407"/>
      <c r="Q693" s="407"/>
      <c r="R693" s="407"/>
      <c r="S693" s="407"/>
      <c r="T693" s="407"/>
      <c r="U693" s="407"/>
      <c r="V693" s="407"/>
      <c r="W693" s="407"/>
      <c r="X693" s="407"/>
      <c r="Y693" s="407"/>
      <c r="Z693" s="408"/>
    </row>
    <row r="694" spans="1:26">
      <c r="A694" s="416"/>
      <c r="B694" s="407"/>
      <c r="C694" s="407"/>
      <c r="D694" s="407"/>
      <c r="E694" s="407"/>
      <c r="F694" s="407"/>
      <c r="G694" s="407"/>
      <c r="H694" s="407"/>
      <c r="I694" s="407"/>
      <c r="J694" s="407"/>
      <c r="K694" s="407"/>
      <c r="L694" s="407"/>
      <c r="M694" s="407"/>
      <c r="N694" s="407"/>
      <c r="O694" s="407"/>
      <c r="P694" s="407"/>
      <c r="Q694" s="407"/>
      <c r="R694" s="407"/>
      <c r="S694" s="407"/>
      <c r="T694" s="407"/>
      <c r="U694" s="407"/>
      <c r="V694" s="407"/>
      <c r="W694" s="407"/>
      <c r="X694" s="407"/>
      <c r="Y694" s="407"/>
      <c r="Z694" s="408"/>
    </row>
    <row r="695" spans="1:26">
      <c r="A695" s="416"/>
      <c r="B695" s="407"/>
      <c r="C695" s="407"/>
      <c r="D695" s="407"/>
      <c r="E695" s="407"/>
      <c r="F695" s="407"/>
      <c r="G695" s="407"/>
      <c r="H695" s="407"/>
      <c r="I695" s="407"/>
      <c r="J695" s="407"/>
      <c r="K695" s="407"/>
      <c r="L695" s="407"/>
      <c r="M695" s="407"/>
      <c r="N695" s="407"/>
      <c r="O695" s="407"/>
      <c r="P695" s="407"/>
      <c r="Q695" s="407"/>
      <c r="R695" s="407"/>
      <c r="S695" s="407"/>
      <c r="T695" s="407"/>
      <c r="U695" s="407"/>
      <c r="V695" s="407"/>
      <c r="W695" s="407"/>
      <c r="X695" s="407"/>
      <c r="Y695" s="407"/>
      <c r="Z695" s="408"/>
    </row>
    <row r="696" spans="1:26">
      <c r="A696" s="416"/>
      <c r="B696" s="407"/>
      <c r="C696" s="407"/>
      <c r="D696" s="407"/>
      <c r="E696" s="407"/>
      <c r="F696" s="407"/>
      <c r="G696" s="407"/>
      <c r="H696" s="407"/>
      <c r="I696" s="407"/>
      <c r="J696" s="407"/>
      <c r="K696" s="407"/>
      <c r="L696" s="407"/>
      <c r="M696" s="407"/>
      <c r="N696" s="407"/>
      <c r="O696" s="407"/>
      <c r="P696" s="407"/>
      <c r="Q696" s="407"/>
      <c r="R696" s="407"/>
      <c r="S696" s="407"/>
      <c r="T696" s="407"/>
      <c r="U696" s="407"/>
      <c r="V696" s="407"/>
      <c r="W696" s="407"/>
      <c r="X696" s="407"/>
      <c r="Y696" s="407"/>
      <c r="Z696" s="408"/>
    </row>
    <row r="697" spans="1:26">
      <c r="A697" s="416"/>
      <c r="B697" s="407"/>
      <c r="C697" s="407"/>
      <c r="D697" s="407"/>
      <c r="E697" s="407"/>
      <c r="F697" s="407"/>
      <c r="G697" s="407"/>
      <c r="H697" s="407"/>
      <c r="I697" s="407"/>
      <c r="J697" s="407"/>
      <c r="K697" s="407"/>
      <c r="L697" s="407"/>
      <c r="M697" s="407"/>
      <c r="N697" s="407"/>
      <c r="O697" s="407"/>
      <c r="P697" s="407"/>
      <c r="Q697" s="407"/>
      <c r="R697" s="407"/>
      <c r="S697" s="407"/>
      <c r="T697" s="407"/>
      <c r="U697" s="407"/>
      <c r="V697" s="407"/>
      <c r="W697" s="407"/>
      <c r="X697" s="407"/>
      <c r="Y697" s="407"/>
      <c r="Z697" s="408"/>
    </row>
    <row r="698" spans="1:26">
      <c r="A698" s="416"/>
      <c r="B698" s="407"/>
      <c r="C698" s="407"/>
      <c r="D698" s="407"/>
      <c r="E698" s="407"/>
      <c r="F698" s="407"/>
      <c r="G698" s="407"/>
      <c r="H698" s="407"/>
      <c r="I698" s="407"/>
      <c r="J698" s="407"/>
      <c r="K698" s="407"/>
      <c r="L698" s="407"/>
      <c r="M698" s="407"/>
      <c r="N698" s="407"/>
      <c r="O698" s="407"/>
      <c r="P698" s="407"/>
      <c r="Q698" s="407"/>
      <c r="R698" s="407"/>
      <c r="S698" s="407"/>
      <c r="T698" s="407"/>
      <c r="U698" s="407"/>
      <c r="V698" s="407"/>
      <c r="W698" s="407"/>
      <c r="X698" s="407"/>
      <c r="Y698" s="407"/>
      <c r="Z698" s="408"/>
    </row>
    <row r="699" spans="1:26">
      <c r="A699" s="416"/>
      <c r="B699" s="407"/>
      <c r="C699" s="407"/>
      <c r="D699" s="407"/>
      <c r="E699" s="407"/>
      <c r="F699" s="407"/>
      <c r="G699" s="407"/>
      <c r="H699" s="407"/>
      <c r="I699" s="407"/>
      <c r="J699" s="407"/>
      <c r="K699" s="407"/>
      <c r="L699" s="407"/>
      <c r="M699" s="407"/>
      <c r="N699" s="407"/>
      <c r="O699" s="407"/>
      <c r="P699" s="407"/>
      <c r="Q699" s="407"/>
      <c r="R699" s="407"/>
      <c r="S699" s="407"/>
      <c r="T699" s="407"/>
      <c r="U699" s="407"/>
      <c r="V699" s="407"/>
      <c r="W699" s="407"/>
      <c r="X699" s="407"/>
      <c r="Y699" s="407"/>
      <c r="Z699" s="408"/>
    </row>
    <row r="700" spans="1:26">
      <c r="A700" s="416"/>
      <c r="B700" s="407"/>
      <c r="C700" s="407"/>
      <c r="D700" s="407"/>
      <c r="E700" s="407"/>
      <c r="F700" s="407"/>
      <c r="G700" s="407"/>
      <c r="H700" s="407"/>
      <c r="I700" s="407"/>
      <c r="J700" s="407"/>
      <c r="K700" s="407"/>
      <c r="L700" s="407"/>
      <c r="M700" s="407"/>
      <c r="N700" s="407"/>
      <c r="O700" s="407"/>
      <c r="P700" s="407"/>
      <c r="Q700" s="407"/>
      <c r="R700" s="407"/>
      <c r="S700" s="407"/>
      <c r="T700" s="407"/>
      <c r="U700" s="407"/>
      <c r="V700" s="407"/>
      <c r="W700" s="407"/>
      <c r="X700" s="407"/>
      <c r="Y700" s="407"/>
      <c r="Z700" s="408"/>
    </row>
    <row r="701" spans="1:26">
      <c r="A701" s="416"/>
      <c r="B701" s="407"/>
      <c r="C701" s="407"/>
      <c r="D701" s="407"/>
      <c r="E701" s="407"/>
      <c r="F701" s="407"/>
      <c r="G701" s="407"/>
      <c r="H701" s="407"/>
      <c r="I701" s="407"/>
      <c r="J701" s="407"/>
      <c r="K701" s="407"/>
      <c r="L701" s="407"/>
      <c r="M701" s="407"/>
      <c r="N701" s="407"/>
      <c r="O701" s="407"/>
      <c r="P701" s="407"/>
      <c r="Q701" s="407"/>
      <c r="R701" s="407"/>
      <c r="S701" s="407"/>
      <c r="T701" s="407"/>
      <c r="U701" s="407"/>
      <c r="V701" s="407"/>
      <c r="W701" s="407"/>
      <c r="X701" s="407"/>
      <c r="Y701" s="407"/>
      <c r="Z701" s="408"/>
    </row>
    <row r="702" spans="1:26">
      <c r="A702" s="416"/>
      <c r="B702" s="407"/>
      <c r="C702" s="407"/>
      <c r="D702" s="407"/>
      <c r="E702" s="407"/>
      <c r="F702" s="407"/>
      <c r="G702" s="407"/>
      <c r="H702" s="407"/>
      <c r="I702" s="407"/>
      <c r="J702" s="407"/>
      <c r="K702" s="407"/>
      <c r="L702" s="407"/>
      <c r="M702" s="407"/>
      <c r="N702" s="407"/>
      <c r="O702" s="407"/>
      <c r="P702" s="407"/>
      <c r="Q702" s="407"/>
      <c r="R702" s="407"/>
      <c r="S702" s="407"/>
      <c r="T702" s="407"/>
      <c r="U702" s="407"/>
      <c r="V702" s="407"/>
      <c r="W702" s="407"/>
      <c r="X702" s="407"/>
      <c r="Y702" s="407"/>
      <c r="Z702" s="408"/>
    </row>
    <row r="703" spans="1:26">
      <c r="A703" s="416"/>
      <c r="B703" s="407"/>
      <c r="C703" s="407"/>
      <c r="D703" s="407"/>
      <c r="E703" s="407"/>
      <c r="F703" s="407"/>
      <c r="G703" s="407"/>
      <c r="H703" s="407"/>
      <c r="I703" s="407"/>
      <c r="J703" s="407"/>
      <c r="K703" s="407"/>
      <c r="L703" s="407"/>
      <c r="M703" s="407"/>
      <c r="N703" s="407"/>
      <c r="O703" s="407"/>
      <c r="P703" s="407"/>
      <c r="Q703" s="407"/>
      <c r="R703" s="407"/>
      <c r="S703" s="407"/>
      <c r="T703" s="407"/>
      <c r="U703" s="407"/>
      <c r="V703" s="407"/>
      <c r="W703" s="407"/>
      <c r="X703" s="407"/>
      <c r="Y703" s="407"/>
      <c r="Z703" s="408"/>
    </row>
    <row r="704" spans="1:26">
      <c r="A704" s="416"/>
      <c r="B704" s="407"/>
      <c r="C704" s="407"/>
      <c r="D704" s="407"/>
      <c r="E704" s="407"/>
      <c r="F704" s="407"/>
      <c r="G704" s="407"/>
      <c r="H704" s="407"/>
      <c r="I704" s="407"/>
      <c r="J704" s="407"/>
      <c r="K704" s="407"/>
      <c r="L704" s="407"/>
      <c r="M704" s="407"/>
      <c r="N704" s="407"/>
      <c r="O704" s="407"/>
      <c r="P704" s="407"/>
      <c r="Q704" s="407"/>
      <c r="R704" s="407"/>
      <c r="S704" s="407"/>
      <c r="T704" s="407"/>
      <c r="U704" s="407"/>
      <c r="V704" s="407"/>
      <c r="W704" s="407"/>
      <c r="X704" s="407"/>
      <c r="Y704" s="407"/>
      <c r="Z704" s="408"/>
    </row>
    <row r="705" spans="1:26">
      <c r="A705" s="416"/>
      <c r="B705" s="407"/>
      <c r="C705" s="407"/>
      <c r="D705" s="407"/>
      <c r="E705" s="407"/>
      <c r="F705" s="407"/>
      <c r="G705" s="407"/>
      <c r="H705" s="407"/>
      <c r="I705" s="407"/>
      <c r="J705" s="407"/>
      <c r="K705" s="407"/>
      <c r="L705" s="407"/>
      <c r="M705" s="407"/>
      <c r="N705" s="407"/>
      <c r="O705" s="407"/>
      <c r="P705" s="407"/>
      <c r="Q705" s="407"/>
      <c r="R705" s="407"/>
      <c r="S705" s="407"/>
      <c r="T705" s="407"/>
      <c r="U705" s="407"/>
      <c r="V705" s="407"/>
      <c r="W705" s="407"/>
      <c r="X705" s="407"/>
      <c r="Y705" s="407"/>
      <c r="Z705" s="408"/>
    </row>
    <row r="706" spans="1:26">
      <c r="A706" s="416"/>
      <c r="B706" s="407"/>
      <c r="C706" s="407"/>
      <c r="D706" s="407"/>
      <c r="E706" s="407"/>
      <c r="F706" s="407"/>
      <c r="G706" s="407"/>
      <c r="H706" s="407"/>
      <c r="I706" s="407"/>
      <c r="J706" s="407"/>
      <c r="K706" s="407"/>
      <c r="L706" s="407"/>
      <c r="M706" s="407"/>
      <c r="N706" s="407"/>
      <c r="O706" s="407"/>
      <c r="P706" s="407"/>
      <c r="Q706" s="407"/>
      <c r="R706" s="407"/>
      <c r="S706" s="407"/>
      <c r="T706" s="407"/>
      <c r="U706" s="407"/>
      <c r="V706" s="407"/>
      <c r="W706" s="407"/>
      <c r="X706" s="407"/>
      <c r="Y706" s="407"/>
      <c r="Z706" s="408"/>
    </row>
    <row r="707" spans="1:26">
      <c r="A707" s="416"/>
      <c r="B707" s="407"/>
      <c r="C707" s="407"/>
      <c r="D707" s="407"/>
      <c r="E707" s="407"/>
      <c r="F707" s="407"/>
      <c r="G707" s="407"/>
      <c r="H707" s="407"/>
      <c r="I707" s="407"/>
      <c r="J707" s="407"/>
      <c r="K707" s="407"/>
      <c r="L707" s="407"/>
      <c r="M707" s="407"/>
      <c r="N707" s="407"/>
      <c r="O707" s="407"/>
      <c r="P707" s="407"/>
      <c r="Q707" s="407"/>
      <c r="R707" s="407"/>
      <c r="S707" s="407"/>
      <c r="T707" s="407"/>
      <c r="U707" s="407"/>
      <c r="V707" s="407"/>
      <c r="W707" s="407"/>
      <c r="X707" s="407"/>
      <c r="Y707" s="407"/>
      <c r="Z707" s="408"/>
    </row>
    <row r="708" spans="1:26">
      <c r="A708" s="416"/>
      <c r="B708" s="407"/>
      <c r="C708" s="407"/>
      <c r="D708" s="407"/>
      <c r="E708" s="407"/>
      <c r="F708" s="407"/>
      <c r="G708" s="407"/>
      <c r="H708" s="407"/>
      <c r="I708" s="407"/>
      <c r="J708" s="407"/>
      <c r="K708" s="407"/>
      <c r="L708" s="407"/>
      <c r="M708" s="407"/>
      <c r="N708" s="407"/>
      <c r="O708" s="407"/>
      <c r="P708" s="407"/>
      <c r="Q708" s="407"/>
      <c r="R708" s="407"/>
      <c r="S708" s="407"/>
      <c r="T708" s="407"/>
      <c r="U708" s="407"/>
      <c r="V708" s="407"/>
      <c r="W708" s="407"/>
      <c r="X708" s="407"/>
      <c r="Y708" s="407"/>
      <c r="Z708" s="408"/>
    </row>
    <row r="709" spans="1:26">
      <c r="A709" s="416"/>
      <c r="B709" s="407"/>
      <c r="C709" s="407"/>
      <c r="D709" s="407"/>
      <c r="E709" s="407"/>
      <c r="F709" s="407"/>
      <c r="G709" s="407"/>
      <c r="H709" s="407"/>
      <c r="I709" s="407"/>
      <c r="J709" s="407"/>
      <c r="K709" s="407"/>
      <c r="L709" s="407"/>
      <c r="M709" s="407"/>
      <c r="N709" s="407"/>
      <c r="O709" s="407"/>
      <c r="P709" s="407"/>
      <c r="Q709" s="407"/>
      <c r="R709" s="407"/>
      <c r="S709" s="407"/>
      <c r="T709" s="407"/>
      <c r="U709" s="407"/>
      <c r="V709" s="407"/>
      <c r="W709" s="407"/>
      <c r="X709" s="407"/>
      <c r="Y709" s="407"/>
      <c r="Z709" s="408"/>
    </row>
    <row r="710" spans="1:26">
      <c r="A710" s="416"/>
      <c r="B710" s="407"/>
      <c r="C710" s="407"/>
      <c r="D710" s="407"/>
      <c r="E710" s="407"/>
      <c r="F710" s="407"/>
      <c r="G710" s="407"/>
      <c r="H710" s="407"/>
      <c r="I710" s="407"/>
      <c r="J710" s="407"/>
      <c r="K710" s="407"/>
      <c r="L710" s="407"/>
      <c r="M710" s="407"/>
      <c r="N710" s="407"/>
      <c r="O710" s="407"/>
      <c r="P710" s="407"/>
      <c r="Q710" s="407"/>
      <c r="R710" s="407"/>
      <c r="S710" s="407"/>
      <c r="T710" s="407"/>
      <c r="U710" s="407"/>
      <c r="V710" s="407"/>
      <c r="W710" s="407"/>
      <c r="X710" s="407"/>
      <c r="Y710" s="407"/>
      <c r="Z710" s="408"/>
    </row>
    <row r="711" spans="1:26">
      <c r="A711" s="416"/>
      <c r="B711" s="407"/>
      <c r="C711" s="407"/>
      <c r="D711" s="407"/>
      <c r="E711" s="407"/>
      <c r="F711" s="407"/>
      <c r="G711" s="407"/>
      <c r="H711" s="407"/>
      <c r="I711" s="407"/>
      <c r="J711" s="407"/>
      <c r="K711" s="407"/>
      <c r="L711" s="407"/>
      <c r="M711" s="407"/>
      <c r="N711" s="407"/>
      <c r="O711" s="407"/>
      <c r="P711" s="407"/>
      <c r="Q711" s="407"/>
      <c r="R711" s="407"/>
      <c r="S711" s="407"/>
      <c r="T711" s="407"/>
      <c r="U711" s="407"/>
      <c r="V711" s="407"/>
      <c r="W711" s="407"/>
      <c r="X711" s="407"/>
      <c r="Y711" s="407"/>
      <c r="Z711" s="408"/>
    </row>
    <row r="712" spans="1:26">
      <c r="A712" s="416"/>
      <c r="B712" s="407"/>
      <c r="C712" s="407"/>
      <c r="D712" s="407"/>
      <c r="E712" s="407"/>
      <c r="F712" s="407"/>
      <c r="G712" s="407"/>
      <c r="H712" s="407"/>
      <c r="I712" s="407"/>
      <c r="J712" s="407"/>
      <c r="K712" s="407"/>
      <c r="L712" s="407"/>
      <c r="M712" s="407"/>
      <c r="N712" s="407"/>
      <c r="O712" s="407"/>
      <c r="P712" s="407"/>
      <c r="Q712" s="407"/>
      <c r="R712" s="407"/>
      <c r="S712" s="407"/>
      <c r="T712" s="407"/>
      <c r="U712" s="407"/>
      <c r="V712" s="407"/>
      <c r="W712" s="407"/>
      <c r="X712" s="407"/>
      <c r="Y712" s="407"/>
      <c r="Z712" s="408"/>
    </row>
    <row r="713" spans="1:26">
      <c r="A713" s="416"/>
      <c r="B713" s="407"/>
      <c r="C713" s="407"/>
      <c r="D713" s="407"/>
      <c r="E713" s="407"/>
      <c r="F713" s="407"/>
      <c r="G713" s="407"/>
      <c r="H713" s="407"/>
      <c r="I713" s="407"/>
      <c r="J713" s="407"/>
      <c r="K713" s="407"/>
      <c r="L713" s="407"/>
      <c r="M713" s="407"/>
      <c r="N713" s="407"/>
      <c r="O713" s="407"/>
      <c r="P713" s="407"/>
      <c r="Q713" s="407"/>
      <c r="R713" s="407"/>
      <c r="S713" s="407"/>
      <c r="T713" s="407"/>
      <c r="U713" s="407"/>
      <c r="V713" s="407"/>
      <c r="W713" s="407"/>
      <c r="X713" s="407"/>
      <c r="Y713" s="407"/>
      <c r="Z713" s="408"/>
    </row>
    <row r="714" spans="1:26">
      <c r="A714" s="416"/>
      <c r="B714" s="407"/>
      <c r="C714" s="407"/>
      <c r="D714" s="407"/>
      <c r="E714" s="407"/>
      <c r="F714" s="407"/>
      <c r="G714" s="407"/>
      <c r="H714" s="407"/>
      <c r="I714" s="407"/>
      <c r="J714" s="407"/>
      <c r="K714" s="407"/>
      <c r="L714" s="407"/>
      <c r="M714" s="407"/>
      <c r="N714" s="407"/>
      <c r="O714" s="407"/>
      <c r="P714" s="407"/>
      <c r="Q714" s="407"/>
      <c r="R714" s="407"/>
      <c r="S714" s="407"/>
      <c r="T714" s="407"/>
      <c r="U714" s="407"/>
      <c r="V714" s="407"/>
      <c r="W714" s="407"/>
      <c r="X714" s="407"/>
      <c r="Y714" s="407"/>
      <c r="Z714" s="408"/>
    </row>
    <row r="715" spans="1:26">
      <c r="A715" s="416"/>
      <c r="B715" s="407"/>
      <c r="C715" s="407"/>
      <c r="D715" s="407"/>
      <c r="E715" s="407"/>
      <c r="F715" s="407"/>
      <c r="G715" s="407"/>
      <c r="H715" s="407"/>
      <c r="I715" s="407"/>
      <c r="J715" s="407"/>
      <c r="K715" s="407"/>
      <c r="L715" s="407"/>
      <c r="M715" s="407"/>
      <c r="N715" s="407"/>
      <c r="O715" s="407"/>
      <c r="P715" s="407"/>
      <c r="Q715" s="407"/>
      <c r="R715" s="407"/>
      <c r="S715" s="407"/>
      <c r="T715" s="407"/>
      <c r="U715" s="407"/>
      <c r="V715" s="407"/>
      <c r="W715" s="407"/>
      <c r="X715" s="407"/>
      <c r="Y715" s="407"/>
      <c r="Z715" s="408"/>
    </row>
    <row r="716" spans="1:26">
      <c r="A716" s="416"/>
      <c r="B716" s="407"/>
      <c r="C716" s="407"/>
      <c r="D716" s="407"/>
      <c r="E716" s="407"/>
      <c r="F716" s="407"/>
      <c r="G716" s="407"/>
      <c r="H716" s="407"/>
      <c r="I716" s="407"/>
      <c r="J716" s="407"/>
      <c r="K716" s="407"/>
      <c r="L716" s="407"/>
      <c r="M716" s="407"/>
      <c r="N716" s="407"/>
      <c r="O716" s="407"/>
      <c r="P716" s="407"/>
      <c r="Q716" s="407"/>
      <c r="R716" s="407"/>
      <c r="S716" s="407"/>
      <c r="T716" s="407"/>
      <c r="U716" s="407"/>
      <c r="V716" s="407"/>
      <c r="W716" s="407"/>
      <c r="X716" s="407"/>
      <c r="Y716" s="407"/>
      <c r="Z716" s="408"/>
    </row>
    <row r="717" spans="1:26">
      <c r="A717" s="416"/>
      <c r="B717" s="407"/>
      <c r="C717" s="407"/>
      <c r="D717" s="407"/>
      <c r="E717" s="407"/>
      <c r="F717" s="407"/>
      <c r="G717" s="407"/>
      <c r="H717" s="407"/>
      <c r="I717" s="407"/>
      <c r="J717" s="407"/>
      <c r="K717" s="407"/>
      <c r="L717" s="407"/>
      <c r="M717" s="407"/>
      <c r="N717" s="407"/>
      <c r="O717" s="407"/>
      <c r="P717" s="407"/>
      <c r="Q717" s="407"/>
      <c r="R717" s="407"/>
      <c r="S717" s="407"/>
      <c r="T717" s="407"/>
      <c r="U717" s="407"/>
      <c r="V717" s="407"/>
      <c r="W717" s="407"/>
      <c r="X717" s="407"/>
      <c r="Y717" s="407"/>
      <c r="Z717" s="408"/>
    </row>
    <row r="718" spans="1:26">
      <c r="A718" s="416"/>
      <c r="B718" s="407"/>
      <c r="C718" s="407"/>
      <c r="D718" s="407"/>
      <c r="E718" s="407"/>
      <c r="F718" s="407"/>
      <c r="G718" s="407"/>
      <c r="H718" s="407"/>
      <c r="I718" s="407"/>
      <c r="J718" s="407"/>
      <c r="K718" s="407"/>
      <c r="L718" s="407"/>
      <c r="M718" s="407"/>
      <c r="N718" s="407"/>
      <c r="O718" s="407"/>
      <c r="P718" s="407"/>
      <c r="Q718" s="407"/>
      <c r="R718" s="407"/>
      <c r="S718" s="407"/>
      <c r="T718" s="407"/>
      <c r="U718" s="407"/>
      <c r="V718" s="407"/>
      <c r="W718" s="407"/>
      <c r="X718" s="407"/>
      <c r="Y718" s="407"/>
      <c r="Z718" s="408"/>
    </row>
    <row r="719" spans="1:26">
      <c r="A719" s="416"/>
      <c r="B719" s="407"/>
      <c r="C719" s="407"/>
      <c r="D719" s="407"/>
      <c r="E719" s="407"/>
      <c r="F719" s="407"/>
      <c r="G719" s="407"/>
      <c r="H719" s="407"/>
      <c r="I719" s="407"/>
      <c r="J719" s="407"/>
      <c r="K719" s="407"/>
      <c r="L719" s="407"/>
      <c r="M719" s="407"/>
      <c r="N719" s="407"/>
      <c r="O719" s="407"/>
      <c r="P719" s="407"/>
      <c r="Q719" s="407"/>
      <c r="R719" s="407"/>
      <c r="S719" s="407"/>
      <c r="T719" s="407"/>
      <c r="U719" s="407"/>
      <c r="V719" s="407"/>
      <c r="W719" s="407"/>
      <c r="X719" s="407"/>
      <c r="Y719" s="407"/>
      <c r="Z719" s="408"/>
    </row>
    <row r="720" spans="1:26">
      <c r="A720" s="416"/>
      <c r="B720" s="407"/>
      <c r="C720" s="407"/>
      <c r="D720" s="407"/>
      <c r="E720" s="407"/>
      <c r="F720" s="407"/>
      <c r="G720" s="407"/>
      <c r="H720" s="407"/>
      <c r="I720" s="407"/>
      <c r="J720" s="407"/>
      <c r="K720" s="407"/>
      <c r="L720" s="407"/>
      <c r="M720" s="407"/>
      <c r="N720" s="407"/>
      <c r="O720" s="407"/>
      <c r="P720" s="407"/>
      <c r="Q720" s="407"/>
      <c r="R720" s="407"/>
      <c r="S720" s="407"/>
      <c r="T720" s="407"/>
      <c r="U720" s="407"/>
      <c r="V720" s="407"/>
      <c r="W720" s="407"/>
      <c r="X720" s="407"/>
      <c r="Y720" s="407"/>
      <c r="Z720" s="408"/>
    </row>
    <row r="721" spans="1:26">
      <c r="A721" s="416"/>
      <c r="B721" s="407"/>
      <c r="C721" s="407"/>
      <c r="D721" s="407"/>
      <c r="E721" s="407"/>
      <c r="F721" s="407"/>
      <c r="G721" s="407"/>
      <c r="H721" s="407"/>
      <c r="I721" s="407"/>
      <c r="J721" s="407"/>
      <c r="K721" s="407"/>
      <c r="L721" s="407"/>
      <c r="M721" s="407"/>
      <c r="N721" s="407"/>
      <c r="O721" s="407"/>
      <c r="P721" s="407"/>
      <c r="Q721" s="407"/>
      <c r="R721" s="407"/>
      <c r="S721" s="407"/>
      <c r="T721" s="407"/>
      <c r="U721" s="407"/>
      <c r="V721" s="407"/>
      <c r="W721" s="407"/>
      <c r="X721" s="407"/>
      <c r="Y721" s="407"/>
      <c r="Z721" s="408"/>
    </row>
    <row r="722" spans="1:26">
      <c r="A722" s="416"/>
      <c r="B722" s="407"/>
      <c r="C722" s="407"/>
      <c r="D722" s="407"/>
      <c r="E722" s="407"/>
      <c r="F722" s="407"/>
      <c r="G722" s="407"/>
      <c r="H722" s="407"/>
      <c r="I722" s="407"/>
      <c r="J722" s="407"/>
      <c r="K722" s="407"/>
      <c r="L722" s="407"/>
      <c r="M722" s="407"/>
      <c r="N722" s="407"/>
      <c r="O722" s="407"/>
      <c r="P722" s="407"/>
      <c r="Q722" s="407"/>
      <c r="R722" s="407"/>
      <c r="S722" s="407"/>
      <c r="T722" s="407"/>
      <c r="U722" s="407"/>
      <c r="V722" s="407"/>
      <c r="W722" s="407"/>
      <c r="X722" s="407"/>
      <c r="Y722" s="407"/>
      <c r="Z722" s="408"/>
    </row>
    <row r="723" spans="1:26">
      <c r="A723" s="416"/>
      <c r="B723" s="407"/>
      <c r="C723" s="407"/>
      <c r="D723" s="407"/>
      <c r="E723" s="407"/>
      <c r="F723" s="407"/>
      <c r="G723" s="407"/>
      <c r="H723" s="407"/>
      <c r="I723" s="407"/>
      <c r="J723" s="407"/>
      <c r="K723" s="407"/>
      <c r="L723" s="407"/>
      <c r="M723" s="407"/>
      <c r="N723" s="407"/>
      <c r="O723" s="407"/>
      <c r="P723" s="407"/>
      <c r="Q723" s="407"/>
      <c r="R723" s="407"/>
      <c r="S723" s="407"/>
      <c r="T723" s="407"/>
      <c r="U723" s="407"/>
      <c r="V723" s="407"/>
      <c r="W723" s="407"/>
      <c r="X723" s="407"/>
      <c r="Y723" s="407"/>
      <c r="Z723" s="408"/>
    </row>
    <row r="724" spans="1:26">
      <c r="A724" s="416"/>
      <c r="B724" s="407"/>
      <c r="C724" s="407"/>
      <c r="D724" s="407"/>
      <c r="E724" s="407"/>
      <c r="F724" s="407"/>
      <c r="G724" s="407"/>
      <c r="H724" s="407"/>
      <c r="I724" s="407"/>
      <c r="J724" s="407"/>
      <c r="K724" s="407"/>
      <c r="L724" s="407"/>
      <c r="M724" s="407"/>
      <c r="N724" s="407"/>
      <c r="O724" s="407"/>
      <c r="P724" s="407"/>
      <c r="Q724" s="407"/>
      <c r="R724" s="407"/>
      <c r="S724" s="407"/>
      <c r="T724" s="407"/>
      <c r="U724" s="407"/>
      <c r="V724" s="407"/>
      <c r="W724" s="407"/>
      <c r="X724" s="407"/>
      <c r="Y724" s="407"/>
      <c r="Z724" s="408"/>
    </row>
    <row r="725" spans="1:26">
      <c r="A725" s="416"/>
      <c r="B725" s="407"/>
      <c r="C725" s="407"/>
      <c r="D725" s="407"/>
      <c r="E725" s="407"/>
      <c r="F725" s="407"/>
      <c r="G725" s="407"/>
      <c r="H725" s="407"/>
      <c r="I725" s="407"/>
      <c r="J725" s="407"/>
      <c r="K725" s="407"/>
      <c r="L725" s="407"/>
      <c r="M725" s="407"/>
      <c r="N725" s="407"/>
      <c r="O725" s="407"/>
      <c r="P725" s="407"/>
      <c r="Q725" s="407"/>
      <c r="R725" s="407"/>
      <c r="S725" s="407"/>
      <c r="T725" s="407"/>
      <c r="U725" s="407"/>
      <c r="V725" s="407"/>
      <c r="W725" s="407"/>
      <c r="X725" s="407"/>
      <c r="Y725" s="407"/>
      <c r="Z725" s="408"/>
    </row>
    <row r="726" spans="1:26">
      <c r="A726" s="416"/>
      <c r="B726" s="407"/>
      <c r="C726" s="407"/>
      <c r="D726" s="407"/>
      <c r="E726" s="407"/>
      <c r="F726" s="407"/>
      <c r="G726" s="407"/>
      <c r="H726" s="407"/>
      <c r="I726" s="407"/>
      <c r="J726" s="407"/>
      <c r="K726" s="407"/>
      <c r="L726" s="407"/>
      <c r="M726" s="407"/>
      <c r="N726" s="407"/>
      <c r="O726" s="407"/>
      <c r="P726" s="407"/>
      <c r="Q726" s="407"/>
      <c r="R726" s="407"/>
      <c r="S726" s="407"/>
      <c r="T726" s="407"/>
      <c r="U726" s="407"/>
      <c r="V726" s="407"/>
      <c r="W726" s="407"/>
      <c r="X726" s="407"/>
      <c r="Y726" s="407"/>
      <c r="Z726" s="408"/>
    </row>
    <row r="727" spans="1:26">
      <c r="A727" s="416"/>
      <c r="B727" s="407"/>
      <c r="C727" s="407"/>
      <c r="D727" s="407"/>
      <c r="E727" s="407"/>
      <c r="F727" s="407"/>
      <c r="G727" s="407"/>
      <c r="H727" s="407"/>
      <c r="I727" s="407"/>
      <c r="J727" s="407"/>
      <c r="K727" s="407"/>
      <c r="L727" s="407"/>
      <c r="M727" s="407"/>
      <c r="N727" s="407"/>
      <c r="O727" s="407"/>
      <c r="P727" s="407"/>
      <c r="Q727" s="407"/>
      <c r="R727" s="407"/>
      <c r="S727" s="407"/>
      <c r="T727" s="407"/>
      <c r="U727" s="407"/>
      <c r="V727" s="407"/>
      <c r="W727" s="407"/>
      <c r="X727" s="407"/>
      <c r="Y727" s="407"/>
      <c r="Z727" s="408"/>
    </row>
    <row r="728" spans="1:26">
      <c r="A728" s="416"/>
      <c r="B728" s="407"/>
      <c r="C728" s="407"/>
      <c r="D728" s="407"/>
      <c r="E728" s="407"/>
      <c r="F728" s="407"/>
      <c r="G728" s="407"/>
      <c r="H728" s="407"/>
      <c r="I728" s="407"/>
      <c r="J728" s="407"/>
      <c r="K728" s="407"/>
      <c r="L728" s="407"/>
      <c r="M728" s="407"/>
      <c r="N728" s="407"/>
      <c r="O728" s="407"/>
      <c r="P728" s="407"/>
      <c r="Q728" s="407"/>
      <c r="R728" s="407"/>
      <c r="S728" s="407"/>
      <c r="T728" s="407"/>
      <c r="U728" s="407"/>
      <c r="V728" s="407"/>
      <c r="W728" s="407"/>
      <c r="X728" s="407"/>
      <c r="Y728" s="407"/>
      <c r="Z728" s="408"/>
    </row>
    <row r="729" spans="1:26">
      <c r="A729" s="416"/>
      <c r="B729" s="407"/>
      <c r="C729" s="407"/>
      <c r="D729" s="407"/>
      <c r="E729" s="407"/>
      <c r="F729" s="407"/>
      <c r="G729" s="407"/>
      <c r="H729" s="407"/>
      <c r="I729" s="407"/>
      <c r="J729" s="407"/>
      <c r="K729" s="407"/>
      <c r="L729" s="407"/>
      <c r="M729" s="407"/>
      <c r="N729" s="407"/>
      <c r="O729" s="407"/>
      <c r="P729" s="407"/>
      <c r="Q729" s="407"/>
      <c r="R729" s="407"/>
      <c r="S729" s="407"/>
      <c r="T729" s="407"/>
      <c r="U729" s="407"/>
      <c r="V729" s="407"/>
      <c r="W729" s="407"/>
      <c r="X729" s="407"/>
      <c r="Y729" s="407"/>
      <c r="Z729" s="408"/>
    </row>
    <row r="730" spans="1:26">
      <c r="A730" s="416"/>
      <c r="B730" s="407"/>
      <c r="C730" s="407"/>
      <c r="D730" s="407"/>
      <c r="E730" s="407"/>
      <c r="F730" s="407"/>
      <c r="G730" s="407"/>
      <c r="H730" s="407"/>
      <c r="I730" s="407"/>
      <c r="J730" s="407"/>
      <c r="K730" s="407"/>
      <c r="L730" s="407"/>
      <c r="M730" s="407"/>
      <c r="N730" s="407"/>
      <c r="O730" s="407"/>
      <c r="P730" s="407"/>
      <c r="Q730" s="407"/>
      <c r="R730" s="407"/>
      <c r="S730" s="407"/>
      <c r="T730" s="407"/>
      <c r="U730" s="407"/>
      <c r="V730" s="407"/>
      <c r="W730" s="407"/>
      <c r="X730" s="407"/>
      <c r="Y730" s="407"/>
      <c r="Z730" s="408"/>
    </row>
    <row r="731" spans="1:26">
      <c r="A731" s="416"/>
      <c r="B731" s="407"/>
      <c r="C731" s="407"/>
      <c r="D731" s="407"/>
      <c r="E731" s="407"/>
      <c r="F731" s="407"/>
      <c r="G731" s="407"/>
      <c r="H731" s="407"/>
      <c r="I731" s="407"/>
      <c r="J731" s="407"/>
      <c r="K731" s="407"/>
      <c r="L731" s="407"/>
      <c r="M731" s="407"/>
      <c r="N731" s="407"/>
      <c r="O731" s="407"/>
      <c r="P731" s="407"/>
      <c r="Q731" s="407"/>
      <c r="R731" s="407"/>
      <c r="S731" s="407"/>
      <c r="T731" s="407"/>
      <c r="U731" s="407"/>
      <c r="V731" s="407"/>
      <c r="W731" s="407"/>
      <c r="X731" s="407"/>
      <c r="Y731" s="407"/>
      <c r="Z731" s="408"/>
    </row>
    <row r="732" spans="1:26">
      <c r="A732" s="416"/>
      <c r="B732" s="407"/>
      <c r="C732" s="407"/>
      <c r="D732" s="407"/>
      <c r="E732" s="407"/>
      <c r="F732" s="407"/>
      <c r="G732" s="407"/>
      <c r="H732" s="407"/>
      <c r="I732" s="407"/>
      <c r="J732" s="407"/>
      <c r="K732" s="407"/>
      <c r="L732" s="407"/>
      <c r="M732" s="407"/>
      <c r="N732" s="407"/>
      <c r="O732" s="407"/>
      <c r="P732" s="407"/>
      <c r="Q732" s="407"/>
      <c r="R732" s="407"/>
      <c r="S732" s="407"/>
      <c r="T732" s="407"/>
      <c r="U732" s="407"/>
      <c r="V732" s="407"/>
      <c r="W732" s="407"/>
      <c r="X732" s="407"/>
      <c r="Y732" s="407"/>
      <c r="Z732" s="408"/>
    </row>
    <row r="733" spans="1:26">
      <c r="A733" s="416"/>
      <c r="B733" s="407"/>
      <c r="C733" s="407"/>
      <c r="D733" s="407"/>
      <c r="E733" s="407"/>
      <c r="F733" s="407"/>
      <c r="G733" s="407"/>
      <c r="H733" s="407"/>
      <c r="I733" s="407"/>
      <c r="J733" s="407"/>
      <c r="K733" s="407"/>
      <c r="L733" s="407"/>
      <c r="M733" s="407"/>
      <c r="N733" s="407"/>
      <c r="O733" s="407"/>
      <c r="P733" s="407"/>
      <c r="Q733" s="407"/>
      <c r="R733" s="407"/>
      <c r="S733" s="407"/>
      <c r="T733" s="407"/>
      <c r="U733" s="407"/>
      <c r="V733" s="407"/>
      <c r="W733" s="407"/>
      <c r="X733" s="407"/>
      <c r="Y733" s="407"/>
      <c r="Z733" s="408"/>
    </row>
    <row r="734" spans="1:26">
      <c r="A734" s="416"/>
      <c r="B734" s="407"/>
      <c r="C734" s="407"/>
      <c r="D734" s="407"/>
      <c r="E734" s="407"/>
      <c r="F734" s="407"/>
      <c r="G734" s="407"/>
      <c r="H734" s="407"/>
      <c r="I734" s="407"/>
      <c r="J734" s="407"/>
      <c r="K734" s="407"/>
      <c r="L734" s="407"/>
      <c r="M734" s="407"/>
      <c r="N734" s="407"/>
      <c r="O734" s="407"/>
      <c r="P734" s="407"/>
      <c r="Q734" s="407"/>
      <c r="R734" s="407"/>
      <c r="S734" s="407"/>
      <c r="T734" s="407"/>
      <c r="U734" s="407"/>
      <c r="V734" s="407"/>
      <c r="W734" s="407"/>
      <c r="X734" s="407"/>
      <c r="Y734" s="407"/>
      <c r="Z734" s="408"/>
    </row>
    <row r="735" spans="1:26">
      <c r="A735" s="416"/>
      <c r="B735" s="407"/>
      <c r="C735" s="407"/>
      <c r="D735" s="407"/>
      <c r="E735" s="407"/>
      <c r="F735" s="407"/>
      <c r="G735" s="407"/>
      <c r="H735" s="407"/>
      <c r="I735" s="407"/>
      <c r="J735" s="407"/>
      <c r="K735" s="407"/>
      <c r="L735" s="407"/>
      <c r="M735" s="407"/>
      <c r="N735" s="407"/>
      <c r="O735" s="407"/>
      <c r="P735" s="407"/>
      <c r="Q735" s="407"/>
      <c r="R735" s="407"/>
      <c r="S735" s="407"/>
      <c r="T735" s="407"/>
      <c r="U735" s="407"/>
      <c r="V735" s="407"/>
      <c r="W735" s="407"/>
      <c r="X735" s="407"/>
      <c r="Y735" s="407"/>
      <c r="Z735" s="408"/>
    </row>
    <row r="736" spans="1:26">
      <c r="A736" s="416"/>
      <c r="B736" s="407"/>
      <c r="C736" s="407"/>
      <c r="D736" s="407"/>
      <c r="E736" s="407"/>
      <c r="F736" s="407"/>
      <c r="G736" s="407"/>
      <c r="H736" s="407"/>
      <c r="I736" s="407"/>
      <c r="J736" s="407"/>
      <c r="K736" s="407"/>
      <c r="L736" s="407"/>
      <c r="M736" s="407"/>
      <c r="N736" s="407"/>
      <c r="O736" s="407"/>
      <c r="P736" s="407"/>
      <c r="Q736" s="407"/>
      <c r="R736" s="407"/>
      <c r="S736" s="407"/>
      <c r="T736" s="407"/>
      <c r="U736" s="407"/>
      <c r="V736" s="407"/>
      <c r="W736" s="407"/>
      <c r="X736" s="407"/>
      <c r="Y736" s="407"/>
      <c r="Z736" s="408"/>
    </row>
    <row r="737" spans="1:26">
      <c r="A737" s="416"/>
      <c r="B737" s="407"/>
      <c r="C737" s="407"/>
      <c r="D737" s="407"/>
      <c r="E737" s="407"/>
      <c r="F737" s="407"/>
      <c r="G737" s="407"/>
      <c r="H737" s="407"/>
      <c r="I737" s="407"/>
      <c r="J737" s="407"/>
      <c r="K737" s="407"/>
      <c r="L737" s="407"/>
      <c r="M737" s="407"/>
      <c r="N737" s="407"/>
      <c r="O737" s="407"/>
      <c r="P737" s="407"/>
      <c r="Q737" s="407"/>
      <c r="R737" s="407"/>
      <c r="S737" s="407"/>
      <c r="T737" s="407"/>
      <c r="U737" s="407"/>
      <c r="V737" s="407"/>
      <c r="W737" s="407"/>
      <c r="X737" s="407"/>
      <c r="Y737" s="407"/>
      <c r="Z737" s="408"/>
    </row>
    <row r="738" spans="1:26">
      <c r="A738" s="416"/>
      <c r="B738" s="407"/>
      <c r="C738" s="407"/>
      <c r="D738" s="407"/>
      <c r="E738" s="407"/>
      <c r="F738" s="407"/>
      <c r="G738" s="407"/>
      <c r="H738" s="407"/>
      <c r="I738" s="407"/>
      <c r="J738" s="407"/>
      <c r="K738" s="407"/>
      <c r="L738" s="407"/>
      <c r="M738" s="407"/>
      <c r="N738" s="407"/>
      <c r="O738" s="407"/>
      <c r="P738" s="407"/>
      <c r="Q738" s="407"/>
      <c r="R738" s="407"/>
      <c r="S738" s="407"/>
      <c r="T738" s="407"/>
      <c r="U738" s="407"/>
      <c r="V738" s="407"/>
      <c r="W738" s="407"/>
      <c r="X738" s="407"/>
      <c r="Y738" s="407"/>
      <c r="Z738" s="408"/>
    </row>
    <row r="739" spans="1:26">
      <c r="A739" s="416"/>
      <c r="B739" s="407"/>
      <c r="C739" s="407"/>
      <c r="D739" s="407"/>
      <c r="E739" s="407"/>
      <c r="F739" s="407"/>
      <c r="G739" s="407"/>
      <c r="H739" s="407"/>
      <c r="I739" s="407"/>
      <c r="J739" s="407"/>
      <c r="K739" s="407"/>
      <c r="L739" s="407"/>
      <c r="M739" s="407"/>
      <c r="N739" s="407"/>
      <c r="O739" s="407"/>
      <c r="P739" s="407"/>
      <c r="Q739" s="407"/>
      <c r="R739" s="407"/>
      <c r="S739" s="407"/>
      <c r="T739" s="407"/>
      <c r="U739" s="407"/>
      <c r="V739" s="407"/>
      <c r="W739" s="407"/>
      <c r="X739" s="407"/>
      <c r="Y739" s="407"/>
      <c r="Z739" s="408"/>
    </row>
    <row r="740" spans="1:26">
      <c r="A740" s="416"/>
      <c r="B740" s="407"/>
      <c r="C740" s="407"/>
      <c r="D740" s="407"/>
      <c r="E740" s="407"/>
      <c r="F740" s="407"/>
      <c r="G740" s="407"/>
      <c r="H740" s="407"/>
      <c r="I740" s="407"/>
      <c r="J740" s="407"/>
      <c r="K740" s="407"/>
      <c r="L740" s="407"/>
      <c r="M740" s="407"/>
      <c r="N740" s="407"/>
      <c r="O740" s="407"/>
      <c r="P740" s="407"/>
      <c r="Q740" s="407"/>
      <c r="R740" s="407"/>
      <c r="S740" s="407"/>
      <c r="T740" s="407"/>
      <c r="U740" s="407"/>
      <c r="V740" s="407"/>
      <c r="W740" s="407"/>
      <c r="X740" s="407"/>
      <c r="Y740" s="407"/>
      <c r="Z740" s="408"/>
    </row>
    <row r="741" spans="1:26">
      <c r="A741" s="416"/>
      <c r="B741" s="407"/>
      <c r="C741" s="407"/>
      <c r="D741" s="407"/>
      <c r="E741" s="407"/>
      <c r="F741" s="407"/>
      <c r="G741" s="407"/>
      <c r="H741" s="407"/>
      <c r="I741" s="407"/>
      <c r="J741" s="407"/>
      <c r="K741" s="407"/>
      <c r="L741" s="407"/>
      <c r="M741" s="407"/>
      <c r="N741" s="407"/>
      <c r="O741" s="407"/>
      <c r="P741" s="407"/>
      <c r="Q741" s="407"/>
      <c r="R741" s="407"/>
      <c r="S741" s="407"/>
      <c r="T741" s="407"/>
      <c r="U741" s="407"/>
      <c r="V741" s="407"/>
      <c r="W741" s="407"/>
      <c r="X741" s="407"/>
      <c r="Y741" s="407"/>
      <c r="Z741" s="408"/>
    </row>
    <row r="742" spans="1:26">
      <c r="A742" s="416"/>
      <c r="B742" s="407"/>
      <c r="C742" s="407"/>
      <c r="D742" s="407"/>
      <c r="E742" s="407"/>
      <c r="F742" s="407"/>
      <c r="G742" s="407"/>
      <c r="H742" s="407"/>
      <c r="I742" s="407"/>
      <c r="J742" s="407"/>
      <c r="K742" s="407"/>
      <c r="L742" s="407"/>
      <c r="M742" s="407"/>
      <c r="N742" s="407"/>
      <c r="O742" s="407"/>
      <c r="P742" s="407"/>
      <c r="Q742" s="407"/>
      <c r="R742" s="407"/>
      <c r="S742" s="407"/>
      <c r="T742" s="407"/>
      <c r="U742" s="407"/>
      <c r="V742" s="407"/>
      <c r="W742" s="407"/>
      <c r="X742" s="407"/>
      <c r="Y742" s="407"/>
      <c r="Z742" s="408"/>
    </row>
    <row r="743" spans="1:26">
      <c r="A743" s="416"/>
      <c r="B743" s="407"/>
      <c r="C743" s="407"/>
      <c r="D743" s="407"/>
      <c r="E743" s="407"/>
      <c r="F743" s="407"/>
      <c r="G743" s="407"/>
      <c r="H743" s="407"/>
      <c r="I743" s="407"/>
      <c r="J743" s="407"/>
      <c r="K743" s="407"/>
      <c r="L743" s="407"/>
      <c r="M743" s="407"/>
      <c r="N743" s="407"/>
      <c r="O743" s="407"/>
      <c r="P743" s="407"/>
      <c r="Q743" s="407"/>
      <c r="R743" s="407"/>
      <c r="S743" s="407"/>
      <c r="T743" s="407"/>
      <c r="U743" s="407"/>
      <c r="V743" s="407"/>
      <c r="W743" s="407"/>
      <c r="X743" s="407"/>
      <c r="Y743" s="407"/>
      <c r="Z743" s="408"/>
    </row>
    <row r="744" spans="1:26">
      <c r="A744" s="416"/>
      <c r="B744" s="407"/>
      <c r="C744" s="407"/>
      <c r="D744" s="407"/>
      <c r="E744" s="407"/>
      <c r="F744" s="407"/>
      <c r="G744" s="407"/>
      <c r="H744" s="407"/>
      <c r="I744" s="407"/>
      <c r="J744" s="407"/>
      <c r="K744" s="407"/>
      <c r="L744" s="407"/>
      <c r="M744" s="407"/>
      <c r="N744" s="407"/>
      <c r="O744" s="407"/>
      <c r="P744" s="407"/>
      <c r="Q744" s="407"/>
      <c r="R744" s="407"/>
      <c r="S744" s="407"/>
      <c r="T744" s="407"/>
      <c r="U744" s="407"/>
      <c r="V744" s="407"/>
      <c r="W744" s="407"/>
      <c r="X744" s="407"/>
      <c r="Y744" s="407"/>
      <c r="Z744" s="408"/>
    </row>
    <row r="745" spans="1:26">
      <c r="A745" s="416"/>
      <c r="B745" s="407"/>
      <c r="C745" s="407"/>
      <c r="D745" s="407"/>
      <c r="E745" s="407"/>
      <c r="F745" s="407"/>
      <c r="G745" s="407"/>
      <c r="H745" s="407"/>
      <c r="I745" s="407"/>
      <c r="J745" s="407"/>
      <c r="K745" s="407"/>
      <c r="L745" s="407"/>
      <c r="M745" s="407"/>
      <c r="N745" s="407"/>
      <c r="O745" s="407"/>
      <c r="P745" s="407"/>
      <c r="Q745" s="407"/>
      <c r="R745" s="407"/>
      <c r="S745" s="407"/>
      <c r="T745" s="407"/>
      <c r="U745" s="407"/>
      <c r="V745" s="407"/>
      <c r="W745" s="407"/>
      <c r="X745" s="407"/>
      <c r="Y745" s="407"/>
      <c r="Z745" s="408"/>
    </row>
    <row r="746" spans="1:26">
      <c r="A746" s="416"/>
      <c r="B746" s="407"/>
      <c r="C746" s="407"/>
      <c r="D746" s="407"/>
      <c r="E746" s="407"/>
      <c r="F746" s="407"/>
      <c r="G746" s="407"/>
      <c r="H746" s="407"/>
      <c r="I746" s="407"/>
      <c r="J746" s="407"/>
      <c r="K746" s="407"/>
      <c r="L746" s="407"/>
      <c r="M746" s="407"/>
      <c r="N746" s="407"/>
      <c r="O746" s="407"/>
      <c r="P746" s="407"/>
      <c r="Q746" s="407"/>
      <c r="R746" s="407"/>
      <c r="S746" s="407"/>
      <c r="T746" s="407"/>
      <c r="U746" s="407"/>
      <c r="V746" s="407"/>
      <c r="W746" s="407"/>
      <c r="X746" s="407"/>
      <c r="Y746" s="407"/>
      <c r="Z746" s="408"/>
    </row>
    <row r="747" spans="1:26">
      <c r="A747" s="416"/>
      <c r="B747" s="407"/>
      <c r="C747" s="407"/>
      <c r="D747" s="407"/>
      <c r="E747" s="407"/>
      <c r="F747" s="407"/>
      <c r="G747" s="407"/>
      <c r="H747" s="407"/>
      <c r="I747" s="407"/>
      <c r="J747" s="407"/>
      <c r="K747" s="407"/>
      <c r="L747" s="407"/>
      <c r="M747" s="407"/>
      <c r="N747" s="407"/>
      <c r="O747" s="407"/>
      <c r="P747" s="407"/>
      <c r="Q747" s="407"/>
      <c r="R747" s="407"/>
      <c r="S747" s="407"/>
      <c r="T747" s="407"/>
      <c r="U747" s="407"/>
      <c r="V747" s="407"/>
      <c r="W747" s="407"/>
      <c r="X747" s="407"/>
      <c r="Y747" s="407"/>
      <c r="Z747" s="408"/>
    </row>
    <row r="748" spans="1:26">
      <c r="A748" s="416"/>
      <c r="B748" s="407"/>
      <c r="C748" s="407"/>
      <c r="D748" s="407"/>
      <c r="E748" s="407"/>
      <c r="F748" s="407"/>
      <c r="G748" s="407"/>
      <c r="H748" s="407"/>
      <c r="I748" s="407"/>
      <c r="J748" s="407"/>
      <c r="K748" s="407"/>
      <c r="L748" s="407"/>
      <c r="M748" s="407"/>
      <c r="N748" s="407"/>
      <c r="O748" s="407"/>
      <c r="P748" s="407"/>
      <c r="Q748" s="407"/>
      <c r="R748" s="407"/>
      <c r="S748" s="407"/>
      <c r="T748" s="407"/>
      <c r="U748" s="407"/>
      <c r="V748" s="407"/>
      <c r="W748" s="407"/>
      <c r="X748" s="407"/>
      <c r="Y748" s="407"/>
      <c r="Z748" s="408"/>
    </row>
    <row r="749" spans="1:26">
      <c r="A749" s="416"/>
      <c r="B749" s="407"/>
      <c r="C749" s="407"/>
      <c r="D749" s="407"/>
      <c r="E749" s="407"/>
      <c r="F749" s="407"/>
      <c r="G749" s="407"/>
      <c r="H749" s="407"/>
      <c r="I749" s="407"/>
      <c r="J749" s="407"/>
      <c r="K749" s="407"/>
      <c r="L749" s="407"/>
      <c r="M749" s="407"/>
      <c r="N749" s="407"/>
      <c r="O749" s="407"/>
      <c r="P749" s="407"/>
      <c r="Q749" s="407"/>
      <c r="R749" s="407"/>
      <c r="S749" s="407"/>
      <c r="T749" s="407"/>
      <c r="U749" s="407"/>
      <c r="V749" s="407"/>
      <c r="W749" s="407"/>
      <c r="X749" s="407"/>
      <c r="Y749" s="407"/>
      <c r="Z749" s="408"/>
    </row>
    <row r="750" spans="1:26">
      <c r="A750" s="416"/>
      <c r="B750" s="407"/>
      <c r="C750" s="407"/>
      <c r="D750" s="407"/>
      <c r="E750" s="407"/>
      <c r="F750" s="407"/>
      <c r="G750" s="407"/>
      <c r="H750" s="407"/>
      <c r="I750" s="407"/>
      <c r="J750" s="407"/>
      <c r="K750" s="407"/>
      <c r="L750" s="407"/>
      <c r="M750" s="407"/>
      <c r="N750" s="407"/>
      <c r="O750" s="407"/>
      <c r="P750" s="407"/>
      <c r="Q750" s="407"/>
      <c r="R750" s="407"/>
      <c r="S750" s="407"/>
      <c r="T750" s="407"/>
      <c r="U750" s="407"/>
      <c r="V750" s="407"/>
      <c r="W750" s="407"/>
      <c r="X750" s="407"/>
      <c r="Y750" s="407"/>
      <c r="Z750" s="408"/>
    </row>
    <row r="751" spans="1:26">
      <c r="A751" s="416"/>
      <c r="B751" s="407"/>
      <c r="C751" s="407"/>
      <c r="D751" s="407"/>
      <c r="E751" s="407"/>
      <c r="F751" s="407"/>
      <c r="G751" s="407"/>
      <c r="H751" s="407"/>
      <c r="I751" s="407"/>
      <c r="J751" s="407"/>
      <c r="K751" s="407"/>
      <c r="L751" s="407"/>
      <c r="M751" s="407"/>
      <c r="N751" s="407"/>
      <c r="O751" s="407"/>
      <c r="P751" s="407"/>
      <c r="Q751" s="407"/>
      <c r="R751" s="407"/>
      <c r="S751" s="407"/>
      <c r="T751" s="407"/>
      <c r="U751" s="407"/>
      <c r="V751" s="407"/>
      <c r="W751" s="407"/>
      <c r="X751" s="407"/>
      <c r="Y751" s="407"/>
      <c r="Z751" s="408"/>
    </row>
    <row r="752" spans="1:26">
      <c r="A752" s="416"/>
      <c r="B752" s="407"/>
      <c r="C752" s="407"/>
      <c r="D752" s="407"/>
      <c r="E752" s="407"/>
      <c r="F752" s="407"/>
      <c r="G752" s="407"/>
      <c r="H752" s="407"/>
      <c r="I752" s="407"/>
      <c r="J752" s="407"/>
      <c r="K752" s="407"/>
      <c r="L752" s="407"/>
      <c r="M752" s="407"/>
      <c r="N752" s="407"/>
      <c r="O752" s="407"/>
      <c r="P752" s="407"/>
      <c r="Q752" s="407"/>
      <c r="R752" s="407"/>
      <c r="S752" s="407"/>
      <c r="T752" s="407"/>
      <c r="U752" s="407"/>
      <c r="V752" s="407"/>
      <c r="W752" s="407"/>
      <c r="X752" s="407"/>
      <c r="Y752" s="407"/>
      <c r="Z752" s="408"/>
    </row>
    <row r="753" spans="1:26">
      <c r="A753" s="416"/>
      <c r="B753" s="407"/>
      <c r="C753" s="407"/>
      <c r="D753" s="407"/>
      <c r="E753" s="407"/>
      <c r="F753" s="407"/>
      <c r="G753" s="407"/>
      <c r="H753" s="407"/>
      <c r="I753" s="407"/>
      <c r="J753" s="407"/>
      <c r="K753" s="407"/>
      <c r="L753" s="407"/>
      <c r="M753" s="407"/>
      <c r="N753" s="407"/>
      <c r="O753" s="407"/>
      <c r="P753" s="407"/>
      <c r="Q753" s="407"/>
      <c r="R753" s="407"/>
      <c r="S753" s="407"/>
      <c r="T753" s="407"/>
      <c r="U753" s="407"/>
      <c r="V753" s="407"/>
      <c r="W753" s="407"/>
      <c r="X753" s="407"/>
      <c r="Y753" s="407"/>
      <c r="Z753" s="408"/>
    </row>
    <row r="754" spans="1:26">
      <c r="A754" s="416"/>
      <c r="B754" s="407"/>
      <c r="C754" s="407"/>
      <c r="D754" s="407"/>
      <c r="E754" s="407"/>
      <c r="F754" s="407"/>
      <c r="G754" s="407"/>
      <c r="H754" s="407"/>
      <c r="I754" s="407"/>
      <c r="J754" s="407"/>
      <c r="K754" s="407"/>
      <c r="L754" s="407"/>
      <c r="M754" s="407"/>
      <c r="N754" s="407"/>
      <c r="O754" s="407"/>
      <c r="P754" s="407"/>
      <c r="Q754" s="407"/>
      <c r="R754" s="407"/>
      <c r="S754" s="407"/>
      <c r="T754" s="407"/>
      <c r="U754" s="407"/>
      <c r="V754" s="407"/>
      <c r="W754" s="407"/>
      <c r="X754" s="407"/>
      <c r="Y754" s="407"/>
      <c r="Z754" s="408"/>
    </row>
    <row r="755" spans="1:26">
      <c r="A755" s="416"/>
      <c r="B755" s="407"/>
      <c r="C755" s="407"/>
      <c r="D755" s="407"/>
      <c r="E755" s="407"/>
      <c r="F755" s="407"/>
      <c r="G755" s="407"/>
      <c r="H755" s="407"/>
      <c r="I755" s="407"/>
      <c r="J755" s="407"/>
      <c r="K755" s="407"/>
      <c r="L755" s="407"/>
      <c r="M755" s="407"/>
      <c r="N755" s="407"/>
      <c r="O755" s="407"/>
      <c r="P755" s="407"/>
      <c r="Q755" s="407"/>
      <c r="R755" s="407"/>
      <c r="S755" s="407"/>
      <c r="T755" s="407"/>
      <c r="U755" s="407"/>
      <c r="V755" s="407"/>
      <c r="W755" s="407"/>
      <c r="X755" s="407"/>
      <c r="Y755" s="407"/>
      <c r="Z755" s="408"/>
    </row>
    <row r="756" spans="1:26">
      <c r="A756" s="416"/>
      <c r="B756" s="407"/>
      <c r="C756" s="407"/>
      <c r="D756" s="407"/>
      <c r="E756" s="407"/>
      <c r="F756" s="407"/>
      <c r="G756" s="407"/>
      <c r="H756" s="407"/>
      <c r="I756" s="407"/>
      <c r="J756" s="407"/>
      <c r="K756" s="407"/>
      <c r="L756" s="407"/>
      <c r="M756" s="407"/>
      <c r="N756" s="407"/>
      <c r="O756" s="407"/>
      <c r="P756" s="407"/>
      <c r="Q756" s="407"/>
      <c r="R756" s="407"/>
      <c r="S756" s="407"/>
      <c r="T756" s="407"/>
      <c r="U756" s="407"/>
      <c r="V756" s="407"/>
      <c r="W756" s="407"/>
      <c r="X756" s="407"/>
      <c r="Y756" s="407"/>
      <c r="Z756" s="408"/>
    </row>
    <row r="757" spans="1:26">
      <c r="A757" s="416"/>
      <c r="B757" s="407"/>
      <c r="C757" s="407"/>
      <c r="D757" s="407"/>
      <c r="E757" s="407"/>
      <c r="F757" s="407"/>
      <c r="G757" s="407"/>
      <c r="H757" s="407"/>
      <c r="I757" s="407"/>
      <c r="J757" s="407"/>
      <c r="K757" s="407"/>
      <c r="L757" s="407"/>
      <c r="M757" s="407"/>
      <c r="N757" s="407"/>
      <c r="O757" s="407"/>
      <c r="P757" s="407"/>
      <c r="Q757" s="407"/>
      <c r="R757" s="407"/>
      <c r="S757" s="407"/>
      <c r="T757" s="407"/>
      <c r="U757" s="407"/>
      <c r="V757" s="407"/>
      <c r="W757" s="407"/>
      <c r="X757" s="407"/>
      <c r="Y757" s="407"/>
      <c r="Z757" s="408"/>
    </row>
    <row r="758" spans="1:26">
      <c r="A758" s="416"/>
      <c r="B758" s="407"/>
      <c r="C758" s="407"/>
      <c r="D758" s="407"/>
      <c r="E758" s="407"/>
      <c r="F758" s="407"/>
      <c r="G758" s="407"/>
      <c r="H758" s="407"/>
      <c r="I758" s="407"/>
      <c r="J758" s="407"/>
      <c r="K758" s="407"/>
      <c r="L758" s="407"/>
      <c r="M758" s="407"/>
      <c r="N758" s="407"/>
      <c r="O758" s="407"/>
      <c r="P758" s="407"/>
      <c r="Q758" s="407"/>
      <c r="R758" s="407"/>
      <c r="S758" s="407"/>
      <c r="T758" s="407"/>
      <c r="U758" s="407"/>
      <c r="V758" s="407"/>
      <c r="W758" s="407"/>
      <c r="X758" s="407"/>
      <c r="Y758" s="407"/>
      <c r="Z758" s="408"/>
    </row>
    <row r="759" spans="1:26">
      <c r="A759" s="416"/>
      <c r="B759" s="407"/>
      <c r="C759" s="407"/>
      <c r="D759" s="407"/>
      <c r="E759" s="407"/>
      <c r="F759" s="407"/>
      <c r="G759" s="407"/>
      <c r="H759" s="407"/>
      <c r="I759" s="407"/>
      <c r="J759" s="407"/>
      <c r="K759" s="407"/>
      <c r="L759" s="407"/>
      <c r="M759" s="407"/>
      <c r="N759" s="407"/>
      <c r="O759" s="407"/>
      <c r="P759" s="407"/>
      <c r="Q759" s="407"/>
      <c r="R759" s="407"/>
      <c r="S759" s="407"/>
      <c r="T759" s="407"/>
      <c r="U759" s="407"/>
      <c r="V759" s="407"/>
      <c r="W759" s="407"/>
      <c r="X759" s="407"/>
      <c r="Y759" s="407"/>
      <c r="Z759" s="408"/>
    </row>
    <row r="760" spans="1:26">
      <c r="A760" s="416"/>
      <c r="B760" s="407"/>
      <c r="C760" s="407"/>
      <c r="D760" s="407"/>
      <c r="E760" s="407"/>
      <c r="F760" s="407"/>
      <c r="G760" s="407"/>
      <c r="H760" s="407"/>
      <c r="I760" s="407"/>
      <c r="J760" s="407"/>
      <c r="K760" s="407"/>
      <c r="L760" s="407"/>
      <c r="M760" s="407"/>
      <c r="N760" s="407"/>
      <c r="O760" s="407"/>
      <c r="P760" s="407"/>
      <c r="Q760" s="407"/>
      <c r="R760" s="407"/>
      <c r="S760" s="407"/>
      <c r="T760" s="407"/>
      <c r="U760" s="407"/>
      <c r="V760" s="407"/>
      <c r="W760" s="407"/>
      <c r="X760" s="407"/>
      <c r="Y760" s="407"/>
      <c r="Z760" s="408"/>
    </row>
    <row r="761" spans="1:26">
      <c r="A761" s="416"/>
      <c r="B761" s="407"/>
      <c r="C761" s="407"/>
      <c r="D761" s="407"/>
      <c r="E761" s="407"/>
      <c r="F761" s="407"/>
      <c r="G761" s="407"/>
      <c r="H761" s="407"/>
      <c r="I761" s="407"/>
      <c r="J761" s="407"/>
      <c r="K761" s="407"/>
      <c r="L761" s="407"/>
      <c r="M761" s="407"/>
      <c r="N761" s="407"/>
      <c r="O761" s="407"/>
      <c r="P761" s="407"/>
      <c r="Q761" s="407"/>
      <c r="R761" s="407"/>
      <c r="S761" s="407"/>
      <c r="T761" s="407"/>
      <c r="U761" s="407"/>
      <c r="V761" s="407"/>
      <c r="W761" s="407"/>
      <c r="X761" s="407"/>
      <c r="Y761" s="407"/>
      <c r="Z761" s="408"/>
    </row>
    <row r="762" spans="1:26">
      <c r="A762" s="416"/>
      <c r="B762" s="407"/>
      <c r="C762" s="407"/>
      <c r="D762" s="407"/>
      <c r="E762" s="407"/>
      <c r="F762" s="407"/>
      <c r="G762" s="407"/>
      <c r="H762" s="407"/>
      <c r="I762" s="407"/>
      <c r="J762" s="407"/>
      <c r="K762" s="407"/>
      <c r="L762" s="407"/>
      <c r="M762" s="407"/>
      <c r="N762" s="407"/>
      <c r="O762" s="407"/>
      <c r="P762" s="407"/>
      <c r="Q762" s="407"/>
      <c r="R762" s="407"/>
      <c r="S762" s="407"/>
      <c r="T762" s="407"/>
      <c r="U762" s="407"/>
      <c r="V762" s="407"/>
      <c r="W762" s="407"/>
      <c r="X762" s="407"/>
      <c r="Y762" s="407"/>
      <c r="Z762" s="408"/>
    </row>
    <row r="763" spans="1:26">
      <c r="A763" s="416"/>
      <c r="B763" s="407"/>
      <c r="C763" s="407"/>
      <c r="D763" s="407"/>
      <c r="E763" s="407"/>
      <c r="F763" s="407"/>
      <c r="G763" s="407"/>
      <c r="H763" s="407"/>
      <c r="I763" s="407"/>
      <c r="J763" s="407"/>
      <c r="K763" s="407"/>
      <c r="L763" s="407"/>
      <c r="M763" s="407"/>
      <c r="N763" s="407"/>
      <c r="O763" s="407"/>
      <c r="P763" s="407"/>
      <c r="Q763" s="407"/>
      <c r="R763" s="407"/>
      <c r="S763" s="407"/>
      <c r="T763" s="407"/>
      <c r="U763" s="407"/>
      <c r="V763" s="407"/>
      <c r="W763" s="407"/>
      <c r="X763" s="407"/>
      <c r="Y763" s="407"/>
      <c r="Z763" s="408"/>
    </row>
    <row r="764" spans="1:26">
      <c r="A764" s="416"/>
      <c r="B764" s="407"/>
      <c r="C764" s="407"/>
      <c r="D764" s="407"/>
      <c r="E764" s="407"/>
      <c r="F764" s="407"/>
      <c r="G764" s="407"/>
      <c r="H764" s="407"/>
      <c r="I764" s="407"/>
      <c r="J764" s="407"/>
      <c r="K764" s="407"/>
      <c r="L764" s="407"/>
      <c r="M764" s="407"/>
      <c r="N764" s="407"/>
      <c r="O764" s="407"/>
      <c r="P764" s="407"/>
      <c r="Q764" s="407"/>
      <c r="R764" s="407"/>
      <c r="S764" s="407"/>
      <c r="T764" s="407"/>
      <c r="U764" s="407"/>
      <c r="V764" s="407"/>
      <c r="W764" s="407"/>
      <c r="X764" s="407"/>
      <c r="Y764" s="407"/>
      <c r="Z764" s="408"/>
    </row>
    <row r="765" spans="1:26">
      <c r="A765" s="416"/>
      <c r="B765" s="407"/>
      <c r="C765" s="407"/>
      <c r="D765" s="407"/>
      <c r="E765" s="407"/>
      <c r="F765" s="407"/>
      <c r="G765" s="407"/>
      <c r="H765" s="407"/>
      <c r="I765" s="407"/>
      <c r="J765" s="407"/>
      <c r="K765" s="407"/>
      <c r="L765" s="407"/>
      <c r="M765" s="407"/>
      <c r="N765" s="407"/>
      <c r="O765" s="407"/>
      <c r="P765" s="407"/>
      <c r="Q765" s="407"/>
      <c r="R765" s="407"/>
      <c r="S765" s="407"/>
      <c r="T765" s="407"/>
      <c r="U765" s="407"/>
      <c r="V765" s="407"/>
      <c r="W765" s="407"/>
      <c r="X765" s="407"/>
      <c r="Y765" s="407"/>
      <c r="Z765" s="408"/>
    </row>
    <row r="766" spans="1:26">
      <c r="A766" s="416"/>
      <c r="B766" s="407"/>
      <c r="C766" s="407"/>
      <c r="D766" s="407"/>
      <c r="E766" s="407"/>
      <c r="F766" s="407"/>
      <c r="G766" s="407"/>
      <c r="H766" s="407"/>
      <c r="I766" s="407"/>
      <c r="J766" s="407"/>
      <c r="K766" s="407"/>
      <c r="L766" s="407"/>
      <c r="M766" s="407"/>
      <c r="N766" s="407"/>
      <c r="O766" s="407"/>
      <c r="P766" s="407"/>
      <c r="Q766" s="407"/>
      <c r="R766" s="407"/>
      <c r="S766" s="407"/>
      <c r="T766" s="407"/>
      <c r="U766" s="407"/>
      <c r="V766" s="407"/>
      <c r="W766" s="407"/>
      <c r="X766" s="407"/>
      <c r="Y766" s="407"/>
      <c r="Z766" s="408"/>
    </row>
    <row r="767" spans="1:26">
      <c r="A767" s="416"/>
      <c r="B767" s="407"/>
      <c r="C767" s="407"/>
      <c r="D767" s="407"/>
      <c r="E767" s="407"/>
      <c r="F767" s="407"/>
      <c r="G767" s="407"/>
      <c r="H767" s="407"/>
      <c r="I767" s="407"/>
      <c r="J767" s="407"/>
      <c r="K767" s="407"/>
      <c r="L767" s="407"/>
      <c r="M767" s="407"/>
      <c r="N767" s="407"/>
      <c r="O767" s="407"/>
      <c r="P767" s="407"/>
      <c r="Q767" s="407"/>
      <c r="R767" s="407"/>
      <c r="S767" s="407"/>
      <c r="T767" s="407"/>
      <c r="U767" s="407"/>
      <c r="V767" s="407"/>
      <c r="W767" s="407"/>
      <c r="X767" s="407"/>
      <c r="Y767" s="407"/>
      <c r="Z767" s="408"/>
    </row>
    <row r="768" spans="1:26">
      <c r="A768" s="416"/>
      <c r="B768" s="407"/>
      <c r="C768" s="407"/>
      <c r="D768" s="407"/>
      <c r="E768" s="407"/>
      <c r="F768" s="407"/>
      <c r="G768" s="407"/>
      <c r="H768" s="407"/>
      <c r="I768" s="407"/>
      <c r="J768" s="407"/>
      <c r="K768" s="407"/>
      <c r="L768" s="407"/>
      <c r="M768" s="407"/>
      <c r="N768" s="407"/>
      <c r="O768" s="407"/>
      <c r="P768" s="407"/>
      <c r="Q768" s="407"/>
      <c r="R768" s="407"/>
      <c r="S768" s="407"/>
      <c r="T768" s="407"/>
      <c r="U768" s="407"/>
      <c r="V768" s="407"/>
      <c r="W768" s="407"/>
      <c r="X768" s="407"/>
      <c r="Y768" s="407"/>
      <c r="Z768" s="408"/>
    </row>
    <row r="769" spans="1:26">
      <c r="A769" s="416"/>
      <c r="B769" s="407"/>
      <c r="C769" s="407"/>
      <c r="D769" s="407"/>
      <c r="E769" s="407"/>
      <c r="F769" s="407"/>
      <c r="G769" s="407"/>
      <c r="H769" s="407"/>
      <c r="I769" s="407"/>
      <c r="J769" s="407"/>
      <c r="K769" s="407"/>
      <c r="L769" s="407"/>
      <c r="M769" s="407"/>
      <c r="N769" s="407"/>
      <c r="O769" s="407"/>
      <c r="P769" s="407"/>
      <c r="Q769" s="407"/>
      <c r="R769" s="407"/>
      <c r="S769" s="407"/>
      <c r="T769" s="407"/>
      <c r="U769" s="407"/>
      <c r="V769" s="407"/>
      <c r="W769" s="407"/>
      <c r="X769" s="407"/>
      <c r="Y769" s="407"/>
      <c r="Z769" s="408"/>
    </row>
    <row r="770" spans="1:26">
      <c r="A770" s="416"/>
      <c r="B770" s="407"/>
      <c r="C770" s="407"/>
      <c r="D770" s="407"/>
      <c r="E770" s="407"/>
      <c r="F770" s="407"/>
      <c r="G770" s="407"/>
      <c r="H770" s="407"/>
      <c r="I770" s="407"/>
      <c r="J770" s="407"/>
      <c r="K770" s="407"/>
      <c r="L770" s="407"/>
      <c r="M770" s="407"/>
      <c r="N770" s="407"/>
      <c r="O770" s="407"/>
      <c r="P770" s="407"/>
      <c r="Q770" s="407"/>
      <c r="R770" s="407"/>
      <c r="S770" s="407"/>
      <c r="T770" s="407"/>
      <c r="U770" s="407"/>
      <c r="V770" s="407"/>
      <c r="W770" s="407"/>
      <c r="X770" s="407"/>
      <c r="Y770" s="407"/>
      <c r="Z770" s="408"/>
    </row>
    <row r="771" spans="1:26">
      <c r="A771" s="416"/>
      <c r="B771" s="407"/>
      <c r="C771" s="407"/>
      <c r="D771" s="407"/>
      <c r="E771" s="407"/>
      <c r="F771" s="407"/>
      <c r="G771" s="407"/>
      <c r="H771" s="407"/>
      <c r="I771" s="407"/>
      <c r="J771" s="407"/>
      <c r="K771" s="407"/>
      <c r="L771" s="407"/>
      <c r="M771" s="407"/>
      <c r="N771" s="407"/>
      <c r="O771" s="407"/>
      <c r="P771" s="407"/>
      <c r="Q771" s="407"/>
      <c r="R771" s="407"/>
      <c r="S771" s="407"/>
      <c r="T771" s="407"/>
      <c r="U771" s="407"/>
      <c r="V771" s="407"/>
      <c r="W771" s="407"/>
      <c r="X771" s="407"/>
      <c r="Y771" s="407"/>
      <c r="Z771" s="408"/>
    </row>
    <row r="772" spans="1:26">
      <c r="A772" s="416"/>
      <c r="B772" s="407"/>
      <c r="C772" s="407"/>
      <c r="D772" s="407"/>
      <c r="E772" s="407"/>
      <c r="F772" s="407"/>
      <c r="G772" s="407"/>
      <c r="H772" s="407"/>
      <c r="I772" s="407"/>
      <c r="J772" s="407"/>
      <c r="K772" s="407"/>
      <c r="L772" s="407"/>
      <c r="M772" s="407"/>
      <c r="N772" s="407"/>
      <c r="O772" s="407"/>
      <c r="P772" s="407"/>
      <c r="Q772" s="407"/>
      <c r="R772" s="407"/>
      <c r="S772" s="407"/>
      <c r="T772" s="407"/>
      <c r="U772" s="407"/>
      <c r="V772" s="407"/>
      <c r="W772" s="407"/>
      <c r="X772" s="407"/>
      <c r="Y772" s="407"/>
      <c r="Z772" s="408"/>
    </row>
    <row r="773" spans="1:26">
      <c r="A773" s="416"/>
      <c r="B773" s="407"/>
      <c r="C773" s="407"/>
      <c r="D773" s="407"/>
      <c r="E773" s="407"/>
      <c r="F773" s="407"/>
      <c r="G773" s="407"/>
      <c r="H773" s="407"/>
      <c r="I773" s="407"/>
      <c r="J773" s="407"/>
      <c r="K773" s="407"/>
      <c r="L773" s="407"/>
      <c r="M773" s="407"/>
      <c r="N773" s="407"/>
      <c r="O773" s="407"/>
      <c r="P773" s="407"/>
      <c r="Q773" s="407"/>
      <c r="R773" s="407"/>
      <c r="S773" s="407"/>
      <c r="T773" s="407"/>
      <c r="U773" s="407"/>
      <c r="V773" s="407"/>
      <c r="W773" s="407"/>
      <c r="X773" s="407"/>
      <c r="Y773" s="407"/>
      <c r="Z773" s="408"/>
    </row>
    <row r="774" spans="1:26">
      <c r="A774" s="416"/>
      <c r="B774" s="407"/>
      <c r="C774" s="407"/>
      <c r="D774" s="407"/>
      <c r="E774" s="407"/>
      <c r="F774" s="407"/>
      <c r="G774" s="407"/>
      <c r="H774" s="407"/>
      <c r="I774" s="407"/>
      <c r="J774" s="407"/>
      <c r="K774" s="407"/>
      <c r="L774" s="407"/>
      <c r="M774" s="407"/>
      <c r="N774" s="407"/>
      <c r="O774" s="407"/>
      <c r="P774" s="407"/>
      <c r="Q774" s="407"/>
      <c r="R774" s="407"/>
      <c r="S774" s="407"/>
      <c r="T774" s="407"/>
      <c r="U774" s="407"/>
      <c r="V774" s="407"/>
      <c r="W774" s="407"/>
      <c r="X774" s="407"/>
      <c r="Y774" s="407"/>
      <c r="Z774" s="408"/>
    </row>
    <row r="775" spans="1:26">
      <c r="A775" s="416"/>
      <c r="B775" s="407"/>
      <c r="C775" s="407"/>
      <c r="D775" s="407"/>
      <c r="E775" s="407"/>
      <c r="F775" s="407"/>
      <c r="G775" s="407"/>
      <c r="H775" s="407"/>
      <c r="I775" s="407"/>
      <c r="J775" s="407"/>
      <c r="K775" s="407"/>
      <c r="L775" s="407"/>
      <c r="M775" s="407"/>
      <c r="N775" s="407"/>
      <c r="O775" s="407"/>
      <c r="P775" s="407"/>
      <c r="Q775" s="407"/>
      <c r="R775" s="407"/>
      <c r="S775" s="407"/>
      <c r="T775" s="407"/>
      <c r="U775" s="407"/>
      <c r="V775" s="407"/>
      <c r="W775" s="407"/>
      <c r="X775" s="407"/>
      <c r="Y775" s="407"/>
      <c r="Z775" s="408"/>
    </row>
    <row r="776" spans="1:26">
      <c r="A776" s="416"/>
      <c r="B776" s="407"/>
      <c r="C776" s="407"/>
      <c r="D776" s="407"/>
      <c r="E776" s="407"/>
      <c r="F776" s="407"/>
      <c r="G776" s="407"/>
      <c r="H776" s="407"/>
      <c r="I776" s="407"/>
      <c r="J776" s="407"/>
      <c r="K776" s="407"/>
      <c r="L776" s="407"/>
      <c r="M776" s="407"/>
      <c r="N776" s="407"/>
      <c r="O776" s="407"/>
      <c r="P776" s="407"/>
      <c r="Q776" s="407"/>
      <c r="R776" s="407"/>
      <c r="S776" s="407"/>
      <c r="T776" s="407"/>
      <c r="U776" s="407"/>
      <c r="V776" s="407"/>
      <c r="W776" s="407"/>
      <c r="X776" s="407"/>
      <c r="Y776" s="407"/>
      <c r="Z776" s="408"/>
    </row>
    <row r="777" spans="1:26">
      <c r="A777" s="416"/>
      <c r="B777" s="407"/>
      <c r="C777" s="407"/>
      <c r="D777" s="407"/>
      <c r="E777" s="407"/>
      <c r="F777" s="407"/>
      <c r="G777" s="407"/>
      <c r="H777" s="407"/>
      <c r="I777" s="407"/>
      <c r="J777" s="407"/>
      <c r="K777" s="407"/>
      <c r="L777" s="407"/>
      <c r="M777" s="407"/>
      <c r="N777" s="407"/>
      <c r="O777" s="407"/>
      <c r="P777" s="407"/>
      <c r="Q777" s="407"/>
      <c r="R777" s="407"/>
      <c r="S777" s="407"/>
      <c r="T777" s="407"/>
      <c r="U777" s="407"/>
      <c r="V777" s="407"/>
      <c r="W777" s="407"/>
      <c r="X777" s="407"/>
      <c r="Y777" s="407"/>
      <c r="Z777" s="408"/>
    </row>
    <row r="778" spans="1:26">
      <c r="A778" s="416"/>
      <c r="B778" s="407"/>
      <c r="C778" s="407"/>
      <c r="D778" s="407"/>
      <c r="E778" s="407"/>
      <c r="F778" s="407"/>
      <c r="G778" s="407"/>
      <c r="H778" s="407"/>
      <c r="I778" s="407"/>
      <c r="J778" s="407"/>
      <c r="K778" s="407"/>
      <c r="L778" s="407"/>
      <c r="M778" s="407"/>
      <c r="N778" s="407"/>
      <c r="O778" s="407"/>
      <c r="P778" s="407"/>
      <c r="Q778" s="407"/>
      <c r="R778" s="407"/>
      <c r="S778" s="407"/>
      <c r="T778" s="407"/>
      <c r="U778" s="407"/>
      <c r="V778" s="407"/>
      <c r="W778" s="407"/>
      <c r="X778" s="407"/>
      <c r="Y778" s="407"/>
      <c r="Z778" s="408"/>
    </row>
    <row r="779" spans="1:26">
      <c r="A779" s="416"/>
      <c r="B779" s="407"/>
      <c r="C779" s="407"/>
      <c r="D779" s="407"/>
      <c r="E779" s="407"/>
      <c r="F779" s="407"/>
      <c r="G779" s="407"/>
      <c r="H779" s="407"/>
      <c r="I779" s="407"/>
      <c r="J779" s="407"/>
      <c r="K779" s="407"/>
      <c r="L779" s="407"/>
      <c r="M779" s="407"/>
      <c r="N779" s="407"/>
      <c r="O779" s="407"/>
      <c r="P779" s="407"/>
      <c r="Q779" s="407"/>
      <c r="R779" s="407"/>
      <c r="S779" s="407"/>
      <c r="T779" s="407"/>
      <c r="U779" s="407"/>
      <c r="V779" s="407"/>
      <c r="W779" s="407"/>
      <c r="X779" s="407"/>
      <c r="Y779" s="407"/>
      <c r="Z779" s="408"/>
    </row>
    <row r="780" spans="1:26">
      <c r="A780" s="416"/>
      <c r="B780" s="407"/>
      <c r="C780" s="407"/>
      <c r="D780" s="407"/>
      <c r="E780" s="407"/>
      <c r="F780" s="407"/>
      <c r="G780" s="407"/>
      <c r="H780" s="407"/>
      <c r="I780" s="407"/>
      <c r="J780" s="407"/>
      <c r="K780" s="407"/>
      <c r="L780" s="407"/>
      <c r="M780" s="407"/>
      <c r="N780" s="407"/>
      <c r="O780" s="407"/>
      <c r="P780" s="407"/>
      <c r="Q780" s="407"/>
      <c r="R780" s="407"/>
      <c r="S780" s="407"/>
      <c r="T780" s="407"/>
      <c r="U780" s="407"/>
      <c r="V780" s="407"/>
      <c r="W780" s="407"/>
      <c r="X780" s="407"/>
      <c r="Y780" s="407"/>
      <c r="Z780" s="408"/>
    </row>
    <row r="781" spans="1:26">
      <c r="A781" s="416"/>
      <c r="B781" s="407"/>
      <c r="C781" s="407"/>
      <c r="D781" s="407"/>
      <c r="E781" s="407"/>
      <c r="F781" s="407"/>
      <c r="G781" s="407"/>
      <c r="H781" s="407"/>
      <c r="I781" s="407"/>
      <c r="J781" s="407"/>
      <c r="K781" s="407"/>
      <c r="L781" s="407"/>
      <c r="M781" s="407"/>
      <c r="N781" s="407"/>
      <c r="O781" s="407"/>
      <c r="P781" s="407"/>
      <c r="Q781" s="407"/>
      <c r="R781" s="407"/>
      <c r="S781" s="407"/>
      <c r="T781" s="407"/>
      <c r="U781" s="407"/>
      <c r="V781" s="407"/>
      <c r="W781" s="407"/>
      <c r="X781" s="407"/>
      <c r="Y781" s="407"/>
      <c r="Z781" s="408"/>
    </row>
    <row r="782" spans="1:26">
      <c r="A782" s="416"/>
      <c r="B782" s="407"/>
      <c r="C782" s="407"/>
      <c r="D782" s="407"/>
      <c r="E782" s="407"/>
      <c r="F782" s="407"/>
      <c r="G782" s="407"/>
      <c r="H782" s="407"/>
      <c r="I782" s="407"/>
      <c r="J782" s="407"/>
      <c r="K782" s="407"/>
      <c r="L782" s="407"/>
      <c r="M782" s="407"/>
      <c r="N782" s="407"/>
      <c r="O782" s="407"/>
      <c r="P782" s="407"/>
      <c r="Q782" s="407"/>
      <c r="R782" s="407"/>
      <c r="S782" s="407"/>
      <c r="T782" s="407"/>
      <c r="U782" s="407"/>
      <c r="V782" s="407"/>
      <c r="W782" s="407"/>
      <c r="X782" s="407"/>
      <c r="Y782" s="407"/>
      <c r="Z782" s="408"/>
    </row>
    <row r="783" spans="1:26">
      <c r="A783" s="416"/>
      <c r="B783" s="407"/>
      <c r="C783" s="407"/>
      <c r="D783" s="407"/>
      <c r="E783" s="407"/>
      <c r="F783" s="407"/>
      <c r="G783" s="407"/>
      <c r="H783" s="407"/>
      <c r="I783" s="407"/>
      <c r="J783" s="407"/>
      <c r="K783" s="407"/>
      <c r="L783" s="407"/>
      <c r="M783" s="407"/>
      <c r="N783" s="407"/>
      <c r="O783" s="407"/>
      <c r="P783" s="407"/>
      <c r="Q783" s="407"/>
      <c r="R783" s="407"/>
      <c r="S783" s="407"/>
      <c r="T783" s="407"/>
      <c r="U783" s="407"/>
      <c r="V783" s="407"/>
      <c r="W783" s="407"/>
      <c r="X783" s="407"/>
      <c r="Y783" s="407"/>
      <c r="Z783" s="408"/>
    </row>
    <row r="784" spans="1:26">
      <c r="A784" s="416"/>
      <c r="B784" s="407"/>
      <c r="C784" s="407"/>
      <c r="D784" s="407"/>
      <c r="E784" s="407"/>
      <c r="F784" s="407"/>
      <c r="G784" s="407"/>
      <c r="H784" s="407"/>
      <c r="I784" s="407"/>
      <c r="J784" s="407"/>
      <c r="K784" s="407"/>
      <c r="L784" s="407"/>
      <c r="M784" s="407"/>
      <c r="N784" s="407"/>
      <c r="O784" s="407"/>
      <c r="P784" s="407"/>
      <c r="Q784" s="407"/>
      <c r="R784" s="407"/>
      <c r="S784" s="407"/>
      <c r="T784" s="407"/>
      <c r="U784" s="407"/>
      <c r="V784" s="407"/>
      <c r="W784" s="407"/>
      <c r="X784" s="407"/>
      <c r="Y784" s="407"/>
      <c r="Z784" s="408"/>
    </row>
    <row r="785" spans="1:26">
      <c r="A785" s="416"/>
      <c r="B785" s="407"/>
      <c r="C785" s="407"/>
      <c r="D785" s="407"/>
      <c r="E785" s="407"/>
      <c r="F785" s="407"/>
      <c r="G785" s="407"/>
      <c r="H785" s="407"/>
      <c r="I785" s="407"/>
      <c r="J785" s="407"/>
      <c r="K785" s="407"/>
      <c r="L785" s="407"/>
      <c r="M785" s="407"/>
      <c r="N785" s="407"/>
      <c r="O785" s="407"/>
      <c r="P785" s="407"/>
      <c r="Q785" s="407"/>
      <c r="R785" s="407"/>
      <c r="S785" s="407"/>
      <c r="T785" s="407"/>
      <c r="U785" s="407"/>
      <c r="V785" s="407"/>
      <c r="W785" s="407"/>
      <c r="X785" s="407"/>
      <c r="Y785" s="407"/>
      <c r="Z785" s="408"/>
    </row>
    <row r="786" spans="1:26">
      <c r="A786" s="416"/>
      <c r="B786" s="407"/>
      <c r="C786" s="407"/>
      <c r="D786" s="407"/>
      <c r="E786" s="407"/>
      <c r="F786" s="407"/>
      <c r="G786" s="407"/>
      <c r="H786" s="407"/>
      <c r="I786" s="407"/>
      <c r="J786" s="407"/>
      <c r="K786" s="407"/>
      <c r="L786" s="407"/>
      <c r="M786" s="407"/>
      <c r="N786" s="407"/>
      <c r="O786" s="407"/>
      <c r="P786" s="407"/>
      <c r="Q786" s="407"/>
      <c r="R786" s="407"/>
      <c r="S786" s="407"/>
      <c r="T786" s="407"/>
      <c r="U786" s="407"/>
      <c r="V786" s="407"/>
      <c r="W786" s="407"/>
      <c r="X786" s="407"/>
      <c r="Y786" s="407"/>
      <c r="Z786" s="408"/>
    </row>
    <row r="787" spans="1:26">
      <c r="A787" s="416"/>
      <c r="B787" s="407"/>
      <c r="C787" s="407"/>
      <c r="D787" s="407"/>
      <c r="E787" s="407"/>
      <c r="F787" s="407"/>
      <c r="G787" s="407"/>
      <c r="H787" s="407"/>
      <c r="I787" s="407"/>
      <c r="J787" s="407"/>
      <c r="K787" s="407"/>
      <c r="L787" s="407"/>
      <c r="M787" s="407"/>
      <c r="N787" s="407"/>
      <c r="O787" s="407"/>
      <c r="P787" s="407"/>
      <c r="Q787" s="407"/>
      <c r="R787" s="407"/>
      <c r="S787" s="407"/>
      <c r="T787" s="407"/>
      <c r="U787" s="407"/>
      <c r="V787" s="407"/>
      <c r="W787" s="407"/>
      <c r="X787" s="407"/>
      <c r="Y787" s="407"/>
      <c r="Z787" s="408"/>
    </row>
    <row r="788" spans="1:26">
      <c r="A788" s="416"/>
      <c r="B788" s="407"/>
      <c r="C788" s="407"/>
      <c r="D788" s="407"/>
      <c r="E788" s="407"/>
      <c r="F788" s="407"/>
      <c r="G788" s="407"/>
      <c r="H788" s="407"/>
      <c r="I788" s="407"/>
      <c r="J788" s="407"/>
      <c r="K788" s="407"/>
      <c r="L788" s="407"/>
      <c r="M788" s="407"/>
      <c r="N788" s="407"/>
      <c r="O788" s="407"/>
      <c r="P788" s="407"/>
      <c r="Q788" s="407"/>
      <c r="R788" s="407"/>
      <c r="S788" s="407"/>
      <c r="T788" s="407"/>
      <c r="U788" s="407"/>
      <c r="V788" s="407"/>
      <c r="W788" s="407"/>
      <c r="X788" s="407"/>
      <c r="Y788" s="407"/>
      <c r="Z788" s="408"/>
    </row>
    <row r="789" spans="1:26">
      <c r="A789" s="416"/>
      <c r="B789" s="407"/>
      <c r="C789" s="407"/>
      <c r="D789" s="407"/>
      <c r="E789" s="407"/>
      <c r="F789" s="407"/>
      <c r="G789" s="407"/>
      <c r="H789" s="407"/>
      <c r="I789" s="407"/>
      <c r="J789" s="407"/>
      <c r="K789" s="407"/>
      <c r="L789" s="407"/>
      <c r="M789" s="407"/>
      <c r="N789" s="407"/>
      <c r="O789" s="407"/>
      <c r="P789" s="407"/>
      <c r="Q789" s="407"/>
      <c r="R789" s="407"/>
      <c r="S789" s="407"/>
      <c r="T789" s="407"/>
      <c r="U789" s="407"/>
      <c r="V789" s="407"/>
      <c r="W789" s="407"/>
      <c r="X789" s="407"/>
      <c r="Y789" s="407"/>
      <c r="Z789" s="408"/>
    </row>
    <row r="790" spans="1:26">
      <c r="A790" s="416"/>
      <c r="B790" s="407"/>
      <c r="C790" s="407"/>
      <c r="D790" s="407"/>
      <c r="E790" s="407"/>
      <c r="F790" s="407"/>
      <c r="G790" s="407"/>
      <c r="H790" s="407"/>
      <c r="I790" s="407"/>
      <c r="J790" s="407"/>
      <c r="K790" s="407"/>
      <c r="L790" s="407"/>
      <c r="M790" s="407"/>
      <c r="N790" s="407"/>
      <c r="O790" s="407"/>
      <c r="P790" s="407"/>
      <c r="Q790" s="407"/>
      <c r="R790" s="407"/>
      <c r="S790" s="407"/>
      <c r="T790" s="407"/>
      <c r="U790" s="407"/>
      <c r="V790" s="407"/>
      <c r="W790" s="407"/>
      <c r="X790" s="407"/>
      <c r="Y790" s="407"/>
      <c r="Z790" s="408"/>
    </row>
    <row r="791" spans="1:26">
      <c r="A791" s="416"/>
      <c r="B791" s="407"/>
      <c r="C791" s="407"/>
      <c r="D791" s="407"/>
      <c r="E791" s="407"/>
      <c r="F791" s="407"/>
      <c r="G791" s="407"/>
      <c r="H791" s="407"/>
      <c r="I791" s="407"/>
      <c r="J791" s="407"/>
      <c r="K791" s="407"/>
      <c r="L791" s="407"/>
      <c r="M791" s="407"/>
      <c r="N791" s="407"/>
      <c r="O791" s="407"/>
      <c r="P791" s="407"/>
      <c r="Q791" s="407"/>
      <c r="R791" s="407"/>
      <c r="S791" s="407"/>
      <c r="T791" s="407"/>
      <c r="U791" s="407"/>
      <c r="V791" s="407"/>
      <c r="W791" s="407"/>
      <c r="X791" s="407"/>
      <c r="Y791" s="407"/>
      <c r="Z791" s="408"/>
    </row>
    <row r="792" spans="1:26">
      <c r="A792" s="416"/>
      <c r="B792" s="407"/>
      <c r="C792" s="407"/>
      <c r="D792" s="407"/>
      <c r="E792" s="407"/>
      <c r="F792" s="407"/>
      <c r="G792" s="407"/>
      <c r="H792" s="407"/>
      <c r="I792" s="407"/>
      <c r="J792" s="407"/>
      <c r="K792" s="407"/>
      <c r="L792" s="407"/>
      <c r="M792" s="407"/>
      <c r="N792" s="407"/>
      <c r="O792" s="407"/>
      <c r="P792" s="407"/>
      <c r="Q792" s="407"/>
      <c r="R792" s="407"/>
      <c r="S792" s="407"/>
      <c r="T792" s="407"/>
      <c r="U792" s="407"/>
      <c r="V792" s="407"/>
      <c r="W792" s="407"/>
      <c r="X792" s="407"/>
      <c r="Y792" s="407"/>
      <c r="Z792" s="408"/>
    </row>
    <row r="793" spans="1:26">
      <c r="A793" s="416"/>
      <c r="B793" s="407"/>
      <c r="C793" s="407"/>
      <c r="D793" s="407"/>
      <c r="E793" s="407"/>
      <c r="F793" s="407"/>
      <c r="G793" s="407"/>
      <c r="H793" s="407"/>
      <c r="I793" s="407"/>
      <c r="J793" s="407"/>
      <c r="K793" s="407"/>
      <c r="L793" s="407"/>
      <c r="M793" s="407"/>
      <c r="N793" s="407"/>
      <c r="O793" s="407"/>
      <c r="P793" s="407"/>
      <c r="Q793" s="407"/>
      <c r="R793" s="407"/>
      <c r="S793" s="407"/>
      <c r="T793" s="407"/>
      <c r="U793" s="407"/>
      <c r="V793" s="407"/>
      <c r="W793" s="407"/>
      <c r="X793" s="407"/>
      <c r="Y793" s="407"/>
      <c r="Z793" s="408"/>
    </row>
    <row r="794" spans="1:26">
      <c r="A794" s="416"/>
      <c r="B794" s="407"/>
      <c r="C794" s="407"/>
      <c r="D794" s="407"/>
      <c r="E794" s="407"/>
      <c r="F794" s="407"/>
      <c r="G794" s="407"/>
      <c r="H794" s="407"/>
      <c r="I794" s="407"/>
      <c r="J794" s="407"/>
      <c r="K794" s="407"/>
      <c r="L794" s="407"/>
      <c r="M794" s="407"/>
      <c r="N794" s="407"/>
      <c r="O794" s="407"/>
      <c r="P794" s="407"/>
      <c r="Q794" s="407"/>
      <c r="R794" s="407"/>
      <c r="S794" s="407"/>
      <c r="T794" s="407"/>
      <c r="U794" s="407"/>
      <c r="V794" s="407"/>
      <c r="W794" s="407"/>
      <c r="X794" s="407"/>
      <c r="Y794" s="407"/>
      <c r="Z794" s="408"/>
    </row>
    <row r="795" spans="1:26">
      <c r="A795" s="416"/>
      <c r="B795" s="407"/>
      <c r="C795" s="407"/>
      <c r="D795" s="407"/>
      <c r="E795" s="407"/>
      <c r="F795" s="407"/>
      <c r="G795" s="407"/>
      <c r="H795" s="407"/>
      <c r="I795" s="407"/>
      <c r="J795" s="407"/>
      <c r="K795" s="407"/>
      <c r="L795" s="407"/>
      <c r="M795" s="407"/>
      <c r="N795" s="407"/>
      <c r="O795" s="407"/>
      <c r="P795" s="407"/>
      <c r="Q795" s="407"/>
      <c r="R795" s="407"/>
      <c r="S795" s="407"/>
      <c r="T795" s="407"/>
      <c r="U795" s="407"/>
      <c r="V795" s="407"/>
      <c r="W795" s="407"/>
      <c r="X795" s="407"/>
      <c r="Y795" s="407"/>
      <c r="Z795" s="408"/>
    </row>
    <row r="796" spans="1:26">
      <c r="A796" s="416"/>
      <c r="B796" s="407"/>
      <c r="C796" s="407"/>
      <c r="D796" s="407"/>
      <c r="E796" s="407"/>
      <c r="F796" s="407"/>
      <c r="G796" s="407"/>
      <c r="H796" s="407"/>
      <c r="I796" s="407"/>
      <c r="J796" s="407"/>
      <c r="K796" s="407"/>
      <c r="L796" s="407"/>
      <c r="M796" s="407"/>
      <c r="N796" s="407"/>
      <c r="O796" s="407"/>
      <c r="P796" s="407"/>
      <c r="Q796" s="407"/>
      <c r="R796" s="407"/>
      <c r="S796" s="407"/>
      <c r="T796" s="407"/>
      <c r="U796" s="407"/>
      <c r="V796" s="407"/>
      <c r="W796" s="407"/>
      <c r="X796" s="407"/>
      <c r="Y796" s="407"/>
      <c r="Z796" s="408"/>
    </row>
    <row r="797" spans="1:26">
      <c r="A797" s="416"/>
      <c r="B797" s="407"/>
      <c r="C797" s="407"/>
      <c r="D797" s="407"/>
      <c r="E797" s="407"/>
      <c r="F797" s="407"/>
      <c r="G797" s="407"/>
      <c r="H797" s="407"/>
      <c r="I797" s="407"/>
      <c r="J797" s="407"/>
      <c r="K797" s="407"/>
      <c r="L797" s="407"/>
      <c r="M797" s="407"/>
      <c r="N797" s="407"/>
      <c r="O797" s="407"/>
      <c r="P797" s="407"/>
      <c r="Q797" s="407"/>
      <c r="R797" s="407"/>
      <c r="S797" s="407"/>
      <c r="T797" s="407"/>
      <c r="U797" s="407"/>
      <c r="V797" s="407"/>
      <c r="W797" s="407"/>
      <c r="X797" s="407"/>
      <c r="Y797" s="407"/>
      <c r="Z797" s="408"/>
    </row>
    <row r="798" spans="1:26">
      <c r="A798" s="416"/>
      <c r="B798" s="407"/>
      <c r="C798" s="407"/>
      <c r="D798" s="407"/>
      <c r="E798" s="407"/>
      <c r="F798" s="407"/>
      <c r="G798" s="407"/>
      <c r="H798" s="407"/>
      <c r="I798" s="407"/>
      <c r="J798" s="407"/>
      <c r="K798" s="407"/>
      <c r="L798" s="407"/>
      <c r="M798" s="407"/>
      <c r="N798" s="407"/>
      <c r="O798" s="407"/>
      <c r="P798" s="407"/>
      <c r="Q798" s="407"/>
      <c r="R798" s="407"/>
      <c r="S798" s="407"/>
      <c r="T798" s="407"/>
      <c r="U798" s="407"/>
      <c r="V798" s="407"/>
      <c r="W798" s="407"/>
      <c r="X798" s="407"/>
      <c r="Y798" s="407"/>
      <c r="Z798" s="408"/>
    </row>
    <row r="799" spans="1:26">
      <c r="A799" s="416"/>
      <c r="B799" s="407"/>
      <c r="C799" s="407"/>
      <c r="D799" s="407"/>
      <c r="E799" s="407"/>
      <c r="F799" s="407"/>
      <c r="G799" s="407"/>
      <c r="H799" s="407"/>
      <c r="I799" s="407"/>
      <c r="J799" s="407"/>
      <c r="K799" s="407"/>
      <c r="L799" s="407"/>
      <c r="M799" s="407"/>
      <c r="N799" s="407"/>
      <c r="O799" s="407"/>
      <c r="P799" s="407"/>
      <c r="Q799" s="407"/>
      <c r="R799" s="407"/>
      <c r="S799" s="407"/>
      <c r="T799" s="407"/>
      <c r="U799" s="407"/>
      <c r="V799" s="407"/>
      <c r="W799" s="407"/>
      <c r="X799" s="407"/>
      <c r="Y799" s="407"/>
      <c r="Z799" s="408"/>
    </row>
    <row r="800" spans="1:26">
      <c r="A800" s="416"/>
      <c r="B800" s="407"/>
      <c r="C800" s="407"/>
      <c r="D800" s="407"/>
      <c r="E800" s="407"/>
      <c r="F800" s="407"/>
      <c r="G800" s="407"/>
      <c r="H800" s="407"/>
      <c r="I800" s="407"/>
      <c r="J800" s="407"/>
      <c r="K800" s="407"/>
      <c r="L800" s="407"/>
      <c r="M800" s="407"/>
      <c r="N800" s="407"/>
      <c r="O800" s="407"/>
      <c r="P800" s="407"/>
      <c r="Q800" s="407"/>
      <c r="R800" s="407"/>
      <c r="S800" s="407"/>
      <c r="T800" s="407"/>
      <c r="U800" s="407"/>
      <c r="V800" s="407"/>
      <c r="W800" s="407"/>
      <c r="X800" s="407"/>
      <c r="Y800" s="407"/>
      <c r="Z800" s="408"/>
    </row>
    <row r="801" spans="1:26">
      <c r="A801" s="416"/>
      <c r="B801" s="407"/>
      <c r="C801" s="407"/>
      <c r="D801" s="407"/>
      <c r="E801" s="407"/>
      <c r="F801" s="407"/>
      <c r="G801" s="407"/>
      <c r="H801" s="407"/>
      <c r="I801" s="407"/>
      <c r="J801" s="407"/>
      <c r="K801" s="407"/>
      <c r="L801" s="407"/>
      <c r="M801" s="407"/>
      <c r="N801" s="407"/>
      <c r="O801" s="407"/>
      <c r="P801" s="407"/>
      <c r="Q801" s="407"/>
      <c r="R801" s="407"/>
      <c r="S801" s="407"/>
      <c r="T801" s="407"/>
      <c r="U801" s="407"/>
      <c r="V801" s="407"/>
      <c r="W801" s="407"/>
      <c r="X801" s="407"/>
      <c r="Y801" s="407"/>
      <c r="Z801" s="408"/>
    </row>
    <row r="802" spans="1:26">
      <c r="A802" s="416"/>
      <c r="B802" s="407"/>
      <c r="C802" s="407"/>
      <c r="D802" s="407"/>
      <c r="E802" s="407"/>
      <c r="F802" s="407"/>
      <c r="G802" s="407"/>
      <c r="H802" s="407"/>
      <c r="I802" s="407"/>
      <c r="J802" s="407"/>
      <c r="K802" s="407"/>
      <c r="L802" s="407"/>
      <c r="M802" s="407"/>
      <c r="N802" s="407"/>
      <c r="O802" s="407"/>
      <c r="P802" s="407"/>
      <c r="Q802" s="407"/>
      <c r="R802" s="407"/>
      <c r="S802" s="407"/>
      <c r="T802" s="407"/>
      <c r="U802" s="407"/>
      <c r="V802" s="407"/>
      <c r="W802" s="407"/>
      <c r="X802" s="407"/>
      <c r="Y802" s="407"/>
      <c r="Z802" s="408"/>
    </row>
    <row r="803" spans="1:26">
      <c r="A803" s="416"/>
      <c r="B803" s="407"/>
      <c r="C803" s="407"/>
      <c r="D803" s="407"/>
      <c r="E803" s="407"/>
      <c r="F803" s="407"/>
      <c r="G803" s="407"/>
      <c r="H803" s="407"/>
      <c r="I803" s="407"/>
      <c r="J803" s="407"/>
      <c r="K803" s="407"/>
      <c r="L803" s="407"/>
      <c r="M803" s="407"/>
      <c r="N803" s="407"/>
      <c r="O803" s="407"/>
      <c r="P803" s="407"/>
      <c r="Q803" s="407"/>
      <c r="R803" s="407"/>
      <c r="S803" s="407"/>
      <c r="T803" s="407"/>
      <c r="U803" s="407"/>
      <c r="V803" s="407"/>
      <c r="W803" s="407"/>
      <c r="X803" s="407"/>
      <c r="Y803" s="407"/>
      <c r="Z803" s="408"/>
    </row>
    <row r="804" spans="1:26">
      <c r="A804" s="416"/>
      <c r="B804" s="407"/>
      <c r="C804" s="407"/>
      <c r="D804" s="407"/>
      <c r="E804" s="407"/>
      <c r="F804" s="407"/>
      <c r="G804" s="407"/>
      <c r="H804" s="407"/>
      <c r="I804" s="407"/>
      <c r="J804" s="407"/>
      <c r="K804" s="407"/>
      <c r="L804" s="407"/>
      <c r="M804" s="407"/>
      <c r="N804" s="407"/>
      <c r="O804" s="407"/>
      <c r="P804" s="407"/>
      <c r="Q804" s="407"/>
      <c r="R804" s="407"/>
      <c r="S804" s="407"/>
      <c r="T804" s="407"/>
      <c r="U804" s="407"/>
      <c r="V804" s="407"/>
      <c r="W804" s="407"/>
      <c r="X804" s="407"/>
      <c r="Y804" s="407"/>
      <c r="Z804" s="408"/>
    </row>
    <row r="805" spans="1:26">
      <c r="A805" s="416"/>
      <c r="B805" s="407"/>
      <c r="C805" s="407"/>
      <c r="D805" s="407"/>
      <c r="E805" s="407"/>
      <c r="F805" s="407"/>
      <c r="G805" s="407"/>
      <c r="H805" s="407"/>
      <c r="I805" s="407"/>
      <c r="J805" s="407"/>
      <c r="K805" s="407"/>
      <c r="L805" s="407"/>
      <c r="M805" s="407"/>
      <c r="N805" s="407"/>
      <c r="O805" s="407"/>
      <c r="P805" s="407"/>
      <c r="Q805" s="407"/>
      <c r="R805" s="407"/>
      <c r="S805" s="407"/>
      <c r="T805" s="407"/>
      <c r="U805" s="407"/>
      <c r="V805" s="407"/>
      <c r="W805" s="407"/>
      <c r="X805" s="407"/>
      <c r="Y805" s="407"/>
      <c r="Z805" s="408"/>
    </row>
    <row r="806" spans="1:26">
      <c r="A806" s="416"/>
      <c r="B806" s="407"/>
      <c r="C806" s="407"/>
      <c r="D806" s="407"/>
      <c r="E806" s="407"/>
      <c r="F806" s="407"/>
      <c r="G806" s="407"/>
      <c r="H806" s="407"/>
      <c r="I806" s="407"/>
      <c r="J806" s="407"/>
      <c r="K806" s="407"/>
      <c r="L806" s="407"/>
      <c r="M806" s="407"/>
      <c r="N806" s="407"/>
      <c r="O806" s="407"/>
      <c r="P806" s="407"/>
      <c r="Q806" s="407"/>
      <c r="R806" s="407"/>
      <c r="S806" s="407"/>
      <c r="T806" s="407"/>
      <c r="U806" s="407"/>
      <c r="V806" s="407"/>
      <c r="W806" s="407"/>
      <c r="X806" s="407"/>
      <c r="Y806" s="407"/>
      <c r="Z806" s="408"/>
    </row>
    <row r="807" spans="1:26">
      <c r="A807" s="416"/>
      <c r="B807" s="407"/>
      <c r="C807" s="407"/>
      <c r="D807" s="407"/>
      <c r="E807" s="407"/>
      <c r="F807" s="407"/>
      <c r="G807" s="407"/>
      <c r="H807" s="407"/>
      <c r="I807" s="407"/>
      <c r="J807" s="407"/>
      <c r="K807" s="407"/>
      <c r="L807" s="407"/>
      <c r="M807" s="407"/>
      <c r="N807" s="407"/>
      <c r="O807" s="407"/>
      <c r="P807" s="407"/>
      <c r="Q807" s="407"/>
      <c r="R807" s="407"/>
      <c r="S807" s="407"/>
      <c r="T807" s="407"/>
      <c r="U807" s="407"/>
      <c r="V807" s="407"/>
      <c r="W807" s="407"/>
      <c r="X807" s="407"/>
      <c r="Y807" s="407"/>
      <c r="Z807" s="408"/>
    </row>
    <row r="808" spans="1:26">
      <c r="A808" s="416"/>
      <c r="B808" s="407"/>
      <c r="C808" s="407"/>
      <c r="D808" s="407"/>
      <c r="E808" s="407"/>
      <c r="F808" s="407"/>
      <c r="G808" s="407"/>
      <c r="H808" s="407"/>
      <c r="I808" s="407"/>
      <c r="J808" s="407"/>
      <c r="K808" s="407"/>
      <c r="L808" s="407"/>
      <c r="M808" s="407"/>
      <c r="N808" s="407"/>
      <c r="O808" s="407"/>
      <c r="P808" s="407"/>
      <c r="Q808" s="407"/>
      <c r="R808" s="407"/>
      <c r="S808" s="407"/>
      <c r="T808" s="407"/>
      <c r="U808" s="407"/>
      <c r="V808" s="407"/>
      <c r="W808" s="407"/>
      <c r="X808" s="407"/>
      <c r="Y808" s="407"/>
      <c r="Z808" s="408"/>
    </row>
    <row r="809" spans="1:26">
      <c r="A809" s="416"/>
      <c r="B809" s="407"/>
      <c r="C809" s="407"/>
      <c r="D809" s="407"/>
      <c r="E809" s="407"/>
      <c r="F809" s="407"/>
      <c r="G809" s="407"/>
      <c r="H809" s="407"/>
      <c r="I809" s="407"/>
      <c r="J809" s="407"/>
      <c r="K809" s="407"/>
      <c r="L809" s="407"/>
      <c r="M809" s="407"/>
      <c r="N809" s="407"/>
      <c r="O809" s="407"/>
      <c r="P809" s="407"/>
      <c r="Q809" s="407"/>
      <c r="R809" s="407"/>
      <c r="S809" s="407"/>
      <c r="T809" s="407"/>
      <c r="U809" s="407"/>
      <c r="V809" s="407"/>
      <c r="W809" s="407"/>
      <c r="X809" s="407"/>
      <c r="Y809" s="407"/>
      <c r="Z809" s="408"/>
    </row>
    <row r="810" spans="1:26">
      <c r="A810" s="416"/>
      <c r="B810" s="407"/>
      <c r="C810" s="407"/>
      <c r="D810" s="407"/>
      <c r="E810" s="407"/>
      <c r="F810" s="407"/>
      <c r="G810" s="407"/>
      <c r="H810" s="407"/>
      <c r="I810" s="407"/>
      <c r="J810" s="407"/>
      <c r="K810" s="407"/>
      <c r="L810" s="407"/>
      <c r="M810" s="407"/>
      <c r="N810" s="407"/>
      <c r="O810" s="407"/>
      <c r="P810" s="407"/>
      <c r="Q810" s="407"/>
      <c r="R810" s="407"/>
      <c r="S810" s="407"/>
      <c r="T810" s="407"/>
      <c r="U810" s="407"/>
      <c r="V810" s="407"/>
      <c r="W810" s="407"/>
      <c r="X810" s="407"/>
      <c r="Y810" s="407"/>
      <c r="Z810" s="408"/>
    </row>
    <row r="811" spans="1:26">
      <c r="A811" s="416"/>
      <c r="B811" s="407"/>
      <c r="C811" s="407"/>
      <c r="D811" s="407"/>
      <c r="E811" s="407"/>
      <c r="F811" s="407"/>
      <c r="G811" s="407"/>
      <c r="H811" s="407"/>
      <c r="I811" s="407"/>
      <c r="J811" s="407"/>
      <c r="K811" s="407"/>
      <c r="L811" s="407"/>
      <c r="M811" s="407"/>
      <c r="N811" s="407"/>
      <c r="O811" s="407"/>
      <c r="P811" s="407"/>
      <c r="Q811" s="407"/>
      <c r="R811" s="407"/>
      <c r="S811" s="407"/>
      <c r="T811" s="407"/>
      <c r="U811" s="407"/>
      <c r="V811" s="407"/>
      <c r="W811" s="407"/>
      <c r="X811" s="407"/>
      <c r="Y811" s="407"/>
      <c r="Z811" s="408"/>
    </row>
    <row r="812" spans="1:26">
      <c r="A812" s="416"/>
      <c r="B812" s="407"/>
      <c r="C812" s="407"/>
      <c r="D812" s="407"/>
      <c r="E812" s="407"/>
      <c r="F812" s="407"/>
      <c r="G812" s="407"/>
      <c r="H812" s="407"/>
      <c r="I812" s="407"/>
      <c r="J812" s="407"/>
      <c r="K812" s="407"/>
      <c r="L812" s="407"/>
      <c r="M812" s="407"/>
      <c r="N812" s="407"/>
      <c r="O812" s="407"/>
      <c r="P812" s="407"/>
      <c r="Q812" s="407"/>
      <c r="R812" s="407"/>
      <c r="S812" s="407"/>
      <c r="T812" s="407"/>
      <c r="U812" s="407"/>
      <c r="V812" s="407"/>
      <c r="W812" s="407"/>
      <c r="X812" s="407"/>
      <c r="Y812" s="407"/>
      <c r="Z812" s="408"/>
    </row>
    <row r="813" spans="1:26">
      <c r="A813" s="416"/>
      <c r="B813" s="407"/>
      <c r="C813" s="407"/>
      <c r="D813" s="407"/>
      <c r="E813" s="407"/>
      <c r="F813" s="407"/>
      <c r="G813" s="407"/>
      <c r="H813" s="407"/>
      <c r="I813" s="407"/>
      <c r="J813" s="407"/>
      <c r="K813" s="407"/>
      <c r="L813" s="407"/>
      <c r="M813" s="407"/>
      <c r="N813" s="407"/>
      <c r="O813" s="407"/>
      <c r="P813" s="407"/>
      <c r="Q813" s="407"/>
      <c r="R813" s="407"/>
      <c r="S813" s="407"/>
      <c r="T813" s="407"/>
      <c r="U813" s="407"/>
      <c r="V813" s="407"/>
      <c r="W813" s="407"/>
      <c r="X813" s="407"/>
      <c r="Y813" s="407"/>
      <c r="Z813" s="408"/>
    </row>
    <row r="814" spans="1:26">
      <c r="A814" s="416"/>
      <c r="B814" s="407"/>
      <c r="C814" s="407"/>
      <c r="D814" s="407"/>
      <c r="E814" s="407"/>
      <c r="F814" s="407"/>
      <c r="G814" s="407"/>
      <c r="H814" s="407"/>
      <c r="I814" s="407"/>
      <c r="J814" s="407"/>
      <c r="K814" s="407"/>
      <c r="L814" s="407"/>
      <c r="M814" s="407"/>
      <c r="N814" s="407"/>
      <c r="O814" s="407"/>
      <c r="P814" s="407"/>
      <c r="Q814" s="407"/>
      <c r="R814" s="407"/>
      <c r="S814" s="407"/>
      <c r="T814" s="407"/>
      <c r="U814" s="407"/>
      <c r="V814" s="407"/>
      <c r="W814" s="407"/>
      <c r="X814" s="407"/>
      <c r="Y814" s="407"/>
      <c r="Z814" s="408"/>
    </row>
    <row r="815" spans="1:26">
      <c r="A815" s="416"/>
      <c r="B815" s="407"/>
      <c r="C815" s="407"/>
      <c r="D815" s="407"/>
      <c r="E815" s="407"/>
      <c r="F815" s="407"/>
      <c r="G815" s="407"/>
      <c r="H815" s="407"/>
      <c r="I815" s="407"/>
      <c r="J815" s="407"/>
      <c r="K815" s="407"/>
      <c r="L815" s="407"/>
      <c r="M815" s="407"/>
      <c r="N815" s="407"/>
      <c r="O815" s="407"/>
      <c r="P815" s="407"/>
      <c r="Q815" s="407"/>
      <c r="R815" s="407"/>
      <c r="S815" s="407"/>
      <c r="T815" s="407"/>
      <c r="U815" s="407"/>
      <c r="V815" s="407"/>
      <c r="W815" s="407"/>
      <c r="X815" s="407"/>
      <c r="Y815" s="407"/>
      <c r="Z815" s="408"/>
    </row>
    <row r="816" spans="1:26">
      <c r="A816" s="416"/>
      <c r="B816" s="407"/>
      <c r="C816" s="407"/>
      <c r="D816" s="407"/>
      <c r="E816" s="407"/>
      <c r="F816" s="407"/>
      <c r="G816" s="407"/>
      <c r="H816" s="407"/>
      <c r="I816" s="407"/>
      <c r="J816" s="407"/>
      <c r="K816" s="407"/>
      <c r="L816" s="407"/>
      <c r="M816" s="407"/>
      <c r="N816" s="407"/>
      <c r="O816" s="407"/>
      <c r="P816" s="407"/>
      <c r="Q816" s="407"/>
      <c r="R816" s="407"/>
      <c r="S816" s="407"/>
      <c r="T816" s="407"/>
      <c r="U816" s="407"/>
      <c r="V816" s="407"/>
      <c r="W816" s="407"/>
      <c r="X816" s="407"/>
      <c r="Y816" s="407"/>
      <c r="Z816" s="408"/>
    </row>
    <row r="817" spans="1:26">
      <c r="A817" s="416"/>
      <c r="B817" s="407"/>
      <c r="C817" s="407"/>
      <c r="D817" s="407"/>
      <c r="E817" s="407"/>
      <c r="F817" s="407"/>
      <c r="G817" s="407"/>
      <c r="H817" s="407"/>
      <c r="I817" s="407"/>
      <c r="J817" s="407"/>
      <c r="K817" s="407"/>
      <c r="L817" s="407"/>
      <c r="M817" s="407"/>
      <c r="N817" s="407"/>
      <c r="O817" s="407"/>
      <c r="P817" s="407"/>
      <c r="Q817" s="407"/>
      <c r="R817" s="407"/>
      <c r="S817" s="407"/>
      <c r="T817" s="407"/>
      <c r="U817" s="407"/>
      <c r="V817" s="407"/>
      <c r="W817" s="407"/>
      <c r="X817" s="407"/>
      <c r="Y817" s="407"/>
      <c r="Z817" s="408"/>
    </row>
    <row r="818" spans="1:26">
      <c r="A818" s="416"/>
      <c r="B818" s="407"/>
      <c r="C818" s="407"/>
      <c r="D818" s="407"/>
      <c r="E818" s="407"/>
      <c r="F818" s="407"/>
      <c r="G818" s="407"/>
      <c r="H818" s="407"/>
      <c r="I818" s="407"/>
      <c r="J818" s="407"/>
      <c r="K818" s="407"/>
      <c r="L818" s="407"/>
      <c r="M818" s="407"/>
      <c r="N818" s="407"/>
      <c r="O818" s="407"/>
      <c r="P818" s="407"/>
      <c r="Q818" s="407"/>
      <c r="R818" s="407"/>
      <c r="S818" s="407"/>
      <c r="T818" s="407"/>
      <c r="U818" s="407"/>
      <c r="V818" s="407"/>
      <c r="W818" s="407"/>
      <c r="X818" s="407"/>
      <c r="Y818" s="407"/>
      <c r="Z818" s="408"/>
    </row>
    <row r="819" spans="1:26">
      <c r="A819" s="416"/>
      <c r="B819" s="407"/>
      <c r="C819" s="407"/>
      <c r="D819" s="407"/>
      <c r="E819" s="407"/>
      <c r="F819" s="407"/>
      <c r="G819" s="407"/>
      <c r="H819" s="407"/>
      <c r="I819" s="407"/>
      <c r="J819" s="407"/>
      <c r="K819" s="407"/>
      <c r="L819" s="407"/>
      <c r="M819" s="407"/>
      <c r="N819" s="407"/>
      <c r="O819" s="407"/>
      <c r="P819" s="407"/>
      <c r="Q819" s="407"/>
      <c r="R819" s="407"/>
      <c r="S819" s="407"/>
      <c r="T819" s="407"/>
      <c r="U819" s="407"/>
      <c r="V819" s="407"/>
      <c r="W819" s="407"/>
      <c r="X819" s="407"/>
      <c r="Y819" s="407"/>
      <c r="Z819" s="408"/>
    </row>
    <row r="820" spans="1:26">
      <c r="A820" s="416"/>
      <c r="B820" s="407"/>
      <c r="C820" s="407"/>
      <c r="D820" s="407"/>
      <c r="E820" s="407"/>
      <c r="F820" s="407"/>
      <c r="G820" s="407"/>
      <c r="H820" s="407"/>
      <c r="I820" s="407"/>
      <c r="J820" s="407"/>
      <c r="K820" s="407"/>
      <c r="L820" s="407"/>
      <c r="M820" s="407"/>
      <c r="N820" s="407"/>
      <c r="O820" s="407"/>
      <c r="P820" s="407"/>
      <c r="Q820" s="407"/>
      <c r="R820" s="407"/>
      <c r="S820" s="407"/>
      <c r="T820" s="407"/>
      <c r="U820" s="407"/>
      <c r="V820" s="407"/>
      <c r="W820" s="407"/>
      <c r="X820" s="407"/>
      <c r="Y820" s="407"/>
      <c r="Z820" s="408"/>
    </row>
    <row r="821" spans="1:26">
      <c r="A821" s="416"/>
      <c r="B821" s="407"/>
      <c r="C821" s="407"/>
      <c r="D821" s="407"/>
      <c r="E821" s="407"/>
      <c r="F821" s="407"/>
      <c r="G821" s="407"/>
      <c r="H821" s="407"/>
      <c r="I821" s="407"/>
      <c r="J821" s="407"/>
      <c r="K821" s="407"/>
      <c r="L821" s="407"/>
      <c r="M821" s="407"/>
      <c r="N821" s="407"/>
      <c r="O821" s="407"/>
      <c r="P821" s="407"/>
      <c r="Q821" s="407"/>
      <c r="R821" s="407"/>
      <c r="S821" s="407"/>
      <c r="T821" s="407"/>
      <c r="U821" s="407"/>
      <c r="V821" s="407"/>
      <c r="W821" s="407"/>
      <c r="X821" s="407"/>
      <c r="Y821" s="407"/>
      <c r="Z821" s="408"/>
    </row>
    <row r="822" spans="1:26">
      <c r="A822" s="416"/>
      <c r="B822" s="407"/>
      <c r="C822" s="407"/>
      <c r="D822" s="407"/>
      <c r="E822" s="407"/>
      <c r="F822" s="407"/>
      <c r="G822" s="407"/>
      <c r="H822" s="407"/>
      <c r="I822" s="407"/>
      <c r="J822" s="407"/>
      <c r="K822" s="407"/>
      <c r="L822" s="407"/>
      <c r="M822" s="407"/>
      <c r="N822" s="407"/>
      <c r="O822" s="407"/>
      <c r="P822" s="407"/>
      <c r="Q822" s="407"/>
      <c r="R822" s="407"/>
      <c r="S822" s="407"/>
      <c r="T822" s="407"/>
      <c r="U822" s="407"/>
      <c r="V822" s="407"/>
      <c r="W822" s="407"/>
      <c r="X822" s="407"/>
      <c r="Y822" s="407"/>
      <c r="Z822" s="408"/>
    </row>
    <row r="823" spans="1:26">
      <c r="A823" s="416"/>
      <c r="B823" s="407"/>
      <c r="C823" s="407"/>
      <c r="D823" s="407"/>
      <c r="E823" s="407"/>
      <c r="F823" s="407"/>
      <c r="G823" s="407"/>
      <c r="H823" s="407"/>
      <c r="I823" s="407"/>
      <c r="J823" s="407"/>
      <c r="K823" s="407"/>
      <c r="L823" s="407"/>
      <c r="M823" s="407"/>
      <c r="N823" s="407"/>
      <c r="O823" s="407"/>
      <c r="P823" s="407"/>
      <c r="Q823" s="407"/>
      <c r="R823" s="407"/>
      <c r="S823" s="407"/>
      <c r="T823" s="407"/>
      <c r="U823" s="407"/>
      <c r="V823" s="407"/>
      <c r="W823" s="407"/>
      <c r="X823" s="407"/>
      <c r="Y823" s="407"/>
      <c r="Z823" s="408"/>
    </row>
    <row r="824" spans="1:26">
      <c r="A824" s="416"/>
      <c r="B824" s="407"/>
      <c r="C824" s="407"/>
      <c r="D824" s="407"/>
      <c r="E824" s="407"/>
      <c r="F824" s="407"/>
      <c r="G824" s="407"/>
      <c r="H824" s="407"/>
      <c r="I824" s="407"/>
      <c r="J824" s="407"/>
      <c r="K824" s="407"/>
      <c r="L824" s="407"/>
      <c r="M824" s="407"/>
      <c r="N824" s="407"/>
      <c r="O824" s="407"/>
      <c r="P824" s="407"/>
      <c r="Q824" s="407"/>
      <c r="R824" s="407"/>
      <c r="S824" s="407"/>
      <c r="T824" s="407"/>
      <c r="U824" s="407"/>
      <c r="V824" s="407"/>
      <c r="W824" s="407"/>
      <c r="X824" s="407"/>
      <c r="Y824" s="407"/>
      <c r="Z824" s="408"/>
    </row>
    <row r="825" spans="1:26">
      <c r="A825" s="416"/>
      <c r="B825" s="407"/>
      <c r="C825" s="407"/>
      <c r="D825" s="407"/>
      <c r="E825" s="407"/>
      <c r="F825" s="407"/>
      <c r="G825" s="407"/>
      <c r="H825" s="407"/>
      <c r="I825" s="407"/>
      <c r="J825" s="407"/>
      <c r="K825" s="407"/>
      <c r="L825" s="407"/>
      <c r="M825" s="407"/>
      <c r="N825" s="407"/>
      <c r="O825" s="407"/>
      <c r="P825" s="407"/>
      <c r="Q825" s="407"/>
      <c r="R825" s="407"/>
      <c r="S825" s="407"/>
      <c r="T825" s="407"/>
      <c r="U825" s="407"/>
      <c r="V825" s="407"/>
      <c r="W825" s="407"/>
      <c r="X825" s="407"/>
      <c r="Y825" s="407"/>
      <c r="Z825" s="408"/>
    </row>
    <row r="826" spans="1:26">
      <c r="A826" s="416"/>
      <c r="B826" s="407"/>
      <c r="C826" s="407"/>
      <c r="D826" s="407"/>
      <c r="E826" s="407"/>
      <c r="F826" s="407"/>
      <c r="G826" s="407"/>
      <c r="H826" s="407"/>
      <c r="I826" s="407"/>
      <c r="J826" s="407"/>
      <c r="K826" s="407"/>
      <c r="L826" s="407"/>
      <c r="M826" s="407"/>
      <c r="N826" s="407"/>
      <c r="O826" s="407"/>
      <c r="P826" s="407"/>
      <c r="Q826" s="407"/>
      <c r="R826" s="407"/>
      <c r="S826" s="407"/>
      <c r="T826" s="407"/>
      <c r="U826" s="407"/>
      <c r="V826" s="407"/>
      <c r="W826" s="407"/>
      <c r="X826" s="407"/>
      <c r="Y826" s="407"/>
      <c r="Z826" s="408"/>
    </row>
    <row r="827" spans="1:26">
      <c r="A827" s="416"/>
      <c r="B827" s="407"/>
      <c r="C827" s="407"/>
      <c r="D827" s="407"/>
      <c r="E827" s="407"/>
      <c r="F827" s="407"/>
      <c r="G827" s="407"/>
      <c r="H827" s="407"/>
      <c r="I827" s="407"/>
      <c r="J827" s="407"/>
      <c r="K827" s="407"/>
      <c r="L827" s="407"/>
      <c r="M827" s="407"/>
      <c r="N827" s="407"/>
      <c r="O827" s="407"/>
      <c r="P827" s="407"/>
      <c r="Q827" s="407"/>
      <c r="R827" s="407"/>
      <c r="S827" s="407"/>
      <c r="T827" s="407"/>
      <c r="U827" s="407"/>
      <c r="V827" s="407"/>
      <c r="W827" s="407"/>
      <c r="X827" s="407"/>
      <c r="Y827" s="407"/>
      <c r="Z827" s="408"/>
    </row>
    <row r="828" spans="1:26">
      <c r="A828" s="416"/>
      <c r="B828" s="407"/>
      <c r="C828" s="407"/>
      <c r="D828" s="407"/>
      <c r="E828" s="407"/>
      <c r="F828" s="407"/>
      <c r="G828" s="407"/>
      <c r="H828" s="407"/>
      <c r="I828" s="407"/>
      <c r="J828" s="407"/>
      <c r="K828" s="407"/>
      <c r="L828" s="407"/>
      <c r="M828" s="407"/>
      <c r="N828" s="407"/>
      <c r="O828" s="407"/>
      <c r="P828" s="407"/>
      <c r="Q828" s="407"/>
      <c r="R828" s="407"/>
      <c r="S828" s="407"/>
      <c r="T828" s="407"/>
      <c r="U828" s="407"/>
      <c r="V828" s="407"/>
      <c r="W828" s="407"/>
      <c r="X828" s="407"/>
      <c r="Y828" s="407"/>
      <c r="Z828" s="408"/>
    </row>
    <row r="829" spans="1:26">
      <c r="A829" s="416"/>
      <c r="B829" s="407"/>
      <c r="C829" s="407"/>
      <c r="D829" s="407"/>
      <c r="E829" s="407"/>
      <c r="F829" s="407"/>
      <c r="G829" s="407"/>
      <c r="H829" s="407"/>
      <c r="I829" s="407"/>
      <c r="J829" s="407"/>
      <c r="K829" s="407"/>
      <c r="L829" s="407"/>
      <c r="M829" s="407"/>
      <c r="N829" s="407"/>
      <c r="O829" s="407"/>
      <c r="P829" s="407"/>
      <c r="Q829" s="407"/>
      <c r="R829" s="407"/>
      <c r="S829" s="407"/>
      <c r="T829" s="407"/>
      <c r="U829" s="407"/>
      <c r="V829" s="407"/>
      <c r="W829" s="407"/>
      <c r="X829" s="407"/>
      <c r="Y829" s="407"/>
      <c r="Z829" s="408"/>
    </row>
    <row r="830" spans="1:26">
      <c r="A830" s="416"/>
      <c r="B830" s="407"/>
      <c r="C830" s="407"/>
      <c r="D830" s="407"/>
      <c r="E830" s="407"/>
      <c r="F830" s="407"/>
      <c r="G830" s="407"/>
      <c r="H830" s="407"/>
      <c r="I830" s="407"/>
      <c r="J830" s="407"/>
      <c r="K830" s="407"/>
      <c r="L830" s="407"/>
      <c r="M830" s="407"/>
      <c r="N830" s="407"/>
      <c r="O830" s="407"/>
      <c r="P830" s="407"/>
      <c r="Q830" s="407"/>
      <c r="R830" s="407"/>
      <c r="S830" s="407"/>
      <c r="T830" s="407"/>
      <c r="U830" s="407"/>
      <c r="V830" s="407"/>
      <c r="W830" s="407"/>
      <c r="X830" s="407"/>
      <c r="Y830" s="407"/>
      <c r="Z830" s="408"/>
    </row>
    <row r="831" spans="1:26">
      <c r="A831" s="416"/>
      <c r="B831" s="407"/>
      <c r="C831" s="407"/>
      <c r="D831" s="407"/>
      <c r="E831" s="407"/>
      <c r="F831" s="407"/>
      <c r="G831" s="407"/>
      <c r="H831" s="407"/>
      <c r="I831" s="407"/>
      <c r="J831" s="407"/>
      <c r="K831" s="407"/>
      <c r="L831" s="407"/>
      <c r="M831" s="407"/>
      <c r="N831" s="407"/>
      <c r="O831" s="407"/>
      <c r="P831" s="407"/>
      <c r="Q831" s="407"/>
      <c r="R831" s="407"/>
      <c r="S831" s="407"/>
      <c r="T831" s="407"/>
      <c r="U831" s="407"/>
      <c r="V831" s="407"/>
      <c r="W831" s="407"/>
      <c r="X831" s="407"/>
      <c r="Y831" s="407"/>
      <c r="Z831" s="408"/>
    </row>
    <row r="832" spans="1:26">
      <c r="A832" s="416"/>
      <c r="B832" s="407"/>
      <c r="C832" s="407"/>
      <c r="D832" s="407"/>
      <c r="E832" s="407"/>
      <c r="F832" s="407"/>
      <c r="G832" s="407"/>
      <c r="H832" s="407"/>
      <c r="I832" s="407"/>
      <c r="J832" s="407"/>
      <c r="K832" s="407"/>
      <c r="L832" s="407"/>
      <c r="M832" s="407"/>
      <c r="N832" s="407"/>
      <c r="O832" s="407"/>
      <c r="P832" s="407"/>
      <c r="Q832" s="407"/>
      <c r="R832" s="407"/>
      <c r="S832" s="407"/>
      <c r="T832" s="407"/>
      <c r="U832" s="407"/>
      <c r="V832" s="407"/>
      <c r="W832" s="407"/>
      <c r="X832" s="407"/>
      <c r="Y832" s="407"/>
      <c r="Z832" s="408"/>
    </row>
    <row r="833" spans="1:26">
      <c r="A833" s="416"/>
      <c r="B833" s="407"/>
      <c r="C833" s="407"/>
      <c r="D833" s="407"/>
      <c r="E833" s="407"/>
      <c r="F833" s="407"/>
      <c r="G833" s="407"/>
      <c r="H833" s="407"/>
      <c r="I833" s="407"/>
      <c r="J833" s="407"/>
      <c r="K833" s="407"/>
      <c r="L833" s="407"/>
      <c r="M833" s="407"/>
      <c r="N833" s="407"/>
      <c r="O833" s="407"/>
      <c r="P833" s="407"/>
      <c r="Q833" s="407"/>
      <c r="R833" s="407"/>
      <c r="S833" s="407"/>
      <c r="T833" s="407"/>
      <c r="U833" s="407"/>
      <c r="V833" s="407"/>
      <c r="W833" s="407"/>
      <c r="X833" s="407"/>
      <c r="Y833" s="407"/>
      <c r="Z833" s="408"/>
    </row>
    <row r="834" spans="1:26">
      <c r="A834" s="416"/>
      <c r="B834" s="407"/>
      <c r="C834" s="407"/>
      <c r="D834" s="407"/>
      <c r="E834" s="407"/>
      <c r="F834" s="407"/>
      <c r="G834" s="407"/>
      <c r="H834" s="407"/>
      <c r="I834" s="407"/>
      <c r="J834" s="407"/>
      <c r="K834" s="407"/>
      <c r="L834" s="407"/>
      <c r="M834" s="407"/>
      <c r="N834" s="407"/>
      <c r="O834" s="407"/>
      <c r="P834" s="407"/>
      <c r="Q834" s="407"/>
      <c r="R834" s="407"/>
      <c r="S834" s="407"/>
      <c r="T834" s="407"/>
      <c r="U834" s="407"/>
      <c r="V834" s="407"/>
      <c r="W834" s="407"/>
      <c r="X834" s="407"/>
      <c r="Y834" s="407"/>
      <c r="Z834" s="408"/>
    </row>
    <row r="835" spans="1:26">
      <c r="A835" s="416"/>
      <c r="B835" s="407"/>
      <c r="C835" s="407"/>
      <c r="D835" s="407"/>
      <c r="E835" s="407"/>
      <c r="F835" s="407"/>
      <c r="G835" s="407"/>
      <c r="H835" s="407"/>
      <c r="I835" s="407"/>
      <c r="J835" s="407"/>
      <c r="K835" s="407"/>
      <c r="L835" s="407"/>
      <c r="M835" s="407"/>
      <c r="N835" s="407"/>
      <c r="O835" s="407"/>
      <c r="P835" s="407"/>
      <c r="Q835" s="407"/>
      <c r="R835" s="407"/>
      <c r="S835" s="407"/>
      <c r="T835" s="407"/>
      <c r="U835" s="407"/>
      <c r="V835" s="407"/>
      <c r="W835" s="407"/>
      <c r="X835" s="407"/>
      <c r="Y835" s="407"/>
      <c r="Z835" s="408"/>
    </row>
    <row r="836" spans="1:26">
      <c r="A836" s="416"/>
      <c r="B836" s="407"/>
      <c r="C836" s="407"/>
      <c r="D836" s="407"/>
      <c r="E836" s="407"/>
      <c r="F836" s="407"/>
      <c r="G836" s="407"/>
      <c r="H836" s="407"/>
      <c r="I836" s="407"/>
      <c r="J836" s="407"/>
      <c r="K836" s="407"/>
      <c r="L836" s="407"/>
      <c r="M836" s="407"/>
      <c r="N836" s="407"/>
      <c r="O836" s="407"/>
      <c r="P836" s="407"/>
      <c r="Q836" s="407"/>
      <c r="R836" s="407"/>
      <c r="S836" s="407"/>
      <c r="T836" s="407"/>
      <c r="U836" s="407"/>
      <c r="V836" s="407"/>
      <c r="W836" s="407"/>
      <c r="X836" s="407"/>
      <c r="Y836" s="407"/>
      <c r="Z836" s="408"/>
    </row>
    <row r="837" spans="1:26">
      <c r="A837" s="416"/>
      <c r="B837" s="407"/>
      <c r="C837" s="407"/>
      <c r="D837" s="407"/>
      <c r="E837" s="407"/>
      <c r="F837" s="407"/>
      <c r="G837" s="407"/>
      <c r="H837" s="407"/>
      <c r="I837" s="407"/>
      <c r="J837" s="407"/>
      <c r="K837" s="407"/>
      <c r="L837" s="407"/>
      <c r="M837" s="407"/>
      <c r="N837" s="407"/>
      <c r="O837" s="407"/>
      <c r="P837" s="407"/>
      <c r="Q837" s="407"/>
      <c r="R837" s="407"/>
      <c r="S837" s="407"/>
      <c r="T837" s="407"/>
      <c r="U837" s="407"/>
      <c r="V837" s="407"/>
      <c r="W837" s="407"/>
      <c r="X837" s="407"/>
      <c r="Y837" s="407"/>
      <c r="Z837" s="408"/>
    </row>
    <row r="838" spans="1:26">
      <c r="A838" s="416"/>
      <c r="B838" s="407"/>
      <c r="C838" s="407"/>
      <c r="D838" s="407"/>
      <c r="E838" s="407"/>
      <c r="F838" s="407"/>
      <c r="G838" s="407"/>
      <c r="H838" s="407"/>
      <c r="I838" s="407"/>
      <c r="J838" s="407"/>
      <c r="K838" s="407"/>
      <c r="L838" s="407"/>
      <c r="M838" s="407"/>
      <c r="N838" s="407"/>
      <c r="O838" s="407"/>
      <c r="P838" s="407"/>
      <c r="Q838" s="407"/>
      <c r="R838" s="407"/>
      <c r="S838" s="407"/>
      <c r="T838" s="407"/>
      <c r="U838" s="407"/>
      <c r="V838" s="407"/>
      <c r="W838" s="407"/>
      <c r="X838" s="407"/>
      <c r="Y838" s="407"/>
      <c r="Z838" s="408"/>
    </row>
    <row r="839" spans="1:26">
      <c r="A839" s="416"/>
      <c r="B839" s="407"/>
      <c r="C839" s="407"/>
      <c r="D839" s="407"/>
      <c r="E839" s="407"/>
      <c r="F839" s="407"/>
      <c r="G839" s="407"/>
      <c r="H839" s="407"/>
      <c r="I839" s="407"/>
      <c r="J839" s="407"/>
      <c r="K839" s="407"/>
      <c r="L839" s="407"/>
      <c r="M839" s="407"/>
      <c r="N839" s="407"/>
      <c r="O839" s="407"/>
      <c r="P839" s="407"/>
      <c r="Q839" s="407"/>
      <c r="R839" s="407"/>
      <c r="S839" s="407"/>
      <c r="T839" s="407"/>
      <c r="U839" s="407"/>
      <c r="V839" s="407"/>
      <c r="W839" s="407"/>
      <c r="X839" s="407"/>
      <c r="Y839" s="407"/>
      <c r="Z839" s="408"/>
    </row>
    <row r="840" spans="1:26">
      <c r="A840" s="416"/>
      <c r="B840" s="407"/>
      <c r="C840" s="407"/>
      <c r="D840" s="407"/>
      <c r="E840" s="407"/>
      <c r="F840" s="407"/>
      <c r="G840" s="407"/>
      <c r="H840" s="407"/>
      <c r="I840" s="407"/>
      <c r="J840" s="407"/>
      <c r="K840" s="407"/>
      <c r="L840" s="407"/>
      <c r="M840" s="407"/>
      <c r="N840" s="407"/>
      <c r="O840" s="407"/>
      <c r="P840" s="407"/>
      <c r="Q840" s="407"/>
      <c r="R840" s="407"/>
      <c r="S840" s="407"/>
      <c r="T840" s="407"/>
      <c r="U840" s="407"/>
      <c r="V840" s="407"/>
      <c r="W840" s="407"/>
      <c r="X840" s="407"/>
      <c r="Y840" s="407"/>
      <c r="Z840" s="408"/>
    </row>
    <row r="841" spans="1:26">
      <c r="A841" s="416"/>
      <c r="B841" s="407"/>
      <c r="C841" s="407"/>
      <c r="D841" s="407"/>
      <c r="E841" s="407"/>
      <c r="F841" s="407"/>
      <c r="G841" s="407"/>
      <c r="H841" s="407"/>
      <c r="I841" s="407"/>
      <c r="J841" s="407"/>
      <c r="K841" s="407"/>
      <c r="L841" s="407"/>
      <c r="M841" s="407"/>
      <c r="N841" s="407"/>
      <c r="O841" s="407"/>
      <c r="P841" s="407"/>
      <c r="Q841" s="407"/>
      <c r="R841" s="407"/>
      <c r="S841" s="407"/>
      <c r="T841" s="407"/>
      <c r="U841" s="407"/>
      <c r="V841" s="407"/>
      <c r="W841" s="407"/>
      <c r="X841" s="407"/>
      <c r="Y841" s="407"/>
      <c r="Z841" s="408"/>
    </row>
    <row r="842" spans="1:26">
      <c r="A842" s="416"/>
      <c r="B842" s="407"/>
      <c r="C842" s="407"/>
      <c r="D842" s="407"/>
      <c r="E842" s="407"/>
      <c r="F842" s="407"/>
      <c r="G842" s="407"/>
      <c r="H842" s="407"/>
      <c r="I842" s="407"/>
      <c r="J842" s="407"/>
      <c r="K842" s="407"/>
      <c r="L842" s="407"/>
      <c r="M842" s="407"/>
      <c r="N842" s="407"/>
      <c r="O842" s="407"/>
      <c r="P842" s="407"/>
      <c r="Q842" s="407"/>
      <c r="R842" s="407"/>
      <c r="S842" s="407"/>
      <c r="T842" s="407"/>
      <c r="U842" s="407"/>
      <c r="V842" s="407"/>
      <c r="W842" s="407"/>
      <c r="X842" s="407"/>
      <c r="Y842" s="407"/>
      <c r="Z842" s="408"/>
    </row>
    <row r="843" spans="1:26">
      <c r="A843" s="416"/>
      <c r="B843" s="407"/>
      <c r="C843" s="407"/>
      <c r="D843" s="407"/>
      <c r="E843" s="407"/>
      <c r="F843" s="407"/>
      <c r="G843" s="407"/>
      <c r="H843" s="407"/>
      <c r="I843" s="407"/>
      <c r="J843" s="407"/>
      <c r="K843" s="407"/>
      <c r="L843" s="407"/>
      <c r="M843" s="407"/>
      <c r="N843" s="407"/>
      <c r="O843" s="407"/>
      <c r="P843" s="407"/>
      <c r="Q843" s="407"/>
      <c r="R843" s="407"/>
      <c r="S843" s="407"/>
      <c r="T843" s="407"/>
      <c r="U843" s="407"/>
      <c r="V843" s="407"/>
      <c r="W843" s="407"/>
      <c r="X843" s="407"/>
      <c r="Y843" s="407"/>
      <c r="Z843" s="408"/>
    </row>
    <row r="844" spans="1:26">
      <c r="A844" s="416"/>
      <c r="B844" s="407"/>
      <c r="C844" s="407"/>
      <c r="D844" s="407"/>
      <c r="E844" s="407"/>
      <c r="F844" s="407"/>
      <c r="G844" s="407"/>
      <c r="H844" s="407"/>
      <c r="I844" s="407"/>
      <c r="J844" s="407"/>
      <c r="K844" s="407"/>
      <c r="L844" s="407"/>
      <c r="M844" s="407"/>
      <c r="N844" s="407"/>
      <c r="O844" s="407"/>
      <c r="P844" s="407"/>
      <c r="Q844" s="407"/>
      <c r="R844" s="407"/>
      <c r="S844" s="407"/>
      <c r="T844" s="407"/>
      <c r="U844" s="407"/>
      <c r="V844" s="407"/>
      <c r="W844" s="407"/>
      <c r="X844" s="407"/>
      <c r="Y844" s="407"/>
      <c r="Z844" s="408"/>
    </row>
    <row r="845" spans="1:26">
      <c r="A845" s="416"/>
      <c r="B845" s="407"/>
      <c r="C845" s="407"/>
      <c r="D845" s="407"/>
      <c r="E845" s="407"/>
      <c r="F845" s="407"/>
      <c r="G845" s="407"/>
      <c r="H845" s="407"/>
      <c r="I845" s="407"/>
      <c r="J845" s="407"/>
      <c r="K845" s="407"/>
      <c r="L845" s="407"/>
      <c r="M845" s="407"/>
      <c r="N845" s="407"/>
      <c r="O845" s="407"/>
      <c r="P845" s="407"/>
      <c r="Q845" s="407"/>
      <c r="R845" s="407"/>
      <c r="S845" s="407"/>
      <c r="T845" s="407"/>
      <c r="U845" s="407"/>
      <c r="V845" s="407"/>
      <c r="W845" s="407"/>
      <c r="X845" s="407"/>
      <c r="Y845" s="407"/>
      <c r="Z845" s="408"/>
    </row>
    <row r="846" spans="1:26">
      <c r="A846" s="416"/>
      <c r="B846" s="407"/>
      <c r="C846" s="407"/>
      <c r="D846" s="407"/>
      <c r="E846" s="407"/>
      <c r="F846" s="407"/>
      <c r="G846" s="407"/>
      <c r="H846" s="407"/>
      <c r="I846" s="407"/>
      <c r="J846" s="407"/>
      <c r="K846" s="407"/>
      <c r="L846" s="407"/>
      <c r="M846" s="407"/>
      <c r="N846" s="407"/>
      <c r="O846" s="407"/>
      <c r="P846" s="407"/>
      <c r="Q846" s="407"/>
      <c r="R846" s="407"/>
      <c r="S846" s="407"/>
      <c r="T846" s="407"/>
      <c r="U846" s="407"/>
      <c r="V846" s="407"/>
      <c r="W846" s="407"/>
      <c r="X846" s="407"/>
      <c r="Y846" s="407"/>
      <c r="Z846" s="408"/>
    </row>
    <row r="847" spans="1:26">
      <c r="A847" s="416"/>
      <c r="B847" s="407"/>
      <c r="C847" s="407"/>
      <c r="D847" s="407"/>
      <c r="E847" s="407"/>
      <c r="F847" s="407"/>
      <c r="G847" s="407"/>
      <c r="H847" s="407"/>
      <c r="I847" s="407"/>
      <c r="J847" s="407"/>
      <c r="K847" s="407"/>
      <c r="L847" s="407"/>
      <c r="M847" s="407"/>
      <c r="N847" s="407"/>
      <c r="O847" s="407"/>
      <c r="P847" s="407"/>
      <c r="Q847" s="407"/>
      <c r="R847" s="407"/>
      <c r="S847" s="407"/>
      <c r="T847" s="407"/>
      <c r="U847" s="407"/>
      <c r="V847" s="407"/>
      <c r="W847" s="407"/>
      <c r="X847" s="407"/>
      <c r="Y847" s="407"/>
      <c r="Z847" s="408"/>
    </row>
    <row r="848" spans="1:26">
      <c r="A848" s="416"/>
      <c r="B848" s="407"/>
      <c r="C848" s="407"/>
      <c r="D848" s="407"/>
      <c r="E848" s="407"/>
      <c r="F848" s="407"/>
      <c r="G848" s="407"/>
      <c r="H848" s="407"/>
      <c r="I848" s="407"/>
      <c r="J848" s="407"/>
      <c r="K848" s="407"/>
      <c r="L848" s="407"/>
      <c r="M848" s="407"/>
      <c r="N848" s="407"/>
      <c r="O848" s="407"/>
      <c r="P848" s="407"/>
      <c r="Q848" s="407"/>
      <c r="R848" s="407"/>
      <c r="S848" s="407"/>
      <c r="T848" s="407"/>
      <c r="U848" s="407"/>
      <c r="V848" s="407"/>
      <c r="W848" s="407"/>
      <c r="X848" s="407"/>
      <c r="Y848" s="407"/>
      <c r="Z848" s="408"/>
    </row>
    <row r="849" spans="1:26">
      <c r="A849" s="416"/>
      <c r="B849" s="407"/>
      <c r="C849" s="407"/>
      <c r="D849" s="407"/>
      <c r="E849" s="407"/>
      <c r="F849" s="407"/>
      <c r="G849" s="407"/>
      <c r="H849" s="407"/>
      <c r="I849" s="407"/>
      <c r="J849" s="407"/>
      <c r="K849" s="407"/>
      <c r="L849" s="407"/>
      <c r="M849" s="407"/>
      <c r="N849" s="407"/>
      <c r="O849" s="407"/>
      <c r="P849" s="407"/>
      <c r="Q849" s="407"/>
      <c r="R849" s="407"/>
      <c r="S849" s="407"/>
      <c r="T849" s="407"/>
      <c r="U849" s="407"/>
      <c r="V849" s="407"/>
      <c r="W849" s="407"/>
      <c r="X849" s="407"/>
      <c r="Y849" s="407"/>
      <c r="Z849" s="408"/>
    </row>
    <row r="850" spans="1:26">
      <c r="A850" s="416"/>
      <c r="B850" s="407"/>
      <c r="C850" s="407"/>
      <c r="D850" s="407"/>
      <c r="E850" s="407"/>
      <c r="F850" s="407"/>
      <c r="G850" s="407"/>
      <c r="H850" s="407"/>
      <c r="I850" s="407"/>
      <c r="J850" s="407"/>
      <c r="K850" s="407"/>
      <c r="L850" s="407"/>
      <c r="M850" s="407"/>
      <c r="N850" s="407"/>
      <c r="O850" s="407"/>
      <c r="P850" s="407"/>
      <c r="Q850" s="407"/>
      <c r="R850" s="407"/>
      <c r="S850" s="407"/>
      <c r="T850" s="407"/>
      <c r="U850" s="407"/>
      <c r="V850" s="407"/>
      <c r="W850" s="407"/>
      <c r="X850" s="407"/>
      <c r="Y850" s="407"/>
      <c r="Z850" s="408"/>
    </row>
    <row r="851" spans="1:26">
      <c r="A851" s="416"/>
      <c r="B851" s="407"/>
      <c r="C851" s="407"/>
      <c r="D851" s="407"/>
      <c r="E851" s="407"/>
      <c r="F851" s="407"/>
      <c r="G851" s="407"/>
      <c r="H851" s="407"/>
      <c r="I851" s="407"/>
      <c r="J851" s="407"/>
      <c r="K851" s="407"/>
      <c r="L851" s="407"/>
      <c r="M851" s="407"/>
      <c r="N851" s="407"/>
      <c r="O851" s="407"/>
      <c r="P851" s="407"/>
      <c r="Q851" s="407"/>
      <c r="R851" s="407"/>
      <c r="S851" s="407"/>
      <c r="T851" s="407"/>
      <c r="U851" s="407"/>
      <c r="V851" s="407"/>
      <c r="W851" s="407"/>
      <c r="X851" s="407"/>
      <c r="Y851" s="407"/>
      <c r="Z851" s="408"/>
    </row>
    <row r="852" spans="1:26">
      <c r="A852" s="416"/>
      <c r="B852" s="407"/>
      <c r="C852" s="407"/>
      <c r="D852" s="407"/>
      <c r="E852" s="407"/>
      <c r="F852" s="407"/>
      <c r="G852" s="407"/>
      <c r="H852" s="407"/>
      <c r="I852" s="407"/>
      <c r="J852" s="407"/>
      <c r="K852" s="407"/>
      <c r="L852" s="407"/>
      <c r="M852" s="407"/>
      <c r="N852" s="407"/>
      <c r="O852" s="407"/>
      <c r="P852" s="407"/>
      <c r="Q852" s="407"/>
      <c r="R852" s="407"/>
      <c r="S852" s="407"/>
      <c r="T852" s="407"/>
      <c r="U852" s="407"/>
      <c r="V852" s="407"/>
      <c r="W852" s="407"/>
      <c r="X852" s="407"/>
      <c r="Y852" s="407"/>
      <c r="Z852" s="408"/>
    </row>
    <row r="853" spans="1:26">
      <c r="A853" s="416"/>
      <c r="B853" s="407"/>
      <c r="C853" s="407"/>
      <c r="D853" s="407"/>
      <c r="E853" s="407"/>
      <c r="F853" s="407"/>
      <c r="G853" s="407"/>
      <c r="H853" s="407"/>
      <c r="I853" s="407"/>
      <c r="J853" s="407"/>
      <c r="K853" s="407"/>
      <c r="L853" s="407"/>
      <c r="M853" s="407"/>
      <c r="N853" s="407"/>
      <c r="O853" s="407"/>
      <c r="P853" s="407"/>
      <c r="Q853" s="407"/>
      <c r="R853" s="407"/>
      <c r="S853" s="407"/>
      <c r="T853" s="407"/>
      <c r="U853" s="407"/>
      <c r="V853" s="407"/>
      <c r="W853" s="407"/>
      <c r="X853" s="407"/>
      <c r="Y853" s="407"/>
      <c r="Z853" s="408"/>
    </row>
    <row r="854" spans="1:26">
      <c r="A854" s="416"/>
      <c r="B854" s="407"/>
      <c r="C854" s="407"/>
      <c r="D854" s="407"/>
      <c r="E854" s="407"/>
      <c r="F854" s="407"/>
      <c r="G854" s="407"/>
      <c r="H854" s="407"/>
      <c r="I854" s="407"/>
      <c r="J854" s="407"/>
      <c r="K854" s="407"/>
      <c r="L854" s="407"/>
      <c r="M854" s="407"/>
      <c r="N854" s="407"/>
      <c r="O854" s="407"/>
      <c r="P854" s="407"/>
      <c r="Q854" s="407"/>
      <c r="R854" s="407"/>
      <c r="S854" s="407"/>
      <c r="T854" s="407"/>
      <c r="U854" s="407"/>
      <c r="V854" s="407"/>
      <c r="W854" s="407"/>
      <c r="X854" s="407"/>
      <c r="Y854" s="407"/>
      <c r="Z854" s="408"/>
    </row>
    <row r="855" spans="1:26">
      <c r="A855" s="416"/>
      <c r="B855" s="407"/>
      <c r="C855" s="407"/>
      <c r="D855" s="407"/>
      <c r="E855" s="407"/>
      <c r="F855" s="407"/>
      <c r="G855" s="407"/>
      <c r="H855" s="407"/>
      <c r="I855" s="407"/>
      <c r="J855" s="407"/>
      <c r="K855" s="407"/>
      <c r="L855" s="407"/>
      <c r="M855" s="407"/>
      <c r="N855" s="407"/>
      <c r="O855" s="407"/>
      <c r="P855" s="407"/>
      <c r="Q855" s="407"/>
      <c r="R855" s="407"/>
      <c r="S855" s="407"/>
      <c r="T855" s="407"/>
      <c r="U855" s="407"/>
      <c r="V855" s="407"/>
      <c r="W855" s="407"/>
      <c r="X855" s="407"/>
      <c r="Y855" s="407"/>
      <c r="Z855" s="408"/>
    </row>
    <row r="856" spans="1:26">
      <c r="A856" s="416"/>
      <c r="B856" s="407"/>
      <c r="C856" s="407"/>
      <c r="D856" s="407"/>
      <c r="E856" s="407"/>
      <c r="F856" s="407"/>
      <c r="G856" s="407"/>
      <c r="H856" s="407"/>
      <c r="I856" s="407"/>
      <c r="J856" s="407"/>
      <c r="K856" s="407"/>
      <c r="L856" s="407"/>
      <c r="M856" s="407"/>
      <c r="N856" s="407"/>
      <c r="O856" s="407"/>
      <c r="P856" s="407"/>
      <c r="Q856" s="407"/>
      <c r="R856" s="407"/>
      <c r="S856" s="407"/>
      <c r="T856" s="407"/>
      <c r="U856" s="407"/>
      <c r="V856" s="407"/>
      <c r="W856" s="407"/>
      <c r="X856" s="407"/>
      <c r="Y856" s="407"/>
      <c r="Z856" s="408"/>
    </row>
    <row r="857" spans="1:26">
      <c r="A857" s="416"/>
      <c r="B857" s="407"/>
      <c r="C857" s="407"/>
      <c r="D857" s="407"/>
      <c r="E857" s="407"/>
      <c r="F857" s="407"/>
      <c r="G857" s="407"/>
      <c r="H857" s="407"/>
      <c r="I857" s="407"/>
      <c r="J857" s="407"/>
      <c r="K857" s="407"/>
      <c r="L857" s="407"/>
      <c r="M857" s="407"/>
      <c r="N857" s="407"/>
      <c r="O857" s="407"/>
      <c r="P857" s="407"/>
      <c r="Q857" s="407"/>
      <c r="R857" s="407"/>
      <c r="S857" s="407"/>
      <c r="T857" s="407"/>
      <c r="U857" s="407"/>
      <c r="V857" s="407"/>
      <c r="W857" s="407"/>
      <c r="X857" s="407"/>
      <c r="Y857" s="407"/>
      <c r="Z857" s="408"/>
    </row>
    <row r="858" spans="1:26">
      <c r="A858" s="416"/>
      <c r="B858" s="407"/>
      <c r="C858" s="407"/>
      <c r="D858" s="407"/>
      <c r="E858" s="407"/>
      <c r="F858" s="407"/>
      <c r="G858" s="407"/>
      <c r="H858" s="407"/>
      <c r="I858" s="407"/>
      <c r="J858" s="407"/>
      <c r="K858" s="407"/>
      <c r="L858" s="407"/>
      <c r="M858" s="407"/>
      <c r="N858" s="407"/>
      <c r="O858" s="407"/>
      <c r="P858" s="407"/>
      <c r="Q858" s="407"/>
      <c r="R858" s="407"/>
      <c r="S858" s="407"/>
      <c r="T858" s="407"/>
      <c r="U858" s="407"/>
      <c r="V858" s="407"/>
      <c r="W858" s="407"/>
      <c r="X858" s="407"/>
      <c r="Y858" s="407"/>
      <c r="Z858" s="408"/>
    </row>
    <row r="859" spans="1:26">
      <c r="A859" s="416"/>
      <c r="B859" s="407"/>
      <c r="C859" s="407"/>
      <c r="D859" s="407"/>
      <c r="E859" s="407"/>
      <c r="F859" s="407"/>
      <c r="G859" s="407"/>
      <c r="H859" s="407"/>
      <c r="I859" s="407"/>
      <c r="J859" s="407"/>
      <c r="K859" s="407"/>
      <c r="L859" s="407"/>
      <c r="M859" s="407"/>
      <c r="N859" s="407"/>
      <c r="O859" s="407"/>
      <c r="P859" s="407"/>
      <c r="Q859" s="407"/>
      <c r="R859" s="407"/>
      <c r="S859" s="407"/>
      <c r="T859" s="407"/>
      <c r="U859" s="407"/>
      <c r="V859" s="407"/>
      <c r="W859" s="407"/>
      <c r="X859" s="407"/>
      <c r="Y859" s="407"/>
      <c r="Z859" s="408"/>
    </row>
    <row r="860" spans="1:26">
      <c r="A860" s="416"/>
      <c r="B860" s="407"/>
      <c r="C860" s="407"/>
      <c r="D860" s="407"/>
      <c r="E860" s="407"/>
      <c r="F860" s="407"/>
      <c r="G860" s="407"/>
      <c r="H860" s="407"/>
      <c r="I860" s="407"/>
      <c r="J860" s="407"/>
      <c r="K860" s="407"/>
      <c r="L860" s="407"/>
      <c r="M860" s="407"/>
      <c r="N860" s="407"/>
      <c r="O860" s="407"/>
      <c r="P860" s="407"/>
      <c r="Q860" s="407"/>
      <c r="R860" s="407"/>
      <c r="S860" s="407"/>
      <c r="T860" s="407"/>
      <c r="U860" s="407"/>
      <c r="V860" s="407"/>
      <c r="W860" s="407"/>
      <c r="X860" s="407"/>
      <c r="Y860" s="407"/>
      <c r="Z860" s="408"/>
    </row>
    <row r="861" spans="1:26">
      <c r="A861" s="416"/>
      <c r="B861" s="407"/>
      <c r="C861" s="407"/>
      <c r="D861" s="407"/>
      <c r="E861" s="407"/>
      <c r="F861" s="407"/>
      <c r="G861" s="407"/>
      <c r="H861" s="407"/>
      <c r="I861" s="407"/>
      <c r="J861" s="407"/>
      <c r="K861" s="407"/>
      <c r="L861" s="407"/>
      <c r="M861" s="407"/>
      <c r="N861" s="407"/>
      <c r="O861" s="407"/>
      <c r="P861" s="407"/>
      <c r="Q861" s="407"/>
      <c r="R861" s="407"/>
      <c r="S861" s="407"/>
      <c r="T861" s="407"/>
      <c r="U861" s="407"/>
      <c r="V861" s="407"/>
      <c r="W861" s="407"/>
      <c r="X861" s="407"/>
      <c r="Y861" s="407"/>
      <c r="Z861" s="408"/>
    </row>
    <row r="862" spans="1:26">
      <c r="A862" s="416"/>
      <c r="B862" s="407"/>
      <c r="C862" s="407"/>
      <c r="D862" s="407"/>
      <c r="E862" s="407"/>
      <c r="F862" s="407"/>
      <c r="G862" s="407"/>
      <c r="H862" s="407"/>
      <c r="I862" s="407"/>
      <c r="J862" s="407"/>
      <c r="K862" s="407"/>
      <c r="L862" s="407"/>
      <c r="M862" s="407"/>
      <c r="N862" s="407"/>
      <c r="O862" s="407"/>
      <c r="P862" s="407"/>
      <c r="Q862" s="407"/>
      <c r="R862" s="407"/>
      <c r="S862" s="407"/>
      <c r="T862" s="407"/>
      <c r="U862" s="407"/>
      <c r="V862" s="407"/>
      <c r="W862" s="407"/>
      <c r="X862" s="407"/>
      <c r="Y862" s="407"/>
      <c r="Z862" s="408"/>
    </row>
    <row r="863" spans="1:26">
      <c r="A863" s="416"/>
      <c r="B863" s="407"/>
      <c r="C863" s="407"/>
      <c r="D863" s="407"/>
      <c r="E863" s="407"/>
      <c r="F863" s="407"/>
      <c r="G863" s="407"/>
      <c r="H863" s="407"/>
      <c r="I863" s="407"/>
      <c r="J863" s="407"/>
      <c r="K863" s="407"/>
      <c r="L863" s="407"/>
      <c r="M863" s="407"/>
      <c r="N863" s="407"/>
      <c r="O863" s="407"/>
      <c r="P863" s="407"/>
      <c r="Q863" s="407"/>
      <c r="R863" s="407"/>
      <c r="S863" s="407"/>
      <c r="T863" s="407"/>
      <c r="U863" s="407"/>
      <c r="V863" s="407"/>
      <c r="W863" s="407"/>
      <c r="X863" s="407"/>
      <c r="Y863" s="407"/>
      <c r="Z863" s="408"/>
    </row>
    <row r="864" spans="1:26">
      <c r="A864" s="416"/>
      <c r="B864" s="407"/>
      <c r="C864" s="407"/>
      <c r="D864" s="407"/>
      <c r="E864" s="407"/>
      <c r="F864" s="407"/>
      <c r="G864" s="407"/>
      <c r="H864" s="407"/>
      <c r="I864" s="407"/>
      <c r="J864" s="407"/>
      <c r="K864" s="407"/>
      <c r="L864" s="407"/>
      <c r="M864" s="407"/>
      <c r="N864" s="407"/>
      <c r="O864" s="407"/>
      <c r="P864" s="407"/>
      <c r="Q864" s="407"/>
      <c r="R864" s="407"/>
      <c r="S864" s="407"/>
      <c r="T864" s="407"/>
      <c r="U864" s="407"/>
      <c r="V864" s="407"/>
      <c r="W864" s="407"/>
      <c r="X864" s="407"/>
      <c r="Y864" s="407"/>
      <c r="Z864" s="408"/>
    </row>
    <row r="865" spans="1:26">
      <c r="A865" s="416"/>
      <c r="B865" s="407"/>
      <c r="C865" s="407"/>
      <c r="D865" s="407"/>
      <c r="E865" s="407"/>
      <c r="F865" s="407"/>
      <c r="G865" s="407"/>
      <c r="H865" s="407"/>
      <c r="I865" s="407"/>
      <c r="J865" s="407"/>
      <c r="K865" s="407"/>
      <c r="L865" s="407"/>
      <c r="M865" s="407"/>
      <c r="N865" s="407"/>
      <c r="O865" s="407"/>
      <c r="P865" s="407"/>
      <c r="Q865" s="407"/>
      <c r="R865" s="407"/>
      <c r="S865" s="407"/>
      <c r="T865" s="407"/>
      <c r="U865" s="407"/>
      <c r="V865" s="407"/>
      <c r="W865" s="407"/>
      <c r="X865" s="407"/>
      <c r="Y865" s="407"/>
      <c r="Z865" s="408"/>
    </row>
    <row r="866" spans="1:26">
      <c r="A866" s="416"/>
      <c r="B866" s="407"/>
      <c r="C866" s="407"/>
      <c r="D866" s="407"/>
      <c r="E866" s="407"/>
      <c r="F866" s="407"/>
      <c r="G866" s="407"/>
      <c r="H866" s="407"/>
      <c r="I866" s="407"/>
      <c r="J866" s="407"/>
      <c r="K866" s="407"/>
      <c r="L866" s="407"/>
      <c r="M866" s="407"/>
      <c r="N866" s="407"/>
      <c r="O866" s="407"/>
      <c r="P866" s="407"/>
      <c r="Q866" s="407"/>
      <c r="R866" s="407"/>
      <c r="S866" s="407"/>
      <c r="T866" s="407"/>
      <c r="U866" s="407"/>
      <c r="V866" s="407"/>
      <c r="W866" s="407"/>
      <c r="X866" s="407"/>
      <c r="Y866" s="407"/>
      <c r="Z866" s="408"/>
    </row>
    <row r="867" spans="1:26">
      <c r="A867" s="416"/>
      <c r="B867" s="407"/>
      <c r="C867" s="407"/>
      <c r="D867" s="407"/>
      <c r="E867" s="407"/>
      <c r="F867" s="407"/>
      <c r="G867" s="407"/>
      <c r="H867" s="407"/>
      <c r="I867" s="407"/>
      <c r="J867" s="407"/>
      <c r="K867" s="407"/>
      <c r="L867" s="407"/>
      <c r="M867" s="407"/>
      <c r="N867" s="407"/>
      <c r="O867" s="407"/>
      <c r="P867" s="407"/>
      <c r="Q867" s="407"/>
      <c r="R867" s="407"/>
      <c r="S867" s="407"/>
      <c r="T867" s="407"/>
      <c r="U867" s="407"/>
      <c r="V867" s="407"/>
      <c r="W867" s="407"/>
      <c r="X867" s="407"/>
      <c r="Y867" s="407"/>
      <c r="Z867" s="408"/>
    </row>
    <row r="868" spans="1:26">
      <c r="A868" s="416"/>
      <c r="B868" s="407"/>
      <c r="C868" s="407"/>
      <c r="D868" s="407"/>
      <c r="E868" s="407"/>
      <c r="F868" s="407"/>
      <c r="G868" s="407"/>
      <c r="H868" s="407"/>
      <c r="I868" s="407"/>
      <c r="J868" s="407"/>
      <c r="K868" s="407"/>
      <c r="L868" s="407"/>
      <c r="M868" s="407"/>
      <c r="N868" s="407"/>
      <c r="O868" s="407"/>
      <c r="P868" s="407"/>
      <c r="Q868" s="407"/>
      <c r="R868" s="407"/>
      <c r="S868" s="407"/>
      <c r="T868" s="407"/>
      <c r="U868" s="407"/>
      <c r="V868" s="407"/>
      <c r="W868" s="407"/>
      <c r="X868" s="407"/>
      <c r="Y868" s="407"/>
      <c r="Z868" s="408"/>
    </row>
    <row r="869" spans="1:26">
      <c r="A869" s="416"/>
      <c r="B869" s="407"/>
      <c r="C869" s="407"/>
      <c r="D869" s="407"/>
      <c r="E869" s="407"/>
      <c r="F869" s="407"/>
      <c r="G869" s="407"/>
      <c r="H869" s="407"/>
      <c r="I869" s="407"/>
      <c r="J869" s="407"/>
      <c r="K869" s="407"/>
      <c r="L869" s="407"/>
      <c r="M869" s="407"/>
      <c r="N869" s="407"/>
      <c r="O869" s="407"/>
      <c r="P869" s="407"/>
      <c r="Q869" s="407"/>
      <c r="R869" s="407"/>
      <c r="S869" s="407"/>
      <c r="T869" s="407"/>
      <c r="U869" s="407"/>
      <c r="V869" s="407"/>
      <c r="W869" s="407"/>
      <c r="X869" s="407"/>
      <c r="Y869" s="407"/>
      <c r="Z869" s="408"/>
    </row>
    <row r="870" spans="1:26">
      <c r="A870" s="416"/>
      <c r="B870" s="407"/>
      <c r="C870" s="407"/>
      <c r="D870" s="407"/>
      <c r="E870" s="407"/>
      <c r="F870" s="407"/>
      <c r="G870" s="407"/>
      <c r="H870" s="407"/>
      <c r="I870" s="407"/>
      <c r="J870" s="407"/>
      <c r="K870" s="407"/>
      <c r="L870" s="407"/>
      <c r="M870" s="407"/>
      <c r="N870" s="407"/>
      <c r="O870" s="407"/>
      <c r="P870" s="407"/>
      <c r="Q870" s="407"/>
      <c r="R870" s="407"/>
      <c r="S870" s="407"/>
      <c r="T870" s="407"/>
      <c r="U870" s="407"/>
      <c r="V870" s="407"/>
      <c r="W870" s="407"/>
      <c r="X870" s="407"/>
      <c r="Y870" s="407"/>
      <c r="Z870" s="408"/>
    </row>
    <row r="871" spans="1:26">
      <c r="A871" s="416"/>
      <c r="B871" s="407"/>
      <c r="C871" s="407"/>
      <c r="D871" s="407"/>
      <c r="E871" s="407"/>
      <c r="F871" s="407"/>
      <c r="G871" s="407"/>
      <c r="H871" s="407"/>
      <c r="I871" s="407"/>
      <c r="J871" s="407"/>
      <c r="K871" s="407"/>
      <c r="L871" s="407"/>
      <c r="M871" s="407"/>
      <c r="N871" s="407"/>
      <c r="O871" s="407"/>
      <c r="P871" s="407"/>
      <c r="Q871" s="407"/>
      <c r="R871" s="407"/>
      <c r="S871" s="407"/>
      <c r="T871" s="407"/>
      <c r="U871" s="407"/>
      <c r="V871" s="407"/>
      <c r="W871" s="407"/>
      <c r="X871" s="407"/>
      <c r="Y871" s="407"/>
      <c r="Z871" s="408"/>
    </row>
    <row r="872" spans="1:26">
      <c r="A872" s="416"/>
      <c r="B872" s="407"/>
      <c r="C872" s="407"/>
      <c r="D872" s="407"/>
      <c r="E872" s="407"/>
      <c r="F872" s="407"/>
      <c r="G872" s="407"/>
      <c r="H872" s="407"/>
      <c r="I872" s="407"/>
      <c r="J872" s="407"/>
      <c r="K872" s="407"/>
      <c r="L872" s="407"/>
      <c r="M872" s="407"/>
      <c r="N872" s="407"/>
      <c r="O872" s="407"/>
      <c r="P872" s="407"/>
      <c r="Q872" s="407"/>
      <c r="R872" s="407"/>
      <c r="S872" s="407"/>
      <c r="T872" s="407"/>
      <c r="U872" s="407"/>
      <c r="V872" s="407"/>
      <c r="W872" s="407"/>
      <c r="X872" s="407"/>
      <c r="Y872" s="407"/>
      <c r="Z872" s="408"/>
    </row>
    <row r="873" spans="1:26">
      <c r="A873" s="416"/>
      <c r="B873" s="407"/>
      <c r="C873" s="407"/>
      <c r="D873" s="407"/>
      <c r="E873" s="407"/>
      <c r="F873" s="407"/>
      <c r="G873" s="407"/>
      <c r="H873" s="407"/>
      <c r="I873" s="407"/>
      <c r="J873" s="407"/>
      <c r="K873" s="407"/>
      <c r="L873" s="407"/>
      <c r="M873" s="407"/>
      <c r="N873" s="407"/>
      <c r="O873" s="407"/>
      <c r="P873" s="407"/>
      <c r="Q873" s="407"/>
      <c r="R873" s="407"/>
      <c r="S873" s="407"/>
      <c r="T873" s="407"/>
      <c r="U873" s="407"/>
      <c r="V873" s="407"/>
      <c r="W873" s="407"/>
      <c r="X873" s="407"/>
      <c r="Y873" s="407"/>
      <c r="Z873" s="408"/>
    </row>
    <row r="874" spans="1:26">
      <c r="A874" s="416"/>
      <c r="B874" s="407"/>
      <c r="C874" s="407"/>
      <c r="D874" s="407"/>
      <c r="E874" s="407"/>
      <c r="F874" s="407"/>
      <c r="G874" s="407"/>
      <c r="H874" s="407"/>
      <c r="I874" s="407"/>
      <c r="J874" s="407"/>
      <c r="K874" s="407"/>
      <c r="L874" s="407"/>
      <c r="M874" s="407"/>
      <c r="N874" s="407"/>
      <c r="O874" s="407"/>
      <c r="P874" s="407"/>
      <c r="Q874" s="407"/>
      <c r="R874" s="407"/>
      <c r="S874" s="407"/>
      <c r="T874" s="407"/>
      <c r="U874" s="407"/>
      <c r="V874" s="407"/>
      <c r="W874" s="407"/>
      <c r="X874" s="407"/>
      <c r="Y874" s="407"/>
      <c r="Z874" s="408"/>
    </row>
    <row r="875" spans="1:26">
      <c r="A875" s="416"/>
      <c r="B875" s="407"/>
      <c r="C875" s="407"/>
      <c r="D875" s="407"/>
      <c r="E875" s="407"/>
      <c r="F875" s="407"/>
      <c r="G875" s="407"/>
      <c r="H875" s="407"/>
      <c r="I875" s="407"/>
      <c r="J875" s="407"/>
      <c r="K875" s="407"/>
      <c r="L875" s="407"/>
      <c r="M875" s="407"/>
      <c r="N875" s="407"/>
      <c r="O875" s="407"/>
      <c r="P875" s="407"/>
      <c r="Q875" s="407"/>
      <c r="R875" s="407"/>
      <c r="S875" s="407"/>
      <c r="T875" s="407"/>
      <c r="U875" s="407"/>
      <c r="V875" s="407"/>
      <c r="W875" s="407"/>
      <c r="X875" s="407"/>
      <c r="Y875" s="407"/>
      <c r="Z875" s="408"/>
    </row>
    <row r="876" spans="1:26">
      <c r="A876" s="416"/>
      <c r="B876" s="407"/>
      <c r="C876" s="407"/>
      <c r="D876" s="407"/>
      <c r="E876" s="407"/>
      <c r="F876" s="407"/>
      <c r="G876" s="407"/>
      <c r="H876" s="407"/>
      <c r="I876" s="407"/>
      <c r="J876" s="407"/>
      <c r="K876" s="407"/>
      <c r="L876" s="407"/>
      <c r="M876" s="407"/>
      <c r="N876" s="407"/>
      <c r="O876" s="407"/>
      <c r="P876" s="407"/>
      <c r="Q876" s="407"/>
      <c r="R876" s="407"/>
      <c r="S876" s="407"/>
      <c r="T876" s="407"/>
      <c r="U876" s="407"/>
      <c r="V876" s="407"/>
      <c r="W876" s="407"/>
      <c r="X876" s="407"/>
      <c r="Y876" s="407"/>
      <c r="Z876" s="408"/>
    </row>
    <row r="877" spans="1:26">
      <c r="A877" s="416"/>
      <c r="B877" s="407"/>
      <c r="C877" s="407"/>
      <c r="D877" s="407"/>
      <c r="E877" s="407"/>
      <c r="F877" s="407"/>
      <c r="G877" s="407"/>
      <c r="H877" s="407"/>
      <c r="I877" s="407"/>
      <c r="J877" s="407"/>
      <c r="K877" s="407"/>
      <c r="L877" s="407"/>
      <c r="M877" s="407"/>
      <c r="N877" s="407"/>
      <c r="O877" s="407"/>
      <c r="P877" s="407"/>
      <c r="Q877" s="407"/>
      <c r="R877" s="407"/>
      <c r="S877" s="407"/>
      <c r="T877" s="407"/>
      <c r="U877" s="407"/>
      <c r="V877" s="407"/>
      <c r="W877" s="407"/>
      <c r="X877" s="407"/>
      <c r="Y877" s="407"/>
      <c r="Z877" s="408"/>
    </row>
    <row r="878" spans="1:26">
      <c r="A878" s="416"/>
      <c r="B878" s="407"/>
      <c r="C878" s="407"/>
      <c r="D878" s="407"/>
      <c r="E878" s="407"/>
      <c r="F878" s="407"/>
      <c r="G878" s="407"/>
      <c r="H878" s="407"/>
      <c r="I878" s="407"/>
      <c r="J878" s="407"/>
      <c r="K878" s="407"/>
      <c r="L878" s="407"/>
      <c r="M878" s="407"/>
      <c r="N878" s="407"/>
      <c r="O878" s="407"/>
      <c r="P878" s="407"/>
      <c r="Q878" s="407"/>
      <c r="R878" s="407"/>
      <c r="S878" s="407"/>
      <c r="T878" s="407"/>
      <c r="U878" s="407"/>
      <c r="V878" s="407"/>
      <c r="W878" s="407"/>
      <c r="X878" s="407"/>
      <c r="Y878" s="407"/>
      <c r="Z878" s="408"/>
    </row>
    <row r="879" spans="1:26">
      <c r="A879" s="416"/>
      <c r="B879" s="407"/>
      <c r="C879" s="407"/>
      <c r="D879" s="407"/>
      <c r="E879" s="407"/>
      <c r="F879" s="407"/>
      <c r="G879" s="407"/>
      <c r="H879" s="407"/>
      <c r="I879" s="407"/>
      <c r="J879" s="407"/>
      <c r="K879" s="407"/>
      <c r="L879" s="407"/>
      <c r="M879" s="407"/>
      <c r="N879" s="407"/>
      <c r="O879" s="407"/>
      <c r="P879" s="407"/>
      <c r="Q879" s="407"/>
      <c r="R879" s="407"/>
      <c r="S879" s="407"/>
      <c r="T879" s="407"/>
      <c r="U879" s="407"/>
      <c r="V879" s="407"/>
      <c r="W879" s="407"/>
      <c r="X879" s="407"/>
      <c r="Y879" s="407"/>
      <c r="Z879" s="408"/>
    </row>
    <row r="880" spans="1:26">
      <c r="A880" s="416"/>
      <c r="B880" s="407"/>
      <c r="C880" s="407"/>
      <c r="D880" s="407"/>
      <c r="E880" s="407"/>
      <c r="F880" s="407"/>
      <c r="G880" s="407"/>
      <c r="H880" s="407"/>
      <c r="I880" s="407"/>
      <c r="J880" s="407"/>
      <c r="K880" s="407"/>
      <c r="L880" s="407"/>
      <c r="M880" s="407"/>
      <c r="N880" s="407"/>
      <c r="O880" s="407"/>
      <c r="P880" s="407"/>
      <c r="Q880" s="407"/>
      <c r="R880" s="407"/>
      <c r="S880" s="407"/>
      <c r="T880" s="407"/>
      <c r="U880" s="407"/>
      <c r="V880" s="407"/>
      <c r="W880" s="407"/>
      <c r="X880" s="407"/>
      <c r="Y880" s="407"/>
      <c r="Z880" s="408"/>
    </row>
    <row r="881" spans="1:26">
      <c r="A881" s="416"/>
      <c r="B881" s="407"/>
      <c r="C881" s="407"/>
      <c r="D881" s="407"/>
      <c r="E881" s="407"/>
      <c r="F881" s="407"/>
      <c r="G881" s="407"/>
      <c r="H881" s="407"/>
      <c r="I881" s="407"/>
      <c r="J881" s="407"/>
      <c r="K881" s="407"/>
      <c r="L881" s="407"/>
      <c r="M881" s="407"/>
      <c r="N881" s="407"/>
      <c r="O881" s="407"/>
      <c r="P881" s="407"/>
      <c r="Q881" s="407"/>
      <c r="R881" s="407"/>
      <c r="S881" s="407"/>
      <c r="T881" s="407"/>
      <c r="U881" s="407"/>
      <c r="V881" s="407"/>
      <c r="W881" s="407"/>
      <c r="X881" s="407"/>
      <c r="Y881" s="407"/>
      <c r="Z881" s="408"/>
    </row>
    <row r="882" spans="1:26">
      <c r="A882" s="416"/>
      <c r="B882" s="407"/>
      <c r="C882" s="407"/>
      <c r="D882" s="407"/>
      <c r="E882" s="407"/>
      <c r="F882" s="407"/>
      <c r="G882" s="407"/>
      <c r="H882" s="407"/>
      <c r="I882" s="407"/>
      <c r="J882" s="407"/>
      <c r="K882" s="407"/>
      <c r="L882" s="407"/>
      <c r="M882" s="407"/>
      <c r="N882" s="407"/>
      <c r="O882" s="407"/>
      <c r="P882" s="407"/>
      <c r="Q882" s="407"/>
      <c r="R882" s="407"/>
      <c r="S882" s="407"/>
      <c r="T882" s="407"/>
      <c r="U882" s="407"/>
      <c r="V882" s="407"/>
      <c r="W882" s="407"/>
      <c r="X882" s="407"/>
      <c r="Y882" s="407"/>
      <c r="Z882" s="408"/>
    </row>
    <row r="883" spans="1:26">
      <c r="A883" s="416"/>
      <c r="B883" s="407"/>
      <c r="C883" s="407"/>
      <c r="D883" s="407"/>
      <c r="E883" s="407"/>
      <c r="F883" s="407"/>
      <c r="G883" s="407"/>
      <c r="H883" s="407"/>
      <c r="I883" s="407"/>
      <c r="J883" s="407"/>
      <c r="K883" s="407"/>
      <c r="L883" s="407"/>
      <c r="M883" s="407"/>
      <c r="N883" s="407"/>
      <c r="O883" s="407"/>
      <c r="P883" s="407"/>
      <c r="Q883" s="407"/>
      <c r="R883" s="407"/>
      <c r="S883" s="407"/>
      <c r="T883" s="407"/>
      <c r="U883" s="407"/>
      <c r="V883" s="407"/>
      <c r="W883" s="407"/>
      <c r="X883" s="407"/>
      <c r="Y883" s="407"/>
      <c r="Z883" s="408"/>
    </row>
    <row r="884" spans="1:26">
      <c r="A884" s="416"/>
      <c r="B884" s="407"/>
      <c r="C884" s="407"/>
      <c r="D884" s="407"/>
      <c r="E884" s="407"/>
      <c r="F884" s="407"/>
      <c r="G884" s="407"/>
      <c r="H884" s="407"/>
      <c r="I884" s="407"/>
      <c r="J884" s="407"/>
      <c r="K884" s="407"/>
      <c r="L884" s="407"/>
      <c r="M884" s="407"/>
      <c r="N884" s="407"/>
      <c r="O884" s="407"/>
      <c r="P884" s="407"/>
      <c r="Q884" s="407"/>
      <c r="R884" s="407"/>
      <c r="S884" s="407"/>
      <c r="T884" s="407"/>
      <c r="U884" s="407"/>
      <c r="V884" s="407"/>
      <c r="W884" s="407"/>
      <c r="X884" s="407"/>
      <c r="Y884" s="407"/>
      <c r="Z884" s="408"/>
    </row>
    <row r="885" spans="1:26">
      <c r="A885" s="416"/>
      <c r="B885" s="407"/>
      <c r="C885" s="407"/>
      <c r="D885" s="407"/>
      <c r="E885" s="407"/>
      <c r="F885" s="407"/>
      <c r="G885" s="407"/>
      <c r="H885" s="407"/>
      <c r="I885" s="407"/>
      <c r="J885" s="407"/>
      <c r="K885" s="407"/>
      <c r="L885" s="407"/>
      <c r="M885" s="407"/>
      <c r="N885" s="407"/>
      <c r="O885" s="407"/>
      <c r="P885" s="407"/>
      <c r="Q885" s="407"/>
      <c r="R885" s="407"/>
      <c r="S885" s="407"/>
      <c r="T885" s="407"/>
      <c r="U885" s="407"/>
      <c r="V885" s="407"/>
      <c r="W885" s="407"/>
      <c r="X885" s="407"/>
      <c r="Y885" s="407"/>
      <c r="Z885" s="408"/>
    </row>
    <row r="886" spans="1:26">
      <c r="A886" s="416"/>
      <c r="B886" s="407"/>
      <c r="C886" s="407"/>
      <c r="D886" s="407"/>
      <c r="E886" s="407"/>
      <c r="F886" s="407"/>
      <c r="G886" s="407"/>
      <c r="H886" s="407"/>
      <c r="I886" s="407"/>
      <c r="J886" s="407"/>
      <c r="K886" s="407"/>
      <c r="L886" s="407"/>
      <c r="M886" s="407"/>
      <c r="N886" s="407"/>
      <c r="O886" s="407"/>
      <c r="P886" s="407"/>
      <c r="Q886" s="407"/>
      <c r="R886" s="407"/>
      <c r="S886" s="407"/>
      <c r="T886" s="407"/>
      <c r="U886" s="407"/>
      <c r="V886" s="407"/>
      <c r="W886" s="407"/>
      <c r="X886" s="407"/>
      <c r="Y886" s="407"/>
      <c r="Z886" s="408"/>
    </row>
    <row r="887" spans="1:26">
      <c r="A887" s="416"/>
      <c r="B887" s="407"/>
      <c r="C887" s="407"/>
      <c r="D887" s="407"/>
      <c r="E887" s="407"/>
      <c r="F887" s="407"/>
      <c r="G887" s="407"/>
      <c r="H887" s="407"/>
      <c r="I887" s="407"/>
      <c r="J887" s="407"/>
      <c r="K887" s="407"/>
      <c r="L887" s="407"/>
      <c r="M887" s="407"/>
      <c r="N887" s="407"/>
      <c r="O887" s="407"/>
      <c r="P887" s="407"/>
      <c r="Q887" s="407"/>
      <c r="R887" s="407"/>
      <c r="S887" s="407"/>
      <c r="T887" s="407"/>
      <c r="U887" s="407"/>
      <c r="V887" s="407"/>
      <c r="W887" s="407"/>
      <c r="X887" s="407"/>
      <c r="Y887" s="407"/>
      <c r="Z887" s="408"/>
    </row>
    <row r="888" spans="1:26">
      <c r="A888" s="416"/>
      <c r="B888" s="407"/>
      <c r="C888" s="407"/>
      <c r="D888" s="407"/>
      <c r="E888" s="407"/>
      <c r="F888" s="407"/>
      <c r="G888" s="407"/>
      <c r="H888" s="407"/>
      <c r="I888" s="407"/>
      <c r="J888" s="407"/>
      <c r="K888" s="407"/>
      <c r="L888" s="407"/>
      <c r="M888" s="407"/>
      <c r="N888" s="407"/>
      <c r="O888" s="407"/>
      <c r="P888" s="407"/>
      <c r="Q888" s="407"/>
      <c r="R888" s="407"/>
      <c r="S888" s="407"/>
      <c r="T888" s="407"/>
      <c r="U888" s="407"/>
      <c r="V888" s="407"/>
      <c r="W888" s="407"/>
      <c r="X888" s="407"/>
      <c r="Y888" s="407"/>
      <c r="Z888" s="408"/>
    </row>
    <row r="889" spans="1:26">
      <c r="A889" s="416"/>
      <c r="B889" s="407"/>
      <c r="C889" s="407"/>
      <c r="D889" s="407"/>
      <c r="E889" s="407"/>
      <c r="F889" s="407"/>
      <c r="G889" s="407"/>
      <c r="H889" s="407"/>
      <c r="I889" s="407"/>
      <c r="J889" s="407"/>
      <c r="K889" s="407"/>
      <c r="L889" s="407"/>
      <c r="M889" s="407"/>
      <c r="N889" s="407"/>
      <c r="O889" s="407"/>
      <c r="P889" s="407"/>
      <c r="Q889" s="407"/>
      <c r="R889" s="407"/>
      <c r="S889" s="407"/>
      <c r="T889" s="407"/>
      <c r="U889" s="407"/>
      <c r="V889" s="407"/>
      <c r="W889" s="407"/>
      <c r="X889" s="407"/>
      <c r="Y889" s="407"/>
      <c r="Z889" s="408"/>
    </row>
    <row r="890" spans="1:26">
      <c r="A890" s="416"/>
      <c r="B890" s="407"/>
      <c r="C890" s="407"/>
      <c r="D890" s="407"/>
      <c r="E890" s="407"/>
      <c r="F890" s="407"/>
      <c r="G890" s="407"/>
      <c r="H890" s="407"/>
      <c r="I890" s="407"/>
      <c r="J890" s="407"/>
      <c r="K890" s="407"/>
      <c r="L890" s="407"/>
      <c r="M890" s="407"/>
      <c r="N890" s="407"/>
      <c r="O890" s="407"/>
      <c r="P890" s="407"/>
      <c r="Q890" s="407"/>
      <c r="R890" s="407"/>
      <c r="S890" s="407"/>
      <c r="T890" s="407"/>
      <c r="U890" s="407"/>
      <c r="V890" s="407"/>
      <c r="W890" s="407"/>
      <c r="X890" s="407"/>
      <c r="Y890" s="407"/>
      <c r="Z890" s="408"/>
    </row>
    <row r="891" spans="1:26">
      <c r="A891" s="416"/>
      <c r="B891" s="407"/>
      <c r="C891" s="407"/>
      <c r="D891" s="407"/>
      <c r="E891" s="407"/>
      <c r="F891" s="407"/>
      <c r="G891" s="407"/>
      <c r="H891" s="407"/>
      <c r="I891" s="407"/>
      <c r="J891" s="407"/>
      <c r="K891" s="407"/>
      <c r="L891" s="407"/>
      <c r="M891" s="407"/>
      <c r="N891" s="407"/>
      <c r="O891" s="407"/>
      <c r="P891" s="407"/>
      <c r="Q891" s="407"/>
      <c r="R891" s="407"/>
      <c r="S891" s="407"/>
      <c r="T891" s="407"/>
      <c r="U891" s="407"/>
      <c r="V891" s="407"/>
      <c r="W891" s="407"/>
      <c r="X891" s="407"/>
      <c r="Y891" s="407"/>
      <c r="Z891" s="408"/>
    </row>
    <row r="892" spans="1:26">
      <c r="A892" s="416"/>
      <c r="B892" s="407"/>
      <c r="C892" s="407"/>
      <c r="D892" s="407"/>
      <c r="E892" s="407"/>
      <c r="F892" s="407"/>
      <c r="G892" s="407"/>
      <c r="H892" s="407"/>
      <c r="I892" s="407"/>
      <c r="J892" s="407"/>
      <c r="K892" s="407"/>
      <c r="L892" s="407"/>
      <c r="M892" s="407"/>
      <c r="N892" s="407"/>
      <c r="O892" s="407"/>
      <c r="P892" s="407"/>
      <c r="Q892" s="407"/>
      <c r="R892" s="407"/>
      <c r="S892" s="407"/>
      <c r="T892" s="407"/>
      <c r="U892" s="407"/>
      <c r="V892" s="407"/>
      <c r="W892" s="407"/>
      <c r="X892" s="407"/>
      <c r="Y892" s="407"/>
      <c r="Z892" s="408"/>
    </row>
    <row r="893" spans="1:26">
      <c r="A893" s="416"/>
      <c r="B893" s="407"/>
      <c r="C893" s="407"/>
      <c r="D893" s="407"/>
      <c r="E893" s="407"/>
      <c r="F893" s="407"/>
      <c r="G893" s="407"/>
      <c r="H893" s="407"/>
      <c r="I893" s="407"/>
      <c r="J893" s="407"/>
      <c r="K893" s="407"/>
      <c r="L893" s="407"/>
      <c r="M893" s="407"/>
      <c r="N893" s="407"/>
      <c r="O893" s="407"/>
      <c r="P893" s="407"/>
      <c r="Q893" s="407"/>
      <c r="R893" s="407"/>
      <c r="S893" s="407"/>
      <c r="T893" s="407"/>
      <c r="U893" s="407"/>
      <c r="V893" s="407"/>
      <c r="W893" s="407"/>
      <c r="X893" s="407"/>
      <c r="Y893" s="407"/>
      <c r="Z893" s="408"/>
    </row>
    <row r="894" spans="1:26">
      <c r="A894" s="416"/>
      <c r="B894" s="407"/>
      <c r="C894" s="407"/>
      <c r="D894" s="407"/>
      <c r="E894" s="407"/>
      <c r="F894" s="407"/>
      <c r="G894" s="407"/>
      <c r="H894" s="407"/>
      <c r="I894" s="407"/>
      <c r="J894" s="407"/>
      <c r="K894" s="407"/>
      <c r="L894" s="407"/>
      <c r="M894" s="407"/>
      <c r="N894" s="407"/>
      <c r="O894" s="407"/>
      <c r="P894" s="407"/>
      <c r="Q894" s="407"/>
      <c r="R894" s="407"/>
      <c r="S894" s="407"/>
      <c r="T894" s="407"/>
      <c r="U894" s="407"/>
      <c r="V894" s="407"/>
      <c r="W894" s="407"/>
      <c r="X894" s="407"/>
      <c r="Y894" s="407"/>
      <c r="Z894" s="408"/>
    </row>
    <row r="895" spans="1:26">
      <c r="A895" s="416"/>
      <c r="B895" s="407"/>
      <c r="C895" s="407"/>
      <c r="D895" s="407"/>
      <c r="E895" s="407"/>
      <c r="F895" s="407"/>
      <c r="G895" s="407"/>
      <c r="H895" s="407"/>
      <c r="I895" s="407"/>
      <c r="J895" s="407"/>
      <c r="K895" s="407"/>
      <c r="L895" s="407"/>
      <c r="M895" s="407"/>
      <c r="N895" s="407"/>
      <c r="O895" s="407"/>
      <c r="P895" s="407"/>
      <c r="Q895" s="407"/>
      <c r="R895" s="407"/>
      <c r="S895" s="407"/>
      <c r="T895" s="407"/>
      <c r="U895" s="407"/>
      <c r="V895" s="407"/>
      <c r="W895" s="407"/>
      <c r="X895" s="407"/>
      <c r="Y895" s="407"/>
      <c r="Z895" s="408"/>
    </row>
    <row r="896" spans="1:26">
      <c r="A896" s="416"/>
      <c r="B896" s="407"/>
      <c r="C896" s="407"/>
      <c r="D896" s="407"/>
      <c r="E896" s="407"/>
      <c r="F896" s="407"/>
      <c r="G896" s="407"/>
      <c r="H896" s="407"/>
      <c r="I896" s="407"/>
      <c r="J896" s="407"/>
      <c r="K896" s="407"/>
      <c r="L896" s="407"/>
      <c r="M896" s="407"/>
      <c r="N896" s="407"/>
      <c r="O896" s="407"/>
      <c r="P896" s="407"/>
      <c r="Q896" s="407"/>
      <c r="R896" s="407"/>
      <c r="S896" s="407"/>
      <c r="T896" s="407"/>
      <c r="U896" s="407"/>
      <c r="V896" s="407"/>
      <c r="W896" s="407"/>
      <c r="X896" s="407"/>
      <c r="Y896" s="407"/>
      <c r="Z896" s="408"/>
    </row>
    <row r="897" spans="1:26">
      <c r="A897" s="416"/>
      <c r="B897" s="407"/>
      <c r="C897" s="407"/>
      <c r="D897" s="407"/>
      <c r="E897" s="407"/>
      <c r="F897" s="407"/>
      <c r="G897" s="407"/>
      <c r="H897" s="407"/>
      <c r="I897" s="407"/>
      <c r="J897" s="407"/>
      <c r="K897" s="407"/>
      <c r="L897" s="407"/>
      <c r="M897" s="407"/>
      <c r="N897" s="407"/>
      <c r="O897" s="407"/>
      <c r="P897" s="407"/>
      <c r="Q897" s="407"/>
      <c r="R897" s="407"/>
      <c r="S897" s="407"/>
      <c r="T897" s="407"/>
      <c r="U897" s="407"/>
      <c r="V897" s="407"/>
      <c r="W897" s="407"/>
      <c r="X897" s="407"/>
      <c r="Y897" s="407"/>
      <c r="Z897" s="408"/>
    </row>
    <row r="898" spans="1:26">
      <c r="A898" s="416"/>
      <c r="B898" s="407"/>
      <c r="C898" s="407"/>
      <c r="D898" s="407"/>
      <c r="E898" s="407"/>
      <c r="F898" s="407"/>
      <c r="G898" s="407"/>
      <c r="H898" s="407"/>
      <c r="I898" s="407"/>
      <c r="J898" s="407"/>
      <c r="K898" s="407"/>
      <c r="L898" s="407"/>
      <c r="M898" s="407"/>
      <c r="N898" s="407"/>
      <c r="O898" s="407"/>
      <c r="P898" s="407"/>
      <c r="Q898" s="407"/>
      <c r="R898" s="407"/>
      <c r="S898" s="407"/>
      <c r="T898" s="407"/>
      <c r="U898" s="407"/>
      <c r="V898" s="407"/>
      <c r="W898" s="407"/>
      <c r="X898" s="407"/>
      <c r="Y898" s="407"/>
      <c r="Z898" s="408"/>
    </row>
    <row r="899" spans="1:26">
      <c r="A899" s="416"/>
      <c r="B899" s="407"/>
      <c r="C899" s="407"/>
      <c r="D899" s="407"/>
      <c r="E899" s="407"/>
      <c r="F899" s="407"/>
      <c r="G899" s="407"/>
      <c r="H899" s="407"/>
      <c r="I899" s="407"/>
      <c r="J899" s="407"/>
      <c r="K899" s="407"/>
      <c r="L899" s="407"/>
      <c r="M899" s="407"/>
      <c r="N899" s="407"/>
      <c r="O899" s="407"/>
      <c r="P899" s="407"/>
      <c r="Q899" s="407"/>
      <c r="R899" s="407"/>
      <c r="S899" s="407"/>
      <c r="T899" s="407"/>
      <c r="U899" s="407"/>
      <c r="V899" s="407"/>
      <c r="W899" s="407"/>
      <c r="X899" s="407"/>
      <c r="Y899" s="407"/>
      <c r="Z899" s="408"/>
    </row>
    <row r="900" spans="1:26">
      <c r="A900" s="416"/>
      <c r="B900" s="407"/>
      <c r="C900" s="407"/>
      <c r="D900" s="407"/>
      <c r="E900" s="407"/>
      <c r="F900" s="407"/>
      <c r="G900" s="407"/>
      <c r="H900" s="407"/>
      <c r="I900" s="407"/>
      <c r="J900" s="407"/>
      <c r="K900" s="407"/>
      <c r="L900" s="407"/>
      <c r="M900" s="407"/>
      <c r="N900" s="407"/>
      <c r="O900" s="407"/>
      <c r="P900" s="407"/>
      <c r="Q900" s="407"/>
      <c r="R900" s="407"/>
      <c r="S900" s="407"/>
      <c r="T900" s="407"/>
      <c r="U900" s="407"/>
      <c r="V900" s="407"/>
      <c r="W900" s="407"/>
      <c r="X900" s="407"/>
      <c r="Y900" s="407"/>
      <c r="Z900" s="408"/>
    </row>
    <row r="901" spans="1:26">
      <c r="A901" s="416"/>
      <c r="B901" s="407"/>
      <c r="C901" s="407"/>
      <c r="D901" s="407"/>
      <c r="E901" s="407"/>
      <c r="F901" s="407"/>
      <c r="G901" s="407"/>
      <c r="H901" s="407"/>
      <c r="I901" s="407"/>
      <c r="J901" s="407"/>
      <c r="K901" s="407"/>
      <c r="L901" s="407"/>
      <c r="M901" s="407"/>
      <c r="N901" s="407"/>
      <c r="O901" s="407"/>
      <c r="P901" s="407"/>
      <c r="Q901" s="407"/>
      <c r="R901" s="407"/>
      <c r="S901" s="407"/>
      <c r="T901" s="407"/>
      <c r="U901" s="407"/>
      <c r="V901" s="407"/>
      <c r="W901" s="407"/>
      <c r="X901" s="407"/>
      <c r="Y901" s="407"/>
      <c r="Z901" s="408"/>
    </row>
    <row r="902" spans="1:26">
      <c r="A902" s="416"/>
      <c r="B902" s="407"/>
      <c r="C902" s="407"/>
      <c r="D902" s="407"/>
      <c r="E902" s="407"/>
      <c r="F902" s="407"/>
      <c r="G902" s="407"/>
      <c r="H902" s="407"/>
      <c r="I902" s="407"/>
      <c r="J902" s="407"/>
      <c r="K902" s="407"/>
      <c r="L902" s="407"/>
      <c r="M902" s="407"/>
      <c r="N902" s="407"/>
      <c r="O902" s="407"/>
      <c r="P902" s="407"/>
      <c r="Q902" s="407"/>
      <c r="R902" s="407"/>
      <c r="S902" s="407"/>
      <c r="T902" s="407"/>
      <c r="U902" s="407"/>
      <c r="V902" s="407"/>
      <c r="W902" s="407"/>
      <c r="X902" s="407"/>
      <c r="Y902" s="407"/>
      <c r="Z902" s="408"/>
    </row>
    <row r="903" spans="1:26">
      <c r="A903" s="416"/>
      <c r="B903" s="407"/>
      <c r="C903" s="407"/>
      <c r="D903" s="407"/>
      <c r="E903" s="407"/>
      <c r="F903" s="407"/>
      <c r="G903" s="407"/>
      <c r="H903" s="407"/>
      <c r="I903" s="407"/>
      <c r="J903" s="407"/>
      <c r="K903" s="407"/>
      <c r="L903" s="407"/>
      <c r="M903" s="407"/>
      <c r="N903" s="407"/>
      <c r="O903" s="407"/>
      <c r="P903" s="407"/>
      <c r="Q903" s="407"/>
      <c r="R903" s="407"/>
      <c r="S903" s="407"/>
      <c r="T903" s="407"/>
      <c r="U903" s="407"/>
      <c r="V903" s="407"/>
      <c r="W903" s="407"/>
      <c r="X903" s="407"/>
      <c r="Y903" s="407"/>
      <c r="Z903" s="408"/>
    </row>
    <row r="904" spans="1:26">
      <c r="A904" s="416"/>
      <c r="B904" s="407"/>
      <c r="C904" s="407"/>
      <c r="D904" s="407"/>
      <c r="E904" s="407"/>
      <c r="F904" s="407"/>
      <c r="G904" s="407"/>
      <c r="H904" s="407"/>
      <c r="I904" s="407"/>
      <c r="J904" s="407"/>
      <c r="K904" s="407"/>
      <c r="L904" s="407"/>
      <c r="M904" s="407"/>
      <c r="N904" s="407"/>
      <c r="O904" s="407"/>
      <c r="P904" s="407"/>
      <c r="Q904" s="407"/>
      <c r="R904" s="407"/>
      <c r="S904" s="407"/>
      <c r="T904" s="407"/>
      <c r="U904" s="407"/>
      <c r="V904" s="407"/>
      <c r="W904" s="407"/>
      <c r="X904" s="407"/>
      <c r="Y904" s="407"/>
      <c r="Z904" s="408"/>
    </row>
    <row r="905" spans="1:26">
      <c r="A905" s="416"/>
      <c r="B905" s="407"/>
      <c r="C905" s="407"/>
      <c r="D905" s="407"/>
      <c r="E905" s="407"/>
      <c r="F905" s="407"/>
      <c r="G905" s="407"/>
      <c r="H905" s="407"/>
      <c r="I905" s="407"/>
      <c r="J905" s="407"/>
      <c r="K905" s="407"/>
      <c r="L905" s="407"/>
      <c r="M905" s="407"/>
      <c r="N905" s="407"/>
      <c r="O905" s="407"/>
      <c r="P905" s="407"/>
      <c r="Q905" s="407"/>
      <c r="R905" s="407"/>
      <c r="S905" s="407"/>
      <c r="T905" s="407"/>
      <c r="U905" s="407"/>
      <c r="V905" s="407"/>
      <c r="W905" s="407"/>
      <c r="X905" s="407"/>
      <c r="Y905" s="407"/>
      <c r="Z905" s="408"/>
    </row>
    <row r="906" spans="1:26">
      <c r="A906" s="416"/>
      <c r="B906" s="407"/>
      <c r="C906" s="407"/>
      <c r="D906" s="407"/>
      <c r="E906" s="407"/>
      <c r="F906" s="407"/>
      <c r="G906" s="407"/>
      <c r="H906" s="407"/>
      <c r="I906" s="407"/>
      <c r="J906" s="407"/>
      <c r="K906" s="407"/>
      <c r="L906" s="407"/>
      <c r="M906" s="407"/>
      <c r="N906" s="407"/>
      <c r="O906" s="407"/>
      <c r="P906" s="407"/>
      <c r="Q906" s="407"/>
      <c r="R906" s="407"/>
      <c r="S906" s="407"/>
      <c r="T906" s="407"/>
      <c r="U906" s="407"/>
      <c r="V906" s="407"/>
      <c r="W906" s="407"/>
      <c r="X906" s="407"/>
      <c r="Y906" s="407"/>
      <c r="Z906" s="408"/>
    </row>
    <row r="907" spans="1:26">
      <c r="A907" s="416"/>
      <c r="B907" s="407"/>
      <c r="C907" s="407"/>
      <c r="D907" s="407"/>
      <c r="E907" s="407"/>
      <c r="F907" s="407"/>
      <c r="G907" s="407"/>
      <c r="H907" s="407"/>
      <c r="I907" s="407"/>
      <c r="J907" s="407"/>
      <c r="K907" s="407"/>
      <c r="L907" s="407"/>
      <c r="M907" s="407"/>
      <c r="N907" s="407"/>
      <c r="O907" s="407"/>
      <c r="P907" s="407"/>
      <c r="Q907" s="407"/>
      <c r="R907" s="407"/>
      <c r="S907" s="407"/>
      <c r="T907" s="407"/>
      <c r="U907" s="407"/>
      <c r="V907" s="407"/>
      <c r="W907" s="407"/>
      <c r="X907" s="407"/>
      <c r="Y907" s="407"/>
      <c r="Z907" s="408"/>
    </row>
    <row r="908" spans="1:26">
      <c r="A908" s="416"/>
      <c r="B908" s="407"/>
      <c r="C908" s="407"/>
      <c r="D908" s="407"/>
      <c r="E908" s="407"/>
      <c r="F908" s="407"/>
      <c r="G908" s="407"/>
      <c r="H908" s="407"/>
      <c r="I908" s="407"/>
      <c r="J908" s="407"/>
      <c r="K908" s="407"/>
      <c r="L908" s="407"/>
      <c r="M908" s="407"/>
      <c r="N908" s="407"/>
      <c r="O908" s="407"/>
      <c r="P908" s="407"/>
      <c r="Q908" s="407"/>
      <c r="R908" s="407"/>
      <c r="S908" s="407"/>
      <c r="T908" s="407"/>
      <c r="U908" s="407"/>
      <c r="V908" s="407"/>
      <c r="W908" s="407"/>
      <c r="X908" s="407"/>
      <c r="Y908" s="407"/>
      <c r="Z908" s="408"/>
    </row>
    <row r="909" spans="1:26">
      <c r="A909" s="416"/>
      <c r="B909" s="407"/>
      <c r="C909" s="407"/>
      <c r="D909" s="407"/>
      <c r="E909" s="407"/>
      <c r="F909" s="407"/>
      <c r="G909" s="407"/>
      <c r="H909" s="407"/>
      <c r="I909" s="407"/>
      <c r="J909" s="407"/>
      <c r="K909" s="407"/>
      <c r="L909" s="407"/>
      <c r="M909" s="407"/>
      <c r="N909" s="407"/>
      <c r="O909" s="407"/>
      <c r="P909" s="407"/>
      <c r="Q909" s="407"/>
      <c r="R909" s="407"/>
      <c r="S909" s="407"/>
      <c r="T909" s="407"/>
      <c r="U909" s="407"/>
      <c r="V909" s="407"/>
      <c r="W909" s="407"/>
      <c r="X909" s="407"/>
      <c r="Y909" s="407"/>
      <c r="Z909" s="408"/>
    </row>
    <row r="910" spans="1:26">
      <c r="A910" s="416"/>
      <c r="B910" s="407"/>
      <c r="C910" s="407"/>
      <c r="D910" s="407"/>
      <c r="E910" s="407"/>
      <c r="F910" s="407"/>
      <c r="G910" s="407"/>
      <c r="H910" s="407"/>
      <c r="I910" s="407"/>
      <c r="J910" s="407"/>
      <c r="K910" s="407"/>
      <c r="L910" s="407"/>
      <c r="M910" s="407"/>
      <c r="N910" s="407"/>
      <c r="O910" s="407"/>
      <c r="P910" s="407"/>
      <c r="Q910" s="407"/>
      <c r="R910" s="407"/>
      <c r="S910" s="407"/>
      <c r="T910" s="407"/>
      <c r="U910" s="407"/>
      <c r="V910" s="407"/>
      <c r="W910" s="407"/>
      <c r="X910" s="407"/>
      <c r="Y910" s="407"/>
      <c r="Z910" s="408"/>
    </row>
    <row r="911" spans="1:26">
      <c r="A911" s="416"/>
      <c r="B911" s="407"/>
      <c r="C911" s="407"/>
      <c r="D911" s="407"/>
      <c r="E911" s="407"/>
      <c r="F911" s="407"/>
      <c r="G911" s="407"/>
      <c r="H911" s="407"/>
      <c r="I911" s="407"/>
      <c r="J911" s="407"/>
      <c r="K911" s="407"/>
      <c r="L911" s="407"/>
      <c r="M911" s="407"/>
      <c r="N911" s="407"/>
      <c r="O911" s="407"/>
      <c r="P911" s="407"/>
      <c r="Q911" s="407"/>
      <c r="R911" s="407"/>
      <c r="S911" s="407"/>
      <c r="T911" s="407"/>
      <c r="U911" s="407"/>
      <c r="V911" s="407"/>
      <c r="W911" s="407"/>
      <c r="X911" s="407"/>
      <c r="Y911" s="407"/>
      <c r="Z911" s="408"/>
    </row>
    <row r="912" spans="1:26">
      <c r="A912" s="416"/>
      <c r="B912" s="407"/>
      <c r="C912" s="407"/>
      <c r="D912" s="407"/>
      <c r="E912" s="407"/>
      <c r="F912" s="407"/>
      <c r="G912" s="407"/>
      <c r="H912" s="407"/>
      <c r="I912" s="407"/>
      <c r="J912" s="407"/>
      <c r="K912" s="407"/>
      <c r="L912" s="407"/>
      <c r="M912" s="407"/>
      <c r="N912" s="407"/>
      <c r="O912" s="407"/>
      <c r="P912" s="407"/>
      <c r="Q912" s="407"/>
      <c r="R912" s="407"/>
      <c r="S912" s="407"/>
      <c r="T912" s="407"/>
      <c r="U912" s="407"/>
      <c r="V912" s="407"/>
      <c r="W912" s="407"/>
      <c r="X912" s="407"/>
      <c r="Y912" s="407"/>
      <c r="Z912" s="408"/>
    </row>
    <row r="913" spans="1:26">
      <c r="A913" s="416"/>
      <c r="B913" s="407"/>
      <c r="C913" s="407"/>
      <c r="D913" s="407"/>
      <c r="E913" s="407"/>
      <c r="F913" s="407"/>
      <c r="G913" s="407"/>
      <c r="H913" s="407"/>
      <c r="I913" s="407"/>
      <c r="J913" s="407"/>
      <c r="K913" s="407"/>
      <c r="L913" s="407"/>
      <c r="M913" s="407"/>
      <c r="N913" s="407"/>
      <c r="O913" s="407"/>
      <c r="P913" s="407"/>
      <c r="Q913" s="407"/>
      <c r="R913" s="407"/>
      <c r="S913" s="407"/>
      <c r="T913" s="407"/>
      <c r="U913" s="407"/>
      <c r="V913" s="407"/>
      <c r="W913" s="407"/>
      <c r="X913" s="407"/>
      <c r="Y913" s="407"/>
      <c r="Z913" s="408"/>
    </row>
    <row r="914" spans="1:26">
      <c r="A914" s="416"/>
      <c r="B914" s="407"/>
      <c r="C914" s="407"/>
      <c r="D914" s="407"/>
      <c r="E914" s="407"/>
      <c r="F914" s="407"/>
      <c r="G914" s="407"/>
      <c r="H914" s="407"/>
      <c r="I914" s="407"/>
      <c r="J914" s="407"/>
      <c r="K914" s="407"/>
      <c r="L914" s="407"/>
      <c r="M914" s="407"/>
      <c r="N914" s="407"/>
      <c r="O914" s="407"/>
      <c r="P914" s="407"/>
      <c r="Q914" s="407"/>
      <c r="R914" s="407"/>
      <c r="S914" s="407"/>
      <c r="T914" s="407"/>
      <c r="U914" s="407"/>
      <c r="V914" s="407"/>
      <c r="W914" s="407"/>
      <c r="X914" s="407"/>
      <c r="Y914" s="407"/>
      <c r="Z914" s="408"/>
    </row>
    <row r="915" spans="1:26">
      <c r="A915" s="416"/>
      <c r="B915" s="407"/>
      <c r="C915" s="407"/>
      <c r="D915" s="407"/>
      <c r="E915" s="407"/>
      <c r="F915" s="407"/>
      <c r="G915" s="407"/>
      <c r="H915" s="407"/>
      <c r="I915" s="407"/>
      <c r="J915" s="407"/>
      <c r="K915" s="407"/>
      <c r="L915" s="407"/>
      <c r="M915" s="407"/>
      <c r="N915" s="407"/>
      <c r="O915" s="407"/>
      <c r="P915" s="407"/>
      <c r="Q915" s="407"/>
      <c r="R915" s="407"/>
      <c r="S915" s="407"/>
      <c r="T915" s="407"/>
      <c r="U915" s="407"/>
      <c r="V915" s="407"/>
      <c r="W915" s="407"/>
      <c r="X915" s="407"/>
      <c r="Y915" s="407"/>
      <c r="Z915" s="408"/>
    </row>
    <row r="916" spans="1:26">
      <c r="A916" s="416"/>
      <c r="B916" s="407"/>
      <c r="C916" s="407"/>
      <c r="D916" s="407"/>
      <c r="E916" s="407"/>
      <c r="F916" s="407"/>
      <c r="G916" s="407"/>
      <c r="H916" s="407"/>
      <c r="I916" s="407"/>
      <c r="J916" s="407"/>
      <c r="K916" s="407"/>
      <c r="L916" s="407"/>
      <c r="M916" s="407"/>
      <c r="N916" s="407"/>
      <c r="O916" s="407"/>
      <c r="P916" s="407"/>
      <c r="Q916" s="407"/>
      <c r="R916" s="407"/>
      <c r="S916" s="407"/>
      <c r="T916" s="407"/>
      <c r="U916" s="407"/>
      <c r="V916" s="407"/>
      <c r="W916" s="407"/>
      <c r="X916" s="407"/>
      <c r="Y916" s="407"/>
      <c r="Z916" s="408"/>
    </row>
    <row r="917" spans="1:26">
      <c r="A917" s="416"/>
      <c r="B917" s="407"/>
      <c r="C917" s="407"/>
      <c r="D917" s="407"/>
      <c r="E917" s="407"/>
      <c r="F917" s="407"/>
      <c r="G917" s="407"/>
      <c r="H917" s="407"/>
      <c r="I917" s="407"/>
      <c r="J917" s="407"/>
      <c r="K917" s="407"/>
      <c r="L917" s="407"/>
      <c r="M917" s="407"/>
      <c r="N917" s="407"/>
      <c r="O917" s="407"/>
      <c r="P917" s="407"/>
      <c r="Q917" s="407"/>
      <c r="R917" s="407"/>
      <c r="S917" s="407"/>
      <c r="T917" s="407"/>
      <c r="U917" s="407"/>
      <c r="V917" s="407"/>
      <c r="W917" s="407"/>
      <c r="X917" s="407"/>
      <c r="Y917" s="407"/>
      <c r="Z917" s="408"/>
    </row>
    <row r="918" spans="1:26">
      <c r="A918" s="416"/>
      <c r="B918" s="407"/>
      <c r="C918" s="407"/>
      <c r="D918" s="407"/>
      <c r="E918" s="407"/>
      <c r="F918" s="407"/>
      <c r="G918" s="407"/>
      <c r="H918" s="407"/>
      <c r="I918" s="407"/>
      <c r="J918" s="407"/>
      <c r="K918" s="407"/>
      <c r="L918" s="407"/>
      <c r="M918" s="407"/>
      <c r="N918" s="407"/>
      <c r="O918" s="407"/>
      <c r="P918" s="407"/>
      <c r="Q918" s="407"/>
      <c r="R918" s="407"/>
      <c r="S918" s="407"/>
      <c r="T918" s="407"/>
      <c r="U918" s="407"/>
      <c r="V918" s="407"/>
      <c r="W918" s="407"/>
      <c r="X918" s="407"/>
      <c r="Y918" s="407"/>
      <c r="Z918" s="408"/>
    </row>
    <row r="919" spans="1:26">
      <c r="A919" s="416"/>
      <c r="B919" s="407"/>
      <c r="C919" s="407"/>
      <c r="D919" s="407"/>
      <c r="E919" s="407"/>
      <c r="F919" s="407"/>
      <c r="G919" s="407"/>
      <c r="H919" s="407"/>
      <c r="I919" s="407"/>
      <c r="J919" s="407"/>
      <c r="K919" s="407"/>
      <c r="L919" s="407"/>
      <c r="M919" s="407"/>
      <c r="N919" s="407"/>
      <c r="O919" s="407"/>
      <c r="P919" s="407"/>
      <c r="Q919" s="407"/>
      <c r="R919" s="407"/>
      <c r="S919" s="407"/>
      <c r="T919" s="407"/>
      <c r="U919" s="407"/>
      <c r="V919" s="407"/>
      <c r="W919" s="407"/>
      <c r="X919" s="407"/>
      <c r="Y919" s="407"/>
      <c r="Z919" s="408"/>
    </row>
    <row r="920" spans="1:26">
      <c r="A920" s="416"/>
      <c r="B920" s="407"/>
      <c r="C920" s="407"/>
      <c r="D920" s="407"/>
      <c r="E920" s="407"/>
      <c r="F920" s="407"/>
      <c r="G920" s="407"/>
      <c r="H920" s="407"/>
      <c r="I920" s="407"/>
      <c r="J920" s="407"/>
      <c r="K920" s="407"/>
      <c r="L920" s="407"/>
      <c r="M920" s="407"/>
      <c r="N920" s="407"/>
      <c r="O920" s="407"/>
      <c r="P920" s="407"/>
      <c r="Q920" s="407"/>
      <c r="R920" s="407"/>
      <c r="S920" s="407"/>
      <c r="T920" s="407"/>
      <c r="U920" s="407"/>
      <c r="V920" s="407"/>
      <c r="W920" s="407"/>
      <c r="X920" s="407"/>
      <c r="Y920" s="407"/>
      <c r="Z920" s="408"/>
    </row>
    <row r="921" spans="1:26">
      <c r="A921" s="416"/>
      <c r="B921" s="407"/>
      <c r="C921" s="407"/>
      <c r="D921" s="407"/>
      <c r="E921" s="407"/>
      <c r="F921" s="407"/>
      <c r="G921" s="407"/>
      <c r="H921" s="407"/>
      <c r="I921" s="407"/>
      <c r="J921" s="407"/>
      <c r="K921" s="407"/>
      <c r="L921" s="407"/>
      <c r="M921" s="407"/>
      <c r="N921" s="407"/>
      <c r="O921" s="407"/>
      <c r="P921" s="407"/>
      <c r="Q921" s="407"/>
      <c r="R921" s="407"/>
      <c r="S921" s="407"/>
      <c r="T921" s="407"/>
      <c r="U921" s="407"/>
      <c r="V921" s="407"/>
      <c r="W921" s="407"/>
      <c r="X921" s="407"/>
      <c r="Y921" s="407"/>
      <c r="Z921" s="408"/>
    </row>
    <row r="922" spans="1:26">
      <c r="A922" s="416"/>
      <c r="B922" s="407"/>
      <c r="C922" s="407"/>
      <c r="D922" s="407"/>
      <c r="E922" s="407"/>
      <c r="F922" s="407"/>
      <c r="G922" s="407"/>
      <c r="H922" s="407"/>
      <c r="I922" s="407"/>
      <c r="J922" s="407"/>
      <c r="K922" s="407"/>
      <c r="L922" s="407"/>
      <c r="M922" s="407"/>
      <c r="N922" s="407"/>
      <c r="O922" s="407"/>
      <c r="P922" s="407"/>
      <c r="Q922" s="407"/>
      <c r="R922" s="407"/>
      <c r="S922" s="407"/>
      <c r="T922" s="407"/>
      <c r="U922" s="407"/>
      <c r="V922" s="407"/>
      <c r="W922" s="407"/>
      <c r="X922" s="407"/>
      <c r="Y922" s="407"/>
      <c r="Z922" s="408"/>
    </row>
    <row r="923" spans="1:26">
      <c r="A923" s="416"/>
      <c r="B923" s="407"/>
      <c r="C923" s="407"/>
      <c r="D923" s="407"/>
      <c r="E923" s="407"/>
      <c r="F923" s="407"/>
      <c r="G923" s="407"/>
      <c r="H923" s="407"/>
      <c r="I923" s="407"/>
      <c r="J923" s="407"/>
      <c r="K923" s="407"/>
      <c r="L923" s="407"/>
      <c r="M923" s="407"/>
      <c r="N923" s="407"/>
      <c r="O923" s="407"/>
      <c r="P923" s="407"/>
      <c r="Q923" s="407"/>
      <c r="R923" s="407"/>
      <c r="S923" s="407"/>
      <c r="T923" s="407"/>
      <c r="U923" s="407"/>
      <c r="V923" s="407"/>
      <c r="W923" s="407"/>
      <c r="X923" s="407"/>
      <c r="Y923" s="407"/>
      <c r="Z923" s="408"/>
    </row>
    <row r="924" spans="1:26">
      <c r="A924" s="416"/>
      <c r="B924" s="407"/>
      <c r="C924" s="407"/>
      <c r="D924" s="407"/>
      <c r="E924" s="407"/>
      <c r="F924" s="407"/>
      <c r="G924" s="407"/>
      <c r="H924" s="407"/>
      <c r="I924" s="407"/>
      <c r="J924" s="407"/>
      <c r="K924" s="407"/>
      <c r="L924" s="407"/>
      <c r="M924" s="407"/>
      <c r="N924" s="407"/>
      <c r="O924" s="407"/>
      <c r="P924" s="407"/>
      <c r="Q924" s="407"/>
      <c r="R924" s="407"/>
      <c r="S924" s="407"/>
      <c r="T924" s="407"/>
      <c r="U924" s="407"/>
      <c r="V924" s="407"/>
      <c r="W924" s="407"/>
      <c r="X924" s="407"/>
      <c r="Y924" s="407"/>
      <c r="Z924" s="408"/>
    </row>
    <row r="925" spans="1:26">
      <c r="A925" s="416"/>
      <c r="B925" s="407"/>
      <c r="C925" s="407"/>
      <c r="D925" s="407"/>
      <c r="E925" s="407"/>
      <c r="F925" s="407"/>
      <c r="G925" s="407"/>
      <c r="H925" s="407"/>
      <c r="I925" s="407"/>
      <c r="J925" s="407"/>
      <c r="K925" s="407"/>
      <c r="L925" s="407"/>
      <c r="M925" s="407"/>
      <c r="N925" s="407"/>
      <c r="O925" s="407"/>
      <c r="P925" s="407"/>
      <c r="Q925" s="407"/>
      <c r="R925" s="407"/>
      <c r="S925" s="407"/>
      <c r="T925" s="407"/>
      <c r="U925" s="407"/>
      <c r="V925" s="407"/>
      <c r="W925" s="407"/>
      <c r="X925" s="407"/>
      <c r="Y925" s="407"/>
      <c r="Z925" s="408"/>
    </row>
    <row r="926" spans="1:26">
      <c r="A926" s="416"/>
      <c r="B926" s="407"/>
      <c r="C926" s="407"/>
      <c r="D926" s="407"/>
      <c r="E926" s="407"/>
      <c r="F926" s="407"/>
      <c r="G926" s="407"/>
      <c r="H926" s="407"/>
      <c r="I926" s="407"/>
      <c r="J926" s="407"/>
      <c r="K926" s="407"/>
      <c r="L926" s="407"/>
      <c r="M926" s="407"/>
      <c r="N926" s="407"/>
      <c r="O926" s="407"/>
      <c r="P926" s="407"/>
      <c r="Q926" s="407"/>
      <c r="R926" s="407"/>
      <c r="S926" s="407"/>
      <c r="T926" s="407"/>
      <c r="U926" s="407"/>
      <c r="V926" s="407"/>
      <c r="W926" s="407"/>
      <c r="X926" s="407"/>
      <c r="Y926" s="407"/>
      <c r="Z926" s="408"/>
    </row>
    <row r="927" spans="1:26">
      <c r="A927" s="416"/>
      <c r="B927" s="407"/>
      <c r="C927" s="407"/>
      <c r="D927" s="407"/>
      <c r="E927" s="407"/>
      <c r="F927" s="407"/>
      <c r="G927" s="407"/>
      <c r="H927" s="407"/>
      <c r="I927" s="407"/>
      <c r="J927" s="407"/>
      <c r="K927" s="407"/>
      <c r="L927" s="407"/>
      <c r="M927" s="407"/>
      <c r="N927" s="407"/>
      <c r="O927" s="407"/>
      <c r="P927" s="407"/>
      <c r="Q927" s="407"/>
      <c r="R927" s="407"/>
      <c r="S927" s="407"/>
      <c r="T927" s="407"/>
      <c r="U927" s="407"/>
      <c r="V927" s="407"/>
      <c r="W927" s="407"/>
      <c r="X927" s="407"/>
      <c r="Y927" s="407"/>
      <c r="Z927" s="408"/>
    </row>
    <row r="928" spans="1:26">
      <c r="A928" s="416"/>
      <c r="B928" s="407"/>
      <c r="C928" s="407"/>
      <c r="D928" s="407"/>
      <c r="E928" s="407"/>
      <c r="F928" s="407"/>
      <c r="G928" s="407"/>
      <c r="H928" s="407"/>
      <c r="I928" s="407"/>
      <c r="J928" s="407"/>
      <c r="K928" s="407"/>
      <c r="L928" s="407"/>
      <c r="M928" s="407"/>
      <c r="N928" s="407"/>
      <c r="O928" s="407"/>
      <c r="P928" s="407"/>
      <c r="Q928" s="407"/>
      <c r="R928" s="407"/>
      <c r="S928" s="407"/>
      <c r="T928" s="407"/>
      <c r="U928" s="407"/>
      <c r="V928" s="407"/>
      <c r="W928" s="407"/>
      <c r="X928" s="407"/>
      <c r="Y928" s="407"/>
      <c r="Z928" s="408"/>
    </row>
    <row r="929" spans="1:26">
      <c r="A929" s="416"/>
      <c r="B929" s="407"/>
      <c r="C929" s="407"/>
      <c r="D929" s="407"/>
      <c r="E929" s="407"/>
      <c r="F929" s="407"/>
      <c r="G929" s="407"/>
      <c r="H929" s="407"/>
      <c r="I929" s="407"/>
      <c r="J929" s="407"/>
      <c r="K929" s="407"/>
      <c r="L929" s="407"/>
      <c r="M929" s="407"/>
      <c r="N929" s="407"/>
      <c r="O929" s="407"/>
      <c r="P929" s="407"/>
      <c r="Q929" s="407"/>
      <c r="R929" s="407"/>
      <c r="S929" s="407"/>
      <c r="T929" s="407"/>
      <c r="U929" s="407"/>
      <c r="V929" s="407"/>
      <c r="W929" s="407"/>
      <c r="X929" s="407"/>
      <c r="Y929" s="407"/>
      <c r="Z929" s="408"/>
    </row>
    <row r="930" spans="1:26">
      <c r="A930" s="416"/>
      <c r="B930" s="407"/>
      <c r="C930" s="407"/>
      <c r="D930" s="407"/>
      <c r="E930" s="407"/>
      <c r="F930" s="407"/>
      <c r="G930" s="407"/>
      <c r="H930" s="407"/>
      <c r="I930" s="407"/>
      <c r="J930" s="407"/>
      <c r="K930" s="407"/>
      <c r="L930" s="407"/>
      <c r="M930" s="407"/>
      <c r="N930" s="407"/>
      <c r="O930" s="407"/>
      <c r="P930" s="407"/>
      <c r="Q930" s="407"/>
      <c r="R930" s="407"/>
      <c r="S930" s="407"/>
      <c r="T930" s="407"/>
      <c r="U930" s="407"/>
      <c r="V930" s="407"/>
      <c r="W930" s="407"/>
      <c r="X930" s="407"/>
      <c r="Y930" s="407"/>
      <c r="Z930" s="408"/>
    </row>
    <row r="931" spans="1:26">
      <c r="A931" s="416"/>
      <c r="B931" s="407"/>
      <c r="C931" s="407"/>
      <c r="D931" s="407"/>
      <c r="E931" s="407"/>
      <c r="F931" s="407"/>
      <c r="G931" s="407"/>
      <c r="H931" s="407"/>
      <c r="I931" s="407"/>
      <c r="J931" s="407"/>
      <c r="K931" s="407"/>
      <c r="L931" s="407"/>
      <c r="M931" s="407"/>
      <c r="N931" s="407"/>
      <c r="O931" s="407"/>
      <c r="P931" s="407"/>
      <c r="Q931" s="407"/>
      <c r="R931" s="407"/>
      <c r="S931" s="407"/>
      <c r="T931" s="407"/>
      <c r="U931" s="407"/>
      <c r="V931" s="407"/>
      <c r="W931" s="407"/>
      <c r="X931" s="407"/>
      <c r="Y931" s="407"/>
      <c r="Z931" s="408"/>
    </row>
    <row r="932" spans="1:26">
      <c r="A932" s="416"/>
      <c r="B932" s="407"/>
      <c r="C932" s="407"/>
      <c r="D932" s="407"/>
      <c r="E932" s="407"/>
      <c r="F932" s="407"/>
      <c r="G932" s="407"/>
      <c r="H932" s="407"/>
      <c r="I932" s="407"/>
      <c r="J932" s="407"/>
      <c r="K932" s="407"/>
      <c r="L932" s="407"/>
      <c r="M932" s="407"/>
      <c r="N932" s="407"/>
      <c r="O932" s="407"/>
      <c r="P932" s="407"/>
      <c r="Q932" s="407"/>
      <c r="R932" s="407"/>
      <c r="S932" s="407"/>
      <c r="T932" s="407"/>
      <c r="U932" s="407"/>
      <c r="V932" s="407"/>
      <c r="W932" s="407"/>
      <c r="X932" s="407"/>
      <c r="Y932" s="407"/>
      <c r="Z932" s="408"/>
    </row>
    <row r="933" spans="1:26">
      <c r="A933" s="416"/>
      <c r="B933" s="407"/>
      <c r="C933" s="407"/>
      <c r="D933" s="407"/>
      <c r="E933" s="407"/>
      <c r="F933" s="407"/>
      <c r="G933" s="407"/>
      <c r="H933" s="407"/>
      <c r="I933" s="407"/>
      <c r="J933" s="407"/>
      <c r="K933" s="407"/>
      <c r="L933" s="407"/>
      <c r="M933" s="407"/>
      <c r="N933" s="407"/>
      <c r="O933" s="407"/>
      <c r="P933" s="407"/>
      <c r="Q933" s="407"/>
      <c r="R933" s="407"/>
      <c r="S933" s="407"/>
      <c r="T933" s="407"/>
      <c r="U933" s="407"/>
      <c r="V933" s="407"/>
      <c r="W933" s="407"/>
      <c r="X933" s="407"/>
      <c r="Y933" s="407"/>
      <c r="Z933" s="408"/>
    </row>
    <row r="934" spans="1:26">
      <c r="A934" s="416"/>
      <c r="B934" s="407"/>
      <c r="C934" s="407"/>
      <c r="D934" s="407"/>
      <c r="E934" s="407"/>
      <c r="F934" s="407"/>
      <c r="G934" s="407"/>
      <c r="H934" s="407"/>
      <c r="I934" s="407"/>
      <c r="J934" s="407"/>
      <c r="K934" s="407"/>
      <c r="L934" s="407"/>
      <c r="M934" s="407"/>
      <c r="N934" s="407"/>
      <c r="O934" s="407"/>
      <c r="P934" s="407"/>
      <c r="Q934" s="407"/>
      <c r="R934" s="407"/>
      <c r="S934" s="407"/>
      <c r="T934" s="407"/>
      <c r="U934" s="407"/>
      <c r="V934" s="407"/>
      <c r="W934" s="407"/>
      <c r="X934" s="407"/>
      <c r="Y934" s="407"/>
      <c r="Z934" s="408"/>
    </row>
    <row r="935" spans="1:26">
      <c r="A935" s="416"/>
      <c r="B935" s="407"/>
      <c r="C935" s="407"/>
      <c r="D935" s="407"/>
      <c r="E935" s="407"/>
      <c r="F935" s="407"/>
      <c r="G935" s="407"/>
      <c r="H935" s="407"/>
      <c r="I935" s="407"/>
      <c r="J935" s="407"/>
      <c r="K935" s="407"/>
      <c r="L935" s="407"/>
      <c r="M935" s="407"/>
      <c r="N935" s="407"/>
      <c r="O935" s="407"/>
      <c r="P935" s="407"/>
      <c r="Q935" s="407"/>
      <c r="R935" s="407"/>
      <c r="S935" s="407"/>
      <c r="T935" s="407"/>
      <c r="U935" s="407"/>
      <c r="V935" s="407"/>
      <c r="W935" s="407"/>
      <c r="X935" s="407"/>
      <c r="Y935" s="407"/>
      <c r="Z935" s="408"/>
    </row>
    <row r="936" spans="1:26">
      <c r="A936" s="416"/>
      <c r="B936" s="407"/>
      <c r="C936" s="407"/>
      <c r="D936" s="407"/>
      <c r="E936" s="407"/>
      <c r="F936" s="407"/>
      <c r="G936" s="407"/>
      <c r="H936" s="407"/>
      <c r="I936" s="407"/>
      <c r="J936" s="407"/>
      <c r="K936" s="407"/>
      <c r="L936" s="407"/>
      <c r="M936" s="407"/>
      <c r="N936" s="407"/>
      <c r="O936" s="407"/>
      <c r="P936" s="407"/>
      <c r="Q936" s="407"/>
      <c r="R936" s="407"/>
      <c r="S936" s="407"/>
      <c r="T936" s="407"/>
      <c r="U936" s="407"/>
      <c r="V936" s="407"/>
      <c r="W936" s="407"/>
      <c r="X936" s="407"/>
      <c r="Y936" s="407"/>
      <c r="Z936" s="408"/>
    </row>
    <row r="937" spans="1:26">
      <c r="A937" s="416"/>
      <c r="B937" s="407"/>
      <c r="C937" s="407"/>
      <c r="D937" s="407"/>
      <c r="E937" s="407"/>
      <c r="F937" s="407"/>
      <c r="G937" s="407"/>
      <c r="H937" s="407"/>
      <c r="I937" s="407"/>
      <c r="J937" s="407"/>
      <c r="K937" s="407"/>
      <c r="L937" s="407"/>
      <c r="M937" s="407"/>
      <c r="N937" s="407"/>
      <c r="O937" s="407"/>
      <c r="P937" s="407"/>
      <c r="Q937" s="407"/>
      <c r="R937" s="407"/>
      <c r="S937" s="407"/>
      <c r="T937" s="407"/>
      <c r="U937" s="407"/>
      <c r="V937" s="407"/>
      <c r="W937" s="407"/>
      <c r="X937" s="407"/>
      <c r="Y937" s="407"/>
      <c r="Z937" s="408"/>
    </row>
    <row r="938" spans="1:26">
      <c r="A938" s="416"/>
      <c r="B938" s="407"/>
      <c r="C938" s="407"/>
      <c r="D938" s="407"/>
      <c r="E938" s="407"/>
      <c r="F938" s="407"/>
      <c r="G938" s="407"/>
      <c r="H938" s="407"/>
      <c r="I938" s="407"/>
      <c r="J938" s="407"/>
      <c r="K938" s="407"/>
      <c r="L938" s="407"/>
      <c r="M938" s="407"/>
      <c r="N938" s="407"/>
      <c r="O938" s="407"/>
      <c r="P938" s="407"/>
      <c r="Q938" s="407"/>
      <c r="R938" s="407"/>
      <c r="S938" s="407"/>
      <c r="T938" s="407"/>
      <c r="U938" s="407"/>
      <c r="V938" s="407"/>
      <c r="W938" s="407"/>
      <c r="X938" s="407"/>
      <c r="Y938" s="407"/>
      <c r="Z938" s="408"/>
    </row>
    <row r="939" spans="1:26">
      <c r="A939" s="416"/>
      <c r="B939" s="407"/>
      <c r="C939" s="407"/>
      <c r="D939" s="407"/>
      <c r="E939" s="407"/>
      <c r="F939" s="407"/>
      <c r="G939" s="407"/>
      <c r="H939" s="407"/>
      <c r="I939" s="407"/>
      <c r="J939" s="407"/>
      <c r="K939" s="407"/>
      <c r="L939" s="407"/>
      <c r="M939" s="407"/>
      <c r="N939" s="407"/>
      <c r="O939" s="407"/>
      <c r="P939" s="407"/>
      <c r="Q939" s="407"/>
      <c r="R939" s="407"/>
      <c r="S939" s="407"/>
      <c r="T939" s="407"/>
      <c r="U939" s="407"/>
      <c r="V939" s="407"/>
      <c r="W939" s="407"/>
      <c r="X939" s="407"/>
      <c r="Y939" s="407"/>
      <c r="Z939" s="408"/>
    </row>
    <row r="940" spans="1:26">
      <c r="A940" s="416"/>
      <c r="B940" s="407"/>
      <c r="C940" s="407"/>
      <c r="D940" s="407"/>
      <c r="E940" s="407"/>
      <c r="F940" s="407"/>
      <c r="G940" s="407"/>
      <c r="H940" s="407"/>
      <c r="I940" s="407"/>
      <c r="J940" s="407"/>
      <c r="K940" s="407"/>
      <c r="L940" s="407"/>
      <c r="M940" s="407"/>
      <c r="N940" s="407"/>
      <c r="O940" s="407"/>
      <c r="P940" s="407"/>
      <c r="Q940" s="407"/>
      <c r="R940" s="407"/>
      <c r="S940" s="407"/>
      <c r="T940" s="407"/>
      <c r="U940" s="407"/>
      <c r="V940" s="407"/>
      <c r="W940" s="407"/>
      <c r="X940" s="407"/>
      <c r="Y940" s="407"/>
      <c r="Z940" s="408"/>
    </row>
    <row r="941" spans="1:26">
      <c r="A941" s="416"/>
      <c r="B941" s="407"/>
      <c r="C941" s="407"/>
      <c r="D941" s="407"/>
      <c r="E941" s="407"/>
      <c r="F941" s="407"/>
      <c r="G941" s="407"/>
      <c r="H941" s="407"/>
      <c r="I941" s="407"/>
      <c r="J941" s="407"/>
      <c r="K941" s="407"/>
      <c r="L941" s="407"/>
      <c r="M941" s="407"/>
      <c r="N941" s="407"/>
      <c r="O941" s="407"/>
      <c r="P941" s="407"/>
      <c r="Q941" s="407"/>
      <c r="R941" s="407"/>
      <c r="S941" s="407"/>
      <c r="T941" s="407"/>
      <c r="U941" s="407"/>
      <c r="V941" s="407"/>
      <c r="W941" s="407"/>
      <c r="X941" s="407"/>
      <c r="Y941" s="407"/>
      <c r="Z941" s="408"/>
    </row>
    <row r="942" spans="1:26">
      <c r="A942" s="416"/>
      <c r="B942" s="407"/>
      <c r="C942" s="407"/>
      <c r="D942" s="407"/>
      <c r="E942" s="407"/>
      <c r="F942" s="407"/>
      <c r="G942" s="407"/>
      <c r="H942" s="407"/>
      <c r="I942" s="407"/>
      <c r="J942" s="407"/>
      <c r="K942" s="407"/>
      <c r="L942" s="407"/>
      <c r="M942" s="407"/>
      <c r="N942" s="407"/>
      <c r="O942" s="407"/>
      <c r="P942" s="407"/>
      <c r="Q942" s="407"/>
      <c r="R942" s="407"/>
      <c r="S942" s="407"/>
      <c r="T942" s="407"/>
      <c r="U942" s="407"/>
      <c r="V942" s="407"/>
      <c r="W942" s="407"/>
      <c r="X942" s="407"/>
      <c r="Y942" s="407"/>
      <c r="Z942" s="408"/>
    </row>
    <row r="943" spans="1:26">
      <c r="A943" s="416"/>
      <c r="B943" s="407"/>
      <c r="C943" s="407"/>
      <c r="D943" s="407"/>
      <c r="E943" s="407"/>
      <c r="F943" s="407"/>
      <c r="G943" s="407"/>
      <c r="H943" s="407"/>
      <c r="I943" s="407"/>
      <c r="J943" s="407"/>
      <c r="K943" s="407"/>
      <c r="L943" s="407"/>
      <c r="M943" s="407"/>
      <c r="N943" s="407"/>
      <c r="O943" s="407"/>
      <c r="P943" s="407"/>
      <c r="Q943" s="407"/>
      <c r="R943" s="407"/>
      <c r="S943" s="407"/>
      <c r="T943" s="407"/>
      <c r="U943" s="407"/>
      <c r="V943" s="407"/>
      <c r="W943" s="407"/>
      <c r="X943" s="407"/>
      <c r="Y943" s="407"/>
      <c r="Z943" s="408"/>
    </row>
    <row r="944" spans="1:26">
      <c r="A944" s="416"/>
      <c r="B944" s="407"/>
      <c r="C944" s="407"/>
      <c r="D944" s="407"/>
      <c r="E944" s="407"/>
      <c r="F944" s="407"/>
      <c r="G944" s="407"/>
      <c r="H944" s="407"/>
      <c r="I944" s="407"/>
      <c r="J944" s="407"/>
      <c r="K944" s="407"/>
      <c r="L944" s="407"/>
      <c r="M944" s="407"/>
      <c r="N944" s="407"/>
      <c r="O944" s="407"/>
      <c r="P944" s="407"/>
      <c r="Q944" s="407"/>
      <c r="R944" s="407"/>
      <c r="S944" s="407"/>
      <c r="T944" s="407"/>
      <c r="U944" s="407"/>
      <c r="V944" s="407"/>
      <c r="W944" s="407"/>
      <c r="X944" s="407"/>
      <c r="Y944" s="407"/>
      <c r="Z944" s="408"/>
    </row>
    <row r="945" spans="1:26">
      <c r="A945" s="416"/>
      <c r="B945" s="407"/>
      <c r="C945" s="407"/>
      <c r="D945" s="407"/>
      <c r="E945" s="407"/>
      <c r="F945" s="407"/>
      <c r="G945" s="407"/>
      <c r="H945" s="407"/>
      <c r="I945" s="407"/>
      <c r="J945" s="407"/>
      <c r="K945" s="407"/>
      <c r="L945" s="407"/>
      <c r="M945" s="407"/>
      <c r="N945" s="407"/>
      <c r="O945" s="407"/>
      <c r="P945" s="407"/>
      <c r="Q945" s="407"/>
      <c r="R945" s="407"/>
      <c r="S945" s="407"/>
      <c r="T945" s="407"/>
      <c r="U945" s="407"/>
      <c r="V945" s="407"/>
      <c r="W945" s="407"/>
      <c r="X945" s="407"/>
      <c r="Y945" s="407"/>
      <c r="Z945" s="408"/>
    </row>
    <row r="946" spans="1:26">
      <c r="A946" s="416"/>
      <c r="B946" s="407"/>
      <c r="C946" s="407"/>
      <c r="D946" s="407"/>
      <c r="E946" s="407"/>
      <c r="F946" s="407"/>
      <c r="G946" s="407"/>
      <c r="H946" s="407"/>
      <c r="I946" s="407"/>
      <c r="J946" s="407"/>
      <c r="K946" s="407"/>
      <c r="L946" s="407"/>
      <c r="M946" s="407"/>
      <c r="N946" s="407"/>
      <c r="O946" s="407"/>
      <c r="P946" s="407"/>
      <c r="Q946" s="407"/>
      <c r="R946" s="407"/>
      <c r="S946" s="407"/>
      <c r="T946" s="407"/>
      <c r="U946" s="407"/>
      <c r="V946" s="407"/>
      <c r="W946" s="407"/>
      <c r="X946" s="407"/>
      <c r="Y946" s="407"/>
      <c r="Z946" s="408"/>
    </row>
    <row r="947" spans="1:26">
      <c r="A947" s="416"/>
      <c r="B947" s="407"/>
      <c r="C947" s="407"/>
      <c r="D947" s="407"/>
      <c r="E947" s="407"/>
      <c r="F947" s="407"/>
      <c r="G947" s="407"/>
      <c r="H947" s="407"/>
      <c r="I947" s="407"/>
      <c r="J947" s="407"/>
      <c r="K947" s="407"/>
      <c r="L947" s="407"/>
      <c r="M947" s="407"/>
      <c r="N947" s="407"/>
      <c r="O947" s="407"/>
      <c r="P947" s="407"/>
      <c r="Q947" s="407"/>
      <c r="R947" s="407"/>
      <c r="S947" s="407"/>
      <c r="T947" s="407"/>
      <c r="U947" s="407"/>
      <c r="V947" s="407"/>
      <c r="W947" s="407"/>
      <c r="X947" s="407"/>
      <c r="Y947" s="407"/>
      <c r="Z947" s="408"/>
    </row>
    <row r="948" spans="1:26">
      <c r="A948" s="416"/>
      <c r="B948" s="407"/>
      <c r="C948" s="407"/>
      <c r="D948" s="407"/>
      <c r="E948" s="407"/>
      <c r="F948" s="407"/>
      <c r="G948" s="407"/>
      <c r="H948" s="407"/>
      <c r="I948" s="407"/>
      <c r="J948" s="407"/>
      <c r="K948" s="407"/>
      <c r="L948" s="407"/>
      <c r="M948" s="407"/>
      <c r="N948" s="407"/>
      <c r="O948" s="407"/>
      <c r="P948" s="407"/>
      <c r="Q948" s="407"/>
      <c r="R948" s="407"/>
      <c r="S948" s="407"/>
      <c r="T948" s="407"/>
      <c r="U948" s="407"/>
      <c r="V948" s="407"/>
      <c r="W948" s="407"/>
      <c r="X948" s="407"/>
      <c r="Y948" s="407"/>
      <c r="Z948" s="408"/>
    </row>
    <row r="949" spans="1:26">
      <c r="A949" s="416"/>
      <c r="B949" s="407"/>
      <c r="C949" s="407"/>
      <c r="D949" s="407"/>
      <c r="E949" s="407"/>
      <c r="F949" s="407"/>
      <c r="G949" s="407"/>
      <c r="H949" s="407"/>
      <c r="I949" s="407"/>
      <c r="J949" s="407"/>
      <c r="K949" s="407"/>
      <c r="L949" s="407"/>
      <c r="M949" s="407"/>
      <c r="N949" s="407"/>
      <c r="O949" s="407"/>
      <c r="P949" s="407"/>
      <c r="Q949" s="407"/>
      <c r="R949" s="407"/>
      <c r="S949" s="407"/>
      <c r="T949" s="407"/>
      <c r="U949" s="407"/>
      <c r="V949" s="407"/>
      <c r="W949" s="407"/>
      <c r="X949" s="407"/>
      <c r="Y949" s="407"/>
      <c r="Z949" s="408"/>
    </row>
    <row r="950" spans="1:26">
      <c r="A950" s="416"/>
      <c r="B950" s="407"/>
      <c r="C950" s="407"/>
      <c r="D950" s="407"/>
      <c r="E950" s="407"/>
      <c r="F950" s="407"/>
      <c r="G950" s="407"/>
      <c r="H950" s="407"/>
      <c r="I950" s="407"/>
      <c r="J950" s="407"/>
      <c r="K950" s="407"/>
      <c r="L950" s="407"/>
      <c r="M950" s="407"/>
      <c r="N950" s="407"/>
      <c r="O950" s="407"/>
      <c r="P950" s="407"/>
      <c r="Q950" s="407"/>
      <c r="R950" s="407"/>
      <c r="S950" s="407"/>
      <c r="T950" s="407"/>
      <c r="U950" s="407"/>
      <c r="V950" s="407"/>
      <c r="W950" s="407"/>
      <c r="X950" s="407"/>
      <c r="Y950" s="407"/>
      <c r="Z950" s="408"/>
    </row>
    <row r="951" spans="1:26">
      <c r="A951" s="416"/>
      <c r="B951" s="407"/>
      <c r="C951" s="407"/>
      <c r="D951" s="407"/>
      <c r="E951" s="407"/>
      <c r="F951" s="407"/>
      <c r="G951" s="407"/>
      <c r="H951" s="407"/>
      <c r="I951" s="407"/>
      <c r="J951" s="407"/>
      <c r="K951" s="407"/>
      <c r="L951" s="407"/>
      <c r="M951" s="407"/>
      <c r="N951" s="407"/>
      <c r="O951" s="407"/>
      <c r="P951" s="407"/>
      <c r="Q951" s="407"/>
      <c r="R951" s="407"/>
      <c r="S951" s="407"/>
      <c r="T951" s="407"/>
      <c r="U951" s="407"/>
      <c r="V951" s="407"/>
      <c r="W951" s="407"/>
      <c r="X951" s="407"/>
      <c r="Y951" s="407"/>
      <c r="Z951" s="408"/>
    </row>
    <row r="952" spans="1:26">
      <c r="A952" s="416"/>
      <c r="B952" s="407"/>
      <c r="C952" s="407"/>
      <c r="D952" s="407"/>
      <c r="E952" s="407"/>
      <c r="F952" s="407"/>
      <c r="G952" s="407"/>
      <c r="H952" s="407"/>
      <c r="I952" s="407"/>
      <c r="J952" s="407"/>
      <c r="K952" s="407"/>
      <c r="L952" s="407"/>
      <c r="M952" s="407"/>
      <c r="N952" s="407"/>
      <c r="O952" s="407"/>
      <c r="P952" s="407"/>
      <c r="Q952" s="407"/>
      <c r="R952" s="407"/>
      <c r="S952" s="407"/>
      <c r="T952" s="407"/>
      <c r="U952" s="407"/>
      <c r="V952" s="407"/>
      <c r="W952" s="407"/>
      <c r="X952" s="407"/>
      <c r="Y952" s="407"/>
      <c r="Z952" s="408"/>
    </row>
    <row r="953" spans="1:26">
      <c r="A953" s="416"/>
      <c r="B953" s="407"/>
      <c r="C953" s="407"/>
      <c r="D953" s="407"/>
      <c r="E953" s="407"/>
      <c r="F953" s="407"/>
      <c r="G953" s="407"/>
      <c r="H953" s="407"/>
      <c r="I953" s="407"/>
      <c r="J953" s="407"/>
      <c r="K953" s="407"/>
      <c r="L953" s="407"/>
      <c r="M953" s="407"/>
      <c r="N953" s="407"/>
      <c r="O953" s="407"/>
      <c r="P953" s="407"/>
      <c r="Q953" s="407"/>
      <c r="R953" s="407"/>
      <c r="S953" s="407"/>
      <c r="T953" s="407"/>
      <c r="U953" s="407"/>
      <c r="V953" s="407"/>
      <c r="W953" s="407"/>
      <c r="X953" s="407"/>
      <c r="Y953" s="407"/>
      <c r="Z953" s="408"/>
    </row>
    <row r="954" spans="1:26">
      <c r="A954" s="416"/>
      <c r="B954" s="407"/>
      <c r="C954" s="407"/>
      <c r="D954" s="407"/>
      <c r="E954" s="407"/>
      <c r="F954" s="407"/>
      <c r="G954" s="407"/>
      <c r="H954" s="407"/>
      <c r="I954" s="407"/>
      <c r="J954" s="407"/>
      <c r="K954" s="407"/>
      <c r="L954" s="407"/>
      <c r="M954" s="407"/>
      <c r="N954" s="407"/>
      <c r="O954" s="407"/>
      <c r="P954" s="407"/>
      <c r="Q954" s="407"/>
      <c r="R954" s="407"/>
      <c r="S954" s="407"/>
      <c r="T954" s="407"/>
      <c r="U954" s="407"/>
      <c r="V954" s="407"/>
      <c r="W954" s="407"/>
      <c r="X954" s="407"/>
      <c r="Y954" s="407"/>
      <c r="Z954" s="408"/>
    </row>
    <row r="955" spans="1:26">
      <c r="A955" s="416"/>
      <c r="B955" s="407"/>
      <c r="C955" s="407"/>
      <c r="D955" s="407"/>
      <c r="E955" s="407"/>
      <c r="F955" s="407"/>
      <c r="G955" s="407"/>
      <c r="H955" s="407"/>
      <c r="I955" s="407"/>
      <c r="J955" s="407"/>
      <c r="K955" s="407"/>
      <c r="L955" s="407"/>
      <c r="M955" s="407"/>
      <c r="N955" s="407"/>
      <c r="O955" s="407"/>
      <c r="P955" s="407"/>
      <c r="Q955" s="407"/>
      <c r="R955" s="407"/>
      <c r="S955" s="407"/>
      <c r="T955" s="407"/>
      <c r="U955" s="407"/>
      <c r="V955" s="407"/>
      <c r="W955" s="407"/>
      <c r="X955" s="407"/>
      <c r="Y955" s="407"/>
      <c r="Z955" s="408"/>
    </row>
    <row r="956" spans="1:26">
      <c r="A956" s="416"/>
      <c r="B956" s="407"/>
      <c r="C956" s="407"/>
      <c r="D956" s="407"/>
      <c r="E956" s="407"/>
      <c r="F956" s="407"/>
      <c r="G956" s="407"/>
      <c r="H956" s="407"/>
      <c r="I956" s="407"/>
      <c r="J956" s="407"/>
      <c r="K956" s="407"/>
      <c r="L956" s="407"/>
      <c r="M956" s="407"/>
      <c r="N956" s="407"/>
      <c r="O956" s="407"/>
      <c r="P956" s="407"/>
      <c r="Q956" s="407"/>
      <c r="R956" s="407"/>
      <c r="S956" s="407"/>
      <c r="T956" s="407"/>
      <c r="U956" s="407"/>
      <c r="V956" s="407"/>
      <c r="W956" s="407"/>
      <c r="X956" s="407"/>
      <c r="Y956" s="407"/>
      <c r="Z956" s="408"/>
    </row>
    <row r="957" spans="1:26">
      <c r="A957" s="416"/>
      <c r="B957" s="407"/>
      <c r="C957" s="407"/>
      <c r="D957" s="407"/>
      <c r="E957" s="407"/>
      <c r="F957" s="407"/>
      <c r="G957" s="407"/>
      <c r="H957" s="407"/>
      <c r="I957" s="407"/>
      <c r="J957" s="407"/>
      <c r="K957" s="407"/>
      <c r="L957" s="407"/>
      <c r="M957" s="407"/>
      <c r="N957" s="407"/>
      <c r="O957" s="407"/>
      <c r="P957" s="407"/>
      <c r="Q957" s="407"/>
      <c r="R957" s="407"/>
      <c r="S957" s="407"/>
      <c r="T957" s="407"/>
      <c r="U957" s="407"/>
      <c r="V957" s="407"/>
      <c r="W957" s="407"/>
      <c r="X957" s="407"/>
      <c r="Y957" s="407"/>
      <c r="Z957" s="408"/>
    </row>
    <row r="958" spans="1:26">
      <c r="A958" s="416"/>
      <c r="B958" s="407"/>
      <c r="C958" s="407"/>
      <c r="D958" s="407"/>
      <c r="E958" s="407"/>
      <c r="F958" s="407"/>
      <c r="G958" s="407"/>
      <c r="H958" s="407"/>
      <c r="I958" s="407"/>
      <c r="J958" s="407"/>
      <c r="K958" s="407"/>
      <c r="L958" s="407"/>
      <c r="M958" s="407"/>
      <c r="N958" s="407"/>
      <c r="O958" s="407"/>
      <c r="P958" s="407"/>
      <c r="Q958" s="407"/>
      <c r="R958" s="407"/>
      <c r="S958" s="407"/>
      <c r="T958" s="407"/>
      <c r="U958" s="407"/>
      <c r="V958" s="407"/>
      <c r="W958" s="407"/>
      <c r="X958" s="407"/>
      <c r="Y958" s="407"/>
      <c r="Z958" s="408"/>
    </row>
    <row r="959" spans="1:26">
      <c r="A959" s="416"/>
      <c r="B959" s="407"/>
      <c r="C959" s="407"/>
      <c r="D959" s="407"/>
      <c r="E959" s="407"/>
      <c r="F959" s="407"/>
      <c r="G959" s="407"/>
      <c r="H959" s="407"/>
      <c r="I959" s="407"/>
      <c r="J959" s="407"/>
      <c r="K959" s="407"/>
      <c r="L959" s="407"/>
      <c r="M959" s="407"/>
      <c r="N959" s="407"/>
      <c r="O959" s="407"/>
      <c r="P959" s="407"/>
      <c r="Q959" s="407"/>
      <c r="R959" s="407"/>
      <c r="S959" s="407"/>
      <c r="T959" s="407"/>
      <c r="U959" s="407"/>
      <c r="V959" s="407"/>
      <c r="W959" s="407"/>
      <c r="X959" s="407"/>
      <c r="Y959" s="407"/>
      <c r="Z959" s="408"/>
    </row>
    <row r="960" spans="1:26">
      <c r="A960" s="416"/>
      <c r="B960" s="407"/>
      <c r="C960" s="407"/>
      <c r="D960" s="407"/>
      <c r="E960" s="407"/>
      <c r="F960" s="407"/>
      <c r="G960" s="407"/>
      <c r="H960" s="407"/>
      <c r="I960" s="407"/>
      <c r="J960" s="407"/>
      <c r="K960" s="407"/>
      <c r="L960" s="407"/>
      <c r="M960" s="407"/>
      <c r="N960" s="407"/>
      <c r="O960" s="407"/>
      <c r="P960" s="407"/>
      <c r="Q960" s="407"/>
      <c r="R960" s="407"/>
      <c r="S960" s="407"/>
      <c r="T960" s="407"/>
      <c r="U960" s="407"/>
      <c r="V960" s="407"/>
      <c r="W960" s="407"/>
      <c r="X960" s="407"/>
      <c r="Y960" s="407"/>
      <c r="Z960" s="408"/>
    </row>
    <row r="961" spans="1:26">
      <c r="A961" s="416"/>
      <c r="B961" s="407"/>
      <c r="C961" s="407"/>
      <c r="D961" s="407"/>
      <c r="E961" s="407"/>
      <c r="F961" s="407"/>
      <c r="G961" s="407"/>
      <c r="H961" s="407"/>
      <c r="I961" s="407"/>
      <c r="J961" s="407"/>
      <c r="K961" s="407"/>
      <c r="L961" s="407"/>
      <c r="M961" s="407"/>
      <c r="N961" s="407"/>
      <c r="O961" s="407"/>
      <c r="P961" s="407"/>
      <c r="Q961" s="407"/>
      <c r="R961" s="407"/>
      <c r="S961" s="407"/>
      <c r="T961" s="407"/>
      <c r="U961" s="407"/>
      <c r="V961" s="407"/>
      <c r="W961" s="407"/>
      <c r="X961" s="407"/>
      <c r="Y961" s="407"/>
      <c r="Z961" s="408"/>
    </row>
    <row r="962" spans="1:26">
      <c r="A962" s="416"/>
      <c r="B962" s="407"/>
      <c r="C962" s="407"/>
      <c r="D962" s="407"/>
      <c r="E962" s="407"/>
      <c r="F962" s="407"/>
      <c r="G962" s="407"/>
      <c r="H962" s="407"/>
      <c r="I962" s="407"/>
      <c r="J962" s="407"/>
      <c r="K962" s="407"/>
      <c r="L962" s="407"/>
      <c r="M962" s="407"/>
      <c r="N962" s="407"/>
      <c r="O962" s="407"/>
      <c r="P962" s="407"/>
      <c r="Q962" s="407"/>
      <c r="R962" s="407"/>
      <c r="S962" s="407"/>
      <c r="T962" s="407"/>
      <c r="U962" s="407"/>
      <c r="V962" s="407"/>
      <c r="W962" s="407"/>
      <c r="X962" s="407"/>
      <c r="Y962" s="407"/>
      <c r="Z962" s="408"/>
    </row>
    <row r="963" spans="1:26">
      <c r="A963" s="416"/>
      <c r="B963" s="407"/>
      <c r="C963" s="407"/>
      <c r="D963" s="407"/>
      <c r="E963" s="407"/>
      <c r="F963" s="407"/>
      <c r="G963" s="407"/>
      <c r="H963" s="407"/>
      <c r="I963" s="407"/>
      <c r="J963" s="407"/>
      <c r="K963" s="407"/>
      <c r="L963" s="407"/>
      <c r="M963" s="407"/>
      <c r="N963" s="407"/>
      <c r="O963" s="407"/>
      <c r="P963" s="407"/>
      <c r="Q963" s="407"/>
      <c r="R963" s="407"/>
      <c r="S963" s="407"/>
      <c r="T963" s="407"/>
      <c r="U963" s="407"/>
      <c r="V963" s="407"/>
      <c r="W963" s="407"/>
      <c r="X963" s="407"/>
      <c r="Y963" s="407"/>
      <c r="Z963" s="408"/>
    </row>
    <row r="964" spans="1:26">
      <c r="A964" s="416"/>
      <c r="B964" s="407"/>
      <c r="C964" s="407"/>
      <c r="D964" s="407"/>
      <c r="E964" s="407"/>
      <c r="F964" s="407"/>
      <c r="G964" s="407"/>
      <c r="H964" s="407"/>
      <c r="I964" s="407"/>
      <c r="J964" s="407"/>
      <c r="K964" s="407"/>
      <c r="L964" s="407"/>
      <c r="M964" s="407"/>
      <c r="N964" s="407"/>
      <c r="O964" s="407"/>
      <c r="P964" s="407"/>
      <c r="Q964" s="407"/>
      <c r="R964" s="407"/>
      <c r="S964" s="407"/>
      <c r="T964" s="407"/>
      <c r="U964" s="407"/>
      <c r="V964" s="407"/>
      <c r="W964" s="407"/>
      <c r="X964" s="407"/>
      <c r="Y964" s="407"/>
      <c r="Z964" s="408"/>
    </row>
    <row r="965" spans="1:26">
      <c r="A965" s="416"/>
      <c r="B965" s="407"/>
      <c r="C965" s="407"/>
      <c r="D965" s="407"/>
      <c r="E965" s="407"/>
      <c r="F965" s="407"/>
      <c r="G965" s="407"/>
      <c r="H965" s="407"/>
      <c r="I965" s="407"/>
      <c r="J965" s="407"/>
      <c r="K965" s="407"/>
      <c r="L965" s="407"/>
      <c r="M965" s="407"/>
      <c r="N965" s="407"/>
      <c r="O965" s="407"/>
      <c r="P965" s="407"/>
      <c r="Q965" s="407"/>
      <c r="R965" s="407"/>
      <c r="S965" s="407"/>
      <c r="T965" s="407"/>
      <c r="U965" s="407"/>
      <c r="V965" s="407"/>
      <c r="W965" s="407"/>
      <c r="X965" s="407"/>
      <c r="Y965" s="407"/>
      <c r="Z965" s="408"/>
    </row>
    <row r="966" spans="1:26">
      <c r="A966" s="416"/>
      <c r="B966" s="407"/>
      <c r="C966" s="407"/>
      <c r="D966" s="407"/>
      <c r="E966" s="407"/>
      <c r="F966" s="407"/>
      <c r="G966" s="407"/>
      <c r="H966" s="407"/>
      <c r="I966" s="407"/>
      <c r="J966" s="407"/>
      <c r="K966" s="407"/>
      <c r="L966" s="407"/>
      <c r="M966" s="407"/>
      <c r="N966" s="407"/>
      <c r="O966" s="407"/>
      <c r="P966" s="407"/>
      <c r="Q966" s="407"/>
      <c r="R966" s="407"/>
      <c r="S966" s="407"/>
      <c r="T966" s="407"/>
      <c r="U966" s="407"/>
      <c r="V966" s="407"/>
      <c r="W966" s="407"/>
      <c r="X966" s="407"/>
      <c r="Y966" s="407"/>
      <c r="Z966" s="408"/>
    </row>
    <row r="967" spans="1:26">
      <c r="A967" s="416"/>
      <c r="B967" s="407"/>
      <c r="C967" s="407"/>
      <c r="D967" s="407"/>
      <c r="E967" s="407"/>
      <c r="F967" s="407"/>
      <c r="G967" s="407"/>
      <c r="H967" s="407"/>
      <c r="I967" s="407"/>
      <c r="J967" s="407"/>
      <c r="K967" s="407"/>
      <c r="L967" s="407"/>
      <c r="M967" s="407"/>
      <c r="N967" s="407"/>
      <c r="O967" s="407"/>
      <c r="P967" s="407"/>
      <c r="Q967" s="407"/>
      <c r="R967" s="407"/>
      <c r="S967" s="407"/>
      <c r="T967" s="407"/>
      <c r="U967" s="407"/>
      <c r="V967" s="407"/>
      <c r="W967" s="407"/>
      <c r="X967" s="407"/>
      <c r="Y967" s="407"/>
      <c r="Z967" s="408"/>
    </row>
    <row r="968" spans="1:26">
      <c r="A968" s="416"/>
      <c r="B968" s="407"/>
      <c r="C968" s="407"/>
      <c r="D968" s="407"/>
      <c r="E968" s="407"/>
      <c r="F968" s="407"/>
      <c r="G968" s="407"/>
      <c r="H968" s="407"/>
      <c r="I968" s="407"/>
      <c r="J968" s="407"/>
      <c r="K968" s="407"/>
      <c r="L968" s="407"/>
      <c r="M968" s="407"/>
      <c r="N968" s="407"/>
      <c r="O968" s="407"/>
      <c r="P968" s="407"/>
      <c r="Q968" s="407"/>
      <c r="R968" s="407"/>
      <c r="S968" s="407"/>
      <c r="T968" s="407"/>
      <c r="U968" s="407"/>
      <c r="V968" s="407"/>
      <c r="W968" s="407"/>
      <c r="X968" s="407"/>
      <c r="Y968" s="407"/>
      <c r="Z968" s="408"/>
    </row>
    <row r="969" spans="1:26">
      <c r="A969" s="416"/>
      <c r="B969" s="407"/>
      <c r="C969" s="407"/>
      <c r="D969" s="407"/>
      <c r="E969" s="407"/>
      <c r="F969" s="407"/>
      <c r="G969" s="407"/>
      <c r="H969" s="407"/>
      <c r="I969" s="407"/>
      <c r="J969" s="407"/>
      <c r="K969" s="407"/>
      <c r="L969" s="407"/>
      <c r="M969" s="407"/>
      <c r="N969" s="407"/>
      <c r="O969" s="407"/>
      <c r="P969" s="407"/>
      <c r="Q969" s="407"/>
      <c r="R969" s="407"/>
      <c r="S969" s="407"/>
      <c r="T969" s="407"/>
      <c r="U969" s="407"/>
      <c r="V969" s="407"/>
      <c r="W969" s="407"/>
      <c r="X969" s="407"/>
      <c r="Y969" s="407"/>
      <c r="Z969" s="408"/>
    </row>
    <row r="970" spans="1:26">
      <c r="A970" s="416"/>
      <c r="B970" s="407"/>
      <c r="C970" s="407"/>
      <c r="D970" s="407"/>
      <c r="E970" s="407"/>
      <c r="F970" s="407"/>
      <c r="G970" s="407"/>
      <c r="H970" s="407"/>
      <c r="I970" s="407"/>
      <c r="J970" s="407"/>
      <c r="K970" s="407"/>
      <c r="L970" s="407"/>
      <c r="M970" s="407"/>
      <c r="N970" s="407"/>
      <c r="O970" s="407"/>
      <c r="P970" s="407"/>
      <c r="Q970" s="407"/>
      <c r="R970" s="407"/>
      <c r="S970" s="407"/>
      <c r="T970" s="407"/>
      <c r="U970" s="407"/>
      <c r="V970" s="407"/>
      <c r="W970" s="407"/>
      <c r="X970" s="407"/>
      <c r="Y970" s="407"/>
      <c r="Z970" s="408"/>
    </row>
    <row r="971" spans="1:26">
      <c r="A971" s="416"/>
      <c r="B971" s="407"/>
      <c r="C971" s="407"/>
      <c r="D971" s="407"/>
      <c r="E971" s="407"/>
      <c r="F971" s="407"/>
      <c r="G971" s="407"/>
      <c r="H971" s="407"/>
      <c r="I971" s="407"/>
      <c r="J971" s="407"/>
      <c r="K971" s="407"/>
      <c r="L971" s="407"/>
      <c r="M971" s="407"/>
      <c r="N971" s="407"/>
      <c r="O971" s="407"/>
      <c r="P971" s="407"/>
      <c r="Q971" s="407"/>
      <c r="R971" s="407"/>
      <c r="S971" s="407"/>
      <c r="T971" s="407"/>
      <c r="U971" s="407"/>
      <c r="V971" s="407"/>
      <c r="W971" s="407"/>
      <c r="X971" s="407"/>
      <c r="Y971" s="407"/>
      <c r="Z971" s="408"/>
    </row>
    <row r="972" spans="1:26">
      <c r="A972" s="416"/>
      <c r="B972" s="407"/>
      <c r="C972" s="407"/>
      <c r="D972" s="407"/>
      <c r="E972" s="407"/>
      <c r="F972" s="407"/>
      <c r="G972" s="407"/>
      <c r="H972" s="407"/>
      <c r="I972" s="407"/>
      <c r="J972" s="407"/>
      <c r="K972" s="407"/>
      <c r="L972" s="407"/>
      <c r="M972" s="407"/>
      <c r="N972" s="407"/>
      <c r="O972" s="407"/>
      <c r="P972" s="407"/>
      <c r="Q972" s="407"/>
      <c r="R972" s="407"/>
      <c r="S972" s="407"/>
      <c r="T972" s="407"/>
      <c r="U972" s="407"/>
      <c r="V972" s="407"/>
      <c r="W972" s="407"/>
      <c r="X972" s="407"/>
      <c r="Y972" s="407"/>
      <c r="Z972" s="408"/>
    </row>
    <row r="973" spans="1:26">
      <c r="A973" s="416"/>
      <c r="B973" s="407"/>
      <c r="C973" s="407"/>
      <c r="D973" s="407"/>
      <c r="E973" s="407"/>
      <c r="F973" s="407"/>
      <c r="G973" s="407"/>
      <c r="H973" s="407"/>
      <c r="I973" s="407"/>
      <c r="J973" s="407"/>
      <c r="K973" s="407"/>
      <c r="L973" s="407"/>
      <c r="M973" s="407"/>
      <c r="N973" s="407"/>
      <c r="O973" s="407"/>
      <c r="P973" s="407"/>
      <c r="Q973" s="407"/>
      <c r="R973" s="407"/>
      <c r="S973" s="407"/>
      <c r="T973" s="407"/>
      <c r="U973" s="407"/>
      <c r="V973" s="407"/>
      <c r="W973" s="407"/>
      <c r="X973" s="407"/>
      <c r="Y973" s="407"/>
      <c r="Z973" s="408"/>
    </row>
    <row r="974" spans="1:26">
      <c r="A974" s="416"/>
      <c r="B974" s="407"/>
      <c r="C974" s="407"/>
      <c r="D974" s="407"/>
      <c r="E974" s="407"/>
      <c r="F974" s="407"/>
      <c r="G974" s="407"/>
      <c r="H974" s="407"/>
      <c r="I974" s="407"/>
      <c r="J974" s="407"/>
      <c r="K974" s="407"/>
      <c r="L974" s="407"/>
      <c r="M974" s="407"/>
      <c r="N974" s="407"/>
      <c r="O974" s="407"/>
      <c r="P974" s="407"/>
      <c r="Q974" s="407"/>
      <c r="R974" s="407"/>
      <c r="S974" s="407"/>
      <c r="T974" s="407"/>
      <c r="U974" s="407"/>
      <c r="V974" s="407"/>
      <c r="W974" s="407"/>
      <c r="X974" s="407"/>
      <c r="Y974" s="407"/>
      <c r="Z974" s="408"/>
    </row>
    <row r="975" spans="1:26">
      <c r="A975" s="416"/>
      <c r="B975" s="407"/>
      <c r="C975" s="407"/>
      <c r="D975" s="407"/>
      <c r="E975" s="407"/>
      <c r="F975" s="407"/>
      <c r="G975" s="407"/>
      <c r="H975" s="407"/>
      <c r="I975" s="407"/>
      <c r="J975" s="407"/>
      <c r="K975" s="407"/>
      <c r="L975" s="407"/>
      <c r="M975" s="407"/>
      <c r="N975" s="407"/>
      <c r="O975" s="407"/>
      <c r="P975" s="407"/>
      <c r="Q975" s="407"/>
      <c r="R975" s="407"/>
      <c r="S975" s="407"/>
      <c r="T975" s="407"/>
      <c r="U975" s="407"/>
      <c r="V975" s="407"/>
      <c r="W975" s="407"/>
      <c r="X975" s="407"/>
      <c r="Y975" s="407"/>
      <c r="Z975" s="408"/>
    </row>
    <row r="976" spans="1:26">
      <c r="A976" s="416"/>
      <c r="B976" s="407"/>
      <c r="C976" s="407"/>
      <c r="D976" s="407"/>
      <c r="E976" s="407"/>
      <c r="F976" s="407"/>
      <c r="G976" s="407"/>
      <c r="H976" s="407"/>
      <c r="I976" s="407"/>
      <c r="J976" s="407"/>
      <c r="K976" s="407"/>
      <c r="L976" s="407"/>
      <c r="M976" s="407"/>
      <c r="N976" s="407"/>
      <c r="O976" s="407"/>
      <c r="P976" s="407"/>
      <c r="Q976" s="407"/>
      <c r="R976" s="407"/>
      <c r="S976" s="407"/>
      <c r="T976" s="407"/>
      <c r="U976" s="407"/>
      <c r="V976" s="407"/>
      <c r="W976" s="407"/>
      <c r="X976" s="407"/>
      <c r="Y976" s="407"/>
      <c r="Z976" s="408"/>
    </row>
    <row r="977" spans="1:26">
      <c r="A977" s="416"/>
      <c r="B977" s="407"/>
      <c r="C977" s="407"/>
      <c r="D977" s="407"/>
      <c r="E977" s="407"/>
      <c r="F977" s="407"/>
      <c r="G977" s="407"/>
      <c r="H977" s="407"/>
      <c r="I977" s="407"/>
      <c r="J977" s="407"/>
      <c r="K977" s="407"/>
      <c r="L977" s="407"/>
      <c r="M977" s="407"/>
      <c r="N977" s="407"/>
      <c r="O977" s="407"/>
      <c r="P977" s="407"/>
      <c r="Q977" s="407"/>
      <c r="R977" s="407"/>
      <c r="S977" s="407"/>
      <c r="T977" s="407"/>
      <c r="U977" s="407"/>
      <c r="V977" s="407"/>
      <c r="W977" s="407"/>
      <c r="X977" s="407"/>
      <c r="Y977" s="407"/>
      <c r="Z977" s="408"/>
    </row>
    <row r="978" spans="1:26">
      <c r="A978" s="416"/>
      <c r="B978" s="407"/>
      <c r="C978" s="407"/>
      <c r="D978" s="407"/>
      <c r="E978" s="407"/>
      <c r="F978" s="407"/>
      <c r="G978" s="407"/>
      <c r="H978" s="407"/>
      <c r="I978" s="407"/>
      <c r="J978" s="407"/>
      <c r="K978" s="407"/>
      <c r="L978" s="407"/>
      <c r="M978" s="407"/>
      <c r="N978" s="407"/>
      <c r="O978" s="407"/>
      <c r="P978" s="407"/>
      <c r="Q978" s="407"/>
      <c r="R978" s="407"/>
      <c r="S978" s="407"/>
      <c r="T978" s="407"/>
      <c r="U978" s="407"/>
      <c r="V978" s="407"/>
      <c r="W978" s="407"/>
      <c r="X978" s="407"/>
      <c r="Y978" s="407"/>
      <c r="Z978" s="408"/>
    </row>
    <row r="979" spans="1:26">
      <c r="A979" s="416"/>
      <c r="B979" s="407"/>
      <c r="C979" s="407"/>
      <c r="D979" s="407"/>
      <c r="E979" s="407"/>
      <c r="F979" s="407"/>
      <c r="G979" s="407"/>
      <c r="H979" s="407"/>
      <c r="I979" s="407"/>
      <c r="J979" s="407"/>
      <c r="K979" s="407"/>
      <c r="L979" s="407"/>
      <c r="M979" s="407"/>
      <c r="N979" s="407"/>
      <c r="O979" s="407"/>
      <c r="P979" s="407"/>
      <c r="Q979" s="407"/>
      <c r="R979" s="407"/>
      <c r="S979" s="407"/>
      <c r="T979" s="407"/>
      <c r="U979" s="407"/>
      <c r="V979" s="407"/>
      <c r="W979" s="407"/>
      <c r="X979" s="407"/>
      <c r="Y979" s="407"/>
      <c r="Z979" s="408"/>
    </row>
    <row r="980" spans="1:26">
      <c r="A980" s="416"/>
      <c r="B980" s="407"/>
      <c r="C980" s="407"/>
      <c r="D980" s="407"/>
      <c r="E980" s="407"/>
      <c r="F980" s="407"/>
      <c r="G980" s="407"/>
      <c r="H980" s="407"/>
      <c r="I980" s="407"/>
      <c r="J980" s="407"/>
      <c r="K980" s="407"/>
      <c r="L980" s="407"/>
      <c r="M980" s="407"/>
      <c r="N980" s="407"/>
      <c r="O980" s="407"/>
      <c r="P980" s="407"/>
      <c r="Q980" s="407"/>
      <c r="R980" s="407"/>
      <c r="S980" s="407"/>
      <c r="T980" s="407"/>
      <c r="U980" s="407"/>
      <c r="V980" s="407"/>
      <c r="W980" s="407"/>
      <c r="X980" s="407"/>
      <c r="Y980" s="407"/>
      <c r="Z980" s="408"/>
    </row>
    <row r="981" spans="1:26">
      <c r="A981" s="416"/>
      <c r="B981" s="407"/>
      <c r="C981" s="407"/>
      <c r="D981" s="407"/>
      <c r="E981" s="407"/>
      <c r="F981" s="407"/>
      <c r="G981" s="407"/>
      <c r="H981" s="407"/>
      <c r="I981" s="407"/>
      <c r="J981" s="407"/>
      <c r="K981" s="407"/>
      <c r="L981" s="407"/>
      <c r="M981" s="407"/>
      <c r="N981" s="407"/>
      <c r="O981" s="407"/>
      <c r="P981" s="407"/>
      <c r="Q981" s="407"/>
      <c r="R981" s="407"/>
      <c r="S981" s="407"/>
      <c r="T981" s="407"/>
      <c r="U981" s="407"/>
      <c r="V981" s="407"/>
      <c r="W981" s="407"/>
      <c r="X981" s="407"/>
      <c r="Y981" s="407"/>
      <c r="Z981" s="408"/>
    </row>
    <row r="982" spans="1:26">
      <c r="A982" s="416"/>
      <c r="B982" s="407"/>
      <c r="C982" s="407"/>
      <c r="D982" s="407"/>
      <c r="E982" s="407"/>
      <c r="F982" s="407"/>
      <c r="G982" s="407"/>
      <c r="H982" s="407"/>
      <c r="I982" s="407"/>
      <c r="J982" s="407"/>
      <c r="K982" s="407"/>
      <c r="L982" s="407"/>
      <c r="M982" s="407"/>
      <c r="N982" s="407"/>
      <c r="O982" s="407"/>
      <c r="P982" s="407"/>
      <c r="Q982" s="407"/>
      <c r="R982" s="407"/>
      <c r="S982" s="407"/>
      <c r="T982" s="407"/>
      <c r="U982" s="407"/>
      <c r="V982" s="407"/>
      <c r="W982" s="407"/>
      <c r="X982" s="407"/>
      <c r="Y982" s="407"/>
      <c r="Z982" s="408"/>
    </row>
    <row r="983" spans="1:26">
      <c r="A983" s="416"/>
      <c r="B983" s="407"/>
      <c r="C983" s="407"/>
      <c r="D983" s="407"/>
      <c r="E983" s="407"/>
      <c r="F983" s="407"/>
      <c r="G983" s="407"/>
      <c r="H983" s="407"/>
      <c r="I983" s="407"/>
      <c r="J983" s="407"/>
      <c r="K983" s="407"/>
      <c r="L983" s="407"/>
      <c r="M983" s="407"/>
      <c r="N983" s="407"/>
      <c r="O983" s="407"/>
      <c r="P983" s="407"/>
      <c r="Q983" s="407"/>
      <c r="R983" s="407"/>
      <c r="S983" s="407"/>
      <c r="T983" s="407"/>
      <c r="U983" s="407"/>
      <c r="V983" s="407"/>
      <c r="W983" s="407"/>
      <c r="X983" s="407"/>
      <c r="Y983" s="407"/>
      <c r="Z983" s="408"/>
    </row>
    <row r="984" spans="1:26">
      <c r="A984" s="416"/>
      <c r="B984" s="407"/>
      <c r="C984" s="407"/>
      <c r="D984" s="407"/>
      <c r="E984" s="407"/>
      <c r="F984" s="407"/>
      <c r="G984" s="407"/>
      <c r="H984" s="407"/>
      <c r="I984" s="407"/>
      <c r="J984" s="407"/>
      <c r="K984" s="407"/>
      <c r="L984" s="407"/>
      <c r="M984" s="407"/>
      <c r="N984" s="407"/>
      <c r="O984" s="407"/>
      <c r="P984" s="407"/>
      <c r="Q984" s="407"/>
      <c r="R984" s="407"/>
      <c r="S984" s="407"/>
      <c r="T984" s="407"/>
      <c r="U984" s="407"/>
      <c r="V984" s="407"/>
      <c r="W984" s="407"/>
      <c r="X984" s="407"/>
      <c r="Y984" s="407"/>
      <c r="Z984" s="408"/>
    </row>
    <row r="985" spans="1:26">
      <c r="A985" s="416"/>
      <c r="B985" s="407"/>
      <c r="C985" s="407"/>
      <c r="D985" s="407"/>
      <c r="E985" s="407"/>
      <c r="F985" s="407"/>
      <c r="G985" s="407"/>
      <c r="H985" s="407"/>
      <c r="I985" s="407"/>
      <c r="J985" s="407"/>
      <c r="K985" s="407"/>
      <c r="L985" s="407"/>
      <c r="M985" s="407"/>
      <c r="N985" s="407"/>
      <c r="O985" s="407"/>
      <c r="P985" s="407"/>
      <c r="Q985" s="407"/>
      <c r="R985" s="407"/>
      <c r="S985" s="407"/>
      <c r="T985" s="407"/>
      <c r="U985" s="407"/>
      <c r="V985" s="407"/>
      <c r="W985" s="407"/>
      <c r="X985" s="407"/>
      <c r="Y985" s="407"/>
      <c r="Z985" s="408"/>
    </row>
    <row r="986" spans="1:26">
      <c r="A986" s="416"/>
      <c r="B986" s="407"/>
      <c r="C986" s="407"/>
      <c r="D986" s="407"/>
      <c r="E986" s="407"/>
      <c r="F986" s="407"/>
      <c r="G986" s="407"/>
      <c r="H986" s="407"/>
      <c r="I986" s="407"/>
      <c r="J986" s="407"/>
      <c r="K986" s="407"/>
      <c r="L986" s="407"/>
      <c r="M986" s="407"/>
      <c r="N986" s="407"/>
      <c r="O986" s="407"/>
      <c r="P986" s="407"/>
      <c r="Q986" s="407"/>
      <c r="R986" s="407"/>
      <c r="S986" s="407"/>
      <c r="T986" s="407"/>
      <c r="U986" s="407"/>
      <c r="V986" s="407"/>
      <c r="W986" s="407"/>
      <c r="X986" s="407"/>
      <c r="Y986" s="407"/>
      <c r="Z986" s="408"/>
    </row>
    <row r="987" spans="1:26">
      <c r="A987" s="416"/>
      <c r="B987" s="407"/>
      <c r="C987" s="407"/>
      <c r="D987" s="407"/>
      <c r="E987" s="407"/>
      <c r="F987" s="407"/>
      <c r="G987" s="407"/>
      <c r="H987" s="407"/>
      <c r="I987" s="407"/>
      <c r="J987" s="407"/>
      <c r="K987" s="407"/>
      <c r="L987" s="407"/>
      <c r="M987" s="407"/>
      <c r="N987" s="407"/>
      <c r="O987" s="407"/>
      <c r="P987" s="407"/>
      <c r="Q987" s="407"/>
      <c r="R987" s="407"/>
      <c r="S987" s="407"/>
      <c r="T987" s="407"/>
      <c r="U987" s="407"/>
      <c r="V987" s="407"/>
      <c r="W987" s="407"/>
      <c r="X987" s="407"/>
      <c r="Y987" s="407"/>
      <c r="Z987" s="408"/>
    </row>
    <row r="988" spans="1:26">
      <c r="A988" s="416"/>
      <c r="B988" s="407"/>
      <c r="C988" s="407"/>
      <c r="D988" s="407"/>
      <c r="E988" s="407"/>
      <c r="F988" s="407"/>
      <c r="G988" s="407"/>
      <c r="H988" s="407"/>
      <c r="I988" s="407"/>
      <c r="J988" s="407"/>
      <c r="K988" s="407"/>
      <c r="L988" s="407"/>
      <c r="M988" s="407"/>
      <c r="N988" s="407"/>
      <c r="O988" s="407"/>
      <c r="P988" s="407"/>
      <c r="Q988" s="407"/>
      <c r="R988" s="407"/>
      <c r="S988" s="407"/>
      <c r="T988" s="407"/>
      <c r="U988" s="407"/>
      <c r="V988" s="407"/>
      <c r="W988" s="407"/>
      <c r="X988" s="407"/>
      <c r="Y988" s="407"/>
      <c r="Z988" s="408"/>
    </row>
    <row r="989" spans="1:26">
      <c r="A989" s="416"/>
      <c r="B989" s="407"/>
      <c r="C989" s="407"/>
      <c r="D989" s="407"/>
      <c r="E989" s="407"/>
      <c r="F989" s="407"/>
      <c r="G989" s="407"/>
      <c r="H989" s="407"/>
      <c r="I989" s="407"/>
      <c r="J989" s="407"/>
      <c r="K989" s="407"/>
      <c r="L989" s="407"/>
      <c r="M989" s="407"/>
      <c r="N989" s="407"/>
      <c r="O989" s="407"/>
      <c r="P989" s="407"/>
      <c r="Q989" s="407"/>
      <c r="R989" s="407"/>
      <c r="S989" s="407"/>
      <c r="T989" s="407"/>
      <c r="U989" s="407"/>
      <c r="V989" s="407"/>
      <c r="W989" s="407"/>
      <c r="X989" s="407"/>
      <c r="Y989" s="407"/>
      <c r="Z989" s="408"/>
    </row>
    <row r="990" spans="1:26">
      <c r="A990" s="416"/>
      <c r="B990" s="407"/>
      <c r="C990" s="407"/>
      <c r="D990" s="407"/>
      <c r="E990" s="407"/>
      <c r="F990" s="407"/>
      <c r="G990" s="407"/>
      <c r="H990" s="407"/>
      <c r="I990" s="407"/>
      <c r="J990" s="407"/>
      <c r="K990" s="407"/>
      <c r="L990" s="407"/>
      <c r="M990" s="407"/>
      <c r="N990" s="407"/>
      <c r="O990" s="407"/>
      <c r="P990" s="407"/>
      <c r="Q990" s="407"/>
      <c r="R990" s="407"/>
      <c r="S990" s="407"/>
      <c r="T990" s="407"/>
      <c r="U990" s="407"/>
      <c r="V990" s="407"/>
      <c r="W990" s="407"/>
      <c r="X990" s="407"/>
      <c r="Y990" s="407"/>
      <c r="Z990" s="408"/>
    </row>
    <row r="991" spans="1:26">
      <c r="A991" s="416"/>
      <c r="B991" s="407"/>
      <c r="C991" s="407"/>
      <c r="D991" s="407"/>
      <c r="E991" s="407"/>
      <c r="F991" s="407"/>
      <c r="G991" s="407"/>
      <c r="H991" s="407"/>
      <c r="I991" s="407"/>
      <c r="J991" s="407"/>
      <c r="K991" s="407"/>
      <c r="L991" s="407"/>
      <c r="M991" s="407"/>
      <c r="N991" s="407"/>
      <c r="O991" s="407"/>
      <c r="P991" s="407"/>
      <c r="Q991" s="407"/>
      <c r="R991" s="407"/>
      <c r="S991" s="407"/>
      <c r="T991" s="407"/>
      <c r="U991" s="407"/>
      <c r="V991" s="407"/>
      <c r="W991" s="407"/>
      <c r="X991" s="407"/>
      <c r="Y991" s="407"/>
      <c r="Z991" s="408"/>
    </row>
    <row r="992" spans="1:26">
      <c r="A992" s="416"/>
      <c r="B992" s="407"/>
      <c r="C992" s="407"/>
      <c r="D992" s="407"/>
      <c r="E992" s="407"/>
      <c r="F992" s="407"/>
      <c r="G992" s="407"/>
      <c r="H992" s="407"/>
      <c r="I992" s="407"/>
      <c r="J992" s="407"/>
      <c r="K992" s="407"/>
      <c r="L992" s="407"/>
      <c r="M992" s="407"/>
      <c r="N992" s="407"/>
      <c r="O992" s="407"/>
      <c r="P992" s="407"/>
      <c r="Q992" s="407"/>
      <c r="R992" s="407"/>
      <c r="S992" s="407"/>
      <c r="T992" s="407"/>
      <c r="U992" s="407"/>
      <c r="V992" s="407"/>
      <c r="W992" s="407"/>
      <c r="X992" s="407"/>
      <c r="Y992" s="407"/>
      <c r="Z992" s="408"/>
    </row>
    <row r="993" spans="1:26">
      <c r="A993" s="416"/>
      <c r="B993" s="407"/>
      <c r="C993" s="407"/>
      <c r="D993" s="407"/>
      <c r="E993" s="407"/>
      <c r="F993" s="407"/>
      <c r="G993" s="407"/>
      <c r="H993" s="407"/>
      <c r="I993" s="407"/>
      <c r="J993" s="407"/>
      <c r="K993" s="407"/>
      <c r="L993" s="407"/>
      <c r="M993" s="407"/>
      <c r="N993" s="407"/>
      <c r="O993" s="407"/>
      <c r="P993" s="407"/>
      <c r="Q993" s="407"/>
      <c r="R993" s="407"/>
      <c r="S993" s="407"/>
      <c r="T993" s="407"/>
      <c r="U993" s="407"/>
      <c r="V993" s="407"/>
      <c r="W993" s="407"/>
      <c r="X993" s="407"/>
      <c r="Y993" s="407"/>
      <c r="Z993" s="408"/>
    </row>
    <row r="994" spans="1:26">
      <c r="A994" s="416"/>
      <c r="B994" s="407"/>
      <c r="C994" s="407"/>
      <c r="D994" s="407"/>
      <c r="E994" s="407"/>
      <c r="F994" s="407"/>
      <c r="G994" s="407"/>
      <c r="H994" s="407"/>
      <c r="I994" s="407"/>
      <c r="J994" s="407"/>
      <c r="K994" s="407"/>
      <c r="L994" s="407"/>
      <c r="M994" s="407"/>
      <c r="N994" s="407"/>
      <c r="O994" s="407"/>
      <c r="P994" s="407"/>
      <c r="Q994" s="407"/>
      <c r="R994" s="407"/>
      <c r="S994" s="407"/>
      <c r="T994" s="407"/>
      <c r="U994" s="407"/>
      <c r="V994" s="407"/>
      <c r="W994" s="407"/>
      <c r="X994" s="407"/>
      <c r="Y994" s="407"/>
      <c r="Z994" s="408"/>
    </row>
    <row r="995" spans="1:26">
      <c r="A995" s="416"/>
      <c r="B995" s="407"/>
      <c r="C995" s="407"/>
      <c r="D995" s="407"/>
      <c r="E995" s="407"/>
      <c r="F995" s="407"/>
      <c r="G995" s="407"/>
      <c r="H995" s="407"/>
      <c r="I995" s="407"/>
      <c r="J995" s="407"/>
      <c r="K995" s="407"/>
      <c r="L995" s="407"/>
      <c r="M995" s="407"/>
      <c r="N995" s="407"/>
      <c r="O995" s="407"/>
      <c r="P995" s="407"/>
      <c r="Q995" s="407"/>
      <c r="R995" s="407"/>
      <c r="S995" s="407"/>
      <c r="T995" s="407"/>
      <c r="U995" s="407"/>
      <c r="V995" s="407"/>
      <c r="W995" s="407"/>
      <c r="X995" s="407"/>
      <c r="Y995" s="407"/>
      <c r="Z995" s="408"/>
    </row>
    <row r="996" spans="1:26">
      <c r="A996" s="416"/>
      <c r="B996" s="407"/>
      <c r="C996" s="407"/>
      <c r="D996" s="407"/>
      <c r="E996" s="407"/>
      <c r="F996" s="407"/>
      <c r="G996" s="407"/>
      <c r="H996" s="407"/>
      <c r="I996" s="407"/>
      <c r="J996" s="407"/>
      <c r="K996" s="407"/>
      <c r="L996" s="407"/>
      <c r="M996" s="407"/>
      <c r="N996" s="407"/>
      <c r="O996" s="407"/>
      <c r="P996" s="407"/>
      <c r="Q996" s="407"/>
      <c r="R996" s="407"/>
      <c r="S996" s="407"/>
      <c r="T996" s="407"/>
      <c r="U996" s="407"/>
      <c r="V996" s="407"/>
      <c r="W996" s="407"/>
      <c r="X996" s="407"/>
      <c r="Y996" s="407"/>
      <c r="Z996" s="408"/>
    </row>
    <row r="997" spans="1:26">
      <c r="A997" s="416"/>
      <c r="B997" s="407"/>
      <c r="C997" s="407"/>
      <c r="D997" s="407"/>
      <c r="E997" s="407"/>
      <c r="F997" s="407"/>
      <c r="G997" s="407"/>
      <c r="H997" s="407"/>
      <c r="I997" s="407"/>
      <c r="J997" s="407"/>
      <c r="K997" s="407"/>
      <c r="L997" s="407"/>
      <c r="M997" s="407"/>
      <c r="N997" s="407"/>
      <c r="O997" s="407"/>
      <c r="P997" s="407"/>
      <c r="Q997" s="407"/>
      <c r="R997" s="407"/>
      <c r="S997" s="407"/>
      <c r="T997" s="407"/>
      <c r="U997" s="407"/>
      <c r="V997" s="407"/>
      <c r="W997" s="407"/>
      <c r="X997" s="407"/>
      <c r="Y997" s="407"/>
      <c r="Z997" s="408"/>
    </row>
    <row r="998" spans="1:26">
      <c r="A998" s="416"/>
      <c r="B998" s="407"/>
      <c r="C998" s="407"/>
      <c r="D998" s="407"/>
      <c r="E998" s="407"/>
      <c r="F998" s="407"/>
      <c r="G998" s="407"/>
      <c r="H998" s="407"/>
      <c r="I998" s="407"/>
      <c r="J998" s="407"/>
      <c r="K998" s="407"/>
      <c r="L998" s="407"/>
      <c r="M998" s="407"/>
      <c r="N998" s="407"/>
      <c r="O998" s="407"/>
      <c r="P998" s="407"/>
      <c r="Q998" s="407"/>
      <c r="R998" s="407"/>
      <c r="S998" s="407"/>
      <c r="T998" s="407"/>
      <c r="U998" s="407"/>
      <c r="V998" s="407"/>
      <c r="W998" s="407"/>
      <c r="X998" s="407"/>
      <c r="Y998" s="407"/>
      <c r="Z998" s="408"/>
    </row>
    <row r="999" spans="1:26">
      <c r="A999" s="416"/>
      <c r="B999" s="407"/>
      <c r="C999" s="407"/>
      <c r="D999" s="407"/>
      <c r="E999" s="407"/>
      <c r="F999" s="407"/>
      <c r="G999" s="407"/>
      <c r="H999" s="407"/>
      <c r="I999" s="407"/>
      <c r="J999" s="407"/>
      <c r="K999" s="407"/>
      <c r="L999" s="407"/>
      <c r="M999" s="407"/>
      <c r="N999" s="407"/>
      <c r="O999" s="407"/>
      <c r="P999" s="407"/>
      <c r="Q999" s="407"/>
      <c r="R999" s="407"/>
      <c r="S999" s="407"/>
      <c r="T999" s="407"/>
      <c r="U999" s="407"/>
      <c r="V999" s="407"/>
      <c r="W999" s="407"/>
      <c r="X999" s="407"/>
      <c r="Y999" s="407"/>
      <c r="Z999" s="408"/>
    </row>
    <row r="1000" spans="1:26">
      <c r="A1000" s="417"/>
      <c r="B1000" s="418"/>
      <c r="C1000" s="418"/>
      <c r="D1000" s="418"/>
      <c r="E1000" s="418"/>
      <c r="F1000" s="418"/>
      <c r="G1000" s="418"/>
      <c r="H1000" s="418"/>
      <c r="I1000" s="418"/>
      <c r="J1000" s="418"/>
      <c r="K1000" s="418"/>
      <c r="L1000" s="418"/>
      <c r="M1000" s="418"/>
      <c r="N1000" s="418"/>
      <c r="O1000" s="418"/>
      <c r="P1000" s="418"/>
      <c r="Q1000" s="418"/>
      <c r="R1000" s="418"/>
      <c r="S1000" s="418"/>
      <c r="T1000" s="418"/>
      <c r="U1000" s="418"/>
      <c r="V1000" s="418"/>
      <c r="W1000" s="418"/>
      <c r="X1000" s="418"/>
      <c r="Y1000" s="418"/>
      <c r="Z1000" s="414"/>
    </row>
  </sheetData>
  <mergeCells count="27">
    <mergeCell ref="A1:K1"/>
    <mergeCell ref="A2:K2"/>
    <mergeCell ref="A3:K3"/>
    <mergeCell ref="A4:A5"/>
    <mergeCell ref="B4:B5"/>
    <mergeCell ref="C4:C5"/>
    <mergeCell ref="D4:E4"/>
    <mergeCell ref="F4:F5"/>
    <mergeCell ref="G4:G5"/>
    <mergeCell ref="H4:H5"/>
    <mergeCell ref="B62:B70"/>
    <mergeCell ref="I4:I5"/>
    <mergeCell ref="J4:J5"/>
    <mergeCell ref="K4:K5"/>
    <mergeCell ref="A6:K6"/>
    <mergeCell ref="A7:K7"/>
    <mergeCell ref="B8:B16"/>
    <mergeCell ref="B17:B25"/>
    <mergeCell ref="B26:B34"/>
    <mergeCell ref="B35:B43"/>
    <mergeCell ref="B44:B52"/>
    <mergeCell ref="B53:B61"/>
    <mergeCell ref="B71:B79"/>
    <mergeCell ref="B80:B88"/>
    <mergeCell ref="B89:B97"/>
    <mergeCell ref="B98:B106"/>
    <mergeCell ref="B107:B1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allinone22020@outlook.com</dc:creator>
  <cp:keywords/>
  <dc:description/>
  <cp:lastModifiedBy>Guest User</cp:lastModifiedBy>
  <cp:revision/>
  <dcterms:created xsi:type="dcterms:W3CDTF">2021-01-12T02:54:02Z</dcterms:created>
  <dcterms:modified xsi:type="dcterms:W3CDTF">2026-04-07T05:52:29Z</dcterms:modified>
  <cp:category/>
  <cp:contentStatus/>
</cp:coreProperties>
</file>